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antid\Documents\Project-Management\PMB\"/>
    </mc:Choice>
  </mc:AlternateContent>
  <bookViews>
    <workbookView xWindow="360" yWindow="75" windowWidth="21720" windowHeight="10230" firstSheet="3" activeTab="3"/>
  </bookViews>
  <sheets>
    <sheet name="Instructions" sheetId="6" r:id="rId1"/>
    <sheet name="Results Last 12 Months" sheetId="11" r:id="rId2"/>
    <sheet name="Results All Time" sheetId="12" r:id="rId3"/>
    <sheet name="Sheet1" sheetId="13" r:id="rId4"/>
    <sheet name="Amalgamated" sheetId="9" r:id="rId5"/>
    <sheet name="Tickets Fixed" sheetId="10" r:id="rId6"/>
    <sheet name="Tickets Tested" sheetId="8" r:id="rId7"/>
    <sheet name="Commits Summary" sheetId="4" r:id="rId8"/>
    <sheet name="Tickets" sheetId="5" r:id="rId9"/>
    <sheet name="Commits" sheetId="1" r:id="rId10"/>
    <sheet name="People" sheetId="2" r:id="rId11"/>
  </sheets>
  <calcPr calcId="152511"/>
  <pivotCaches>
    <pivotCache cacheId="0" r:id="rId12"/>
    <pivotCache cacheId="1" r:id="rId13"/>
    <pivotCache cacheId="2" r:id="rId14"/>
    <pivotCache cacheId="5" r:id="rId15"/>
  </pivotCaches>
</workbook>
</file>

<file path=xl/calcChain.xml><?xml version="1.0" encoding="utf-8"?>
<calcChain xmlns="http://schemas.openxmlformats.org/spreadsheetml/2006/main">
  <c r="J3" i="9" l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2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C6" i="9"/>
  <c r="B6" i="9"/>
  <c r="C5" i="9"/>
  <c r="B5" i="9"/>
  <c r="C4" i="9"/>
  <c r="B4" i="9"/>
  <c r="C3" i="9"/>
  <c r="B3" i="9"/>
  <c r="C2" i="9"/>
  <c r="B2" i="9"/>
  <c r="B84" i="2" l="1"/>
  <c r="I69" i="1"/>
  <c r="J69" i="1"/>
  <c r="K69" i="1"/>
  <c r="I70" i="1"/>
  <c r="J70" i="1"/>
  <c r="K70" i="1"/>
  <c r="I71" i="1"/>
  <c r="J71" i="1"/>
  <c r="K71" i="1"/>
  <c r="J72" i="1"/>
  <c r="K72" i="1"/>
  <c r="I73" i="1"/>
  <c r="J73" i="1"/>
  <c r="K73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F7041" i="5"/>
  <c r="G7041" i="5" s="1"/>
  <c r="F7042" i="5"/>
  <c r="G7042" i="5" s="1"/>
  <c r="F7043" i="5"/>
  <c r="G7043" i="5" s="1"/>
  <c r="F7044" i="5"/>
  <c r="G7044" i="5" s="1"/>
  <c r="F7045" i="5"/>
  <c r="G7045" i="5" s="1"/>
  <c r="F7046" i="5"/>
  <c r="G7046" i="5" s="1"/>
  <c r="F7047" i="5"/>
  <c r="G7047" i="5" s="1"/>
  <c r="F7048" i="5"/>
  <c r="G7048" i="5" s="1"/>
  <c r="F7049" i="5"/>
  <c r="G7049" i="5" s="1"/>
  <c r="F7050" i="5"/>
  <c r="G7050" i="5" s="1"/>
  <c r="F7051" i="5"/>
  <c r="G7051" i="5" s="1"/>
  <c r="F7052" i="5"/>
  <c r="G7052" i="5" s="1"/>
  <c r="F7053" i="5"/>
  <c r="G7053" i="5" s="1"/>
  <c r="F7054" i="5"/>
  <c r="G7054" i="5" s="1"/>
  <c r="F7055" i="5"/>
  <c r="G7055" i="5" s="1"/>
  <c r="F7056" i="5"/>
  <c r="G7056" i="5" s="1"/>
  <c r="F7057" i="5"/>
  <c r="G7057" i="5" s="1"/>
  <c r="F7058" i="5"/>
  <c r="G7058" i="5" s="1"/>
  <c r="F7059" i="5"/>
  <c r="G7059" i="5" s="1"/>
  <c r="F7060" i="5"/>
  <c r="G7060" i="5" s="1"/>
  <c r="F7061" i="5"/>
  <c r="G7061" i="5" s="1"/>
  <c r="F7062" i="5"/>
  <c r="G7062" i="5" s="1"/>
  <c r="F7063" i="5"/>
  <c r="G7063" i="5" s="1"/>
  <c r="F7064" i="5"/>
  <c r="G7064" i="5" s="1"/>
  <c r="F7065" i="5"/>
  <c r="G7065" i="5" s="1"/>
  <c r="F7066" i="5"/>
  <c r="G7066" i="5" s="1"/>
  <c r="F7067" i="5"/>
  <c r="G7067" i="5" s="1"/>
  <c r="F7068" i="5"/>
  <c r="G7068" i="5" s="1"/>
  <c r="F7069" i="5"/>
  <c r="G7069" i="5" s="1"/>
  <c r="F7070" i="5"/>
  <c r="G7070" i="5" s="1"/>
  <c r="F7071" i="5"/>
  <c r="G7071" i="5" s="1"/>
  <c r="F7072" i="5"/>
  <c r="G7072" i="5" s="1"/>
  <c r="F7073" i="5"/>
  <c r="G7073" i="5" s="1"/>
  <c r="F7074" i="5"/>
  <c r="G7074" i="5" s="1"/>
  <c r="F7075" i="5"/>
  <c r="G7075" i="5" s="1"/>
  <c r="F7076" i="5"/>
  <c r="G7076" i="5" s="1"/>
  <c r="F7077" i="5"/>
  <c r="G7077" i="5" s="1"/>
  <c r="F7078" i="5"/>
  <c r="G7078" i="5" s="1"/>
  <c r="F7079" i="5"/>
  <c r="G7079" i="5" s="1"/>
  <c r="F7080" i="5"/>
  <c r="G7080" i="5" s="1"/>
  <c r="F7081" i="5"/>
  <c r="G7081" i="5" s="1"/>
  <c r="F7082" i="5"/>
  <c r="G7082" i="5" s="1"/>
  <c r="F7083" i="5"/>
  <c r="G7083" i="5" s="1"/>
  <c r="F7084" i="5"/>
  <c r="G7084" i="5" s="1"/>
  <c r="F7085" i="5"/>
  <c r="G7085" i="5" s="1"/>
  <c r="F7086" i="5"/>
  <c r="G7086" i="5" s="1"/>
  <c r="F7087" i="5"/>
  <c r="G7087" i="5" s="1"/>
  <c r="F7088" i="5"/>
  <c r="G7088" i="5" s="1"/>
  <c r="F7089" i="5"/>
  <c r="G7089" i="5" s="1"/>
  <c r="F7090" i="5"/>
  <c r="G7090" i="5" s="1"/>
  <c r="F7091" i="5"/>
  <c r="G7091" i="5" s="1"/>
  <c r="F7092" i="5"/>
  <c r="G7092" i="5" s="1"/>
  <c r="F7093" i="5"/>
  <c r="G7093" i="5" s="1"/>
  <c r="F7094" i="5"/>
  <c r="G7094" i="5" s="1"/>
  <c r="F7095" i="5"/>
  <c r="G7095" i="5" s="1"/>
  <c r="F7096" i="5"/>
  <c r="G7096" i="5" s="1"/>
  <c r="F7097" i="5"/>
  <c r="G7097" i="5" s="1"/>
  <c r="F7098" i="5"/>
  <c r="G7098" i="5" s="1"/>
  <c r="F7099" i="5"/>
  <c r="G7099" i="5" s="1"/>
  <c r="F7100" i="5"/>
  <c r="G7100" i="5" s="1"/>
  <c r="F7101" i="5"/>
  <c r="G7101" i="5" s="1"/>
  <c r="F7102" i="5"/>
  <c r="G7102" i="5" s="1"/>
  <c r="F7103" i="5"/>
  <c r="G7103" i="5" s="1"/>
  <c r="F7104" i="5"/>
  <c r="G7104" i="5" s="1"/>
  <c r="F7105" i="5"/>
  <c r="G7105" i="5" s="1"/>
  <c r="F7106" i="5"/>
  <c r="G7106" i="5" s="1"/>
  <c r="F7107" i="5"/>
  <c r="G7107" i="5" s="1"/>
  <c r="F7108" i="5"/>
  <c r="G7108" i="5" s="1"/>
  <c r="F7109" i="5"/>
  <c r="G7109" i="5" s="1"/>
  <c r="F7110" i="5"/>
  <c r="G7110" i="5" s="1"/>
  <c r="F7111" i="5"/>
  <c r="G7111" i="5" s="1"/>
  <c r="F7112" i="5"/>
  <c r="G7112" i="5" s="1"/>
  <c r="F7113" i="5"/>
  <c r="G7113" i="5" s="1"/>
  <c r="F7114" i="5"/>
  <c r="G7114" i="5" s="1"/>
  <c r="F7115" i="5"/>
  <c r="G7115" i="5" s="1"/>
  <c r="F7116" i="5"/>
  <c r="G7116" i="5" s="1"/>
  <c r="F7117" i="5"/>
  <c r="G7117" i="5" s="1"/>
  <c r="F7118" i="5"/>
  <c r="G7118" i="5" s="1"/>
  <c r="F7119" i="5"/>
  <c r="G7119" i="5" s="1"/>
  <c r="F7120" i="5"/>
  <c r="G7120" i="5" s="1"/>
  <c r="F7121" i="5"/>
  <c r="G7121" i="5" s="1"/>
  <c r="F7122" i="5"/>
  <c r="G7122" i="5" s="1"/>
  <c r="F7123" i="5"/>
  <c r="G7123" i="5" s="1"/>
  <c r="F7124" i="5"/>
  <c r="G7124" i="5" s="1"/>
  <c r="F7125" i="5"/>
  <c r="G7125" i="5" s="1"/>
  <c r="F7126" i="5"/>
  <c r="G7126" i="5" s="1"/>
  <c r="F7127" i="5"/>
  <c r="G7127" i="5" s="1"/>
  <c r="F7128" i="5"/>
  <c r="G7128" i="5" s="1"/>
  <c r="F7129" i="5"/>
  <c r="G7129" i="5" s="1"/>
  <c r="F7130" i="5"/>
  <c r="G7130" i="5" s="1"/>
  <c r="F7131" i="5"/>
  <c r="G7131" i="5" s="1"/>
  <c r="F7132" i="5"/>
  <c r="G7132" i="5" s="1"/>
  <c r="F7133" i="5"/>
  <c r="G7133" i="5" s="1"/>
  <c r="F7134" i="5"/>
  <c r="G7134" i="5" s="1"/>
  <c r="F7135" i="5"/>
  <c r="G7135" i="5" s="1"/>
  <c r="F7136" i="5"/>
  <c r="G7136" i="5" s="1"/>
  <c r="F7137" i="5"/>
  <c r="G7137" i="5" s="1"/>
  <c r="F7138" i="5"/>
  <c r="G7138" i="5" s="1"/>
  <c r="F7139" i="5"/>
  <c r="G7139" i="5" s="1"/>
  <c r="F7140" i="5"/>
  <c r="G7140" i="5" s="1"/>
  <c r="F7141" i="5"/>
  <c r="G7141" i="5" s="1"/>
  <c r="F7142" i="5"/>
  <c r="G7142" i="5" s="1"/>
  <c r="F7143" i="5"/>
  <c r="G7143" i="5" s="1"/>
  <c r="F7144" i="5"/>
  <c r="G7144" i="5" s="1"/>
  <c r="F7145" i="5"/>
  <c r="G7145" i="5" s="1"/>
  <c r="F7146" i="5"/>
  <c r="G7146" i="5" s="1"/>
  <c r="F7147" i="5"/>
  <c r="G7147" i="5" s="1"/>
  <c r="F7148" i="5"/>
  <c r="G7148" i="5" s="1"/>
  <c r="F7149" i="5"/>
  <c r="G7149" i="5" s="1"/>
  <c r="F7150" i="5"/>
  <c r="G7150" i="5" s="1"/>
  <c r="F7151" i="5"/>
  <c r="G7151" i="5" s="1"/>
  <c r="F7152" i="5"/>
  <c r="G7152" i="5" s="1"/>
  <c r="F7153" i="5"/>
  <c r="G7153" i="5" s="1"/>
  <c r="F7154" i="5"/>
  <c r="G7154" i="5" s="1"/>
  <c r="F7155" i="5"/>
  <c r="G7155" i="5" s="1"/>
  <c r="F7156" i="5"/>
  <c r="G7156" i="5" s="1"/>
  <c r="F7157" i="5"/>
  <c r="G7157" i="5" s="1"/>
  <c r="F7158" i="5"/>
  <c r="G7158" i="5" s="1"/>
  <c r="F7159" i="5"/>
  <c r="G7159" i="5" s="1"/>
  <c r="F7160" i="5"/>
  <c r="G7160" i="5" s="1"/>
  <c r="F7161" i="5"/>
  <c r="G7161" i="5" s="1"/>
  <c r="F7162" i="5"/>
  <c r="G7162" i="5" s="1"/>
  <c r="F7163" i="5"/>
  <c r="G7163" i="5" s="1"/>
  <c r="F7164" i="5"/>
  <c r="G7164" i="5" s="1"/>
  <c r="F7165" i="5"/>
  <c r="G7165" i="5" s="1"/>
  <c r="F7166" i="5"/>
  <c r="G7166" i="5" s="1"/>
  <c r="F7167" i="5"/>
  <c r="G7167" i="5" s="1"/>
  <c r="F7168" i="5"/>
  <c r="G7168" i="5" s="1"/>
  <c r="F7169" i="5"/>
  <c r="G7169" i="5" s="1"/>
  <c r="F7170" i="5"/>
  <c r="G7170" i="5" s="1"/>
  <c r="F7171" i="5"/>
  <c r="G7171" i="5" s="1"/>
  <c r="F7172" i="5"/>
  <c r="G7172" i="5" s="1"/>
  <c r="F7173" i="5"/>
  <c r="G7173" i="5" s="1"/>
  <c r="F7174" i="5"/>
  <c r="G7174" i="5" s="1"/>
  <c r="F7175" i="5"/>
  <c r="G7175" i="5" s="1"/>
  <c r="F7176" i="5"/>
  <c r="G7176" i="5" s="1"/>
  <c r="F7177" i="5"/>
  <c r="G7177" i="5" s="1"/>
  <c r="F7178" i="5"/>
  <c r="G7178" i="5" s="1"/>
  <c r="F7179" i="5"/>
  <c r="G7179" i="5" s="1"/>
  <c r="F7180" i="5"/>
  <c r="G7180" i="5" s="1"/>
  <c r="F7181" i="5"/>
  <c r="G7181" i="5" s="1"/>
  <c r="F7182" i="5"/>
  <c r="G7182" i="5" s="1"/>
  <c r="F7183" i="5"/>
  <c r="G7183" i="5" s="1"/>
  <c r="F7184" i="5"/>
  <c r="G7184" i="5" s="1"/>
  <c r="F7185" i="5"/>
  <c r="G7185" i="5" s="1"/>
  <c r="F7186" i="5"/>
  <c r="G7186" i="5" s="1"/>
  <c r="F7187" i="5"/>
  <c r="G7187" i="5" s="1"/>
  <c r="F7188" i="5"/>
  <c r="G7188" i="5" s="1"/>
  <c r="F7189" i="5"/>
  <c r="G7189" i="5" s="1"/>
  <c r="F7190" i="5"/>
  <c r="G7190" i="5" s="1"/>
  <c r="F7191" i="5"/>
  <c r="G7191" i="5" s="1"/>
  <c r="F7192" i="5"/>
  <c r="G7192" i="5" s="1"/>
  <c r="F7193" i="5"/>
  <c r="G7193" i="5" s="1"/>
  <c r="F7194" i="5"/>
  <c r="G7194" i="5" s="1"/>
  <c r="F7195" i="5"/>
  <c r="G7195" i="5" s="1"/>
  <c r="F7196" i="5"/>
  <c r="G7196" i="5" s="1"/>
  <c r="F7197" i="5"/>
  <c r="G7197" i="5" s="1"/>
  <c r="F7198" i="5"/>
  <c r="G7198" i="5" s="1"/>
  <c r="F7199" i="5"/>
  <c r="G7199" i="5" s="1"/>
  <c r="F7200" i="5"/>
  <c r="G7200" i="5" s="1"/>
  <c r="F7201" i="5"/>
  <c r="G7201" i="5" s="1"/>
  <c r="F7202" i="5"/>
  <c r="G7202" i="5" s="1"/>
  <c r="F7203" i="5"/>
  <c r="G7203" i="5" s="1"/>
  <c r="F7204" i="5"/>
  <c r="G7204" i="5" s="1"/>
  <c r="F7205" i="5"/>
  <c r="G7205" i="5" s="1"/>
  <c r="F7206" i="5"/>
  <c r="G7206" i="5" s="1"/>
  <c r="F7207" i="5"/>
  <c r="G7207" i="5" s="1"/>
  <c r="F7208" i="5"/>
  <c r="G7208" i="5" s="1"/>
  <c r="F7209" i="5"/>
  <c r="G7209" i="5" s="1"/>
  <c r="F7210" i="5"/>
  <c r="G7210" i="5" s="1"/>
  <c r="F7211" i="5"/>
  <c r="G7211" i="5" s="1"/>
  <c r="F7212" i="5"/>
  <c r="G7212" i="5" s="1"/>
  <c r="F7213" i="5"/>
  <c r="G7213" i="5" s="1"/>
  <c r="F7214" i="5"/>
  <c r="G7214" i="5" s="1"/>
  <c r="F7215" i="5"/>
  <c r="G7215" i="5" s="1"/>
  <c r="F7216" i="5"/>
  <c r="G7216" i="5" s="1"/>
  <c r="F7217" i="5"/>
  <c r="G7217" i="5" s="1"/>
  <c r="F7218" i="5"/>
  <c r="G7218" i="5" s="1"/>
  <c r="F7219" i="5"/>
  <c r="G7219" i="5" s="1"/>
  <c r="F7220" i="5"/>
  <c r="G7220" i="5" s="1"/>
  <c r="F7221" i="5"/>
  <c r="G7221" i="5" s="1"/>
  <c r="F7222" i="5"/>
  <c r="G7222" i="5" s="1"/>
  <c r="F7223" i="5"/>
  <c r="G7223" i="5" s="1"/>
  <c r="F7224" i="5"/>
  <c r="G7224" i="5" s="1"/>
  <c r="F7225" i="5"/>
  <c r="G7225" i="5" s="1"/>
  <c r="F7226" i="5"/>
  <c r="G7226" i="5" s="1"/>
  <c r="F7227" i="5"/>
  <c r="G7227" i="5" s="1"/>
  <c r="F7228" i="5"/>
  <c r="G7228" i="5" s="1"/>
  <c r="F7229" i="5"/>
  <c r="G7229" i="5" s="1"/>
  <c r="F7230" i="5"/>
  <c r="G7230" i="5" s="1"/>
  <c r="F7231" i="5"/>
  <c r="G7231" i="5" s="1"/>
  <c r="F7232" i="5"/>
  <c r="G7232" i="5" s="1"/>
  <c r="F7233" i="5"/>
  <c r="G7233" i="5" s="1"/>
  <c r="F7234" i="5"/>
  <c r="G7234" i="5" s="1"/>
  <c r="F7235" i="5"/>
  <c r="G7235" i="5" s="1"/>
  <c r="F7236" i="5"/>
  <c r="G7236" i="5" s="1"/>
  <c r="F7237" i="5"/>
  <c r="G7237" i="5" s="1"/>
  <c r="F7238" i="5"/>
  <c r="G7238" i="5" s="1"/>
  <c r="F7239" i="5"/>
  <c r="G7239" i="5" s="1"/>
  <c r="F7240" i="5"/>
  <c r="G7240" i="5" s="1"/>
  <c r="F7241" i="5"/>
  <c r="G7241" i="5" s="1"/>
  <c r="F7242" i="5"/>
  <c r="G7242" i="5" s="1"/>
  <c r="F7243" i="5"/>
  <c r="G7243" i="5" s="1"/>
  <c r="F7244" i="5"/>
  <c r="G7244" i="5" s="1"/>
  <c r="F7245" i="5"/>
  <c r="G7245" i="5" s="1"/>
  <c r="F7246" i="5"/>
  <c r="G7246" i="5" s="1"/>
  <c r="F7247" i="5"/>
  <c r="G7247" i="5" s="1"/>
  <c r="F7248" i="5"/>
  <c r="G7248" i="5" s="1"/>
  <c r="F7249" i="5"/>
  <c r="G7249" i="5" s="1"/>
  <c r="F7250" i="5"/>
  <c r="G7250" i="5" s="1"/>
  <c r="F7251" i="5"/>
  <c r="G7251" i="5" s="1"/>
  <c r="F7252" i="5"/>
  <c r="G7252" i="5" s="1"/>
  <c r="F7253" i="5"/>
  <c r="G7253" i="5" s="1"/>
  <c r="F7254" i="5"/>
  <c r="G7254" i="5" s="1"/>
  <c r="F7255" i="5"/>
  <c r="G7255" i="5" s="1"/>
  <c r="F7256" i="5"/>
  <c r="G7256" i="5" s="1"/>
  <c r="F7257" i="5"/>
  <c r="G7257" i="5" s="1"/>
  <c r="F7258" i="5"/>
  <c r="G7258" i="5" s="1"/>
  <c r="F7259" i="5"/>
  <c r="G7259" i="5" s="1"/>
  <c r="F7260" i="5"/>
  <c r="G7260" i="5" s="1"/>
  <c r="F7261" i="5"/>
  <c r="G7261" i="5" s="1"/>
  <c r="F7262" i="5"/>
  <c r="G7262" i="5" s="1"/>
  <c r="F7263" i="5"/>
  <c r="G7263" i="5" s="1"/>
  <c r="F7264" i="5"/>
  <c r="G7264" i="5" s="1"/>
  <c r="F7265" i="5"/>
  <c r="G7265" i="5" s="1"/>
  <c r="F7266" i="5"/>
  <c r="G7266" i="5" s="1"/>
  <c r="F7267" i="5"/>
  <c r="G7267" i="5" s="1"/>
  <c r="F7268" i="5"/>
  <c r="G7268" i="5" s="1"/>
  <c r="F7269" i="5"/>
  <c r="G7269" i="5" s="1"/>
  <c r="F7270" i="5"/>
  <c r="G7270" i="5" s="1"/>
  <c r="F7271" i="5"/>
  <c r="G7271" i="5" s="1"/>
  <c r="F7272" i="5"/>
  <c r="G7272" i="5" s="1"/>
  <c r="F7273" i="5"/>
  <c r="G7273" i="5" s="1"/>
  <c r="F7274" i="5"/>
  <c r="G7274" i="5" s="1"/>
  <c r="F7275" i="5"/>
  <c r="G7275" i="5" s="1"/>
  <c r="F7276" i="5"/>
  <c r="G7276" i="5" s="1"/>
  <c r="F7277" i="5"/>
  <c r="G7277" i="5" s="1"/>
  <c r="F7278" i="5"/>
  <c r="G7278" i="5" s="1"/>
  <c r="F7279" i="5"/>
  <c r="G7279" i="5" s="1"/>
  <c r="F7280" i="5"/>
  <c r="G7280" i="5" s="1"/>
  <c r="F7281" i="5"/>
  <c r="G7281" i="5" s="1"/>
  <c r="F7282" i="5"/>
  <c r="G7282" i="5" s="1"/>
  <c r="F7283" i="5"/>
  <c r="G7283" i="5" s="1"/>
  <c r="F7284" i="5"/>
  <c r="G7284" i="5" s="1"/>
  <c r="F7285" i="5"/>
  <c r="G7285" i="5" s="1"/>
  <c r="F7286" i="5"/>
  <c r="G7286" i="5" s="1"/>
  <c r="F7287" i="5"/>
  <c r="G7287" i="5" s="1"/>
  <c r="F7288" i="5"/>
  <c r="G7288" i="5" s="1"/>
  <c r="F7289" i="5"/>
  <c r="G7289" i="5" s="1"/>
  <c r="F7290" i="5"/>
  <c r="G7290" i="5" s="1"/>
  <c r="F7291" i="5"/>
  <c r="G7291" i="5" s="1"/>
  <c r="F7292" i="5"/>
  <c r="G7292" i="5" s="1"/>
  <c r="F7293" i="5"/>
  <c r="G7293" i="5" s="1"/>
  <c r="F7294" i="5"/>
  <c r="G7294" i="5" s="1"/>
  <c r="F7295" i="5"/>
  <c r="G7295" i="5" s="1"/>
  <c r="F7296" i="5"/>
  <c r="G7296" i="5" s="1"/>
  <c r="F7297" i="5"/>
  <c r="G7297" i="5" s="1"/>
  <c r="F7298" i="5"/>
  <c r="G7298" i="5" s="1"/>
  <c r="F7299" i="5"/>
  <c r="G7299" i="5" s="1"/>
  <c r="F7300" i="5"/>
  <c r="G7300" i="5" s="1"/>
  <c r="F7301" i="5"/>
  <c r="G7301" i="5" s="1"/>
  <c r="F7302" i="5"/>
  <c r="G7302" i="5" s="1"/>
  <c r="F7303" i="5"/>
  <c r="G7303" i="5" s="1"/>
  <c r="F7304" i="5"/>
  <c r="G7304" i="5" s="1"/>
  <c r="F7305" i="5"/>
  <c r="G7305" i="5" s="1"/>
  <c r="F7306" i="5"/>
  <c r="G7306" i="5" s="1"/>
  <c r="F7307" i="5"/>
  <c r="G7307" i="5" s="1"/>
  <c r="F7308" i="5"/>
  <c r="G7308" i="5" s="1"/>
  <c r="F7309" i="5"/>
  <c r="G7309" i="5" s="1"/>
  <c r="F7310" i="5"/>
  <c r="G7310" i="5" s="1"/>
  <c r="F7311" i="5"/>
  <c r="G7311" i="5" s="1"/>
  <c r="F7312" i="5"/>
  <c r="G7312" i="5" s="1"/>
  <c r="F7313" i="5"/>
  <c r="G7313" i="5" s="1"/>
  <c r="F7314" i="5"/>
  <c r="G7314" i="5" s="1"/>
  <c r="F7315" i="5"/>
  <c r="G7315" i="5" s="1"/>
  <c r="F7316" i="5"/>
  <c r="G7316" i="5" s="1"/>
  <c r="F7317" i="5"/>
  <c r="G7317" i="5" s="1"/>
  <c r="F7318" i="5"/>
  <c r="G7318" i="5" s="1"/>
  <c r="F7319" i="5"/>
  <c r="G7319" i="5" s="1"/>
  <c r="F7320" i="5"/>
  <c r="G7320" i="5" s="1"/>
  <c r="F7321" i="5"/>
  <c r="G7321" i="5" s="1"/>
  <c r="F7322" i="5"/>
  <c r="G7322" i="5" s="1"/>
  <c r="F7323" i="5"/>
  <c r="G7323" i="5" s="1"/>
  <c r="F7324" i="5"/>
  <c r="G7324" i="5" s="1"/>
  <c r="F7325" i="5"/>
  <c r="G7325" i="5" s="1"/>
  <c r="F7326" i="5"/>
  <c r="G7326" i="5" s="1"/>
  <c r="F7327" i="5"/>
  <c r="G7327" i="5" s="1"/>
  <c r="F7328" i="5"/>
  <c r="G7328" i="5" s="1"/>
  <c r="F7329" i="5"/>
  <c r="G7329" i="5" s="1"/>
  <c r="F7330" i="5"/>
  <c r="G7330" i="5" s="1"/>
  <c r="F7331" i="5"/>
  <c r="G7331" i="5" s="1"/>
  <c r="F7332" i="5"/>
  <c r="G7332" i="5" s="1"/>
  <c r="F7333" i="5"/>
  <c r="G7333" i="5" s="1"/>
  <c r="F7334" i="5"/>
  <c r="G7334" i="5" s="1"/>
  <c r="F7335" i="5"/>
  <c r="G7335" i="5" s="1"/>
  <c r="F7336" i="5"/>
  <c r="G7336" i="5" s="1"/>
  <c r="F7337" i="5"/>
  <c r="G7337" i="5" s="1"/>
  <c r="F7338" i="5"/>
  <c r="G7338" i="5" s="1"/>
  <c r="F7339" i="5"/>
  <c r="G7339" i="5" s="1"/>
  <c r="F7340" i="5"/>
  <c r="G7340" i="5" s="1"/>
  <c r="F7341" i="5"/>
  <c r="G7341" i="5" s="1"/>
  <c r="F7342" i="5"/>
  <c r="G7342" i="5" s="1"/>
  <c r="F7343" i="5"/>
  <c r="G7343" i="5" s="1"/>
  <c r="F7344" i="5"/>
  <c r="G7344" i="5" s="1"/>
  <c r="F7345" i="5"/>
  <c r="G7345" i="5" s="1"/>
  <c r="F7346" i="5"/>
  <c r="G7346" i="5" s="1"/>
  <c r="F7347" i="5"/>
  <c r="G7347" i="5" s="1"/>
  <c r="F7348" i="5"/>
  <c r="G7348" i="5" s="1"/>
  <c r="F7349" i="5"/>
  <c r="G7349" i="5" s="1"/>
  <c r="F7350" i="5"/>
  <c r="G7350" i="5" s="1"/>
  <c r="F7351" i="5"/>
  <c r="G7351" i="5" s="1"/>
  <c r="F7352" i="5"/>
  <c r="G7352" i="5" s="1"/>
  <c r="F7353" i="5"/>
  <c r="G7353" i="5" s="1"/>
  <c r="F7354" i="5"/>
  <c r="G7354" i="5" s="1"/>
  <c r="F7355" i="5"/>
  <c r="G7355" i="5" s="1"/>
  <c r="F7356" i="5"/>
  <c r="G7356" i="5" s="1"/>
  <c r="F7357" i="5"/>
  <c r="G7357" i="5" s="1"/>
  <c r="F7358" i="5"/>
  <c r="G7358" i="5" s="1"/>
  <c r="F7359" i="5"/>
  <c r="G7359" i="5" s="1"/>
  <c r="F7360" i="5"/>
  <c r="G7360" i="5" s="1"/>
  <c r="F7361" i="5"/>
  <c r="G7361" i="5" s="1"/>
  <c r="F7362" i="5"/>
  <c r="G7362" i="5" s="1"/>
  <c r="F7363" i="5"/>
  <c r="G7363" i="5" s="1"/>
  <c r="F7364" i="5"/>
  <c r="G7364" i="5" s="1"/>
  <c r="F7365" i="5"/>
  <c r="G7365" i="5" s="1"/>
  <c r="F7366" i="5"/>
  <c r="G7366" i="5" s="1"/>
  <c r="F7367" i="5"/>
  <c r="G7367" i="5" s="1"/>
  <c r="F7368" i="5"/>
  <c r="G7368" i="5" s="1"/>
  <c r="F7369" i="5"/>
  <c r="G7369" i="5" s="1"/>
  <c r="F7370" i="5"/>
  <c r="G7370" i="5" s="1"/>
  <c r="F7371" i="5"/>
  <c r="G7371" i="5" s="1"/>
  <c r="F7372" i="5"/>
  <c r="G7372" i="5" s="1"/>
  <c r="F7373" i="5"/>
  <c r="G7373" i="5" s="1"/>
  <c r="F7374" i="5"/>
  <c r="G7374" i="5" s="1"/>
  <c r="F7375" i="5"/>
  <c r="G7375" i="5" s="1"/>
  <c r="F7376" i="5"/>
  <c r="G7376" i="5" s="1"/>
  <c r="F7377" i="5"/>
  <c r="G7377" i="5" s="1"/>
  <c r="F7378" i="5"/>
  <c r="G7378" i="5" s="1"/>
  <c r="F7379" i="5"/>
  <c r="G7379" i="5" s="1"/>
  <c r="F7380" i="5"/>
  <c r="G7380" i="5" s="1"/>
  <c r="F7381" i="5"/>
  <c r="G7381" i="5" s="1"/>
  <c r="F7382" i="5"/>
  <c r="G7382" i="5" s="1"/>
  <c r="F7383" i="5"/>
  <c r="G7383" i="5" s="1"/>
  <c r="F7384" i="5"/>
  <c r="G7384" i="5" s="1"/>
  <c r="F7385" i="5"/>
  <c r="G7385" i="5" s="1"/>
  <c r="F7386" i="5"/>
  <c r="G7386" i="5" s="1"/>
  <c r="F7387" i="5"/>
  <c r="G7387" i="5" s="1"/>
  <c r="F7388" i="5"/>
  <c r="G7388" i="5" s="1"/>
  <c r="F7389" i="5"/>
  <c r="G7389" i="5" s="1"/>
  <c r="F7390" i="5"/>
  <c r="G7390" i="5" s="1"/>
  <c r="F7391" i="5"/>
  <c r="G7391" i="5" s="1"/>
  <c r="F7392" i="5"/>
  <c r="G7392" i="5" s="1"/>
  <c r="F7393" i="5"/>
  <c r="G7393" i="5" s="1"/>
  <c r="F7394" i="5"/>
  <c r="G7394" i="5" s="1"/>
  <c r="F7395" i="5"/>
  <c r="G7395" i="5" s="1"/>
  <c r="F7396" i="5"/>
  <c r="G7396" i="5" s="1"/>
  <c r="F7397" i="5"/>
  <c r="G7397" i="5" s="1"/>
  <c r="F7398" i="5"/>
  <c r="G7398" i="5" s="1"/>
  <c r="F7399" i="5"/>
  <c r="G7399" i="5" s="1"/>
  <c r="F7400" i="5"/>
  <c r="G7400" i="5" s="1"/>
  <c r="F7401" i="5"/>
  <c r="G7401" i="5" s="1"/>
  <c r="F7402" i="5"/>
  <c r="G7402" i="5" s="1"/>
  <c r="F7403" i="5"/>
  <c r="G7403" i="5" s="1"/>
  <c r="F7404" i="5"/>
  <c r="G7404" i="5" s="1"/>
  <c r="F7405" i="5"/>
  <c r="G7405" i="5" s="1"/>
  <c r="F7406" i="5"/>
  <c r="G7406" i="5" s="1"/>
  <c r="F7407" i="5"/>
  <c r="G7407" i="5" s="1"/>
  <c r="F7408" i="5"/>
  <c r="G7408" i="5" s="1"/>
  <c r="F7409" i="5"/>
  <c r="G7409" i="5" s="1"/>
  <c r="F7410" i="5"/>
  <c r="G7410" i="5" s="1"/>
  <c r="F7411" i="5"/>
  <c r="G7411" i="5" s="1"/>
  <c r="F7412" i="5"/>
  <c r="G7412" i="5" s="1"/>
  <c r="F7413" i="5"/>
  <c r="G7413" i="5" s="1"/>
  <c r="F7414" i="5"/>
  <c r="G7414" i="5" s="1"/>
  <c r="F7415" i="5"/>
  <c r="G7415" i="5" s="1"/>
  <c r="F7416" i="5"/>
  <c r="G7416" i="5" s="1"/>
  <c r="F7417" i="5"/>
  <c r="G7417" i="5" s="1"/>
  <c r="F7418" i="5"/>
  <c r="G7418" i="5" s="1"/>
  <c r="F7419" i="5"/>
  <c r="G7419" i="5" s="1"/>
  <c r="F7420" i="5"/>
  <c r="G7420" i="5" s="1"/>
  <c r="F7421" i="5"/>
  <c r="G7421" i="5" s="1"/>
  <c r="F7422" i="5"/>
  <c r="G7422" i="5" s="1"/>
  <c r="F7423" i="5"/>
  <c r="G7423" i="5" s="1"/>
  <c r="F7424" i="5"/>
  <c r="G7424" i="5" s="1"/>
  <c r="F7425" i="5"/>
  <c r="G7425" i="5" s="1"/>
  <c r="F7426" i="5"/>
  <c r="G7426" i="5" s="1"/>
  <c r="F7427" i="5"/>
  <c r="G7427" i="5" s="1"/>
  <c r="F7428" i="5"/>
  <c r="G7428" i="5" s="1"/>
  <c r="F7429" i="5"/>
  <c r="G7429" i="5" s="1"/>
  <c r="F7430" i="5"/>
  <c r="G7430" i="5" s="1"/>
  <c r="F7431" i="5"/>
  <c r="G7431" i="5" s="1"/>
  <c r="F7432" i="5"/>
  <c r="G7432" i="5" s="1"/>
  <c r="F7433" i="5"/>
  <c r="G7433" i="5" s="1"/>
  <c r="F7434" i="5"/>
  <c r="G7434" i="5" s="1"/>
  <c r="F7435" i="5"/>
  <c r="G7435" i="5" s="1"/>
  <c r="F7436" i="5"/>
  <c r="G7436" i="5" s="1"/>
  <c r="F7437" i="5"/>
  <c r="G7437" i="5" s="1"/>
  <c r="F7438" i="5"/>
  <c r="G7438" i="5" s="1"/>
  <c r="F7439" i="5"/>
  <c r="G7439" i="5" s="1"/>
  <c r="F7440" i="5"/>
  <c r="G7440" i="5" s="1"/>
  <c r="F7441" i="5"/>
  <c r="G7441" i="5" s="1"/>
  <c r="F7442" i="5"/>
  <c r="G7442" i="5" s="1"/>
  <c r="F7443" i="5"/>
  <c r="G7443" i="5" s="1"/>
  <c r="F7444" i="5"/>
  <c r="G7444" i="5" s="1"/>
  <c r="F7445" i="5"/>
  <c r="G7445" i="5" s="1"/>
  <c r="F7446" i="5"/>
  <c r="G7446" i="5" s="1"/>
  <c r="F7447" i="5"/>
  <c r="G7447" i="5" s="1"/>
  <c r="F7448" i="5"/>
  <c r="G7448" i="5" s="1"/>
  <c r="F7449" i="5"/>
  <c r="G7449" i="5" s="1"/>
  <c r="F7450" i="5"/>
  <c r="G7450" i="5" s="1"/>
  <c r="F7451" i="5"/>
  <c r="G7451" i="5" s="1"/>
  <c r="F7452" i="5"/>
  <c r="G7452" i="5" s="1"/>
  <c r="F7453" i="5"/>
  <c r="G7453" i="5" s="1"/>
  <c r="F7454" i="5"/>
  <c r="G7454" i="5" s="1"/>
  <c r="F7455" i="5"/>
  <c r="G7455" i="5" s="1"/>
  <c r="F7456" i="5"/>
  <c r="G7456" i="5" s="1"/>
  <c r="F7457" i="5"/>
  <c r="G7457" i="5" s="1"/>
  <c r="F7458" i="5"/>
  <c r="G7458" i="5" s="1"/>
  <c r="F7459" i="5"/>
  <c r="G7459" i="5" s="1"/>
  <c r="F7460" i="5"/>
  <c r="G7460" i="5" s="1"/>
  <c r="F7461" i="5"/>
  <c r="G7461" i="5" s="1"/>
  <c r="F7462" i="5"/>
  <c r="G7462" i="5" s="1"/>
  <c r="F7463" i="5"/>
  <c r="G7463" i="5" s="1"/>
  <c r="F7464" i="5"/>
  <c r="G7464" i="5" s="1"/>
  <c r="F7465" i="5"/>
  <c r="G7465" i="5" s="1"/>
  <c r="F7466" i="5"/>
  <c r="G7466" i="5" s="1"/>
  <c r="F7467" i="5"/>
  <c r="G7467" i="5" s="1"/>
  <c r="F7468" i="5"/>
  <c r="G7468" i="5" s="1"/>
  <c r="F7469" i="5"/>
  <c r="G7469" i="5" s="1"/>
  <c r="F7470" i="5"/>
  <c r="G7470" i="5" s="1"/>
  <c r="F7471" i="5"/>
  <c r="G7471" i="5" s="1"/>
  <c r="F7472" i="5"/>
  <c r="G7472" i="5" s="1"/>
  <c r="F7473" i="5"/>
  <c r="G7473" i="5" s="1"/>
  <c r="F7474" i="5"/>
  <c r="G7474" i="5" s="1"/>
  <c r="F7475" i="5"/>
  <c r="G7475" i="5" s="1"/>
  <c r="F7476" i="5"/>
  <c r="G7476" i="5" s="1"/>
  <c r="F7477" i="5"/>
  <c r="G7477" i="5" s="1"/>
  <c r="F7478" i="5"/>
  <c r="G7478" i="5" s="1"/>
  <c r="F7479" i="5"/>
  <c r="G7479" i="5" s="1"/>
  <c r="F7480" i="5"/>
  <c r="G7480" i="5" s="1"/>
  <c r="F7481" i="5"/>
  <c r="G7481" i="5" s="1"/>
  <c r="F7482" i="5"/>
  <c r="G7482" i="5" s="1"/>
  <c r="F7483" i="5"/>
  <c r="G7483" i="5" s="1"/>
  <c r="F7484" i="5"/>
  <c r="G7484" i="5" s="1"/>
  <c r="F7485" i="5"/>
  <c r="G7485" i="5" s="1"/>
  <c r="F7486" i="5"/>
  <c r="G7486" i="5" s="1"/>
  <c r="F7487" i="5"/>
  <c r="G7487" i="5" s="1"/>
  <c r="F7488" i="5"/>
  <c r="G7488" i="5" s="1"/>
  <c r="F7489" i="5"/>
  <c r="G7489" i="5" s="1"/>
  <c r="F7490" i="5"/>
  <c r="G7490" i="5" s="1"/>
  <c r="F7491" i="5"/>
  <c r="G7491" i="5" s="1"/>
  <c r="F7492" i="5"/>
  <c r="G7492" i="5" s="1"/>
  <c r="F7493" i="5"/>
  <c r="G7493" i="5" s="1"/>
  <c r="F7494" i="5"/>
  <c r="G7494" i="5" s="1"/>
  <c r="F7495" i="5"/>
  <c r="G7495" i="5" s="1"/>
  <c r="F7496" i="5"/>
  <c r="G7496" i="5" s="1"/>
  <c r="F7497" i="5"/>
  <c r="G7497" i="5" s="1"/>
  <c r="F7498" i="5"/>
  <c r="G7498" i="5" s="1"/>
  <c r="F7499" i="5"/>
  <c r="G7499" i="5" s="1"/>
  <c r="F7500" i="5"/>
  <c r="G7500" i="5" s="1"/>
  <c r="F7501" i="5"/>
  <c r="G7501" i="5" s="1"/>
  <c r="F7502" i="5"/>
  <c r="G7502" i="5" s="1"/>
  <c r="F7503" i="5"/>
  <c r="G7503" i="5" s="1"/>
  <c r="F7504" i="5"/>
  <c r="G7504" i="5" s="1"/>
  <c r="F7505" i="5"/>
  <c r="G7505" i="5" s="1"/>
  <c r="F7506" i="5"/>
  <c r="G7506" i="5" s="1"/>
  <c r="F7507" i="5"/>
  <c r="G7507" i="5" s="1"/>
  <c r="F7508" i="5"/>
  <c r="G7508" i="5" s="1"/>
  <c r="F7509" i="5"/>
  <c r="G7509" i="5" s="1"/>
  <c r="F7510" i="5"/>
  <c r="G7510" i="5" s="1"/>
  <c r="F7511" i="5"/>
  <c r="G7511" i="5" s="1"/>
  <c r="F7512" i="5"/>
  <c r="G7512" i="5" s="1"/>
  <c r="F7513" i="5"/>
  <c r="G7513" i="5" s="1"/>
  <c r="F7514" i="5"/>
  <c r="G7514" i="5" s="1"/>
  <c r="F7515" i="5"/>
  <c r="G7515" i="5" s="1"/>
  <c r="F7516" i="5"/>
  <c r="G7516" i="5" s="1"/>
  <c r="F7517" i="5"/>
  <c r="G7517" i="5" s="1"/>
  <c r="F7518" i="5"/>
  <c r="G7518" i="5" s="1"/>
  <c r="F7519" i="5"/>
  <c r="G7519" i="5" s="1"/>
  <c r="F7520" i="5"/>
  <c r="G7520" i="5" s="1"/>
  <c r="F7521" i="5"/>
  <c r="G7521" i="5" s="1"/>
  <c r="F7522" i="5"/>
  <c r="G7522" i="5" s="1"/>
  <c r="F7523" i="5"/>
  <c r="G7523" i="5" s="1"/>
  <c r="F7524" i="5"/>
  <c r="G7524" i="5" s="1"/>
  <c r="F7525" i="5"/>
  <c r="G7525" i="5" s="1"/>
  <c r="F7526" i="5"/>
  <c r="G7526" i="5" s="1"/>
  <c r="F7527" i="5"/>
  <c r="G7527" i="5" s="1"/>
  <c r="F7528" i="5"/>
  <c r="G7528" i="5" s="1"/>
  <c r="F7529" i="5"/>
  <c r="G7529" i="5" s="1"/>
  <c r="F7530" i="5"/>
  <c r="G7530" i="5" s="1"/>
  <c r="F7531" i="5"/>
  <c r="G7531" i="5" s="1"/>
  <c r="F7532" i="5"/>
  <c r="G7532" i="5" s="1"/>
  <c r="F7533" i="5"/>
  <c r="G7533" i="5" s="1"/>
  <c r="F7534" i="5"/>
  <c r="G7534" i="5" s="1"/>
  <c r="F7535" i="5"/>
  <c r="G7535" i="5" s="1"/>
  <c r="F7536" i="5"/>
  <c r="G7536" i="5" s="1"/>
  <c r="F7537" i="5"/>
  <c r="G7537" i="5" s="1"/>
  <c r="F7538" i="5"/>
  <c r="G7538" i="5" s="1"/>
  <c r="F7539" i="5"/>
  <c r="G7539" i="5" s="1"/>
  <c r="F7540" i="5"/>
  <c r="G7540" i="5" s="1"/>
  <c r="F7541" i="5"/>
  <c r="G7541" i="5" s="1"/>
  <c r="F7542" i="5"/>
  <c r="G7542" i="5" s="1"/>
  <c r="F7543" i="5"/>
  <c r="G7543" i="5" s="1"/>
  <c r="F7544" i="5"/>
  <c r="G7544" i="5" s="1"/>
  <c r="F7545" i="5"/>
  <c r="G7545" i="5" s="1"/>
  <c r="F7546" i="5"/>
  <c r="G7546" i="5" s="1"/>
  <c r="F7547" i="5"/>
  <c r="G7547" i="5" s="1"/>
  <c r="F7548" i="5"/>
  <c r="G7548" i="5" s="1"/>
  <c r="F7549" i="5"/>
  <c r="G7549" i="5" s="1"/>
  <c r="F7550" i="5"/>
  <c r="G7550" i="5" s="1"/>
  <c r="F7551" i="5"/>
  <c r="G7551" i="5" s="1"/>
  <c r="F7552" i="5"/>
  <c r="G7552" i="5" s="1"/>
  <c r="F7553" i="5"/>
  <c r="G7553" i="5" s="1"/>
  <c r="F7554" i="5"/>
  <c r="G7554" i="5" s="1"/>
  <c r="F7555" i="5"/>
  <c r="G7555" i="5" s="1"/>
  <c r="F7556" i="5"/>
  <c r="G7556" i="5" s="1"/>
  <c r="F7557" i="5"/>
  <c r="G7557" i="5" s="1"/>
  <c r="F7558" i="5"/>
  <c r="G7558" i="5" s="1"/>
  <c r="F7559" i="5"/>
  <c r="G7559" i="5" s="1"/>
  <c r="F7560" i="5"/>
  <c r="G7560" i="5" s="1"/>
  <c r="F7561" i="5"/>
  <c r="G7561" i="5" s="1"/>
  <c r="F7562" i="5"/>
  <c r="G7562" i="5" s="1"/>
  <c r="F7563" i="5"/>
  <c r="G7563" i="5" s="1"/>
  <c r="F7564" i="5"/>
  <c r="G7564" i="5" s="1"/>
  <c r="F7565" i="5"/>
  <c r="G7565" i="5" s="1"/>
  <c r="F7566" i="5"/>
  <c r="G7566" i="5" s="1"/>
  <c r="F7567" i="5"/>
  <c r="G7567" i="5" s="1"/>
  <c r="F7568" i="5"/>
  <c r="G7568" i="5" s="1"/>
  <c r="F7569" i="5"/>
  <c r="G7569" i="5" s="1"/>
  <c r="F7570" i="5"/>
  <c r="G7570" i="5" s="1"/>
  <c r="F7571" i="5"/>
  <c r="G7571" i="5" s="1"/>
  <c r="F7572" i="5"/>
  <c r="G7572" i="5" s="1"/>
  <c r="F7573" i="5"/>
  <c r="G7573" i="5" s="1"/>
  <c r="F7574" i="5"/>
  <c r="G7574" i="5" s="1"/>
  <c r="F7575" i="5"/>
  <c r="G7575" i="5" s="1"/>
  <c r="F7576" i="5"/>
  <c r="G7576" i="5" s="1"/>
  <c r="F7577" i="5"/>
  <c r="G7577" i="5" s="1"/>
  <c r="F7578" i="5"/>
  <c r="G7578" i="5" s="1"/>
  <c r="F7579" i="5"/>
  <c r="G7579" i="5" s="1"/>
  <c r="F7580" i="5"/>
  <c r="G7580" i="5" s="1"/>
  <c r="F7581" i="5"/>
  <c r="G7581" i="5" s="1"/>
  <c r="F7582" i="5"/>
  <c r="G7582" i="5" s="1"/>
  <c r="F7583" i="5"/>
  <c r="G7583" i="5" s="1"/>
  <c r="F7584" i="5"/>
  <c r="G7584" i="5" s="1"/>
  <c r="F7585" i="5"/>
  <c r="G7585" i="5" s="1"/>
  <c r="F7586" i="5"/>
  <c r="G7586" i="5" s="1"/>
  <c r="F7587" i="5"/>
  <c r="G7587" i="5" s="1"/>
  <c r="F7588" i="5"/>
  <c r="G7588" i="5" s="1"/>
  <c r="F7589" i="5"/>
  <c r="G7589" i="5" s="1"/>
  <c r="F7590" i="5"/>
  <c r="G7590" i="5" s="1"/>
  <c r="F7591" i="5"/>
  <c r="G7591" i="5" s="1"/>
  <c r="F7592" i="5"/>
  <c r="G7592" i="5" s="1"/>
  <c r="F7593" i="5"/>
  <c r="G7593" i="5" s="1"/>
  <c r="F7594" i="5"/>
  <c r="G7594" i="5" s="1"/>
  <c r="F7595" i="5"/>
  <c r="G7595" i="5" s="1"/>
  <c r="F7596" i="5"/>
  <c r="G7596" i="5" s="1"/>
  <c r="F7597" i="5"/>
  <c r="G7597" i="5" s="1"/>
  <c r="F7598" i="5"/>
  <c r="G7598" i="5" s="1"/>
  <c r="F7599" i="5"/>
  <c r="G7599" i="5" s="1"/>
  <c r="F7600" i="5"/>
  <c r="G7600" i="5" s="1"/>
  <c r="F7601" i="5"/>
  <c r="G7601" i="5" s="1"/>
  <c r="F7602" i="5"/>
  <c r="G7602" i="5" s="1"/>
  <c r="F7603" i="5"/>
  <c r="G7603" i="5" s="1"/>
  <c r="F7604" i="5"/>
  <c r="G7604" i="5" s="1"/>
  <c r="F7605" i="5"/>
  <c r="G7605" i="5" s="1"/>
  <c r="F7606" i="5"/>
  <c r="G7606" i="5" s="1"/>
  <c r="F7607" i="5"/>
  <c r="G7607" i="5" s="1"/>
  <c r="F7608" i="5"/>
  <c r="G7608" i="5" s="1"/>
  <c r="F7609" i="5"/>
  <c r="G7609" i="5" s="1"/>
  <c r="F7610" i="5"/>
  <c r="G7610" i="5" s="1"/>
  <c r="F7611" i="5"/>
  <c r="G7611" i="5" s="1"/>
  <c r="F7612" i="5"/>
  <c r="G7612" i="5" s="1"/>
  <c r="F7613" i="5"/>
  <c r="G7613" i="5" s="1"/>
  <c r="F7614" i="5"/>
  <c r="G7614" i="5" s="1"/>
  <c r="F7615" i="5"/>
  <c r="G7615" i="5" s="1"/>
  <c r="F7616" i="5"/>
  <c r="G7616" i="5" s="1"/>
  <c r="F7617" i="5"/>
  <c r="G7617" i="5" s="1"/>
  <c r="F7618" i="5"/>
  <c r="G7618" i="5" s="1"/>
  <c r="F7619" i="5"/>
  <c r="G7619" i="5" s="1"/>
  <c r="F7620" i="5"/>
  <c r="G7620" i="5" s="1"/>
  <c r="F7621" i="5"/>
  <c r="G7621" i="5" s="1"/>
  <c r="F7622" i="5"/>
  <c r="G7622" i="5" s="1"/>
  <c r="F7623" i="5"/>
  <c r="G7623" i="5" s="1"/>
  <c r="F7624" i="5"/>
  <c r="G7624" i="5" s="1"/>
  <c r="F7625" i="5"/>
  <c r="G7625" i="5" s="1"/>
  <c r="F7626" i="5"/>
  <c r="G7626" i="5" s="1"/>
  <c r="F7627" i="5"/>
  <c r="G7627" i="5" s="1"/>
  <c r="F7628" i="5"/>
  <c r="G7628" i="5" s="1"/>
  <c r="F7629" i="5"/>
  <c r="G7629" i="5" s="1"/>
  <c r="F7630" i="5"/>
  <c r="G7630" i="5" s="1"/>
  <c r="F7631" i="5"/>
  <c r="G7631" i="5" s="1"/>
  <c r="F7632" i="5"/>
  <c r="G7632" i="5" s="1"/>
  <c r="F7633" i="5"/>
  <c r="G7633" i="5" s="1"/>
  <c r="F7634" i="5"/>
  <c r="G7634" i="5" s="1"/>
  <c r="F7635" i="5"/>
  <c r="G7635" i="5" s="1"/>
  <c r="F7636" i="5"/>
  <c r="G7636" i="5" s="1"/>
  <c r="F7637" i="5"/>
  <c r="G7637" i="5" s="1"/>
  <c r="F7638" i="5"/>
  <c r="G7638" i="5" s="1"/>
  <c r="F7639" i="5"/>
  <c r="G7639" i="5" s="1"/>
  <c r="F7640" i="5"/>
  <c r="G7640" i="5" s="1"/>
  <c r="F7641" i="5"/>
  <c r="G7641" i="5" s="1"/>
  <c r="F7642" i="5"/>
  <c r="G7642" i="5" s="1"/>
  <c r="F7643" i="5"/>
  <c r="G7643" i="5" s="1"/>
  <c r="F7644" i="5"/>
  <c r="G7644" i="5" s="1"/>
  <c r="F7645" i="5"/>
  <c r="G7645" i="5" s="1"/>
  <c r="F7646" i="5"/>
  <c r="G7646" i="5" s="1"/>
  <c r="F7647" i="5"/>
  <c r="G7647" i="5" s="1"/>
  <c r="F7648" i="5"/>
  <c r="G7648" i="5" s="1"/>
  <c r="F7649" i="5"/>
  <c r="G7649" i="5" s="1"/>
  <c r="F7650" i="5"/>
  <c r="G7650" i="5" s="1"/>
  <c r="F7651" i="5"/>
  <c r="G7651" i="5" s="1"/>
  <c r="F7652" i="5"/>
  <c r="G7652" i="5" s="1"/>
  <c r="F7653" i="5"/>
  <c r="G7653" i="5" s="1"/>
  <c r="F7654" i="5"/>
  <c r="G7654" i="5" s="1"/>
  <c r="F7655" i="5"/>
  <c r="G7655" i="5" s="1"/>
  <c r="F7656" i="5"/>
  <c r="G7656" i="5" s="1"/>
  <c r="F7657" i="5"/>
  <c r="G7657" i="5" s="1"/>
  <c r="F7658" i="5"/>
  <c r="G7658" i="5" s="1"/>
  <c r="F7659" i="5"/>
  <c r="G7659" i="5" s="1"/>
  <c r="F7660" i="5"/>
  <c r="G7660" i="5" s="1"/>
  <c r="F7661" i="5"/>
  <c r="G7661" i="5" s="1"/>
  <c r="F7662" i="5"/>
  <c r="G7662" i="5" s="1"/>
  <c r="F7663" i="5"/>
  <c r="G7663" i="5" s="1"/>
  <c r="F7664" i="5"/>
  <c r="G7664" i="5" s="1"/>
  <c r="F7665" i="5"/>
  <c r="G7665" i="5" s="1"/>
  <c r="F7666" i="5"/>
  <c r="G7666" i="5" s="1"/>
  <c r="F7667" i="5"/>
  <c r="G7667" i="5" s="1"/>
  <c r="F7668" i="5"/>
  <c r="G7668" i="5" s="1"/>
  <c r="F7669" i="5"/>
  <c r="G7669" i="5" s="1"/>
  <c r="F7670" i="5"/>
  <c r="G7670" i="5" s="1"/>
  <c r="F7671" i="5"/>
  <c r="G7671" i="5" s="1"/>
  <c r="F7672" i="5"/>
  <c r="G7672" i="5" s="1"/>
  <c r="F7673" i="5"/>
  <c r="G7673" i="5" s="1"/>
  <c r="F7674" i="5"/>
  <c r="G7674" i="5" s="1"/>
  <c r="F7675" i="5"/>
  <c r="G7675" i="5" s="1"/>
  <c r="F7676" i="5"/>
  <c r="G7676" i="5" s="1"/>
  <c r="F7677" i="5"/>
  <c r="G7677" i="5" s="1"/>
  <c r="F7678" i="5"/>
  <c r="G7678" i="5" s="1"/>
  <c r="F7679" i="5"/>
  <c r="G7679" i="5" s="1"/>
  <c r="F7680" i="5"/>
  <c r="G7680" i="5" s="1"/>
  <c r="F7681" i="5"/>
  <c r="G7681" i="5" s="1"/>
  <c r="F7682" i="5"/>
  <c r="G7682" i="5" s="1"/>
  <c r="F7683" i="5"/>
  <c r="G7683" i="5" s="1"/>
  <c r="F7684" i="5"/>
  <c r="G7684" i="5" s="1"/>
  <c r="F7685" i="5"/>
  <c r="G7685" i="5" s="1"/>
  <c r="F7686" i="5"/>
  <c r="G7686" i="5" s="1"/>
  <c r="F7687" i="5"/>
  <c r="G7687" i="5" s="1"/>
  <c r="F7688" i="5"/>
  <c r="G7688" i="5" s="1"/>
  <c r="F7689" i="5"/>
  <c r="G7689" i="5" s="1"/>
  <c r="F7690" i="5"/>
  <c r="G7690" i="5" s="1"/>
  <c r="F7691" i="5"/>
  <c r="G7691" i="5" s="1"/>
  <c r="F7692" i="5"/>
  <c r="G7692" i="5" s="1"/>
  <c r="F7693" i="5"/>
  <c r="G7693" i="5" s="1"/>
  <c r="F7694" i="5"/>
  <c r="G7694" i="5" s="1"/>
  <c r="F7695" i="5"/>
  <c r="G7695" i="5" s="1"/>
  <c r="F7696" i="5"/>
  <c r="G7696" i="5" s="1"/>
  <c r="F7697" i="5"/>
  <c r="G7697" i="5" s="1"/>
  <c r="F7698" i="5"/>
  <c r="G7698" i="5" s="1"/>
  <c r="F7699" i="5"/>
  <c r="G7699" i="5" s="1"/>
  <c r="F7700" i="5"/>
  <c r="G7700" i="5" s="1"/>
  <c r="F7701" i="5"/>
  <c r="G7701" i="5" s="1"/>
  <c r="F7702" i="5"/>
  <c r="G7702" i="5" s="1"/>
  <c r="F7703" i="5"/>
  <c r="G7703" i="5" s="1"/>
  <c r="F7704" i="5"/>
  <c r="G7704" i="5" s="1"/>
  <c r="F7705" i="5"/>
  <c r="G7705" i="5" s="1"/>
  <c r="F7706" i="5"/>
  <c r="G7706" i="5" s="1"/>
  <c r="F7707" i="5"/>
  <c r="G7707" i="5" s="1"/>
  <c r="F7708" i="5"/>
  <c r="G7708" i="5" s="1"/>
  <c r="F7709" i="5"/>
  <c r="G7709" i="5" s="1"/>
  <c r="F7710" i="5"/>
  <c r="G7710" i="5" s="1"/>
  <c r="F7711" i="5"/>
  <c r="G7711" i="5" s="1"/>
  <c r="F7712" i="5"/>
  <c r="G7712" i="5" s="1"/>
  <c r="F7713" i="5"/>
  <c r="G7713" i="5" s="1"/>
  <c r="F7714" i="5"/>
  <c r="G7714" i="5" s="1"/>
  <c r="F7715" i="5"/>
  <c r="G7715" i="5" s="1"/>
  <c r="F7716" i="5"/>
  <c r="G7716" i="5" s="1"/>
  <c r="F7717" i="5"/>
  <c r="G7717" i="5" s="1"/>
  <c r="F7718" i="5"/>
  <c r="G7718" i="5" s="1"/>
  <c r="F7719" i="5"/>
  <c r="G7719" i="5" s="1"/>
  <c r="F7720" i="5"/>
  <c r="G7720" i="5" s="1"/>
  <c r="F7721" i="5"/>
  <c r="G7721" i="5" s="1"/>
  <c r="F7722" i="5"/>
  <c r="G7722" i="5" s="1"/>
  <c r="F7723" i="5"/>
  <c r="G7723" i="5" s="1"/>
  <c r="F7724" i="5"/>
  <c r="G7724" i="5" s="1"/>
  <c r="F7725" i="5"/>
  <c r="G7725" i="5" s="1"/>
  <c r="F7726" i="5"/>
  <c r="G7726" i="5" s="1"/>
  <c r="F7727" i="5"/>
  <c r="G7727" i="5" s="1"/>
  <c r="F7728" i="5"/>
  <c r="G7728" i="5" s="1"/>
  <c r="F7729" i="5"/>
  <c r="G7729" i="5" s="1"/>
  <c r="F7730" i="5"/>
  <c r="G7730" i="5" s="1"/>
  <c r="F7731" i="5"/>
  <c r="G7731" i="5" s="1"/>
  <c r="F7732" i="5"/>
  <c r="G7732" i="5" s="1"/>
  <c r="F7733" i="5"/>
  <c r="G7733" i="5" s="1"/>
  <c r="F7734" i="5"/>
  <c r="G7734" i="5" s="1"/>
  <c r="F7735" i="5"/>
  <c r="G7735" i="5" s="1"/>
  <c r="F7736" i="5"/>
  <c r="G7736" i="5" s="1"/>
  <c r="F7737" i="5"/>
  <c r="G7737" i="5" s="1"/>
  <c r="F7738" i="5"/>
  <c r="G7738" i="5" s="1"/>
  <c r="F7739" i="5"/>
  <c r="G7739" i="5" s="1"/>
  <c r="F7740" i="5"/>
  <c r="G7740" i="5" s="1"/>
  <c r="F7741" i="5"/>
  <c r="G7741" i="5" s="1"/>
  <c r="F7742" i="5"/>
  <c r="G7742" i="5" s="1"/>
  <c r="F7743" i="5"/>
  <c r="G7743" i="5" s="1"/>
  <c r="F7744" i="5"/>
  <c r="G7744" i="5" s="1"/>
  <c r="F7745" i="5"/>
  <c r="G7745" i="5" s="1"/>
  <c r="F7746" i="5"/>
  <c r="G7746" i="5" s="1"/>
  <c r="F7747" i="5"/>
  <c r="G7747" i="5" s="1"/>
  <c r="F7748" i="5"/>
  <c r="G7748" i="5" s="1"/>
  <c r="F7749" i="5"/>
  <c r="G7749" i="5" s="1"/>
  <c r="F7750" i="5"/>
  <c r="G7750" i="5" s="1"/>
  <c r="F7751" i="5"/>
  <c r="G7751" i="5" s="1"/>
  <c r="F7752" i="5"/>
  <c r="G7752" i="5" s="1"/>
  <c r="F7753" i="5"/>
  <c r="G7753" i="5" s="1"/>
  <c r="F7754" i="5"/>
  <c r="G7754" i="5" s="1"/>
  <c r="F7755" i="5"/>
  <c r="G7755" i="5" s="1"/>
  <c r="F7756" i="5"/>
  <c r="G7756" i="5" s="1"/>
  <c r="F7757" i="5"/>
  <c r="G7757" i="5" s="1"/>
  <c r="F7758" i="5"/>
  <c r="G7758" i="5" s="1"/>
  <c r="F7759" i="5"/>
  <c r="G7759" i="5" s="1"/>
  <c r="F7760" i="5"/>
  <c r="G7760" i="5" s="1"/>
  <c r="F7761" i="5"/>
  <c r="G7761" i="5" s="1"/>
  <c r="F7762" i="5"/>
  <c r="G7762" i="5" s="1"/>
  <c r="F7763" i="5"/>
  <c r="G7763" i="5" s="1"/>
  <c r="F7764" i="5"/>
  <c r="G7764" i="5" s="1"/>
  <c r="F7765" i="5"/>
  <c r="G7765" i="5" s="1"/>
  <c r="F7766" i="5"/>
  <c r="G7766" i="5" s="1"/>
  <c r="F7767" i="5"/>
  <c r="G7767" i="5" s="1"/>
  <c r="F7768" i="5"/>
  <c r="G7768" i="5" s="1"/>
  <c r="F7769" i="5"/>
  <c r="G7769" i="5" s="1"/>
  <c r="F7770" i="5"/>
  <c r="G7770" i="5" s="1"/>
  <c r="F7771" i="5"/>
  <c r="G7771" i="5" s="1"/>
  <c r="F7772" i="5"/>
  <c r="G7772" i="5" s="1"/>
  <c r="F7773" i="5"/>
  <c r="G7773" i="5" s="1"/>
  <c r="F7774" i="5"/>
  <c r="G7774" i="5" s="1"/>
  <c r="F7775" i="5"/>
  <c r="G7775" i="5" s="1"/>
  <c r="F7776" i="5"/>
  <c r="G7776" i="5" s="1"/>
  <c r="F7777" i="5"/>
  <c r="G7777" i="5" s="1"/>
  <c r="F7778" i="5"/>
  <c r="G7778" i="5" s="1"/>
  <c r="F7779" i="5"/>
  <c r="G7779" i="5" s="1"/>
  <c r="F7780" i="5"/>
  <c r="G7780" i="5" s="1"/>
  <c r="F7781" i="5"/>
  <c r="G7781" i="5" s="1"/>
  <c r="F7782" i="5"/>
  <c r="G7782" i="5" s="1"/>
  <c r="F7783" i="5"/>
  <c r="G7783" i="5" s="1"/>
  <c r="F7784" i="5"/>
  <c r="G7784" i="5" s="1"/>
  <c r="F7785" i="5"/>
  <c r="G7785" i="5" s="1"/>
  <c r="F7786" i="5"/>
  <c r="G7786" i="5" s="1"/>
  <c r="F7787" i="5"/>
  <c r="G7787" i="5" s="1"/>
  <c r="F7788" i="5"/>
  <c r="G7788" i="5" s="1"/>
  <c r="F7789" i="5"/>
  <c r="G7789" i="5" s="1"/>
  <c r="F7790" i="5"/>
  <c r="G7790" i="5" s="1"/>
  <c r="F7791" i="5"/>
  <c r="G7791" i="5" s="1"/>
  <c r="F7792" i="5"/>
  <c r="G7792" i="5" s="1"/>
  <c r="F7793" i="5"/>
  <c r="G7793" i="5" s="1"/>
  <c r="F7794" i="5"/>
  <c r="G7794" i="5" s="1"/>
  <c r="F7795" i="5"/>
  <c r="G7795" i="5" s="1"/>
  <c r="F7796" i="5"/>
  <c r="G7796" i="5" s="1"/>
  <c r="F7797" i="5"/>
  <c r="G7797" i="5" s="1"/>
  <c r="F7798" i="5"/>
  <c r="G7798" i="5" s="1"/>
  <c r="F7799" i="5"/>
  <c r="G7799" i="5" s="1"/>
  <c r="F7800" i="5"/>
  <c r="G7800" i="5" s="1"/>
  <c r="F7801" i="5"/>
  <c r="G7801" i="5" s="1"/>
  <c r="F7802" i="5"/>
  <c r="G7802" i="5" s="1"/>
  <c r="F7803" i="5"/>
  <c r="G7803" i="5" s="1"/>
  <c r="F7804" i="5"/>
  <c r="G7804" i="5" s="1"/>
  <c r="F7805" i="5"/>
  <c r="G7805" i="5" s="1"/>
  <c r="F7806" i="5"/>
  <c r="G7806" i="5" s="1"/>
  <c r="F7807" i="5"/>
  <c r="G7807" i="5" s="1"/>
  <c r="F7808" i="5"/>
  <c r="G7808" i="5" s="1"/>
  <c r="F7809" i="5"/>
  <c r="G7809" i="5" s="1"/>
  <c r="F7810" i="5"/>
  <c r="G7810" i="5" s="1"/>
  <c r="F7811" i="5"/>
  <c r="G7811" i="5" s="1"/>
  <c r="F7812" i="5"/>
  <c r="G7812" i="5" s="1"/>
  <c r="F7813" i="5"/>
  <c r="G7813" i="5" s="1"/>
  <c r="F7814" i="5"/>
  <c r="G7814" i="5" s="1"/>
  <c r="F7815" i="5"/>
  <c r="G7815" i="5" s="1"/>
  <c r="F7816" i="5"/>
  <c r="G7816" i="5" s="1"/>
  <c r="F7817" i="5"/>
  <c r="G7817" i="5" s="1"/>
  <c r="F7818" i="5"/>
  <c r="G7818" i="5" s="1"/>
  <c r="F7819" i="5"/>
  <c r="G7819" i="5" s="1"/>
  <c r="F7820" i="5"/>
  <c r="G7820" i="5" s="1"/>
  <c r="F7821" i="5"/>
  <c r="G7821" i="5" s="1"/>
  <c r="F7822" i="5"/>
  <c r="G7822" i="5" s="1"/>
  <c r="F7823" i="5"/>
  <c r="G7823" i="5" s="1"/>
  <c r="F7824" i="5"/>
  <c r="G7824" i="5" s="1"/>
  <c r="F7825" i="5"/>
  <c r="G7825" i="5" s="1"/>
  <c r="F7826" i="5"/>
  <c r="G7826" i="5" s="1"/>
  <c r="F7827" i="5"/>
  <c r="G7827" i="5" s="1"/>
  <c r="F7828" i="5"/>
  <c r="G7828" i="5" s="1"/>
  <c r="F7829" i="5"/>
  <c r="G7829" i="5" s="1"/>
  <c r="F7830" i="5"/>
  <c r="G7830" i="5" s="1"/>
  <c r="F7831" i="5"/>
  <c r="G7831" i="5" s="1"/>
  <c r="F7832" i="5"/>
  <c r="G7832" i="5" s="1"/>
  <c r="F7833" i="5"/>
  <c r="G7833" i="5" s="1"/>
  <c r="F7834" i="5"/>
  <c r="G7834" i="5" s="1"/>
  <c r="F7835" i="5"/>
  <c r="G7835" i="5" s="1"/>
  <c r="F7836" i="5"/>
  <c r="G7836" i="5" s="1"/>
  <c r="F7837" i="5"/>
  <c r="G7837" i="5" s="1"/>
  <c r="F7838" i="5"/>
  <c r="G7838" i="5" s="1"/>
  <c r="F7839" i="5"/>
  <c r="G7839" i="5" s="1"/>
  <c r="F7840" i="5"/>
  <c r="G7840" i="5" s="1"/>
  <c r="F7841" i="5"/>
  <c r="G7841" i="5" s="1"/>
  <c r="F7842" i="5"/>
  <c r="G7842" i="5" s="1"/>
  <c r="F7843" i="5"/>
  <c r="G7843" i="5" s="1"/>
  <c r="F7844" i="5"/>
  <c r="G7844" i="5" s="1"/>
  <c r="F7845" i="5"/>
  <c r="G7845" i="5" s="1"/>
  <c r="F7846" i="5"/>
  <c r="G7846" i="5" s="1"/>
  <c r="F7847" i="5"/>
  <c r="G7847" i="5" s="1"/>
  <c r="F7848" i="5"/>
  <c r="G7848" i="5" s="1"/>
  <c r="F7849" i="5"/>
  <c r="G7849" i="5" s="1"/>
  <c r="F7850" i="5"/>
  <c r="G7850" i="5" s="1"/>
  <c r="F7851" i="5"/>
  <c r="G7851" i="5" s="1"/>
  <c r="F7852" i="5"/>
  <c r="G7852" i="5" s="1"/>
  <c r="F7853" i="5"/>
  <c r="G7853" i="5" s="1"/>
  <c r="F7854" i="5"/>
  <c r="G7854" i="5" s="1"/>
  <c r="F7855" i="5"/>
  <c r="G7855" i="5" s="1"/>
  <c r="F7856" i="5"/>
  <c r="G7856" i="5" s="1"/>
  <c r="F7857" i="5"/>
  <c r="G7857" i="5" s="1"/>
  <c r="F7858" i="5"/>
  <c r="G7858" i="5" s="1"/>
  <c r="J3" i="1" l="1"/>
  <c r="K3" i="1"/>
  <c r="J4" i="1"/>
  <c r="K4" i="1"/>
  <c r="J5" i="1"/>
  <c r="K5" i="1"/>
  <c r="J6" i="1"/>
  <c r="K6" i="1"/>
  <c r="J7" i="1"/>
  <c r="K7" i="1"/>
  <c r="J8" i="1"/>
  <c r="K8" i="1"/>
  <c r="J9" i="1"/>
  <c r="K9" i="1"/>
  <c r="I10" i="1"/>
  <c r="J10" i="1"/>
  <c r="K10" i="1"/>
  <c r="J11" i="1"/>
  <c r="K11" i="1"/>
  <c r="J12" i="1"/>
  <c r="K12" i="1"/>
  <c r="J13" i="1"/>
  <c r="K13" i="1"/>
  <c r="J14" i="1"/>
  <c r="K14" i="1"/>
  <c r="I15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I23" i="1"/>
  <c r="J23" i="1"/>
  <c r="K23" i="1"/>
  <c r="J24" i="1"/>
  <c r="K24" i="1"/>
  <c r="I25" i="1"/>
  <c r="J25" i="1"/>
  <c r="K25" i="1"/>
  <c r="J26" i="1"/>
  <c r="K26" i="1"/>
  <c r="I27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I35" i="1"/>
  <c r="J35" i="1"/>
  <c r="K35" i="1"/>
  <c r="J36" i="1"/>
  <c r="K36" i="1"/>
  <c r="J37" i="1"/>
  <c r="K37" i="1"/>
  <c r="J38" i="1"/>
  <c r="K38" i="1"/>
  <c r="I39" i="1"/>
  <c r="J39" i="1"/>
  <c r="K39" i="1"/>
  <c r="I40" i="1"/>
  <c r="J40" i="1"/>
  <c r="K40" i="1"/>
  <c r="J41" i="1"/>
  <c r="K41" i="1"/>
  <c r="J42" i="1"/>
  <c r="K42" i="1"/>
  <c r="I43" i="1"/>
  <c r="J43" i="1"/>
  <c r="K43" i="1"/>
  <c r="J44" i="1"/>
  <c r="K44" i="1"/>
  <c r="J45" i="1"/>
  <c r="K45" i="1"/>
  <c r="J46" i="1"/>
  <c r="K46" i="1"/>
  <c r="J47" i="1"/>
  <c r="K47" i="1"/>
  <c r="I48" i="1"/>
  <c r="J48" i="1"/>
  <c r="K48" i="1"/>
  <c r="I49" i="1"/>
  <c r="J49" i="1"/>
  <c r="K49" i="1"/>
  <c r="I50" i="1"/>
  <c r="J50" i="1"/>
  <c r="K50" i="1"/>
  <c r="J51" i="1"/>
  <c r="K51" i="1"/>
  <c r="I52" i="1"/>
  <c r="J52" i="1"/>
  <c r="K52" i="1"/>
  <c r="I53" i="1"/>
  <c r="J53" i="1"/>
  <c r="K53" i="1"/>
  <c r="I54" i="1"/>
  <c r="J54" i="1"/>
  <c r="K54" i="1"/>
  <c r="J55" i="1"/>
  <c r="K55" i="1"/>
  <c r="I56" i="1"/>
  <c r="J56" i="1"/>
  <c r="K56" i="1"/>
  <c r="J57" i="1"/>
  <c r="K57" i="1"/>
  <c r="J58" i="1"/>
  <c r="K58" i="1"/>
  <c r="I59" i="1"/>
  <c r="J59" i="1"/>
  <c r="K59" i="1"/>
  <c r="J60" i="1"/>
  <c r="K60" i="1"/>
  <c r="J61" i="1"/>
  <c r="K61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J68" i="1"/>
  <c r="K68" i="1"/>
  <c r="K2" i="1"/>
  <c r="J2" i="1"/>
  <c r="F6975" i="5"/>
  <c r="G6975" i="5" s="1"/>
  <c r="F6976" i="5"/>
  <c r="G6976" i="5" s="1"/>
  <c r="F6977" i="5"/>
  <c r="G6977" i="5" s="1"/>
  <c r="F6978" i="5"/>
  <c r="G6978" i="5" s="1"/>
  <c r="F6979" i="5"/>
  <c r="G6979" i="5" s="1"/>
  <c r="F6980" i="5"/>
  <c r="G6980" i="5" s="1"/>
  <c r="F6981" i="5"/>
  <c r="G6981" i="5" s="1"/>
  <c r="F6982" i="5"/>
  <c r="G6982" i="5" s="1"/>
  <c r="F6983" i="5"/>
  <c r="G6983" i="5" s="1"/>
  <c r="F6984" i="5"/>
  <c r="G6984" i="5" s="1"/>
  <c r="F6985" i="5"/>
  <c r="G6985" i="5" s="1"/>
  <c r="F6986" i="5"/>
  <c r="G6986" i="5" s="1"/>
  <c r="F6987" i="5"/>
  <c r="G6987" i="5" s="1"/>
  <c r="F6988" i="5"/>
  <c r="G6988" i="5" s="1"/>
  <c r="F6989" i="5"/>
  <c r="G6989" i="5" s="1"/>
  <c r="F6990" i="5"/>
  <c r="G6990" i="5" s="1"/>
  <c r="F6991" i="5"/>
  <c r="G6991" i="5" s="1"/>
  <c r="F6992" i="5"/>
  <c r="G6992" i="5" s="1"/>
  <c r="F6993" i="5"/>
  <c r="G6993" i="5" s="1"/>
  <c r="F6994" i="5"/>
  <c r="G6994" i="5" s="1"/>
  <c r="F6995" i="5"/>
  <c r="G6995" i="5" s="1"/>
  <c r="F6996" i="5"/>
  <c r="G6996" i="5" s="1"/>
  <c r="F6997" i="5"/>
  <c r="G6997" i="5" s="1"/>
  <c r="F6998" i="5"/>
  <c r="G6998" i="5" s="1"/>
  <c r="F6999" i="5"/>
  <c r="G6999" i="5" s="1"/>
  <c r="F7000" i="5"/>
  <c r="G7000" i="5" s="1"/>
  <c r="F7001" i="5"/>
  <c r="G7001" i="5" s="1"/>
  <c r="F7002" i="5"/>
  <c r="G7002" i="5" s="1"/>
  <c r="F7003" i="5"/>
  <c r="G7003" i="5" s="1"/>
  <c r="F7004" i="5"/>
  <c r="G7004" i="5" s="1"/>
  <c r="F7005" i="5"/>
  <c r="G7005" i="5" s="1"/>
  <c r="F7006" i="5"/>
  <c r="G7006" i="5" s="1"/>
  <c r="F7007" i="5"/>
  <c r="G7007" i="5" s="1"/>
  <c r="F7008" i="5"/>
  <c r="G7008" i="5" s="1"/>
  <c r="F7009" i="5"/>
  <c r="G7009" i="5" s="1"/>
  <c r="F7010" i="5"/>
  <c r="G7010" i="5" s="1"/>
  <c r="F7011" i="5"/>
  <c r="G7011" i="5" s="1"/>
  <c r="F7012" i="5"/>
  <c r="G7012" i="5" s="1"/>
  <c r="F7013" i="5"/>
  <c r="G7013" i="5" s="1"/>
  <c r="F7014" i="5"/>
  <c r="G7014" i="5" s="1"/>
  <c r="F7015" i="5"/>
  <c r="G7015" i="5" s="1"/>
  <c r="F7016" i="5"/>
  <c r="G7016" i="5" s="1"/>
  <c r="F7017" i="5"/>
  <c r="G7017" i="5" s="1"/>
  <c r="F7018" i="5"/>
  <c r="G7018" i="5" s="1"/>
  <c r="F7019" i="5"/>
  <c r="G7019" i="5" s="1"/>
  <c r="F7020" i="5"/>
  <c r="G7020" i="5" s="1"/>
  <c r="F7021" i="5"/>
  <c r="G7021" i="5" s="1"/>
  <c r="F7022" i="5"/>
  <c r="G7022" i="5" s="1"/>
  <c r="F7023" i="5"/>
  <c r="G7023" i="5" s="1"/>
  <c r="F7024" i="5"/>
  <c r="G7024" i="5" s="1"/>
  <c r="F7025" i="5"/>
  <c r="G7025" i="5" s="1"/>
  <c r="F7026" i="5"/>
  <c r="G7026" i="5" s="1"/>
  <c r="F7027" i="5"/>
  <c r="G7027" i="5" s="1"/>
  <c r="F7028" i="5"/>
  <c r="G7028" i="5" s="1"/>
  <c r="F7029" i="5"/>
  <c r="G7029" i="5" s="1"/>
  <c r="F7030" i="5"/>
  <c r="G7030" i="5" s="1"/>
  <c r="F7031" i="5"/>
  <c r="G7031" i="5" s="1"/>
  <c r="F7032" i="5"/>
  <c r="G7032" i="5" s="1"/>
  <c r="F7033" i="5"/>
  <c r="G7033" i="5" s="1"/>
  <c r="F7034" i="5"/>
  <c r="G7034" i="5" s="1"/>
  <c r="F7035" i="5"/>
  <c r="G7035" i="5" s="1"/>
  <c r="F7036" i="5"/>
  <c r="G7036" i="5" s="1"/>
  <c r="F7037" i="5"/>
  <c r="G7037" i="5" s="1"/>
  <c r="F7038" i="5"/>
  <c r="G7038" i="5" s="1"/>
  <c r="F7039" i="5"/>
  <c r="G7039" i="5" s="1"/>
  <c r="F7040" i="5"/>
  <c r="G7040" i="5" s="1"/>
  <c r="B68" i="2" l="1"/>
  <c r="F4294" i="5" l="1"/>
  <c r="G4294" i="5" s="1"/>
  <c r="F4295" i="5"/>
  <c r="G4295" i="5" s="1"/>
  <c r="F4296" i="5"/>
  <c r="G4296" i="5" s="1"/>
  <c r="F4297" i="5"/>
  <c r="G4297" i="5" s="1"/>
  <c r="F4298" i="5"/>
  <c r="G4298" i="5" s="1"/>
  <c r="F4299" i="5"/>
  <c r="G4299" i="5" s="1"/>
  <c r="F4300" i="5"/>
  <c r="G4300" i="5" s="1"/>
  <c r="F4301" i="5"/>
  <c r="G4301" i="5" s="1"/>
  <c r="F4302" i="5"/>
  <c r="G4302" i="5" s="1"/>
  <c r="F4303" i="5"/>
  <c r="G4303" i="5" s="1"/>
  <c r="F4304" i="5"/>
  <c r="G4304" i="5" s="1"/>
  <c r="F4305" i="5"/>
  <c r="G4305" i="5" s="1"/>
  <c r="F4306" i="5"/>
  <c r="G4306" i="5" s="1"/>
  <c r="F4307" i="5"/>
  <c r="G4307" i="5" s="1"/>
  <c r="F4308" i="5"/>
  <c r="G4308" i="5" s="1"/>
  <c r="F4309" i="5"/>
  <c r="G4309" i="5" s="1"/>
  <c r="F4310" i="5"/>
  <c r="G4310" i="5" s="1"/>
  <c r="F4311" i="5"/>
  <c r="G4311" i="5" s="1"/>
  <c r="F4312" i="5"/>
  <c r="G4312" i="5" s="1"/>
  <c r="F4313" i="5"/>
  <c r="G4313" i="5" s="1"/>
  <c r="F4314" i="5"/>
  <c r="G4314" i="5" s="1"/>
  <c r="F4315" i="5"/>
  <c r="G4315" i="5" s="1"/>
  <c r="F4316" i="5"/>
  <c r="G4316" i="5" s="1"/>
  <c r="F4317" i="5"/>
  <c r="G4317" i="5" s="1"/>
  <c r="F4318" i="5"/>
  <c r="G4318" i="5" s="1"/>
  <c r="F4319" i="5"/>
  <c r="G4319" i="5" s="1"/>
  <c r="F4320" i="5"/>
  <c r="G4320" i="5" s="1"/>
  <c r="F4321" i="5"/>
  <c r="G4321" i="5" s="1"/>
  <c r="F4322" i="5"/>
  <c r="G4322" i="5" s="1"/>
  <c r="F4323" i="5"/>
  <c r="G4323" i="5" s="1"/>
  <c r="F4324" i="5"/>
  <c r="G4324" i="5" s="1"/>
  <c r="F4325" i="5"/>
  <c r="G4325" i="5" s="1"/>
  <c r="F4326" i="5"/>
  <c r="G4326" i="5" s="1"/>
  <c r="F4327" i="5"/>
  <c r="G4327" i="5" s="1"/>
  <c r="F4328" i="5"/>
  <c r="G4328" i="5" s="1"/>
  <c r="F4329" i="5"/>
  <c r="G4329" i="5" s="1"/>
  <c r="F4330" i="5"/>
  <c r="G4330" i="5" s="1"/>
  <c r="F4331" i="5"/>
  <c r="G4331" i="5" s="1"/>
  <c r="F4332" i="5"/>
  <c r="G4332" i="5" s="1"/>
  <c r="F4333" i="5"/>
  <c r="G4333" i="5" s="1"/>
  <c r="F4334" i="5"/>
  <c r="G4334" i="5" s="1"/>
  <c r="F4335" i="5"/>
  <c r="G4335" i="5" s="1"/>
  <c r="F4336" i="5"/>
  <c r="G4336" i="5" s="1"/>
  <c r="F4337" i="5"/>
  <c r="G4337" i="5" s="1"/>
  <c r="F4338" i="5"/>
  <c r="G4338" i="5" s="1"/>
  <c r="F4339" i="5"/>
  <c r="G4339" i="5" s="1"/>
  <c r="F4340" i="5"/>
  <c r="G4340" i="5" s="1"/>
  <c r="F4341" i="5"/>
  <c r="G4341" i="5" s="1"/>
  <c r="F4342" i="5"/>
  <c r="G4342" i="5" s="1"/>
  <c r="F4343" i="5"/>
  <c r="G4343" i="5" s="1"/>
  <c r="F4344" i="5"/>
  <c r="G4344" i="5" s="1"/>
  <c r="F4345" i="5"/>
  <c r="G4345" i="5" s="1"/>
  <c r="F4346" i="5"/>
  <c r="G4346" i="5" s="1"/>
  <c r="F4347" i="5"/>
  <c r="G4347" i="5" s="1"/>
  <c r="F4348" i="5"/>
  <c r="G4348" i="5" s="1"/>
  <c r="F4349" i="5"/>
  <c r="G4349" i="5" s="1"/>
  <c r="F4350" i="5"/>
  <c r="G4350" i="5" s="1"/>
  <c r="F4351" i="5"/>
  <c r="G4351" i="5" s="1"/>
  <c r="F4352" i="5"/>
  <c r="G4352" i="5" s="1"/>
  <c r="F4353" i="5"/>
  <c r="G4353" i="5" s="1"/>
  <c r="F4354" i="5"/>
  <c r="G4354" i="5" s="1"/>
  <c r="F4355" i="5"/>
  <c r="G4355" i="5" s="1"/>
  <c r="F4356" i="5"/>
  <c r="G4356" i="5" s="1"/>
  <c r="F4357" i="5"/>
  <c r="G4357" i="5" s="1"/>
  <c r="F4358" i="5"/>
  <c r="G4358" i="5" s="1"/>
  <c r="F4359" i="5"/>
  <c r="G4359" i="5" s="1"/>
  <c r="F4360" i="5"/>
  <c r="G4360" i="5" s="1"/>
  <c r="F4361" i="5"/>
  <c r="G4361" i="5" s="1"/>
  <c r="F4362" i="5"/>
  <c r="G4362" i="5" s="1"/>
  <c r="F4363" i="5"/>
  <c r="G4363" i="5" s="1"/>
  <c r="F4364" i="5"/>
  <c r="G4364" i="5" s="1"/>
  <c r="F4365" i="5"/>
  <c r="G4365" i="5" s="1"/>
  <c r="F4366" i="5"/>
  <c r="G4366" i="5" s="1"/>
  <c r="F4367" i="5"/>
  <c r="G4367" i="5" s="1"/>
  <c r="F4368" i="5"/>
  <c r="G4368" i="5" s="1"/>
  <c r="F4369" i="5"/>
  <c r="G4369" i="5" s="1"/>
  <c r="F4370" i="5"/>
  <c r="G4370" i="5" s="1"/>
  <c r="F4371" i="5"/>
  <c r="G4371" i="5" s="1"/>
  <c r="F4372" i="5"/>
  <c r="G4372" i="5" s="1"/>
  <c r="F4373" i="5"/>
  <c r="G4373" i="5" s="1"/>
  <c r="F4374" i="5"/>
  <c r="G4374" i="5" s="1"/>
  <c r="F4375" i="5"/>
  <c r="G4375" i="5" s="1"/>
  <c r="F4376" i="5"/>
  <c r="G4376" i="5" s="1"/>
  <c r="F4377" i="5"/>
  <c r="G4377" i="5" s="1"/>
  <c r="F4378" i="5"/>
  <c r="G4378" i="5" s="1"/>
  <c r="F4379" i="5"/>
  <c r="G4379" i="5" s="1"/>
  <c r="F4380" i="5"/>
  <c r="G4380" i="5" s="1"/>
  <c r="F4381" i="5"/>
  <c r="G4381" i="5" s="1"/>
  <c r="F4382" i="5"/>
  <c r="G4382" i="5" s="1"/>
  <c r="F4383" i="5"/>
  <c r="G4383" i="5" s="1"/>
  <c r="F4384" i="5"/>
  <c r="G4384" i="5" s="1"/>
  <c r="F4385" i="5"/>
  <c r="G4385" i="5" s="1"/>
  <c r="F4386" i="5"/>
  <c r="G4386" i="5" s="1"/>
  <c r="F4387" i="5"/>
  <c r="G4387" i="5" s="1"/>
  <c r="F4388" i="5"/>
  <c r="G4388" i="5" s="1"/>
  <c r="F4389" i="5"/>
  <c r="G4389" i="5" s="1"/>
  <c r="F4390" i="5"/>
  <c r="G4390" i="5" s="1"/>
  <c r="F4391" i="5"/>
  <c r="G4391" i="5" s="1"/>
  <c r="F4392" i="5"/>
  <c r="G4392" i="5" s="1"/>
  <c r="F4393" i="5"/>
  <c r="G4393" i="5" s="1"/>
  <c r="F4394" i="5"/>
  <c r="G4394" i="5" s="1"/>
  <c r="F4395" i="5"/>
  <c r="G4395" i="5" s="1"/>
  <c r="F4396" i="5"/>
  <c r="G4396" i="5" s="1"/>
  <c r="F4397" i="5"/>
  <c r="G4397" i="5" s="1"/>
  <c r="F4398" i="5"/>
  <c r="G4398" i="5" s="1"/>
  <c r="F4399" i="5"/>
  <c r="G4399" i="5" s="1"/>
  <c r="F4400" i="5"/>
  <c r="G4400" i="5" s="1"/>
  <c r="F4401" i="5"/>
  <c r="G4401" i="5" s="1"/>
  <c r="F4402" i="5"/>
  <c r="G4402" i="5" s="1"/>
  <c r="F4403" i="5"/>
  <c r="G4403" i="5" s="1"/>
  <c r="F4404" i="5"/>
  <c r="G4404" i="5" s="1"/>
  <c r="F4405" i="5"/>
  <c r="G4405" i="5" s="1"/>
  <c r="F4406" i="5"/>
  <c r="G4406" i="5" s="1"/>
  <c r="F4407" i="5"/>
  <c r="G4407" i="5" s="1"/>
  <c r="F4408" i="5"/>
  <c r="G4408" i="5" s="1"/>
  <c r="F4409" i="5"/>
  <c r="G4409" i="5" s="1"/>
  <c r="F4410" i="5"/>
  <c r="G4410" i="5" s="1"/>
  <c r="F4411" i="5"/>
  <c r="G4411" i="5" s="1"/>
  <c r="F4412" i="5"/>
  <c r="G4412" i="5" s="1"/>
  <c r="F4413" i="5"/>
  <c r="G4413" i="5" s="1"/>
  <c r="F4414" i="5"/>
  <c r="G4414" i="5" s="1"/>
  <c r="F4415" i="5"/>
  <c r="G4415" i="5" s="1"/>
  <c r="F4416" i="5"/>
  <c r="G4416" i="5" s="1"/>
  <c r="F4417" i="5"/>
  <c r="G4417" i="5" s="1"/>
  <c r="F4418" i="5"/>
  <c r="G4418" i="5" s="1"/>
  <c r="F4419" i="5"/>
  <c r="G4419" i="5" s="1"/>
  <c r="F4420" i="5"/>
  <c r="G4420" i="5" s="1"/>
  <c r="F4421" i="5"/>
  <c r="G4421" i="5" s="1"/>
  <c r="F4422" i="5"/>
  <c r="G4422" i="5" s="1"/>
  <c r="F4423" i="5"/>
  <c r="G4423" i="5" s="1"/>
  <c r="F4424" i="5"/>
  <c r="G4424" i="5" s="1"/>
  <c r="F4425" i="5"/>
  <c r="G4425" i="5" s="1"/>
  <c r="F4426" i="5"/>
  <c r="G4426" i="5" s="1"/>
  <c r="F4427" i="5"/>
  <c r="G4427" i="5" s="1"/>
  <c r="F4428" i="5"/>
  <c r="G4428" i="5" s="1"/>
  <c r="F4429" i="5"/>
  <c r="G4429" i="5" s="1"/>
  <c r="F4430" i="5"/>
  <c r="G4430" i="5" s="1"/>
  <c r="F4431" i="5"/>
  <c r="G4431" i="5" s="1"/>
  <c r="F4432" i="5"/>
  <c r="G4432" i="5" s="1"/>
  <c r="F4433" i="5"/>
  <c r="G4433" i="5" s="1"/>
  <c r="F4434" i="5"/>
  <c r="G4434" i="5" s="1"/>
  <c r="F4435" i="5"/>
  <c r="G4435" i="5" s="1"/>
  <c r="F4436" i="5"/>
  <c r="G4436" i="5" s="1"/>
  <c r="F4437" i="5"/>
  <c r="G4437" i="5" s="1"/>
  <c r="F4438" i="5"/>
  <c r="G4438" i="5" s="1"/>
  <c r="F4439" i="5"/>
  <c r="G4439" i="5" s="1"/>
  <c r="F4440" i="5"/>
  <c r="G4440" i="5" s="1"/>
  <c r="F4441" i="5"/>
  <c r="G4441" i="5" s="1"/>
  <c r="F4442" i="5"/>
  <c r="G4442" i="5" s="1"/>
  <c r="F4443" i="5"/>
  <c r="G4443" i="5" s="1"/>
  <c r="F4444" i="5"/>
  <c r="G4444" i="5" s="1"/>
  <c r="F4445" i="5"/>
  <c r="G4445" i="5" s="1"/>
  <c r="F4446" i="5"/>
  <c r="G4446" i="5" s="1"/>
  <c r="F4447" i="5"/>
  <c r="G4447" i="5" s="1"/>
  <c r="F4448" i="5"/>
  <c r="G4448" i="5" s="1"/>
  <c r="F4449" i="5"/>
  <c r="G4449" i="5" s="1"/>
  <c r="F4450" i="5"/>
  <c r="G4450" i="5" s="1"/>
  <c r="F4451" i="5"/>
  <c r="G4451" i="5" s="1"/>
  <c r="F4452" i="5"/>
  <c r="G4452" i="5" s="1"/>
  <c r="F4453" i="5"/>
  <c r="G4453" i="5" s="1"/>
  <c r="F4454" i="5"/>
  <c r="G4454" i="5" s="1"/>
  <c r="F4455" i="5"/>
  <c r="G4455" i="5" s="1"/>
  <c r="F4456" i="5"/>
  <c r="G4456" i="5" s="1"/>
  <c r="F4457" i="5"/>
  <c r="G4457" i="5" s="1"/>
  <c r="F4458" i="5"/>
  <c r="G4458" i="5" s="1"/>
  <c r="F4459" i="5"/>
  <c r="G4459" i="5" s="1"/>
  <c r="F4460" i="5"/>
  <c r="G4460" i="5" s="1"/>
  <c r="F4461" i="5"/>
  <c r="G4461" i="5" s="1"/>
  <c r="F4462" i="5"/>
  <c r="G4462" i="5" s="1"/>
  <c r="F4463" i="5"/>
  <c r="G4463" i="5" s="1"/>
  <c r="F4464" i="5"/>
  <c r="G4464" i="5" s="1"/>
  <c r="F4465" i="5"/>
  <c r="G4465" i="5" s="1"/>
  <c r="F4466" i="5"/>
  <c r="G4466" i="5" s="1"/>
  <c r="F4467" i="5"/>
  <c r="G4467" i="5" s="1"/>
  <c r="F4468" i="5"/>
  <c r="G4468" i="5" s="1"/>
  <c r="F4469" i="5"/>
  <c r="G4469" i="5" s="1"/>
  <c r="F4470" i="5"/>
  <c r="G4470" i="5" s="1"/>
  <c r="F4471" i="5"/>
  <c r="G4471" i="5" s="1"/>
  <c r="F4472" i="5"/>
  <c r="G4472" i="5" s="1"/>
  <c r="F4473" i="5"/>
  <c r="G4473" i="5" s="1"/>
  <c r="F4474" i="5"/>
  <c r="G4474" i="5" s="1"/>
  <c r="F4475" i="5"/>
  <c r="G4475" i="5" s="1"/>
  <c r="F4476" i="5"/>
  <c r="G4476" i="5" s="1"/>
  <c r="F4477" i="5"/>
  <c r="G4477" i="5" s="1"/>
  <c r="F4478" i="5"/>
  <c r="G4478" i="5" s="1"/>
  <c r="F4479" i="5"/>
  <c r="G4479" i="5" s="1"/>
  <c r="F4480" i="5"/>
  <c r="G4480" i="5" s="1"/>
  <c r="F4481" i="5"/>
  <c r="G4481" i="5" s="1"/>
  <c r="F4482" i="5"/>
  <c r="G4482" i="5" s="1"/>
  <c r="F4483" i="5"/>
  <c r="G4483" i="5" s="1"/>
  <c r="F4484" i="5"/>
  <c r="G4484" i="5" s="1"/>
  <c r="F4485" i="5"/>
  <c r="G4485" i="5" s="1"/>
  <c r="F4486" i="5"/>
  <c r="G4486" i="5" s="1"/>
  <c r="F4487" i="5"/>
  <c r="G4487" i="5" s="1"/>
  <c r="F4488" i="5"/>
  <c r="G4488" i="5" s="1"/>
  <c r="F4489" i="5"/>
  <c r="G4489" i="5" s="1"/>
  <c r="F4490" i="5"/>
  <c r="G4490" i="5" s="1"/>
  <c r="F4491" i="5"/>
  <c r="G4491" i="5" s="1"/>
  <c r="F4492" i="5"/>
  <c r="G4492" i="5" s="1"/>
  <c r="F4493" i="5"/>
  <c r="G4493" i="5" s="1"/>
  <c r="F4494" i="5"/>
  <c r="G4494" i="5" s="1"/>
  <c r="F4495" i="5"/>
  <c r="G4495" i="5" s="1"/>
  <c r="F4496" i="5"/>
  <c r="G4496" i="5" s="1"/>
  <c r="F4497" i="5"/>
  <c r="G4497" i="5" s="1"/>
  <c r="F4498" i="5"/>
  <c r="G4498" i="5" s="1"/>
  <c r="F4499" i="5"/>
  <c r="G4499" i="5" s="1"/>
  <c r="F4500" i="5"/>
  <c r="G4500" i="5" s="1"/>
  <c r="F4501" i="5"/>
  <c r="G4501" i="5" s="1"/>
  <c r="F4502" i="5"/>
  <c r="G4502" i="5" s="1"/>
  <c r="F4503" i="5"/>
  <c r="G4503" i="5" s="1"/>
  <c r="F4504" i="5"/>
  <c r="G4504" i="5" s="1"/>
  <c r="F4505" i="5"/>
  <c r="G4505" i="5" s="1"/>
  <c r="F4506" i="5"/>
  <c r="G4506" i="5" s="1"/>
  <c r="F4507" i="5"/>
  <c r="G4507" i="5" s="1"/>
  <c r="F4508" i="5"/>
  <c r="G4508" i="5" s="1"/>
  <c r="F4509" i="5"/>
  <c r="G4509" i="5" s="1"/>
  <c r="F4510" i="5"/>
  <c r="G4510" i="5" s="1"/>
  <c r="F4511" i="5"/>
  <c r="G4511" i="5" s="1"/>
  <c r="F4512" i="5"/>
  <c r="G4512" i="5" s="1"/>
  <c r="F4513" i="5"/>
  <c r="G4513" i="5" s="1"/>
  <c r="F4514" i="5"/>
  <c r="G4514" i="5" s="1"/>
  <c r="F4515" i="5"/>
  <c r="G4515" i="5" s="1"/>
  <c r="F4516" i="5"/>
  <c r="G4516" i="5" s="1"/>
  <c r="F4517" i="5"/>
  <c r="G4517" i="5" s="1"/>
  <c r="F4518" i="5"/>
  <c r="G4518" i="5" s="1"/>
  <c r="F4519" i="5"/>
  <c r="G4519" i="5" s="1"/>
  <c r="F4520" i="5"/>
  <c r="G4520" i="5" s="1"/>
  <c r="F4521" i="5"/>
  <c r="G4521" i="5" s="1"/>
  <c r="F4522" i="5"/>
  <c r="G4522" i="5" s="1"/>
  <c r="F4523" i="5"/>
  <c r="G4523" i="5" s="1"/>
  <c r="F4524" i="5"/>
  <c r="G4524" i="5" s="1"/>
  <c r="F4525" i="5"/>
  <c r="G4525" i="5" s="1"/>
  <c r="F4526" i="5"/>
  <c r="G4526" i="5" s="1"/>
  <c r="F4527" i="5"/>
  <c r="G4527" i="5" s="1"/>
  <c r="F4528" i="5"/>
  <c r="G4528" i="5" s="1"/>
  <c r="F4529" i="5"/>
  <c r="G4529" i="5" s="1"/>
  <c r="F4530" i="5"/>
  <c r="G4530" i="5" s="1"/>
  <c r="F4531" i="5"/>
  <c r="G4531" i="5" s="1"/>
  <c r="F4532" i="5"/>
  <c r="G4532" i="5" s="1"/>
  <c r="F4533" i="5"/>
  <c r="G4533" i="5" s="1"/>
  <c r="F4534" i="5"/>
  <c r="G4534" i="5" s="1"/>
  <c r="F4535" i="5"/>
  <c r="G4535" i="5" s="1"/>
  <c r="F4536" i="5"/>
  <c r="G4536" i="5" s="1"/>
  <c r="F4537" i="5"/>
  <c r="G4537" i="5" s="1"/>
  <c r="F4538" i="5"/>
  <c r="G4538" i="5" s="1"/>
  <c r="F4539" i="5"/>
  <c r="G4539" i="5" s="1"/>
  <c r="F4540" i="5"/>
  <c r="G4540" i="5" s="1"/>
  <c r="F4541" i="5"/>
  <c r="G4541" i="5" s="1"/>
  <c r="F4542" i="5"/>
  <c r="G4542" i="5" s="1"/>
  <c r="F4543" i="5"/>
  <c r="G4543" i="5" s="1"/>
  <c r="F4544" i="5"/>
  <c r="G4544" i="5" s="1"/>
  <c r="F4545" i="5"/>
  <c r="G4545" i="5" s="1"/>
  <c r="F4546" i="5"/>
  <c r="G4546" i="5" s="1"/>
  <c r="F4547" i="5"/>
  <c r="G4547" i="5" s="1"/>
  <c r="F4548" i="5"/>
  <c r="G4548" i="5" s="1"/>
  <c r="F4549" i="5"/>
  <c r="G4549" i="5" s="1"/>
  <c r="F4550" i="5"/>
  <c r="G4550" i="5" s="1"/>
  <c r="F4551" i="5"/>
  <c r="G4551" i="5" s="1"/>
  <c r="F4552" i="5"/>
  <c r="G4552" i="5" s="1"/>
  <c r="F4553" i="5"/>
  <c r="G4553" i="5" s="1"/>
  <c r="F4554" i="5"/>
  <c r="G4554" i="5" s="1"/>
  <c r="F4555" i="5"/>
  <c r="G4555" i="5" s="1"/>
  <c r="F4556" i="5"/>
  <c r="G4556" i="5" s="1"/>
  <c r="F4557" i="5"/>
  <c r="G4557" i="5" s="1"/>
  <c r="F4558" i="5"/>
  <c r="G4558" i="5" s="1"/>
  <c r="F4559" i="5"/>
  <c r="G4559" i="5" s="1"/>
  <c r="F4560" i="5"/>
  <c r="G4560" i="5" s="1"/>
  <c r="F4561" i="5"/>
  <c r="G4561" i="5" s="1"/>
  <c r="F4562" i="5"/>
  <c r="G4562" i="5" s="1"/>
  <c r="F4563" i="5"/>
  <c r="G4563" i="5" s="1"/>
  <c r="F4564" i="5"/>
  <c r="G4564" i="5" s="1"/>
  <c r="F4565" i="5"/>
  <c r="G4565" i="5" s="1"/>
  <c r="F4566" i="5"/>
  <c r="G4566" i="5" s="1"/>
  <c r="F4567" i="5"/>
  <c r="G4567" i="5" s="1"/>
  <c r="F4568" i="5"/>
  <c r="G4568" i="5" s="1"/>
  <c r="F4569" i="5"/>
  <c r="G4569" i="5" s="1"/>
  <c r="F4570" i="5"/>
  <c r="G4570" i="5" s="1"/>
  <c r="F4571" i="5"/>
  <c r="G4571" i="5" s="1"/>
  <c r="F4572" i="5"/>
  <c r="G4572" i="5" s="1"/>
  <c r="F4573" i="5"/>
  <c r="G4573" i="5" s="1"/>
  <c r="F4574" i="5"/>
  <c r="G4574" i="5" s="1"/>
  <c r="F4575" i="5"/>
  <c r="G4575" i="5" s="1"/>
  <c r="F4576" i="5"/>
  <c r="G4576" i="5" s="1"/>
  <c r="F4577" i="5"/>
  <c r="G4577" i="5" s="1"/>
  <c r="F4578" i="5"/>
  <c r="G4578" i="5" s="1"/>
  <c r="F4579" i="5"/>
  <c r="G4579" i="5" s="1"/>
  <c r="F4580" i="5"/>
  <c r="G4580" i="5" s="1"/>
  <c r="F4581" i="5"/>
  <c r="G4581" i="5" s="1"/>
  <c r="F4582" i="5"/>
  <c r="G4582" i="5" s="1"/>
  <c r="F4583" i="5"/>
  <c r="G4583" i="5" s="1"/>
  <c r="F4584" i="5"/>
  <c r="G4584" i="5" s="1"/>
  <c r="F4585" i="5"/>
  <c r="G4585" i="5" s="1"/>
  <c r="F4586" i="5"/>
  <c r="G4586" i="5" s="1"/>
  <c r="F4587" i="5"/>
  <c r="G4587" i="5" s="1"/>
  <c r="F4588" i="5"/>
  <c r="G4588" i="5" s="1"/>
  <c r="F4589" i="5"/>
  <c r="G4589" i="5" s="1"/>
  <c r="F4590" i="5"/>
  <c r="G4590" i="5" s="1"/>
  <c r="F4591" i="5"/>
  <c r="G4591" i="5" s="1"/>
  <c r="F4592" i="5"/>
  <c r="G4592" i="5" s="1"/>
  <c r="F4593" i="5"/>
  <c r="G4593" i="5" s="1"/>
  <c r="F4594" i="5"/>
  <c r="G4594" i="5" s="1"/>
  <c r="F4595" i="5"/>
  <c r="G4595" i="5" s="1"/>
  <c r="F4596" i="5"/>
  <c r="G4596" i="5" s="1"/>
  <c r="F4597" i="5"/>
  <c r="G4597" i="5" s="1"/>
  <c r="F4598" i="5"/>
  <c r="G4598" i="5" s="1"/>
  <c r="F4599" i="5"/>
  <c r="G4599" i="5" s="1"/>
  <c r="F4600" i="5"/>
  <c r="G4600" i="5" s="1"/>
  <c r="F4601" i="5"/>
  <c r="G4601" i="5" s="1"/>
  <c r="F4602" i="5"/>
  <c r="G4602" i="5" s="1"/>
  <c r="F4603" i="5"/>
  <c r="G4603" i="5" s="1"/>
  <c r="F4604" i="5"/>
  <c r="G4604" i="5" s="1"/>
  <c r="F4605" i="5"/>
  <c r="G4605" i="5" s="1"/>
  <c r="F4606" i="5"/>
  <c r="G4606" i="5" s="1"/>
  <c r="F4607" i="5"/>
  <c r="G4607" i="5" s="1"/>
  <c r="F4608" i="5"/>
  <c r="G4608" i="5" s="1"/>
  <c r="F4609" i="5"/>
  <c r="G4609" i="5" s="1"/>
  <c r="F4610" i="5"/>
  <c r="G4610" i="5" s="1"/>
  <c r="F4611" i="5"/>
  <c r="G4611" i="5" s="1"/>
  <c r="F4612" i="5"/>
  <c r="G4612" i="5" s="1"/>
  <c r="F4613" i="5"/>
  <c r="G4613" i="5" s="1"/>
  <c r="F4614" i="5"/>
  <c r="G4614" i="5" s="1"/>
  <c r="F4615" i="5"/>
  <c r="G4615" i="5" s="1"/>
  <c r="F4616" i="5"/>
  <c r="G4616" i="5" s="1"/>
  <c r="F4617" i="5"/>
  <c r="G4617" i="5" s="1"/>
  <c r="F4618" i="5"/>
  <c r="G4618" i="5" s="1"/>
  <c r="F4619" i="5"/>
  <c r="G4619" i="5" s="1"/>
  <c r="F4620" i="5"/>
  <c r="G4620" i="5" s="1"/>
  <c r="F4621" i="5"/>
  <c r="G4621" i="5" s="1"/>
  <c r="F4622" i="5"/>
  <c r="G4622" i="5" s="1"/>
  <c r="F4623" i="5"/>
  <c r="G4623" i="5" s="1"/>
  <c r="F4624" i="5"/>
  <c r="G4624" i="5" s="1"/>
  <c r="F4625" i="5"/>
  <c r="G4625" i="5" s="1"/>
  <c r="F4626" i="5"/>
  <c r="G4626" i="5" s="1"/>
  <c r="F4627" i="5"/>
  <c r="G4627" i="5" s="1"/>
  <c r="F4628" i="5"/>
  <c r="G4628" i="5" s="1"/>
  <c r="F4629" i="5"/>
  <c r="G4629" i="5" s="1"/>
  <c r="F4630" i="5"/>
  <c r="G4630" i="5" s="1"/>
  <c r="F4631" i="5"/>
  <c r="G4631" i="5" s="1"/>
  <c r="F4632" i="5"/>
  <c r="G4632" i="5" s="1"/>
  <c r="F4633" i="5"/>
  <c r="G4633" i="5" s="1"/>
  <c r="F4634" i="5"/>
  <c r="G4634" i="5" s="1"/>
  <c r="F4635" i="5"/>
  <c r="G4635" i="5" s="1"/>
  <c r="F4636" i="5"/>
  <c r="G4636" i="5" s="1"/>
  <c r="F4637" i="5"/>
  <c r="G4637" i="5" s="1"/>
  <c r="F4638" i="5"/>
  <c r="G4638" i="5" s="1"/>
  <c r="F4639" i="5"/>
  <c r="G4639" i="5" s="1"/>
  <c r="F4640" i="5"/>
  <c r="G4640" i="5" s="1"/>
  <c r="F4641" i="5"/>
  <c r="G4641" i="5" s="1"/>
  <c r="F4642" i="5"/>
  <c r="G4642" i="5" s="1"/>
  <c r="F4643" i="5"/>
  <c r="G4643" i="5" s="1"/>
  <c r="F4644" i="5"/>
  <c r="G4644" i="5" s="1"/>
  <c r="F4645" i="5"/>
  <c r="G4645" i="5" s="1"/>
  <c r="F4646" i="5"/>
  <c r="G4646" i="5" s="1"/>
  <c r="F4647" i="5"/>
  <c r="G4647" i="5" s="1"/>
  <c r="F4648" i="5"/>
  <c r="G4648" i="5" s="1"/>
  <c r="F4649" i="5"/>
  <c r="G4649" i="5" s="1"/>
  <c r="F4650" i="5"/>
  <c r="G4650" i="5" s="1"/>
  <c r="F4651" i="5"/>
  <c r="G4651" i="5" s="1"/>
  <c r="F4652" i="5"/>
  <c r="G4652" i="5" s="1"/>
  <c r="F4653" i="5"/>
  <c r="G4653" i="5" s="1"/>
  <c r="F4654" i="5"/>
  <c r="G4654" i="5" s="1"/>
  <c r="F4655" i="5"/>
  <c r="G4655" i="5" s="1"/>
  <c r="F4656" i="5"/>
  <c r="G4656" i="5" s="1"/>
  <c r="F4657" i="5"/>
  <c r="G4657" i="5" s="1"/>
  <c r="F4658" i="5"/>
  <c r="G4658" i="5" s="1"/>
  <c r="F4659" i="5"/>
  <c r="G4659" i="5" s="1"/>
  <c r="F4660" i="5"/>
  <c r="G4660" i="5" s="1"/>
  <c r="F4661" i="5"/>
  <c r="G4661" i="5" s="1"/>
  <c r="F4662" i="5"/>
  <c r="G4662" i="5" s="1"/>
  <c r="F4663" i="5"/>
  <c r="G4663" i="5" s="1"/>
  <c r="F4664" i="5"/>
  <c r="G4664" i="5" s="1"/>
  <c r="F4665" i="5"/>
  <c r="G4665" i="5" s="1"/>
  <c r="F4666" i="5"/>
  <c r="G4666" i="5" s="1"/>
  <c r="F4667" i="5"/>
  <c r="G4667" i="5" s="1"/>
  <c r="F4668" i="5"/>
  <c r="G4668" i="5" s="1"/>
  <c r="F4669" i="5"/>
  <c r="G4669" i="5" s="1"/>
  <c r="F4670" i="5"/>
  <c r="G4670" i="5" s="1"/>
  <c r="F4671" i="5"/>
  <c r="G4671" i="5" s="1"/>
  <c r="F4672" i="5"/>
  <c r="G4672" i="5" s="1"/>
  <c r="F4673" i="5"/>
  <c r="G4673" i="5" s="1"/>
  <c r="F4674" i="5"/>
  <c r="G4674" i="5" s="1"/>
  <c r="F4675" i="5"/>
  <c r="G4675" i="5" s="1"/>
  <c r="F4676" i="5"/>
  <c r="G4676" i="5" s="1"/>
  <c r="F4677" i="5"/>
  <c r="G4677" i="5" s="1"/>
  <c r="F4678" i="5"/>
  <c r="G4678" i="5" s="1"/>
  <c r="F4679" i="5"/>
  <c r="G4679" i="5" s="1"/>
  <c r="F4680" i="5"/>
  <c r="G4680" i="5" s="1"/>
  <c r="F4681" i="5"/>
  <c r="G4681" i="5" s="1"/>
  <c r="F4682" i="5"/>
  <c r="G4682" i="5" s="1"/>
  <c r="F4683" i="5"/>
  <c r="G4683" i="5" s="1"/>
  <c r="F4684" i="5"/>
  <c r="G4684" i="5" s="1"/>
  <c r="F4685" i="5"/>
  <c r="G4685" i="5" s="1"/>
  <c r="F4686" i="5"/>
  <c r="G4686" i="5" s="1"/>
  <c r="F4687" i="5"/>
  <c r="G4687" i="5" s="1"/>
  <c r="F4688" i="5"/>
  <c r="G4688" i="5" s="1"/>
  <c r="F4689" i="5"/>
  <c r="G4689" i="5" s="1"/>
  <c r="F4690" i="5"/>
  <c r="G4690" i="5" s="1"/>
  <c r="F4691" i="5"/>
  <c r="G4691" i="5" s="1"/>
  <c r="F4692" i="5"/>
  <c r="G4692" i="5" s="1"/>
  <c r="F4693" i="5"/>
  <c r="G4693" i="5" s="1"/>
  <c r="F4694" i="5"/>
  <c r="G4694" i="5" s="1"/>
  <c r="F4695" i="5"/>
  <c r="G4695" i="5" s="1"/>
  <c r="F4696" i="5"/>
  <c r="G4696" i="5" s="1"/>
  <c r="F4697" i="5"/>
  <c r="G4697" i="5" s="1"/>
  <c r="F4698" i="5"/>
  <c r="G4698" i="5" s="1"/>
  <c r="F4699" i="5"/>
  <c r="G4699" i="5" s="1"/>
  <c r="F4700" i="5"/>
  <c r="G4700" i="5" s="1"/>
  <c r="F4701" i="5"/>
  <c r="G4701" i="5" s="1"/>
  <c r="F4702" i="5"/>
  <c r="G4702" i="5" s="1"/>
  <c r="F4703" i="5"/>
  <c r="G4703" i="5" s="1"/>
  <c r="F4704" i="5"/>
  <c r="G4704" i="5" s="1"/>
  <c r="F4705" i="5"/>
  <c r="G4705" i="5" s="1"/>
  <c r="F4706" i="5"/>
  <c r="G4706" i="5" s="1"/>
  <c r="F4707" i="5"/>
  <c r="G4707" i="5" s="1"/>
  <c r="F4708" i="5"/>
  <c r="G4708" i="5" s="1"/>
  <c r="F4709" i="5"/>
  <c r="G4709" i="5" s="1"/>
  <c r="F4710" i="5"/>
  <c r="G4710" i="5" s="1"/>
  <c r="F4711" i="5"/>
  <c r="G4711" i="5" s="1"/>
  <c r="F4712" i="5"/>
  <c r="G4712" i="5" s="1"/>
  <c r="F4713" i="5"/>
  <c r="G4713" i="5" s="1"/>
  <c r="F4714" i="5"/>
  <c r="G4714" i="5" s="1"/>
  <c r="F4715" i="5"/>
  <c r="G4715" i="5" s="1"/>
  <c r="F4716" i="5"/>
  <c r="G4716" i="5" s="1"/>
  <c r="F4717" i="5"/>
  <c r="G4717" i="5" s="1"/>
  <c r="F4718" i="5"/>
  <c r="G4718" i="5" s="1"/>
  <c r="F4719" i="5"/>
  <c r="G4719" i="5" s="1"/>
  <c r="F4720" i="5"/>
  <c r="G4720" i="5" s="1"/>
  <c r="F4721" i="5"/>
  <c r="G4721" i="5" s="1"/>
  <c r="F4722" i="5"/>
  <c r="G4722" i="5" s="1"/>
  <c r="F4723" i="5"/>
  <c r="G4723" i="5" s="1"/>
  <c r="F4724" i="5"/>
  <c r="G4724" i="5" s="1"/>
  <c r="F4725" i="5"/>
  <c r="G4725" i="5" s="1"/>
  <c r="F4726" i="5"/>
  <c r="G4726" i="5" s="1"/>
  <c r="F4727" i="5"/>
  <c r="G4727" i="5" s="1"/>
  <c r="F4728" i="5"/>
  <c r="G4728" i="5" s="1"/>
  <c r="F4729" i="5"/>
  <c r="G4729" i="5" s="1"/>
  <c r="F4730" i="5"/>
  <c r="G4730" i="5" s="1"/>
  <c r="F4731" i="5"/>
  <c r="G4731" i="5" s="1"/>
  <c r="F4732" i="5"/>
  <c r="G4732" i="5" s="1"/>
  <c r="F4733" i="5"/>
  <c r="G4733" i="5" s="1"/>
  <c r="F4734" i="5"/>
  <c r="G4734" i="5" s="1"/>
  <c r="F4735" i="5"/>
  <c r="G4735" i="5" s="1"/>
  <c r="F4736" i="5"/>
  <c r="G4736" i="5" s="1"/>
  <c r="F4737" i="5"/>
  <c r="G4737" i="5" s="1"/>
  <c r="F4738" i="5"/>
  <c r="G4738" i="5" s="1"/>
  <c r="F4739" i="5"/>
  <c r="G4739" i="5" s="1"/>
  <c r="F4740" i="5"/>
  <c r="G4740" i="5" s="1"/>
  <c r="F4741" i="5"/>
  <c r="G4741" i="5" s="1"/>
  <c r="F4742" i="5"/>
  <c r="G4742" i="5" s="1"/>
  <c r="F4743" i="5"/>
  <c r="G4743" i="5" s="1"/>
  <c r="F4744" i="5"/>
  <c r="G4744" i="5" s="1"/>
  <c r="F4745" i="5"/>
  <c r="G4745" i="5" s="1"/>
  <c r="F4746" i="5"/>
  <c r="G4746" i="5" s="1"/>
  <c r="F4747" i="5"/>
  <c r="G4747" i="5" s="1"/>
  <c r="F4748" i="5"/>
  <c r="G4748" i="5" s="1"/>
  <c r="F4749" i="5"/>
  <c r="G4749" i="5" s="1"/>
  <c r="F4750" i="5"/>
  <c r="G4750" i="5" s="1"/>
  <c r="F4751" i="5"/>
  <c r="G4751" i="5" s="1"/>
  <c r="F4752" i="5"/>
  <c r="G4752" i="5" s="1"/>
  <c r="F4753" i="5"/>
  <c r="G4753" i="5" s="1"/>
  <c r="F4754" i="5"/>
  <c r="G4754" i="5" s="1"/>
  <c r="F4755" i="5"/>
  <c r="G4755" i="5" s="1"/>
  <c r="F4756" i="5"/>
  <c r="G4756" i="5" s="1"/>
  <c r="F4757" i="5"/>
  <c r="G4757" i="5" s="1"/>
  <c r="F4758" i="5"/>
  <c r="G4758" i="5" s="1"/>
  <c r="F4759" i="5"/>
  <c r="G4759" i="5" s="1"/>
  <c r="F4760" i="5"/>
  <c r="G4760" i="5" s="1"/>
  <c r="F4761" i="5"/>
  <c r="G4761" i="5" s="1"/>
  <c r="F4762" i="5"/>
  <c r="G4762" i="5" s="1"/>
  <c r="F4763" i="5"/>
  <c r="G4763" i="5" s="1"/>
  <c r="F4764" i="5"/>
  <c r="G4764" i="5" s="1"/>
  <c r="F4765" i="5"/>
  <c r="G4765" i="5" s="1"/>
  <c r="F4766" i="5"/>
  <c r="G4766" i="5" s="1"/>
  <c r="F4767" i="5"/>
  <c r="G4767" i="5" s="1"/>
  <c r="F4768" i="5"/>
  <c r="G4768" i="5" s="1"/>
  <c r="F4769" i="5"/>
  <c r="G4769" i="5" s="1"/>
  <c r="F4770" i="5"/>
  <c r="G4770" i="5" s="1"/>
  <c r="F4771" i="5"/>
  <c r="G4771" i="5" s="1"/>
  <c r="F4772" i="5"/>
  <c r="G4772" i="5" s="1"/>
  <c r="F4773" i="5"/>
  <c r="G4773" i="5" s="1"/>
  <c r="F4774" i="5"/>
  <c r="G4774" i="5" s="1"/>
  <c r="F4775" i="5"/>
  <c r="G4775" i="5" s="1"/>
  <c r="F4776" i="5"/>
  <c r="G4776" i="5" s="1"/>
  <c r="F4777" i="5"/>
  <c r="G4777" i="5" s="1"/>
  <c r="F4778" i="5"/>
  <c r="G4778" i="5" s="1"/>
  <c r="F4779" i="5"/>
  <c r="G4779" i="5" s="1"/>
  <c r="F4780" i="5"/>
  <c r="G4780" i="5" s="1"/>
  <c r="F4781" i="5"/>
  <c r="G4781" i="5" s="1"/>
  <c r="F4782" i="5"/>
  <c r="G4782" i="5" s="1"/>
  <c r="F4783" i="5"/>
  <c r="G4783" i="5" s="1"/>
  <c r="F4784" i="5"/>
  <c r="G4784" i="5" s="1"/>
  <c r="F4785" i="5"/>
  <c r="G4785" i="5" s="1"/>
  <c r="F4786" i="5"/>
  <c r="G4786" i="5" s="1"/>
  <c r="F4787" i="5"/>
  <c r="G4787" i="5" s="1"/>
  <c r="F4788" i="5"/>
  <c r="G4788" i="5" s="1"/>
  <c r="F4789" i="5"/>
  <c r="G4789" i="5" s="1"/>
  <c r="F4790" i="5"/>
  <c r="G4790" i="5" s="1"/>
  <c r="F4791" i="5"/>
  <c r="G4791" i="5" s="1"/>
  <c r="F4792" i="5"/>
  <c r="G4792" i="5" s="1"/>
  <c r="F4793" i="5"/>
  <c r="G4793" i="5" s="1"/>
  <c r="F4794" i="5"/>
  <c r="G4794" i="5" s="1"/>
  <c r="F4795" i="5"/>
  <c r="G4795" i="5" s="1"/>
  <c r="F4796" i="5"/>
  <c r="G4796" i="5" s="1"/>
  <c r="F4797" i="5"/>
  <c r="G4797" i="5" s="1"/>
  <c r="F4798" i="5"/>
  <c r="G4798" i="5" s="1"/>
  <c r="F4799" i="5"/>
  <c r="G4799" i="5" s="1"/>
  <c r="F4800" i="5"/>
  <c r="G4800" i="5" s="1"/>
  <c r="F4801" i="5"/>
  <c r="G4801" i="5" s="1"/>
  <c r="F4802" i="5"/>
  <c r="G4802" i="5" s="1"/>
  <c r="F4803" i="5"/>
  <c r="G4803" i="5" s="1"/>
  <c r="F4804" i="5"/>
  <c r="G4804" i="5" s="1"/>
  <c r="F4805" i="5"/>
  <c r="G4805" i="5" s="1"/>
  <c r="F4806" i="5"/>
  <c r="G4806" i="5" s="1"/>
  <c r="F4807" i="5"/>
  <c r="G4807" i="5" s="1"/>
  <c r="F4808" i="5"/>
  <c r="G4808" i="5" s="1"/>
  <c r="F4809" i="5"/>
  <c r="G4809" i="5" s="1"/>
  <c r="F4810" i="5"/>
  <c r="G4810" i="5" s="1"/>
  <c r="F4811" i="5"/>
  <c r="G4811" i="5" s="1"/>
  <c r="F4812" i="5"/>
  <c r="G4812" i="5" s="1"/>
  <c r="F4813" i="5"/>
  <c r="G4813" i="5" s="1"/>
  <c r="F4814" i="5"/>
  <c r="G4814" i="5" s="1"/>
  <c r="F4815" i="5"/>
  <c r="G4815" i="5" s="1"/>
  <c r="F4816" i="5"/>
  <c r="G4816" i="5" s="1"/>
  <c r="F4817" i="5"/>
  <c r="G4817" i="5" s="1"/>
  <c r="F4818" i="5"/>
  <c r="G4818" i="5" s="1"/>
  <c r="F4819" i="5"/>
  <c r="G4819" i="5" s="1"/>
  <c r="F4820" i="5"/>
  <c r="G4820" i="5" s="1"/>
  <c r="F4821" i="5"/>
  <c r="G4821" i="5" s="1"/>
  <c r="F4822" i="5"/>
  <c r="G4822" i="5" s="1"/>
  <c r="F4823" i="5"/>
  <c r="G4823" i="5" s="1"/>
  <c r="F4824" i="5"/>
  <c r="G4824" i="5" s="1"/>
  <c r="F4825" i="5"/>
  <c r="G4825" i="5" s="1"/>
  <c r="F4826" i="5"/>
  <c r="G4826" i="5" s="1"/>
  <c r="F4827" i="5"/>
  <c r="G4827" i="5" s="1"/>
  <c r="F4828" i="5"/>
  <c r="G4828" i="5" s="1"/>
  <c r="F4829" i="5"/>
  <c r="G4829" i="5" s="1"/>
  <c r="F4830" i="5"/>
  <c r="G4830" i="5" s="1"/>
  <c r="F4831" i="5"/>
  <c r="G4831" i="5" s="1"/>
  <c r="F4832" i="5"/>
  <c r="G4832" i="5" s="1"/>
  <c r="F4833" i="5"/>
  <c r="G4833" i="5" s="1"/>
  <c r="F4834" i="5"/>
  <c r="G4834" i="5" s="1"/>
  <c r="F4835" i="5"/>
  <c r="G4835" i="5" s="1"/>
  <c r="F4836" i="5"/>
  <c r="G4836" i="5" s="1"/>
  <c r="F4837" i="5"/>
  <c r="G4837" i="5" s="1"/>
  <c r="F4838" i="5"/>
  <c r="G4838" i="5" s="1"/>
  <c r="F4839" i="5"/>
  <c r="G4839" i="5" s="1"/>
  <c r="F4840" i="5"/>
  <c r="G4840" i="5" s="1"/>
  <c r="F4841" i="5"/>
  <c r="G4841" i="5" s="1"/>
  <c r="F4842" i="5"/>
  <c r="G4842" i="5" s="1"/>
  <c r="F4843" i="5"/>
  <c r="G4843" i="5" s="1"/>
  <c r="F4844" i="5"/>
  <c r="G4844" i="5" s="1"/>
  <c r="F4845" i="5"/>
  <c r="G4845" i="5" s="1"/>
  <c r="F4846" i="5"/>
  <c r="G4846" i="5" s="1"/>
  <c r="F4847" i="5"/>
  <c r="G4847" i="5" s="1"/>
  <c r="F4848" i="5"/>
  <c r="G4848" i="5" s="1"/>
  <c r="F4849" i="5"/>
  <c r="G4849" i="5" s="1"/>
  <c r="F4850" i="5"/>
  <c r="G4850" i="5" s="1"/>
  <c r="F4851" i="5"/>
  <c r="G4851" i="5" s="1"/>
  <c r="F4852" i="5"/>
  <c r="G4852" i="5" s="1"/>
  <c r="F4853" i="5"/>
  <c r="G4853" i="5" s="1"/>
  <c r="F4854" i="5"/>
  <c r="G4854" i="5" s="1"/>
  <c r="F4855" i="5"/>
  <c r="G4855" i="5" s="1"/>
  <c r="F4856" i="5"/>
  <c r="G4856" i="5" s="1"/>
  <c r="F4857" i="5"/>
  <c r="G4857" i="5" s="1"/>
  <c r="F4858" i="5"/>
  <c r="G4858" i="5" s="1"/>
  <c r="F4859" i="5"/>
  <c r="G4859" i="5" s="1"/>
  <c r="F4860" i="5"/>
  <c r="G4860" i="5" s="1"/>
  <c r="F4861" i="5"/>
  <c r="G4861" i="5" s="1"/>
  <c r="F4862" i="5"/>
  <c r="G4862" i="5" s="1"/>
  <c r="F4863" i="5"/>
  <c r="G4863" i="5" s="1"/>
  <c r="F4864" i="5"/>
  <c r="G4864" i="5" s="1"/>
  <c r="F4865" i="5"/>
  <c r="G4865" i="5" s="1"/>
  <c r="F4866" i="5"/>
  <c r="G4866" i="5" s="1"/>
  <c r="F4867" i="5"/>
  <c r="G4867" i="5" s="1"/>
  <c r="F4868" i="5"/>
  <c r="G4868" i="5" s="1"/>
  <c r="F4869" i="5"/>
  <c r="G4869" i="5" s="1"/>
  <c r="F4870" i="5"/>
  <c r="G4870" i="5" s="1"/>
  <c r="F4871" i="5"/>
  <c r="G4871" i="5" s="1"/>
  <c r="F4872" i="5"/>
  <c r="G4872" i="5" s="1"/>
  <c r="F4873" i="5"/>
  <c r="G4873" i="5" s="1"/>
  <c r="F4874" i="5"/>
  <c r="G4874" i="5" s="1"/>
  <c r="F4875" i="5"/>
  <c r="G4875" i="5" s="1"/>
  <c r="F4876" i="5"/>
  <c r="G4876" i="5" s="1"/>
  <c r="F4877" i="5"/>
  <c r="G4877" i="5" s="1"/>
  <c r="F4878" i="5"/>
  <c r="G4878" i="5" s="1"/>
  <c r="F4879" i="5"/>
  <c r="G4879" i="5" s="1"/>
  <c r="F4880" i="5"/>
  <c r="G4880" i="5" s="1"/>
  <c r="F4881" i="5"/>
  <c r="G4881" i="5" s="1"/>
  <c r="F4882" i="5"/>
  <c r="G4882" i="5" s="1"/>
  <c r="F4883" i="5"/>
  <c r="G4883" i="5" s="1"/>
  <c r="F4884" i="5"/>
  <c r="G4884" i="5" s="1"/>
  <c r="F4885" i="5"/>
  <c r="G4885" i="5" s="1"/>
  <c r="F4886" i="5"/>
  <c r="G4886" i="5" s="1"/>
  <c r="F4887" i="5"/>
  <c r="G4887" i="5" s="1"/>
  <c r="F4888" i="5"/>
  <c r="G4888" i="5" s="1"/>
  <c r="F4889" i="5"/>
  <c r="G4889" i="5" s="1"/>
  <c r="F4890" i="5"/>
  <c r="G4890" i="5" s="1"/>
  <c r="F4891" i="5"/>
  <c r="G4891" i="5" s="1"/>
  <c r="F4892" i="5"/>
  <c r="G4892" i="5" s="1"/>
  <c r="F4893" i="5"/>
  <c r="G4893" i="5" s="1"/>
  <c r="F4894" i="5"/>
  <c r="G4894" i="5" s="1"/>
  <c r="F4895" i="5"/>
  <c r="G4895" i="5" s="1"/>
  <c r="F4896" i="5"/>
  <c r="G4896" i="5" s="1"/>
  <c r="F4897" i="5"/>
  <c r="G4897" i="5" s="1"/>
  <c r="F4898" i="5"/>
  <c r="G4898" i="5" s="1"/>
  <c r="F4899" i="5"/>
  <c r="G4899" i="5" s="1"/>
  <c r="F4900" i="5"/>
  <c r="G4900" i="5" s="1"/>
  <c r="F4901" i="5"/>
  <c r="G4901" i="5" s="1"/>
  <c r="F4902" i="5"/>
  <c r="G4902" i="5" s="1"/>
  <c r="F4903" i="5"/>
  <c r="G4903" i="5" s="1"/>
  <c r="F4904" i="5"/>
  <c r="G4904" i="5" s="1"/>
  <c r="F4905" i="5"/>
  <c r="G4905" i="5" s="1"/>
  <c r="F4906" i="5"/>
  <c r="G4906" i="5" s="1"/>
  <c r="F4907" i="5"/>
  <c r="G4907" i="5" s="1"/>
  <c r="F4908" i="5"/>
  <c r="G4908" i="5" s="1"/>
  <c r="F4909" i="5"/>
  <c r="G4909" i="5" s="1"/>
  <c r="F4910" i="5"/>
  <c r="G4910" i="5" s="1"/>
  <c r="F4911" i="5"/>
  <c r="G4911" i="5" s="1"/>
  <c r="F4912" i="5"/>
  <c r="G4912" i="5" s="1"/>
  <c r="F4913" i="5"/>
  <c r="G4913" i="5" s="1"/>
  <c r="F4914" i="5"/>
  <c r="G4914" i="5" s="1"/>
  <c r="F4915" i="5"/>
  <c r="G4915" i="5" s="1"/>
  <c r="F4916" i="5"/>
  <c r="G4916" i="5" s="1"/>
  <c r="F4917" i="5"/>
  <c r="G4917" i="5" s="1"/>
  <c r="F4918" i="5"/>
  <c r="G4918" i="5" s="1"/>
  <c r="F4919" i="5"/>
  <c r="G4919" i="5" s="1"/>
  <c r="F4920" i="5"/>
  <c r="G4920" i="5" s="1"/>
  <c r="F4921" i="5"/>
  <c r="G4921" i="5" s="1"/>
  <c r="F4922" i="5"/>
  <c r="G4922" i="5" s="1"/>
  <c r="F4923" i="5"/>
  <c r="G4923" i="5" s="1"/>
  <c r="F4924" i="5"/>
  <c r="G4924" i="5" s="1"/>
  <c r="F4925" i="5"/>
  <c r="G4925" i="5" s="1"/>
  <c r="F4926" i="5"/>
  <c r="G4926" i="5" s="1"/>
  <c r="F4927" i="5"/>
  <c r="G4927" i="5" s="1"/>
  <c r="F4928" i="5"/>
  <c r="G4928" i="5" s="1"/>
  <c r="F4929" i="5"/>
  <c r="G4929" i="5" s="1"/>
  <c r="F4930" i="5"/>
  <c r="G4930" i="5" s="1"/>
  <c r="F4931" i="5"/>
  <c r="G4931" i="5" s="1"/>
  <c r="F4932" i="5"/>
  <c r="G4932" i="5" s="1"/>
  <c r="F4933" i="5"/>
  <c r="G4933" i="5" s="1"/>
  <c r="F4934" i="5"/>
  <c r="G4934" i="5" s="1"/>
  <c r="F4935" i="5"/>
  <c r="G4935" i="5" s="1"/>
  <c r="F4936" i="5"/>
  <c r="G4936" i="5" s="1"/>
  <c r="F4937" i="5"/>
  <c r="G4937" i="5" s="1"/>
  <c r="F4938" i="5"/>
  <c r="G4938" i="5" s="1"/>
  <c r="F4939" i="5"/>
  <c r="G4939" i="5" s="1"/>
  <c r="F4940" i="5"/>
  <c r="G4940" i="5" s="1"/>
  <c r="F4941" i="5"/>
  <c r="G4941" i="5" s="1"/>
  <c r="F4942" i="5"/>
  <c r="G4942" i="5" s="1"/>
  <c r="F4943" i="5"/>
  <c r="G4943" i="5" s="1"/>
  <c r="F4944" i="5"/>
  <c r="G4944" i="5" s="1"/>
  <c r="F4945" i="5"/>
  <c r="G4945" i="5" s="1"/>
  <c r="F4946" i="5"/>
  <c r="G4946" i="5" s="1"/>
  <c r="F4947" i="5"/>
  <c r="G4947" i="5" s="1"/>
  <c r="F4948" i="5"/>
  <c r="G4948" i="5" s="1"/>
  <c r="F4949" i="5"/>
  <c r="G4949" i="5" s="1"/>
  <c r="F4950" i="5"/>
  <c r="G4950" i="5" s="1"/>
  <c r="F4951" i="5"/>
  <c r="G4951" i="5" s="1"/>
  <c r="F4952" i="5"/>
  <c r="G4952" i="5" s="1"/>
  <c r="F4953" i="5"/>
  <c r="G4953" i="5" s="1"/>
  <c r="F4954" i="5"/>
  <c r="G4954" i="5" s="1"/>
  <c r="F4955" i="5"/>
  <c r="G4955" i="5" s="1"/>
  <c r="F4956" i="5"/>
  <c r="G4956" i="5" s="1"/>
  <c r="F4957" i="5"/>
  <c r="G4957" i="5" s="1"/>
  <c r="F4958" i="5"/>
  <c r="G4958" i="5" s="1"/>
  <c r="F4959" i="5"/>
  <c r="G4959" i="5" s="1"/>
  <c r="F4960" i="5"/>
  <c r="G4960" i="5" s="1"/>
  <c r="F4961" i="5"/>
  <c r="G4961" i="5" s="1"/>
  <c r="F4962" i="5"/>
  <c r="G4962" i="5" s="1"/>
  <c r="F4963" i="5"/>
  <c r="G4963" i="5" s="1"/>
  <c r="F4964" i="5"/>
  <c r="G4964" i="5" s="1"/>
  <c r="F4965" i="5"/>
  <c r="G4965" i="5" s="1"/>
  <c r="F4966" i="5"/>
  <c r="G4966" i="5" s="1"/>
  <c r="F4967" i="5"/>
  <c r="G4967" i="5" s="1"/>
  <c r="F4968" i="5"/>
  <c r="G4968" i="5" s="1"/>
  <c r="F4969" i="5"/>
  <c r="G4969" i="5" s="1"/>
  <c r="F4970" i="5"/>
  <c r="G4970" i="5" s="1"/>
  <c r="F4971" i="5"/>
  <c r="G4971" i="5" s="1"/>
  <c r="F4972" i="5"/>
  <c r="G4972" i="5" s="1"/>
  <c r="F4973" i="5"/>
  <c r="G4973" i="5" s="1"/>
  <c r="F4974" i="5"/>
  <c r="G4974" i="5" s="1"/>
  <c r="F4975" i="5"/>
  <c r="G4975" i="5" s="1"/>
  <c r="F4976" i="5"/>
  <c r="G4976" i="5" s="1"/>
  <c r="F4977" i="5"/>
  <c r="G4977" i="5" s="1"/>
  <c r="F4978" i="5"/>
  <c r="G4978" i="5" s="1"/>
  <c r="F4979" i="5"/>
  <c r="G4979" i="5" s="1"/>
  <c r="F4980" i="5"/>
  <c r="G4980" i="5" s="1"/>
  <c r="F4981" i="5"/>
  <c r="G4981" i="5" s="1"/>
  <c r="F4982" i="5"/>
  <c r="G4982" i="5" s="1"/>
  <c r="F4983" i="5"/>
  <c r="G4983" i="5" s="1"/>
  <c r="F4984" i="5"/>
  <c r="G4984" i="5" s="1"/>
  <c r="F4985" i="5"/>
  <c r="G4985" i="5" s="1"/>
  <c r="F4986" i="5"/>
  <c r="G4986" i="5" s="1"/>
  <c r="F4987" i="5"/>
  <c r="G4987" i="5" s="1"/>
  <c r="F4988" i="5"/>
  <c r="G4988" i="5" s="1"/>
  <c r="F4989" i="5"/>
  <c r="G4989" i="5" s="1"/>
  <c r="F4990" i="5"/>
  <c r="G4990" i="5" s="1"/>
  <c r="F4991" i="5"/>
  <c r="G4991" i="5" s="1"/>
  <c r="F4992" i="5"/>
  <c r="G4992" i="5" s="1"/>
  <c r="F4993" i="5"/>
  <c r="G4993" i="5" s="1"/>
  <c r="F4994" i="5"/>
  <c r="G4994" i="5" s="1"/>
  <c r="F4995" i="5"/>
  <c r="G4995" i="5" s="1"/>
  <c r="F4996" i="5"/>
  <c r="G4996" i="5" s="1"/>
  <c r="F4997" i="5"/>
  <c r="G4997" i="5" s="1"/>
  <c r="F4998" i="5"/>
  <c r="G4998" i="5" s="1"/>
  <c r="F4999" i="5"/>
  <c r="G4999" i="5" s="1"/>
  <c r="F5000" i="5"/>
  <c r="G5000" i="5" s="1"/>
  <c r="F5001" i="5"/>
  <c r="G5001" i="5" s="1"/>
  <c r="F5002" i="5"/>
  <c r="G5002" i="5" s="1"/>
  <c r="F5003" i="5"/>
  <c r="G5003" i="5" s="1"/>
  <c r="F5004" i="5"/>
  <c r="G5004" i="5" s="1"/>
  <c r="F5005" i="5"/>
  <c r="G5005" i="5" s="1"/>
  <c r="F5006" i="5"/>
  <c r="G5006" i="5" s="1"/>
  <c r="F5007" i="5"/>
  <c r="G5007" i="5" s="1"/>
  <c r="F5008" i="5"/>
  <c r="G5008" i="5" s="1"/>
  <c r="F5009" i="5"/>
  <c r="G5009" i="5" s="1"/>
  <c r="F5010" i="5"/>
  <c r="G5010" i="5" s="1"/>
  <c r="F5011" i="5"/>
  <c r="G5011" i="5" s="1"/>
  <c r="F5012" i="5"/>
  <c r="G5012" i="5" s="1"/>
  <c r="F5013" i="5"/>
  <c r="G5013" i="5" s="1"/>
  <c r="F5014" i="5"/>
  <c r="G5014" i="5" s="1"/>
  <c r="F5015" i="5"/>
  <c r="G5015" i="5" s="1"/>
  <c r="F5016" i="5"/>
  <c r="G5016" i="5" s="1"/>
  <c r="F5017" i="5"/>
  <c r="G5017" i="5" s="1"/>
  <c r="F5018" i="5"/>
  <c r="G5018" i="5" s="1"/>
  <c r="F5019" i="5"/>
  <c r="G5019" i="5" s="1"/>
  <c r="F5020" i="5"/>
  <c r="G5020" i="5" s="1"/>
  <c r="F5021" i="5"/>
  <c r="G5021" i="5" s="1"/>
  <c r="F5022" i="5"/>
  <c r="G5022" i="5" s="1"/>
  <c r="F5023" i="5"/>
  <c r="G5023" i="5" s="1"/>
  <c r="F5024" i="5"/>
  <c r="G5024" i="5" s="1"/>
  <c r="F5025" i="5"/>
  <c r="G5025" i="5" s="1"/>
  <c r="F5026" i="5"/>
  <c r="G5026" i="5" s="1"/>
  <c r="F5027" i="5"/>
  <c r="G5027" i="5" s="1"/>
  <c r="F5028" i="5"/>
  <c r="G5028" i="5" s="1"/>
  <c r="F5029" i="5"/>
  <c r="G5029" i="5" s="1"/>
  <c r="F5030" i="5"/>
  <c r="G5030" i="5" s="1"/>
  <c r="F5031" i="5"/>
  <c r="G5031" i="5" s="1"/>
  <c r="F5032" i="5"/>
  <c r="G5032" i="5" s="1"/>
  <c r="F5033" i="5"/>
  <c r="G5033" i="5" s="1"/>
  <c r="F5034" i="5"/>
  <c r="G5034" i="5" s="1"/>
  <c r="F5035" i="5"/>
  <c r="G5035" i="5" s="1"/>
  <c r="F5036" i="5"/>
  <c r="G5036" i="5" s="1"/>
  <c r="F5037" i="5"/>
  <c r="G5037" i="5" s="1"/>
  <c r="F5038" i="5"/>
  <c r="G5038" i="5" s="1"/>
  <c r="F5039" i="5"/>
  <c r="G5039" i="5" s="1"/>
  <c r="F5040" i="5"/>
  <c r="G5040" i="5" s="1"/>
  <c r="F5041" i="5"/>
  <c r="G5041" i="5" s="1"/>
  <c r="F5042" i="5"/>
  <c r="G5042" i="5" s="1"/>
  <c r="F5043" i="5"/>
  <c r="G5043" i="5" s="1"/>
  <c r="F5044" i="5"/>
  <c r="G5044" i="5" s="1"/>
  <c r="F5045" i="5"/>
  <c r="G5045" i="5" s="1"/>
  <c r="F5046" i="5"/>
  <c r="G5046" i="5" s="1"/>
  <c r="F5047" i="5"/>
  <c r="G5047" i="5" s="1"/>
  <c r="F5048" i="5"/>
  <c r="G5048" i="5" s="1"/>
  <c r="F5049" i="5"/>
  <c r="G5049" i="5" s="1"/>
  <c r="F5050" i="5"/>
  <c r="G5050" i="5" s="1"/>
  <c r="F5051" i="5"/>
  <c r="G5051" i="5" s="1"/>
  <c r="F5052" i="5"/>
  <c r="G5052" i="5" s="1"/>
  <c r="F5053" i="5"/>
  <c r="G5053" i="5" s="1"/>
  <c r="F5054" i="5"/>
  <c r="G5054" i="5" s="1"/>
  <c r="F5055" i="5"/>
  <c r="G5055" i="5" s="1"/>
  <c r="F5056" i="5"/>
  <c r="G5056" i="5" s="1"/>
  <c r="F5057" i="5"/>
  <c r="G5057" i="5" s="1"/>
  <c r="F5058" i="5"/>
  <c r="G5058" i="5" s="1"/>
  <c r="F5059" i="5"/>
  <c r="G5059" i="5" s="1"/>
  <c r="F5060" i="5"/>
  <c r="G5060" i="5" s="1"/>
  <c r="F5061" i="5"/>
  <c r="G5061" i="5" s="1"/>
  <c r="F5062" i="5"/>
  <c r="G5062" i="5" s="1"/>
  <c r="F5063" i="5"/>
  <c r="G5063" i="5" s="1"/>
  <c r="F5064" i="5"/>
  <c r="G5064" i="5" s="1"/>
  <c r="F5065" i="5"/>
  <c r="G5065" i="5" s="1"/>
  <c r="F5066" i="5"/>
  <c r="G5066" i="5" s="1"/>
  <c r="F5067" i="5"/>
  <c r="G5067" i="5" s="1"/>
  <c r="F5068" i="5"/>
  <c r="G5068" i="5" s="1"/>
  <c r="F5069" i="5"/>
  <c r="G5069" i="5" s="1"/>
  <c r="F5070" i="5"/>
  <c r="G5070" i="5" s="1"/>
  <c r="F5071" i="5"/>
  <c r="G5071" i="5" s="1"/>
  <c r="F5072" i="5"/>
  <c r="G5072" i="5" s="1"/>
  <c r="F5073" i="5"/>
  <c r="G5073" i="5" s="1"/>
  <c r="F5074" i="5"/>
  <c r="G5074" i="5" s="1"/>
  <c r="F5075" i="5"/>
  <c r="G5075" i="5" s="1"/>
  <c r="F5076" i="5"/>
  <c r="G5076" i="5" s="1"/>
  <c r="F5077" i="5"/>
  <c r="G5077" i="5" s="1"/>
  <c r="F5078" i="5"/>
  <c r="G5078" i="5" s="1"/>
  <c r="F5079" i="5"/>
  <c r="G5079" i="5" s="1"/>
  <c r="F5080" i="5"/>
  <c r="G5080" i="5" s="1"/>
  <c r="F5081" i="5"/>
  <c r="G5081" i="5" s="1"/>
  <c r="F5082" i="5"/>
  <c r="G5082" i="5" s="1"/>
  <c r="F5083" i="5"/>
  <c r="G5083" i="5" s="1"/>
  <c r="F5084" i="5"/>
  <c r="G5084" i="5" s="1"/>
  <c r="F5085" i="5"/>
  <c r="G5085" i="5" s="1"/>
  <c r="F5086" i="5"/>
  <c r="G5086" i="5" s="1"/>
  <c r="F5087" i="5"/>
  <c r="G5087" i="5" s="1"/>
  <c r="F5088" i="5"/>
  <c r="G5088" i="5" s="1"/>
  <c r="F5089" i="5"/>
  <c r="G5089" i="5" s="1"/>
  <c r="F5090" i="5"/>
  <c r="G5090" i="5" s="1"/>
  <c r="F5091" i="5"/>
  <c r="G5091" i="5" s="1"/>
  <c r="F5092" i="5"/>
  <c r="G5092" i="5" s="1"/>
  <c r="F5093" i="5"/>
  <c r="G5093" i="5" s="1"/>
  <c r="F5094" i="5"/>
  <c r="G5094" i="5" s="1"/>
  <c r="F5095" i="5"/>
  <c r="G5095" i="5" s="1"/>
  <c r="F5096" i="5"/>
  <c r="G5096" i="5" s="1"/>
  <c r="F5097" i="5"/>
  <c r="G5097" i="5" s="1"/>
  <c r="F5098" i="5"/>
  <c r="G5098" i="5" s="1"/>
  <c r="F5099" i="5"/>
  <c r="G5099" i="5" s="1"/>
  <c r="F5100" i="5"/>
  <c r="G5100" i="5" s="1"/>
  <c r="F5101" i="5"/>
  <c r="G5101" i="5" s="1"/>
  <c r="F5102" i="5"/>
  <c r="G5102" i="5" s="1"/>
  <c r="F5103" i="5"/>
  <c r="G5103" i="5" s="1"/>
  <c r="F5104" i="5"/>
  <c r="G5104" i="5" s="1"/>
  <c r="F5105" i="5"/>
  <c r="G5105" i="5" s="1"/>
  <c r="F5106" i="5"/>
  <c r="G5106" i="5" s="1"/>
  <c r="F5107" i="5"/>
  <c r="G5107" i="5" s="1"/>
  <c r="F5108" i="5"/>
  <c r="G5108" i="5" s="1"/>
  <c r="F5109" i="5"/>
  <c r="G5109" i="5" s="1"/>
  <c r="F5110" i="5"/>
  <c r="G5110" i="5" s="1"/>
  <c r="F5111" i="5"/>
  <c r="G5111" i="5" s="1"/>
  <c r="F5112" i="5"/>
  <c r="G5112" i="5" s="1"/>
  <c r="F5113" i="5"/>
  <c r="G5113" i="5" s="1"/>
  <c r="F5114" i="5"/>
  <c r="G5114" i="5" s="1"/>
  <c r="F5115" i="5"/>
  <c r="G5115" i="5" s="1"/>
  <c r="F5116" i="5"/>
  <c r="G5116" i="5" s="1"/>
  <c r="F5117" i="5"/>
  <c r="G5117" i="5" s="1"/>
  <c r="F5118" i="5"/>
  <c r="G5118" i="5" s="1"/>
  <c r="F5119" i="5"/>
  <c r="G5119" i="5" s="1"/>
  <c r="F5120" i="5"/>
  <c r="G5120" i="5" s="1"/>
  <c r="F5121" i="5"/>
  <c r="G5121" i="5" s="1"/>
  <c r="F5122" i="5"/>
  <c r="G5122" i="5" s="1"/>
  <c r="F5123" i="5"/>
  <c r="G5123" i="5" s="1"/>
  <c r="F5124" i="5"/>
  <c r="G5124" i="5" s="1"/>
  <c r="F5125" i="5"/>
  <c r="G5125" i="5" s="1"/>
  <c r="F5126" i="5"/>
  <c r="G5126" i="5" s="1"/>
  <c r="F5127" i="5"/>
  <c r="G5127" i="5" s="1"/>
  <c r="F5128" i="5"/>
  <c r="G5128" i="5" s="1"/>
  <c r="F5129" i="5"/>
  <c r="G5129" i="5" s="1"/>
  <c r="F5130" i="5"/>
  <c r="G5130" i="5" s="1"/>
  <c r="F5131" i="5"/>
  <c r="G5131" i="5" s="1"/>
  <c r="F5132" i="5"/>
  <c r="G5132" i="5" s="1"/>
  <c r="F5133" i="5"/>
  <c r="G5133" i="5" s="1"/>
  <c r="F5134" i="5"/>
  <c r="G5134" i="5" s="1"/>
  <c r="F5135" i="5"/>
  <c r="G5135" i="5" s="1"/>
  <c r="F5136" i="5"/>
  <c r="G5136" i="5" s="1"/>
  <c r="F5137" i="5"/>
  <c r="G5137" i="5" s="1"/>
  <c r="F5138" i="5"/>
  <c r="G5138" i="5" s="1"/>
  <c r="F5139" i="5"/>
  <c r="G5139" i="5" s="1"/>
  <c r="F5140" i="5"/>
  <c r="G5140" i="5" s="1"/>
  <c r="F5141" i="5"/>
  <c r="G5141" i="5" s="1"/>
  <c r="F5142" i="5"/>
  <c r="G5142" i="5" s="1"/>
  <c r="F5143" i="5"/>
  <c r="G5143" i="5" s="1"/>
  <c r="F5144" i="5"/>
  <c r="G5144" i="5" s="1"/>
  <c r="F5145" i="5"/>
  <c r="G5145" i="5" s="1"/>
  <c r="F5146" i="5"/>
  <c r="G5146" i="5" s="1"/>
  <c r="F5147" i="5"/>
  <c r="G5147" i="5" s="1"/>
  <c r="F5148" i="5"/>
  <c r="G5148" i="5" s="1"/>
  <c r="F5149" i="5"/>
  <c r="G5149" i="5" s="1"/>
  <c r="F5150" i="5"/>
  <c r="G5150" i="5" s="1"/>
  <c r="F5151" i="5"/>
  <c r="G5151" i="5" s="1"/>
  <c r="F5152" i="5"/>
  <c r="G5152" i="5" s="1"/>
  <c r="F5153" i="5"/>
  <c r="G5153" i="5" s="1"/>
  <c r="F5154" i="5"/>
  <c r="G5154" i="5" s="1"/>
  <c r="F5155" i="5"/>
  <c r="G5155" i="5" s="1"/>
  <c r="F5156" i="5"/>
  <c r="G5156" i="5" s="1"/>
  <c r="F5157" i="5"/>
  <c r="G5157" i="5" s="1"/>
  <c r="F5158" i="5"/>
  <c r="G5158" i="5" s="1"/>
  <c r="F5159" i="5"/>
  <c r="G5159" i="5" s="1"/>
  <c r="F5160" i="5"/>
  <c r="G5160" i="5" s="1"/>
  <c r="F5161" i="5"/>
  <c r="G5161" i="5" s="1"/>
  <c r="F5162" i="5"/>
  <c r="G5162" i="5" s="1"/>
  <c r="F5163" i="5"/>
  <c r="G5163" i="5" s="1"/>
  <c r="F5164" i="5"/>
  <c r="G5164" i="5" s="1"/>
  <c r="F5165" i="5"/>
  <c r="G5165" i="5" s="1"/>
  <c r="F5166" i="5"/>
  <c r="G5166" i="5" s="1"/>
  <c r="F5167" i="5"/>
  <c r="G5167" i="5" s="1"/>
  <c r="F5168" i="5"/>
  <c r="G5168" i="5" s="1"/>
  <c r="F5169" i="5"/>
  <c r="G5169" i="5" s="1"/>
  <c r="F5170" i="5"/>
  <c r="G5170" i="5" s="1"/>
  <c r="F5171" i="5"/>
  <c r="G5171" i="5" s="1"/>
  <c r="F5172" i="5"/>
  <c r="G5172" i="5" s="1"/>
  <c r="F5173" i="5"/>
  <c r="G5173" i="5" s="1"/>
  <c r="F5174" i="5"/>
  <c r="G5174" i="5" s="1"/>
  <c r="F5175" i="5"/>
  <c r="G5175" i="5" s="1"/>
  <c r="F5176" i="5"/>
  <c r="G5176" i="5" s="1"/>
  <c r="F5177" i="5"/>
  <c r="G5177" i="5" s="1"/>
  <c r="F5178" i="5"/>
  <c r="G5178" i="5" s="1"/>
  <c r="F5179" i="5"/>
  <c r="G5179" i="5" s="1"/>
  <c r="F5180" i="5"/>
  <c r="G5180" i="5" s="1"/>
  <c r="F5181" i="5"/>
  <c r="G5181" i="5" s="1"/>
  <c r="F5182" i="5"/>
  <c r="G5182" i="5" s="1"/>
  <c r="F5183" i="5"/>
  <c r="G5183" i="5" s="1"/>
  <c r="F5184" i="5"/>
  <c r="G5184" i="5" s="1"/>
  <c r="F5185" i="5"/>
  <c r="G5185" i="5" s="1"/>
  <c r="F5186" i="5"/>
  <c r="G5186" i="5" s="1"/>
  <c r="F5187" i="5"/>
  <c r="G5187" i="5" s="1"/>
  <c r="F5188" i="5"/>
  <c r="G5188" i="5" s="1"/>
  <c r="F5189" i="5"/>
  <c r="G5189" i="5" s="1"/>
  <c r="F5190" i="5"/>
  <c r="G5190" i="5" s="1"/>
  <c r="F5191" i="5"/>
  <c r="G5191" i="5" s="1"/>
  <c r="F5192" i="5"/>
  <c r="G5192" i="5" s="1"/>
  <c r="F5193" i="5"/>
  <c r="G5193" i="5" s="1"/>
  <c r="F5194" i="5"/>
  <c r="G5194" i="5" s="1"/>
  <c r="F5195" i="5"/>
  <c r="G5195" i="5" s="1"/>
  <c r="F5196" i="5"/>
  <c r="G5196" i="5" s="1"/>
  <c r="F5197" i="5"/>
  <c r="G5197" i="5" s="1"/>
  <c r="F5198" i="5"/>
  <c r="G5198" i="5" s="1"/>
  <c r="F5199" i="5"/>
  <c r="G5199" i="5" s="1"/>
  <c r="F5200" i="5"/>
  <c r="G5200" i="5" s="1"/>
  <c r="F5201" i="5"/>
  <c r="G5201" i="5" s="1"/>
  <c r="F5202" i="5"/>
  <c r="G5202" i="5" s="1"/>
  <c r="F5203" i="5"/>
  <c r="G5203" i="5" s="1"/>
  <c r="F5204" i="5"/>
  <c r="G5204" i="5" s="1"/>
  <c r="F5205" i="5"/>
  <c r="G5205" i="5" s="1"/>
  <c r="F5206" i="5"/>
  <c r="G5206" i="5" s="1"/>
  <c r="F5207" i="5"/>
  <c r="G5207" i="5" s="1"/>
  <c r="F5208" i="5"/>
  <c r="G5208" i="5" s="1"/>
  <c r="F5209" i="5"/>
  <c r="G5209" i="5" s="1"/>
  <c r="F5210" i="5"/>
  <c r="G5210" i="5" s="1"/>
  <c r="F5211" i="5"/>
  <c r="G5211" i="5" s="1"/>
  <c r="F5212" i="5"/>
  <c r="G5212" i="5" s="1"/>
  <c r="F5213" i="5"/>
  <c r="G5213" i="5" s="1"/>
  <c r="F5214" i="5"/>
  <c r="G5214" i="5" s="1"/>
  <c r="F5215" i="5"/>
  <c r="G5215" i="5" s="1"/>
  <c r="F5216" i="5"/>
  <c r="G5216" i="5" s="1"/>
  <c r="F5217" i="5"/>
  <c r="G5217" i="5" s="1"/>
  <c r="F5218" i="5"/>
  <c r="G5218" i="5" s="1"/>
  <c r="F5219" i="5"/>
  <c r="G5219" i="5" s="1"/>
  <c r="F5220" i="5"/>
  <c r="G5220" i="5" s="1"/>
  <c r="F5221" i="5"/>
  <c r="G5221" i="5" s="1"/>
  <c r="F5222" i="5"/>
  <c r="G5222" i="5" s="1"/>
  <c r="F5223" i="5"/>
  <c r="G5223" i="5" s="1"/>
  <c r="F5224" i="5"/>
  <c r="G5224" i="5" s="1"/>
  <c r="F5225" i="5"/>
  <c r="G5225" i="5" s="1"/>
  <c r="F5226" i="5"/>
  <c r="G5226" i="5" s="1"/>
  <c r="F5227" i="5"/>
  <c r="G5227" i="5" s="1"/>
  <c r="F5228" i="5"/>
  <c r="G5228" i="5" s="1"/>
  <c r="F5229" i="5"/>
  <c r="G5229" i="5" s="1"/>
  <c r="F5230" i="5"/>
  <c r="G5230" i="5" s="1"/>
  <c r="F5231" i="5"/>
  <c r="G5231" i="5" s="1"/>
  <c r="F5232" i="5"/>
  <c r="G5232" i="5" s="1"/>
  <c r="F5233" i="5"/>
  <c r="G5233" i="5" s="1"/>
  <c r="F5234" i="5"/>
  <c r="G5234" i="5" s="1"/>
  <c r="F5235" i="5"/>
  <c r="G5235" i="5" s="1"/>
  <c r="F5236" i="5"/>
  <c r="G5236" i="5" s="1"/>
  <c r="F5237" i="5"/>
  <c r="G5237" i="5" s="1"/>
  <c r="F5238" i="5"/>
  <c r="G5238" i="5" s="1"/>
  <c r="F5239" i="5"/>
  <c r="G5239" i="5" s="1"/>
  <c r="F5240" i="5"/>
  <c r="G5240" i="5" s="1"/>
  <c r="F5241" i="5"/>
  <c r="G5241" i="5" s="1"/>
  <c r="F5242" i="5"/>
  <c r="G5242" i="5" s="1"/>
  <c r="F5243" i="5"/>
  <c r="G5243" i="5" s="1"/>
  <c r="F5244" i="5"/>
  <c r="G5244" i="5" s="1"/>
  <c r="F5245" i="5"/>
  <c r="G5245" i="5" s="1"/>
  <c r="F5246" i="5"/>
  <c r="G5246" i="5" s="1"/>
  <c r="F5247" i="5"/>
  <c r="G5247" i="5" s="1"/>
  <c r="F5248" i="5"/>
  <c r="G5248" i="5" s="1"/>
  <c r="F5249" i="5"/>
  <c r="G5249" i="5" s="1"/>
  <c r="F5250" i="5"/>
  <c r="G5250" i="5" s="1"/>
  <c r="F5251" i="5"/>
  <c r="G5251" i="5" s="1"/>
  <c r="F5252" i="5"/>
  <c r="G5252" i="5" s="1"/>
  <c r="F5253" i="5"/>
  <c r="G5253" i="5" s="1"/>
  <c r="F5254" i="5"/>
  <c r="G5254" i="5" s="1"/>
  <c r="F5255" i="5"/>
  <c r="G5255" i="5" s="1"/>
  <c r="F5256" i="5"/>
  <c r="G5256" i="5" s="1"/>
  <c r="F5257" i="5"/>
  <c r="G5257" i="5" s="1"/>
  <c r="F5258" i="5"/>
  <c r="G5258" i="5" s="1"/>
  <c r="F5259" i="5"/>
  <c r="G5259" i="5" s="1"/>
  <c r="F5260" i="5"/>
  <c r="G5260" i="5" s="1"/>
  <c r="F5261" i="5"/>
  <c r="G5261" i="5" s="1"/>
  <c r="F5262" i="5"/>
  <c r="G5262" i="5" s="1"/>
  <c r="F5263" i="5"/>
  <c r="G5263" i="5" s="1"/>
  <c r="F5264" i="5"/>
  <c r="G5264" i="5" s="1"/>
  <c r="F5265" i="5"/>
  <c r="G5265" i="5" s="1"/>
  <c r="F5266" i="5"/>
  <c r="G5266" i="5" s="1"/>
  <c r="F5267" i="5"/>
  <c r="G5267" i="5" s="1"/>
  <c r="F5268" i="5"/>
  <c r="G5268" i="5" s="1"/>
  <c r="F5269" i="5"/>
  <c r="G5269" i="5" s="1"/>
  <c r="F5270" i="5"/>
  <c r="G5270" i="5" s="1"/>
  <c r="F5271" i="5"/>
  <c r="G5271" i="5" s="1"/>
  <c r="F5272" i="5"/>
  <c r="G5272" i="5" s="1"/>
  <c r="F5273" i="5"/>
  <c r="G5273" i="5" s="1"/>
  <c r="F5274" i="5"/>
  <c r="G5274" i="5" s="1"/>
  <c r="F5275" i="5"/>
  <c r="G5275" i="5" s="1"/>
  <c r="F5276" i="5"/>
  <c r="G5276" i="5" s="1"/>
  <c r="F5277" i="5"/>
  <c r="G5277" i="5" s="1"/>
  <c r="F5278" i="5"/>
  <c r="G5278" i="5" s="1"/>
  <c r="F5279" i="5"/>
  <c r="G5279" i="5" s="1"/>
  <c r="F5280" i="5"/>
  <c r="G5280" i="5" s="1"/>
  <c r="F5281" i="5"/>
  <c r="G5281" i="5" s="1"/>
  <c r="F5282" i="5"/>
  <c r="G5282" i="5" s="1"/>
  <c r="F5283" i="5"/>
  <c r="G5283" i="5" s="1"/>
  <c r="F5284" i="5"/>
  <c r="G5284" i="5" s="1"/>
  <c r="F5285" i="5"/>
  <c r="G5285" i="5" s="1"/>
  <c r="F5286" i="5"/>
  <c r="G5286" i="5" s="1"/>
  <c r="F5287" i="5"/>
  <c r="G5287" i="5" s="1"/>
  <c r="F5288" i="5"/>
  <c r="G5288" i="5" s="1"/>
  <c r="F5289" i="5"/>
  <c r="G5289" i="5" s="1"/>
  <c r="F5290" i="5"/>
  <c r="G5290" i="5" s="1"/>
  <c r="F5291" i="5"/>
  <c r="G5291" i="5" s="1"/>
  <c r="F5292" i="5"/>
  <c r="G5292" i="5" s="1"/>
  <c r="F5293" i="5"/>
  <c r="G5293" i="5" s="1"/>
  <c r="F5294" i="5"/>
  <c r="G5294" i="5" s="1"/>
  <c r="F5295" i="5"/>
  <c r="G5295" i="5" s="1"/>
  <c r="F5296" i="5"/>
  <c r="G5296" i="5" s="1"/>
  <c r="F5297" i="5"/>
  <c r="G5297" i="5" s="1"/>
  <c r="F5298" i="5"/>
  <c r="G5298" i="5" s="1"/>
  <c r="F5299" i="5"/>
  <c r="G5299" i="5" s="1"/>
  <c r="F5300" i="5"/>
  <c r="G5300" i="5" s="1"/>
  <c r="F5301" i="5"/>
  <c r="G5301" i="5" s="1"/>
  <c r="F5302" i="5"/>
  <c r="G5302" i="5" s="1"/>
  <c r="F5303" i="5"/>
  <c r="G5303" i="5" s="1"/>
  <c r="F5304" i="5"/>
  <c r="G5304" i="5" s="1"/>
  <c r="F5305" i="5"/>
  <c r="G5305" i="5" s="1"/>
  <c r="F5306" i="5"/>
  <c r="G5306" i="5" s="1"/>
  <c r="F5307" i="5"/>
  <c r="G5307" i="5" s="1"/>
  <c r="F5308" i="5"/>
  <c r="G5308" i="5" s="1"/>
  <c r="F5309" i="5"/>
  <c r="G5309" i="5" s="1"/>
  <c r="F5310" i="5"/>
  <c r="G5310" i="5" s="1"/>
  <c r="F5311" i="5"/>
  <c r="G5311" i="5" s="1"/>
  <c r="F5312" i="5"/>
  <c r="G5312" i="5" s="1"/>
  <c r="F5313" i="5"/>
  <c r="G5313" i="5" s="1"/>
  <c r="F5314" i="5"/>
  <c r="G5314" i="5" s="1"/>
  <c r="F5315" i="5"/>
  <c r="G5315" i="5" s="1"/>
  <c r="F5316" i="5"/>
  <c r="G5316" i="5" s="1"/>
  <c r="F5317" i="5"/>
  <c r="G5317" i="5" s="1"/>
  <c r="F5318" i="5"/>
  <c r="G5318" i="5" s="1"/>
  <c r="F5319" i="5"/>
  <c r="G5319" i="5" s="1"/>
  <c r="F5320" i="5"/>
  <c r="G5320" i="5" s="1"/>
  <c r="F5321" i="5"/>
  <c r="G5321" i="5" s="1"/>
  <c r="F5322" i="5"/>
  <c r="G5322" i="5" s="1"/>
  <c r="F5323" i="5"/>
  <c r="G5323" i="5" s="1"/>
  <c r="F5324" i="5"/>
  <c r="G5324" i="5" s="1"/>
  <c r="F5325" i="5"/>
  <c r="G5325" i="5" s="1"/>
  <c r="F5326" i="5"/>
  <c r="G5326" i="5" s="1"/>
  <c r="F5327" i="5"/>
  <c r="G5327" i="5" s="1"/>
  <c r="F5328" i="5"/>
  <c r="G5328" i="5" s="1"/>
  <c r="F5329" i="5"/>
  <c r="G5329" i="5" s="1"/>
  <c r="F5330" i="5"/>
  <c r="G5330" i="5" s="1"/>
  <c r="F5331" i="5"/>
  <c r="G5331" i="5" s="1"/>
  <c r="F5332" i="5"/>
  <c r="G5332" i="5" s="1"/>
  <c r="F5333" i="5"/>
  <c r="G5333" i="5" s="1"/>
  <c r="F5334" i="5"/>
  <c r="G5334" i="5" s="1"/>
  <c r="F5335" i="5"/>
  <c r="G5335" i="5" s="1"/>
  <c r="F5336" i="5"/>
  <c r="G5336" i="5" s="1"/>
  <c r="F5337" i="5"/>
  <c r="G5337" i="5" s="1"/>
  <c r="F5338" i="5"/>
  <c r="G5338" i="5" s="1"/>
  <c r="F5339" i="5"/>
  <c r="G5339" i="5" s="1"/>
  <c r="F5340" i="5"/>
  <c r="G5340" i="5" s="1"/>
  <c r="F5341" i="5"/>
  <c r="G5341" i="5" s="1"/>
  <c r="F5342" i="5"/>
  <c r="G5342" i="5" s="1"/>
  <c r="F5343" i="5"/>
  <c r="G5343" i="5" s="1"/>
  <c r="F5344" i="5"/>
  <c r="G5344" i="5" s="1"/>
  <c r="F5345" i="5"/>
  <c r="G5345" i="5" s="1"/>
  <c r="F5346" i="5"/>
  <c r="G5346" i="5" s="1"/>
  <c r="F5347" i="5"/>
  <c r="G5347" i="5" s="1"/>
  <c r="F5348" i="5"/>
  <c r="G5348" i="5" s="1"/>
  <c r="F5349" i="5"/>
  <c r="G5349" i="5" s="1"/>
  <c r="F5350" i="5"/>
  <c r="G5350" i="5" s="1"/>
  <c r="F5351" i="5"/>
  <c r="G5351" i="5" s="1"/>
  <c r="F5352" i="5"/>
  <c r="G5352" i="5" s="1"/>
  <c r="F5353" i="5"/>
  <c r="G5353" i="5" s="1"/>
  <c r="F5354" i="5"/>
  <c r="G5354" i="5" s="1"/>
  <c r="F5355" i="5"/>
  <c r="G5355" i="5" s="1"/>
  <c r="F5356" i="5"/>
  <c r="G5356" i="5" s="1"/>
  <c r="F5357" i="5"/>
  <c r="G5357" i="5" s="1"/>
  <c r="F5358" i="5"/>
  <c r="G5358" i="5" s="1"/>
  <c r="F5359" i="5"/>
  <c r="G5359" i="5" s="1"/>
  <c r="F5360" i="5"/>
  <c r="G5360" i="5" s="1"/>
  <c r="F5361" i="5"/>
  <c r="G5361" i="5" s="1"/>
  <c r="F5362" i="5"/>
  <c r="G5362" i="5" s="1"/>
  <c r="F5363" i="5"/>
  <c r="G5363" i="5" s="1"/>
  <c r="F5364" i="5"/>
  <c r="G5364" i="5" s="1"/>
  <c r="F5365" i="5"/>
  <c r="G5365" i="5" s="1"/>
  <c r="F5366" i="5"/>
  <c r="G5366" i="5" s="1"/>
  <c r="F5367" i="5"/>
  <c r="G5367" i="5" s="1"/>
  <c r="F5368" i="5"/>
  <c r="G5368" i="5" s="1"/>
  <c r="F5369" i="5"/>
  <c r="G5369" i="5" s="1"/>
  <c r="F5370" i="5"/>
  <c r="G5370" i="5" s="1"/>
  <c r="F5371" i="5"/>
  <c r="G5371" i="5" s="1"/>
  <c r="F5372" i="5"/>
  <c r="G5372" i="5" s="1"/>
  <c r="F5373" i="5"/>
  <c r="G5373" i="5" s="1"/>
  <c r="F5374" i="5"/>
  <c r="G5374" i="5" s="1"/>
  <c r="F5375" i="5"/>
  <c r="G5375" i="5" s="1"/>
  <c r="F5376" i="5"/>
  <c r="G5376" i="5" s="1"/>
  <c r="F5377" i="5"/>
  <c r="G5377" i="5" s="1"/>
  <c r="F5378" i="5"/>
  <c r="G5378" i="5" s="1"/>
  <c r="F5379" i="5"/>
  <c r="G5379" i="5" s="1"/>
  <c r="F5380" i="5"/>
  <c r="G5380" i="5" s="1"/>
  <c r="F5381" i="5"/>
  <c r="G5381" i="5" s="1"/>
  <c r="F5382" i="5"/>
  <c r="G5382" i="5" s="1"/>
  <c r="F5383" i="5"/>
  <c r="G5383" i="5" s="1"/>
  <c r="F5384" i="5"/>
  <c r="G5384" i="5" s="1"/>
  <c r="F5385" i="5"/>
  <c r="G5385" i="5" s="1"/>
  <c r="F5386" i="5"/>
  <c r="G5386" i="5" s="1"/>
  <c r="F5387" i="5"/>
  <c r="G5387" i="5" s="1"/>
  <c r="F5388" i="5"/>
  <c r="G5388" i="5" s="1"/>
  <c r="F5389" i="5"/>
  <c r="G5389" i="5" s="1"/>
  <c r="F5390" i="5"/>
  <c r="G5390" i="5" s="1"/>
  <c r="F5391" i="5"/>
  <c r="G5391" i="5" s="1"/>
  <c r="F5392" i="5"/>
  <c r="G5392" i="5" s="1"/>
  <c r="F5393" i="5"/>
  <c r="G5393" i="5" s="1"/>
  <c r="F5394" i="5"/>
  <c r="G5394" i="5" s="1"/>
  <c r="F5395" i="5"/>
  <c r="G5395" i="5" s="1"/>
  <c r="F5396" i="5"/>
  <c r="G5396" i="5" s="1"/>
  <c r="F5397" i="5"/>
  <c r="G5397" i="5" s="1"/>
  <c r="F5398" i="5"/>
  <c r="G5398" i="5" s="1"/>
  <c r="F5399" i="5"/>
  <c r="G5399" i="5" s="1"/>
  <c r="F5400" i="5"/>
  <c r="G5400" i="5" s="1"/>
  <c r="F5401" i="5"/>
  <c r="G5401" i="5" s="1"/>
  <c r="F5402" i="5"/>
  <c r="G5402" i="5" s="1"/>
  <c r="F5403" i="5"/>
  <c r="G5403" i="5" s="1"/>
  <c r="F5404" i="5"/>
  <c r="G5404" i="5" s="1"/>
  <c r="F5405" i="5"/>
  <c r="G5405" i="5" s="1"/>
  <c r="F5406" i="5"/>
  <c r="G5406" i="5" s="1"/>
  <c r="F5407" i="5"/>
  <c r="G5407" i="5" s="1"/>
  <c r="F5408" i="5"/>
  <c r="G5408" i="5" s="1"/>
  <c r="F5409" i="5"/>
  <c r="G5409" i="5" s="1"/>
  <c r="F5410" i="5"/>
  <c r="G5410" i="5" s="1"/>
  <c r="F5411" i="5"/>
  <c r="G5411" i="5" s="1"/>
  <c r="F5412" i="5"/>
  <c r="G5412" i="5" s="1"/>
  <c r="F5413" i="5"/>
  <c r="G5413" i="5" s="1"/>
  <c r="F5414" i="5"/>
  <c r="G5414" i="5" s="1"/>
  <c r="F5415" i="5"/>
  <c r="G5415" i="5" s="1"/>
  <c r="F5416" i="5"/>
  <c r="G5416" i="5" s="1"/>
  <c r="F5417" i="5"/>
  <c r="G5417" i="5" s="1"/>
  <c r="F5418" i="5"/>
  <c r="G5418" i="5" s="1"/>
  <c r="F5419" i="5"/>
  <c r="G5419" i="5" s="1"/>
  <c r="F5420" i="5"/>
  <c r="G5420" i="5" s="1"/>
  <c r="F5421" i="5"/>
  <c r="G5421" i="5" s="1"/>
  <c r="F5422" i="5"/>
  <c r="G5422" i="5" s="1"/>
  <c r="F5423" i="5"/>
  <c r="G5423" i="5" s="1"/>
  <c r="F5424" i="5"/>
  <c r="G5424" i="5" s="1"/>
  <c r="F5425" i="5"/>
  <c r="G5425" i="5" s="1"/>
  <c r="F5426" i="5"/>
  <c r="G5426" i="5" s="1"/>
  <c r="F5427" i="5"/>
  <c r="G5427" i="5" s="1"/>
  <c r="F5428" i="5"/>
  <c r="G5428" i="5" s="1"/>
  <c r="F5429" i="5"/>
  <c r="G5429" i="5" s="1"/>
  <c r="F5430" i="5"/>
  <c r="G5430" i="5" s="1"/>
  <c r="F5431" i="5"/>
  <c r="G5431" i="5" s="1"/>
  <c r="F5432" i="5"/>
  <c r="G5432" i="5" s="1"/>
  <c r="F5433" i="5"/>
  <c r="G5433" i="5" s="1"/>
  <c r="F5434" i="5"/>
  <c r="G5434" i="5" s="1"/>
  <c r="F5435" i="5"/>
  <c r="G5435" i="5" s="1"/>
  <c r="F5436" i="5"/>
  <c r="G5436" i="5" s="1"/>
  <c r="F5437" i="5"/>
  <c r="G5437" i="5" s="1"/>
  <c r="F5438" i="5"/>
  <c r="G5438" i="5" s="1"/>
  <c r="F5439" i="5"/>
  <c r="G5439" i="5" s="1"/>
  <c r="F5440" i="5"/>
  <c r="G5440" i="5" s="1"/>
  <c r="F5441" i="5"/>
  <c r="G5441" i="5" s="1"/>
  <c r="F5442" i="5"/>
  <c r="G5442" i="5" s="1"/>
  <c r="F5443" i="5"/>
  <c r="G5443" i="5" s="1"/>
  <c r="F5444" i="5"/>
  <c r="G5444" i="5" s="1"/>
  <c r="F5445" i="5"/>
  <c r="G5445" i="5" s="1"/>
  <c r="F5446" i="5"/>
  <c r="G5446" i="5" s="1"/>
  <c r="F5447" i="5"/>
  <c r="G5447" i="5" s="1"/>
  <c r="F5448" i="5"/>
  <c r="G5448" i="5" s="1"/>
  <c r="F5449" i="5"/>
  <c r="G5449" i="5" s="1"/>
  <c r="F5450" i="5"/>
  <c r="G5450" i="5" s="1"/>
  <c r="F5451" i="5"/>
  <c r="G5451" i="5" s="1"/>
  <c r="F5452" i="5"/>
  <c r="G5452" i="5" s="1"/>
  <c r="F5453" i="5"/>
  <c r="G5453" i="5" s="1"/>
  <c r="F5454" i="5"/>
  <c r="G5454" i="5" s="1"/>
  <c r="F5455" i="5"/>
  <c r="G5455" i="5" s="1"/>
  <c r="F5456" i="5"/>
  <c r="G5456" i="5" s="1"/>
  <c r="F5457" i="5"/>
  <c r="G5457" i="5" s="1"/>
  <c r="F5458" i="5"/>
  <c r="G5458" i="5" s="1"/>
  <c r="F5459" i="5"/>
  <c r="G5459" i="5" s="1"/>
  <c r="F5460" i="5"/>
  <c r="G5460" i="5" s="1"/>
  <c r="F5461" i="5"/>
  <c r="G5461" i="5" s="1"/>
  <c r="F5462" i="5"/>
  <c r="G5462" i="5" s="1"/>
  <c r="F5463" i="5"/>
  <c r="G5463" i="5" s="1"/>
  <c r="F5464" i="5"/>
  <c r="G5464" i="5" s="1"/>
  <c r="F5465" i="5"/>
  <c r="G5465" i="5" s="1"/>
  <c r="F5466" i="5"/>
  <c r="G5466" i="5" s="1"/>
  <c r="F5467" i="5"/>
  <c r="G5467" i="5" s="1"/>
  <c r="F5468" i="5"/>
  <c r="G5468" i="5" s="1"/>
  <c r="F5469" i="5"/>
  <c r="G5469" i="5" s="1"/>
  <c r="F5470" i="5"/>
  <c r="G5470" i="5" s="1"/>
  <c r="F5471" i="5"/>
  <c r="G5471" i="5" s="1"/>
  <c r="F5472" i="5"/>
  <c r="G5472" i="5" s="1"/>
  <c r="F5473" i="5"/>
  <c r="G5473" i="5" s="1"/>
  <c r="F5474" i="5"/>
  <c r="G5474" i="5" s="1"/>
  <c r="F5475" i="5"/>
  <c r="G5475" i="5" s="1"/>
  <c r="F5476" i="5"/>
  <c r="G5476" i="5" s="1"/>
  <c r="F5477" i="5"/>
  <c r="G5477" i="5" s="1"/>
  <c r="F5478" i="5"/>
  <c r="G5478" i="5" s="1"/>
  <c r="F5479" i="5"/>
  <c r="G5479" i="5" s="1"/>
  <c r="F5480" i="5"/>
  <c r="G5480" i="5" s="1"/>
  <c r="F5481" i="5"/>
  <c r="G5481" i="5" s="1"/>
  <c r="F5482" i="5"/>
  <c r="G5482" i="5" s="1"/>
  <c r="F5483" i="5"/>
  <c r="G5483" i="5" s="1"/>
  <c r="F5484" i="5"/>
  <c r="G5484" i="5" s="1"/>
  <c r="F5485" i="5"/>
  <c r="G5485" i="5" s="1"/>
  <c r="F5486" i="5"/>
  <c r="G5486" i="5" s="1"/>
  <c r="F5487" i="5"/>
  <c r="G5487" i="5" s="1"/>
  <c r="F5488" i="5"/>
  <c r="G5488" i="5" s="1"/>
  <c r="F5489" i="5"/>
  <c r="G5489" i="5" s="1"/>
  <c r="F5490" i="5"/>
  <c r="G5490" i="5" s="1"/>
  <c r="F5491" i="5"/>
  <c r="G5491" i="5" s="1"/>
  <c r="F5492" i="5"/>
  <c r="G5492" i="5" s="1"/>
  <c r="F5493" i="5"/>
  <c r="G5493" i="5" s="1"/>
  <c r="F5494" i="5"/>
  <c r="G5494" i="5" s="1"/>
  <c r="F5495" i="5"/>
  <c r="G5495" i="5" s="1"/>
  <c r="F5496" i="5"/>
  <c r="G5496" i="5" s="1"/>
  <c r="F5497" i="5"/>
  <c r="G5497" i="5" s="1"/>
  <c r="F5498" i="5"/>
  <c r="G5498" i="5" s="1"/>
  <c r="F5499" i="5"/>
  <c r="G5499" i="5" s="1"/>
  <c r="F5500" i="5"/>
  <c r="G5500" i="5" s="1"/>
  <c r="F5501" i="5"/>
  <c r="G5501" i="5" s="1"/>
  <c r="F5502" i="5"/>
  <c r="G5502" i="5" s="1"/>
  <c r="F5503" i="5"/>
  <c r="G5503" i="5" s="1"/>
  <c r="F5504" i="5"/>
  <c r="G5504" i="5" s="1"/>
  <c r="F5505" i="5"/>
  <c r="G5505" i="5" s="1"/>
  <c r="F5506" i="5"/>
  <c r="G5506" i="5" s="1"/>
  <c r="F5507" i="5"/>
  <c r="G5507" i="5" s="1"/>
  <c r="F5508" i="5"/>
  <c r="G5508" i="5" s="1"/>
  <c r="F5509" i="5"/>
  <c r="G5509" i="5" s="1"/>
  <c r="F5510" i="5"/>
  <c r="G5510" i="5" s="1"/>
  <c r="F5511" i="5"/>
  <c r="G5511" i="5" s="1"/>
  <c r="F5512" i="5"/>
  <c r="G5512" i="5" s="1"/>
  <c r="F5513" i="5"/>
  <c r="G5513" i="5" s="1"/>
  <c r="F5514" i="5"/>
  <c r="G5514" i="5" s="1"/>
  <c r="F5515" i="5"/>
  <c r="G5515" i="5" s="1"/>
  <c r="F5516" i="5"/>
  <c r="G5516" i="5" s="1"/>
  <c r="F5517" i="5"/>
  <c r="G5517" i="5" s="1"/>
  <c r="F5518" i="5"/>
  <c r="G5518" i="5" s="1"/>
  <c r="F5519" i="5"/>
  <c r="G5519" i="5" s="1"/>
  <c r="F5520" i="5"/>
  <c r="G5520" i="5" s="1"/>
  <c r="F5521" i="5"/>
  <c r="G5521" i="5" s="1"/>
  <c r="F5522" i="5"/>
  <c r="G5522" i="5" s="1"/>
  <c r="F5523" i="5"/>
  <c r="G5523" i="5" s="1"/>
  <c r="F5524" i="5"/>
  <c r="G5524" i="5" s="1"/>
  <c r="F5525" i="5"/>
  <c r="G5525" i="5" s="1"/>
  <c r="F5526" i="5"/>
  <c r="G5526" i="5" s="1"/>
  <c r="F5527" i="5"/>
  <c r="G5527" i="5" s="1"/>
  <c r="F5528" i="5"/>
  <c r="G5528" i="5" s="1"/>
  <c r="F5529" i="5"/>
  <c r="G5529" i="5" s="1"/>
  <c r="F5530" i="5"/>
  <c r="G5530" i="5" s="1"/>
  <c r="F5531" i="5"/>
  <c r="G5531" i="5" s="1"/>
  <c r="F5532" i="5"/>
  <c r="G5532" i="5" s="1"/>
  <c r="F5533" i="5"/>
  <c r="G5533" i="5" s="1"/>
  <c r="F5534" i="5"/>
  <c r="G5534" i="5" s="1"/>
  <c r="F5535" i="5"/>
  <c r="G5535" i="5" s="1"/>
  <c r="F5536" i="5"/>
  <c r="G5536" i="5" s="1"/>
  <c r="F5537" i="5"/>
  <c r="G5537" i="5" s="1"/>
  <c r="F5538" i="5"/>
  <c r="G5538" i="5" s="1"/>
  <c r="F5539" i="5"/>
  <c r="G5539" i="5" s="1"/>
  <c r="F5540" i="5"/>
  <c r="G5540" i="5" s="1"/>
  <c r="F5541" i="5"/>
  <c r="G5541" i="5" s="1"/>
  <c r="F5542" i="5"/>
  <c r="G5542" i="5" s="1"/>
  <c r="F5543" i="5"/>
  <c r="G5543" i="5" s="1"/>
  <c r="F5544" i="5"/>
  <c r="G5544" i="5" s="1"/>
  <c r="F5545" i="5"/>
  <c r="G5545" i="5" s="1"/>
  <c r="F5546" i="5"/>
  <c r="G5546" i="5" s="1"/>
  <c r="F5547" i="5"/>
  <c r="G5547" i="5" s="1"/>
  <c r="F5548" i="5"/>
  <c r="G5548" i="5" s="1"/>
  <c r="F5549" i="5"/>
  <c r="G5549" i="5" s="1"/>
  <c r="F5550" i="5"/>
  <c r="G5550" i="5" s="1"/>
  <c r="F5551" i="5"/>
  <c r="G5551" i="5" s="1"/>
  <c r="F5552" i="5"/>
  <c r="G5552" i="5" s="1"/>
  <c r="F5553" i="5"/>
  <c r="G5553" i="5" s="1"/>
  <c r="F5554" i="5"/>
  <c r="G5554" i="5" s="1"/>
  <c r="F5555" i="5"/>
  <c r="G5555" i="5" s="1"/>
  <c r="F5556" i="5"/>
  <c r="G5556" i="5" s="1"/>
  <c r="F5557" i="5"/>
  <c r="G5557" i="5" s="1"/>
  <c r="F5558" i="5"/>
  <c r="G5558" i="5" s="1"/>
  <c r="F5559" i="5"/>
  <c r="G5559" i="5" s="1"/>
  <c r="F5560" i="5"/>
  <c r="G5560" i="5" s="1"/>
  <c r="F5561" i="5"/>
  <c r="G5561" i="5" s="1"/>
  <c r="F5562" i="5"/>
  <c r="G5562" i="5" s="1"/>
  <c r="F5563" i="5"/>
  <c r="G5563" i="5" s="1"/>
  <c r="F5564" i="5"/>
  <c r="G5564" i="5" s="1"/>
  <c r="F5565" i="5"/>
  <c r="G5565" i="5" s="1"/>
  <c r="F5566" i="5"/>
  <c r="G5566" i="5" s="1"/>
  <c r="F5567" i="5"/>
  <c r="G5567" i="5" s="1"/>
  <c r="F5568" i="5"/>
  <c r="G5568" i="5" s="1"/>
  <c r="F5569" i="5"/>
  <c r="G5569" i="5" s="1"/>
  <c r="F5570" i="5"/>
  <c r="G5570" i="5" s="1"/>
  <c r="F5571" i="5"/>
  <c r="G5571" i="5" s="1"/>
  <c r="F5572" i="5"/>
  <c r="G5572" i="5" s="1"/>
  <c r="F5573" i="5"/>
  <c r="G5573" i="5" s="1"/>
  <c r="F5574" i="5"/>
  <c r="G5574" i="5" s="1"/>
  <c r="F5575" i="5"/>
  <c r="G5575" i="5" s="1"/>
  <c r="F5576" i="5"/>
  <c r="G5576" i="5" s="1"/>
  <c r="F5577" i="5"/>
  <c r="G5577" i="5" s="1"/>
  <c r="F5578" i="5"/>
  <c r="G5578" i="5" s="1"/>
  <c r="F5579" i="5"/>
  <c r="G5579" i="5" s="1"/>
  <c r="F5580" i="5"/>
  <c r="G5580" i="5" s="1"/>
  <c r="F5581" i="5"/>
  <c r="G5581" i="5" s="1"/>
  <c r="F5582" i="5"/>
  <c r="G5582" i="5" s="1"/>
  <c r="F5583" i="5"/>
  <c r="G5583" i="5" s="1"/>
  <c r="F5584" i="5"/>
  <c r="G5584" i="5" s="1"/>
  <c r="F5585" i="5"/>
  <c r="G5585" i="5" s="1"/>
  <c r="F5586" i="5"/>
  <c r="G5586" i="5" s="1"/>
  <c r="F5587" i="5"/>
  <c r="G5587" i="5" s="1"/>
  <c r="F5588" i="5"/>
  <c r="G5588" i="5" s="1"/>
  <c r="F5589" i="5"/>
  <c r="G5589" i="5" s="1"/>
  <c r="F5590" i="5"/>
  <c r="G5590" i="5" s="1"/>
  <c r="F5591" i="5"/>
  <c r="G5591" i="5" s="1"/>
  <c r="F5592" i="5"/>
  <c r="G5592" i="5" s="1"/>
  <c r="F5593" i="5"/>
  <c r="G5593" i="5" s="1"/>
  <c r="F5594" i="5"/>
  <c r="G5594" i="5" s="1"/>
  <c r="F5595" i="5"/>
  <c r="G5595" i="5" s="1"/>
  <c r="F5596" i="5"/>
  <c r="G5596" i="5" s="1"/>
  <c r="F5597" i="5"/>
  <c r="G5597" i="5" s="1"/>
  <c r="F5598" i="5"/>
  <c r="G5598" i="5" s="1"/>
  <c r="F5599" i="5"/>
  <c r="G5599" i="5" s="1"/>
  <c r="F5600" i="5"/>
  <c r="G5600" i="5" s="1"/>
  <c r="F5601" i="5"/>
  <c r="G5601" i="5" s="1"/>
  <c r="F5602" i="5"/>
  <c r="G5602" i="5" s="1"/>
  <c r="F5603" i="5"/>
  <c r="G5603" i="5" s="1"/>
  <c r="F5604" i="5"/>
  <c r="G5604" i="5" s="1"/>
  <c r="F5605" i="5"/>
  <c r="G5605" i="5" s="1"/>
  <c r="F5606" i="5"/>
  <c r="G5606" i="5" s="1"/>
  <c r="F5607" i="5"/>
  <c r="G5607" i="5" s="1"/>
  <c r="F5608" i="5"/>
  <c r="G5608" i="5" s="1"/>
  <c r="F5609" i="5"/>
  <c r="G5609" i="5" s="1"/>
  <c r="F5610" i="5"/>
  <c r="G5610" i="5" s="1"/>
  <c r="F5611" i="5"/>
  <c r="G5611" i="5" s="1"/>
  <c r="F5612" i="5"/>
  <c r="G5612" i="5" s="1"/>
  <c r="F5613" i="5"/>
  <c r="G5613" i="5" s="1"/>
  <c r="F5614" i="5"/>
  <c r="G5614" i="5" s="1"/>
  <c r="F5615" i="5"/>
  <c r="G5615" i="5" s="1"/>
  <c r="F5616" i="5"/>
  <c r="G5616" i="5" s="1"/>
  <c r="F5617" i="5"/>
  <c r="G5617" i="5" s="1"/>
  <c r="F5618" i="5"/>
  <c r="G5618" i="5" s="1"/>
  <c r="F5619" i="5"/>
  <c r="G5619" i="5" s="1"/>
  <c r="F5620" i="5"/>
  <c r="G5620" i="5" s="1"/>
  <c r="F5621" i="5"/>
  <c r="G5621" i="5" s="1"/>
  <c r="F5622" i="5"/>
  <c r="G5622" i="5" s="1"/>
  <c r="F5623" i="5"/>
  <c r="G5623" i="5" s="1"/>
  <c r="F5624" i="5"/>
  <c r="G5624" i="5" s="1"/>
  <c r="F5625" i="5"/>
  <c r="G5625" i="5" s="1"/>
  <c r="F5626" i="5"/>
  <c r="G5626" i="5" s="1"/>
  <c r="F5627" i="5"/>
  <c r="G5627" i="5" s="1"/>
  <c r="F5628" i="5"/>
  <c r="G5628" i="5" s="1"/>
  <c r="F5629" i="5"/>
  <c r="G5629" i="5" s="1"/>
  <c r="F5630" i="5"/>
  <c r="G5630" i="5" s="1"/>
  <c r="F5631" i="5"/>
  <c r="G5631" i="5" s="1"/>
  <c r="F5632" i="5"/>
  <c r="G5632" i="5" s="1"/>
  <c r="F5633" i="5"/>
  <c r="G5633" i="5" s="1"/>
  <c r="F5634" i="5"/>
  <c r="G5634" i="5" s="1"/>
  <c r="F5635" i="5"/>
  <c r="G5635" i="5" s="1"/>
  <c r="F5636" i="5"/>
  <c r="G5636" i="5" s="1"/>
  <c r="F5637" i="5"/>
  <c r="G5637" i="5" s="1"/>
  <c r="F5638" i="5"/>
  <c r="G5638" i="5" s="1"/>
  <c r="F5639" i="5"/>
  <c r="G5639" i="5" s="1"/>
  <c r="F5640" i="5"/>
  <c r="G5640" i="5" s="1"/>
  <c r="F5641" i="5"/>
  <c r="G5641" i="5" s="1"/>
  <c r="F5642" i="5"/>
  <c r="G5642" i="5" s="1"/>
  <c r="F5643" i="5"/>
  <c r="G5643" i="5" s="1"/>
  <c r="F5644" i="5"/>
  <c r="G5644" i="5" s="1"/>
  <c r="F5645" i="5"/>
  <c r="G5645" i="5" s="1"/>
  <c r="F5646" i="5"/>
  <c r="G5646" i="5" s="1"/>
  <c r="F5647" i="5"/>
  <c r="G5647" i="5" s="1"/>
  <c r="F5648" i="5"/>
  <c r="G5648" i="5" s="1"/>
  <c r="F5649" i="5"/>
  <c r="G5649" i="5" s="1"/>
  <c r="F5650" i="5"/>
  <c r="G5650" i="5" s="1"/>
  <c r="F5651" i="5"/>
  <c r="G5651" i="5" s="1"/>
  <c r="F5652" i="5"/>
  <c r="G5652" i="5" s="1"/>
  <c r="F5653" i="5"/>
  <c r="G5653" i="5" s="1"/>
  <c r="F5654" i="5"/>
  <c r="G5654" i="5" s="1"/>
  <c r="F5655" i="5"/>
  <c r="G5655" i="5" s="1"/>
  <c r="F5656" i="5"/>
  <c r="G5656" i="5" s="1"/>
  <c r="F5657" i="5"/>
  <c r="G5657" i="5" s="1"/>
  <c r="F5658" i="5"/>
  <c r="G5658" i="5" s="1"/>
  <c r="F5659" i="5"/>
  <c r="G5659" i="5" s="1"/>
  <c r="F5660" i="5"/>
  <c r="G5660" i="5" s="1"/>
  <c r="F5661" i="5"/>
  <c r="G5661" i="5" s="1"/>
  <c r="F5662" i="5"/>
  <c r="G5662" i="5" s="1"/>
  <c r="F5663" i="5"/>
  <c r="G5663" i="5" s="1"/>
  <c r="F5664" i="5"/>
  <c r="G5664" i="5" s="1"/>
  <c r="F5665" i="5"/>
  <c r="G5665" i="5" s="1"/>
  <c r="F5666" i="5"/>
  <c r="G5666" i="5" s="1"/>
  <c r="F5667" i="5"/>
  <c r="G5667" i="5" s="1"/>
  <c r="F5668" i="5"/>
  <c r="G5668" i="5" s="1"/>
  <c r="F5669" i="5"/>
  <c r="G5669" i="5" s="1"/>
  <c r="F5670" i="5"/>
  <c r="G5670" i="5" s="1"/>
  <c r="F5671" i="5"/>
  <c r="G5671" i="5" s="1"/>
  <c r="F5672" i="5"/>
  <c r="G5672" i="5" s="1"/>
  <c r="F5673" i="5"/>
  <c r="G5673" i="5" s="1"/>
  <c r="F5674" i="5"/>
  <c r="G5674" i="5" s="1"/>
  <c r="F5675" i="5"/>
  <c r="G5675" i="5" s="1"/>
  <c r="F5676" i="5"/>
  <c r="G5676" i="5" s="1"/>
  <c r="F5677" i="5"/>
  <c r="G5677" i="5" s="1"/>
  <c r="F5678" i="5"/>
  <c r="G5678" i="5" s="1"/>
  <c r="F5679" i="5"/>
  <c r="G5679" i="5" s="1"/>
  <c r="F5680" i="5"/>
  <c r="G5680" i="5" s="1"/>
  <c r="F5681" i="5"/>
  <c r="G5681" i="5" s="1"/>
  <c r="F5682" i="5"/>
  <c r="G5682" i="5" s="1"/>
  <c r="F5683" i="5"/>
  <c r="G5683" i="5" s="1"/>
  <c r="F5684" i="5"/>
  <c r="G5684" i="5" s="1"/>
  <c r="F5685" i="5"/>
  <c r="G5685" i="5" s="1"/>
  <c r="F5686" i="5"/>
  <c r="G5686" i="5" s="1"/>
  <c r="F5687" i="5"/>
  <c r="G5687" i="5" s="1"/>
  <c r="F5688" i="5"/>
  <c r="G5688" i="5" s="1"/>
  <c r="F5689" i="5"/>
  <c r="G5689" i="5" s="1"/>
  <c r="F5690" i="5"/>
  <c r="G5690" i="5" s="1"/>
  <c r="F5691" i="5"/>
  <c r="G5691" i="5" s="1"/>
  <c r="F5692" i="5"/>
  <c r="G5692" i="5" s="1"/>
  <c r="F5693" i="5"/>
  <c r="G5693" i="5" s="1"/>
  <c r="F5694" i="5"/>
  <c r="G5694" i="5" s="1"/>
  <c r="F5695" i="5"/>
  <c r="G5695" i="5" s="1"/>
  <c r="F5696" i="5"/>
  <c r="G5696" i="5" s="1"/>
  <c r="F5697" i="5"/>
  <c r="G5697" i="5" s="1"/>
  <c r="F5698" i="5"/>
  <c r="G5698" i="5" s="1"/>
  <c r="F5699" i="5"/>
  <c r="G5699" i="5" s="1"/>
  <c r="F5700" i="5"/>
  <c r="G5700" i="5" s="1"/>
  <c r="F5701" i="5"/>
  <c r="G5701" i="5" s="1"/>
  <c r="F5702" i="5"/>
  <c r="G5702" i="5" s="1"/>
  <c r="F5703" i="5"/>
  <c r="G5703" i="5" s="1"/>
  <c r="F5704" i="5"/>
  <c r="G5704" i="5" s="1"/>
  <c r="F5705" i="5"/>
  <c r="G5705" i="5" s="1"/>
  <c r="F5706" i="5"/>
  <c r="G5706" i="5" s="1"/>
  <c r="F5707" i="5"/>
  <c r="G5707" i="5" s="1"/>
  <c r="F5708" i="5"/>
  <c r="G5708" i="5" s="1"/>
  <c r="F5709" i="5"/>
  <c r="G5709" i="5" s="1"/>
  <c r="F5710" i="5"/>
  <c r="G5710" i="5" s="1"/>
  <c r="F5711" i="5"/>
  <c r="G5711" i="5" s="1"/>
  <c r="F5712" i="5"/>
  <c r="G5712" i="5" s="1"/>
  <c r="F5713" i="5"/>
  <c r="G5713" i="5" s="1"/>
  <c r="F5714" i="5"/>
  <c r="G5714" i="5" s="1"/>
  <c r="F5715" i="5"/>
  <c r="G5715" i="5" s="1"/>
  <c r="F5716" i="5"/>
  <c r="G5716" i="5" s="1"/>
  <c r="F5717" i="5"/>
  <c r="G5717" i="5" s="1"/>
  <c r="F5718" i="5"/>
  <c r="G5718" i="5" s="1"/>
  <c r="F5719" i="5"/>
  <c r="G5719" i="5" s="1"/>
  <c r="F5720" i="5"/>
  <c r="G5720" i="5" s="1"/>
  <c r="F5721" i="5"/>
  <c r="G5721" i="5" s="1"/>
  <c r="F5722" i="5"/>
  <c r="G5722" i="5" s="1"/>
  <c r="F5723" i="5"/>
  <c r="G5723" i="5" s="1"/>
  <c r="F5724" i="5"/>
  <c r="G5724" i="5" s="1"/>
  <c r="F5725" i="5"/>
  <c r="G5725" i="5" s="1"/>
  <c r="F5726" i="5"/>
  <c r="G5726" i="5" s="1"/>
  <c r="F5727" i="5"/>
  <c r="G5727" i="5" s="1"/>
  <c r="F5728" i="5"/>
  <c r="G5728" i="5" s="1"/>
  <c r="F5729" i="5"/>
  <c r="G5729" i="5" s="1"/>
  <c r="F5730" i="5"/>
  <c r="G5730" i="5" s="1"/>
  <c r="F5731" i="5"/>
  <c r="G5731" i="5" s="1"/>
  <c r="F5732" i="5"/>
  <c r="G5732" i="5" s="1"/>
  <c r="F5733" i="5"/>
  <c r="G5733" i="5" s="1"/>
  <c r="F5734" i="5"/>
  <c r="G5734" i="5" s="1"/>
  <c r="F5735" i="5"/>
  <c r="G5735" i="5" s="1"/>
  <c r="F5736" i="5"/>
  <c r="G5736" i="5" s="1"/>
  <c r="F5737" i="5"/>
  <c r="G5737" i="5" s="1"/>
  <c r="F5738" i="5"/>
  <c r="G5738" i="5" s="1"/>
  <c r="F5739" i="5"/>
  <c r="G5739" i="5" s="1"/>
  <c r="F5740" i="5"/>
  <c r="G5740" i="5" s="1"/>
  <c r="F5741" i="5"/>
  <c r="G5741" i="5" s="1"/>
  <c r="F5742" i="5"/>
  <c r="G5742" i="5" s="1"/>
  <c r="F5743" i="5"/>
  <c r="G5743" i="5" s="1"/>
  <c r="F5744" i="5"/>
  <c r="G5744" i="5" s="1"/>
  <c r="F5745" i="5"/>
  <c r="G5745" i="5" s="1"/>
  <c r="F5746" i="5"/>
  <c r="G5746" i="5" s="1"/>
  <c r="F5747" i="5"/>
  <c r="G5747" i="5" s="1"/>
  <c r="F5748" i="5"/>
  <c r="G5748" i="5" s="1"/>
  <c r="F5749" i="5"/>
  <c r="G5749" i="5" s="1"/>
  <c r="F5750" i="5"/>
  <c r="G5750" i="5" s="1"/>
  <c r="F5751" i="5"/>
  <c r="G5751" i="5" s="1"/>
  <c r="F5752" i="5"/>
  <c r="G5752" i="5" s="1"/>
  <c r="F5753" i="5"/>
  <c r="G5753" i="5" s="1"/>
  <c r="F5754" i="5"/>
  <c r="G5754" i="5" s="1"/>
  <c r="F5755" i="5"/>
  <c r="G5755" i="5" s="1"/>
  <c r="F5756" i="5"/>
  <c r="G5756" i="5" s="1"/>
  <c r="F5757" i="5"/>
  <c r="G5757" i="5" s="1"/>
  <c r="F5758" i="5"/>
  <c r="G5758" i="5" s="1"/>
  <c r="F5759" i="5"/>
  <c r="G5759" i="5" s="1"/>
  <c r="F5760" i="5"/>
  <c r="G5760" i="5" s="1"/>
  <c r="F5761" i="5"/>
  <c r="G5761" i="5" s="1"/>
  <c r="F5762" i="5"/>
  <c r="G5762" i="5" s="1"/>
  <c r="F5763" i="5"/>
  <c r="G5763" i="5" s="1"/>
  <c r="F5764" i="5"/>
  <c r="G5764" i="5" s="1"/>
  <c r="F5765" i="5"/>
  <c r="G5765" i="5" s="1"/>
  <c r="F5766" i="5"/>
  <c r="G5766" i="5" s="1"/>
  <c r="F5767" i="5"/>
  <c r="G5767" i="5" s="1"/>
  <c r="F5768" i="5"/>
  <c r="G5768" i="5" s="1"/>
  <c r="F5769" i="5"/>
  <c r="G5769" i="5" s="1"/>
  <c r="F5770" i="5"/>
  <c r="G5770" i="5" s="1"/>
  <c r="F5771" i="5"/>
  <c r="G5771" i="5" s="1"/>
  <c r="F5772" i="5"/>
  <c r="G5772" i="5" s="1"/>
  <c r="F5773" i="5"/>
  <c r="G5773" i="5" s="1"/>
  <c r="F5774" i="5"/>
  <c r="G5774" i="5" s="1"/>
  <c r="F5775" i="5"/>
  <c r="G5775" i="5" s="1"/>
  <c r="F5776" i="5"/>
  <c r="G5776" i="5" s="1"/>
  <c r="F5777" i="5"/>
  <c r="G5777" i="5" s="1"/>
  <c r="F5778" i="5"/>
  <c r="G5778" i="5" s="1"/>
  <c r="F5779" i="5"/>
  <c r="G5779" i="5" s="1"/>
  <c r="F5780" i="5"/>
  <c r="G5780" i="5" s="1"/>
  <c r="F5781" i="5"/>
  <c r="G5781" i="5" s="1"/>
  <c r="F5782" i="5"/>
  <c r="G5782" i="5" s="1"/>
  <c r="F5783" i="5"/>
  <c r="G5783" i="5" s="1"/>
  <c r="F5784" i="5"/>
  <c r="G5784" i="5" s="1"/>
  <c r="F5785" i="5"/>
  <c r="G5785" i="5" s="1"/>
  <c r="F5786" i="5"/>
  <c r="G5786" i="5" s="1"/>
  <c r="F5787" i="5"/>
  <c r="G5787" i="5" s="1"/>
  <c r="F5788" i="5"/>
  <c r="G5788" i="5" s="1"/>
  <c r="F5789" i="5"/>
  <c r="G5789" i="5" s="1"/>
  <c r="F5790" i="5"/>
  <c r="G5790" i="5" s="1"/>
  <c r="F5791" i="5"/>
  <c r="G5791" i="5" s="1"/>
  <c r="F5792" i="5"/>
  <c r="G5792" i="5" s="1"/>
  <c r="F5793" i="5"/>
  <c r="G5793" i="5" s="1"/>
  <c r="F5794" i="5"/>
  <c r="G5794" i="5" s="1"/>
  <c r="F5795" i="5"/>
  <c r="G5795" i="5" s="1"/>
  <c r="F5796" i="5"/>
  <c r="G5796" i="5" s="1"/>
  <c r="F5797" i="5"/>
  <c r="G5797" i="5" s="1"/>
  <c r="F5798" i="5"/>
  <c r="G5798" i="5" s="1"/>
  <c r="F5799" i="5"/>
  <c r="G5799" i="5" s="1"/>
  <c r="F5800" i="5"/>
  <c r="G5800" i="5" s="1"/>
  <c r="F5801" i="5"/>
  <c r="G5801" i="5" s="1"/>
  <c r="F5802" i="5"/>
  <c r="G5802" i="5" s="1"/>
  <c r="F5803" i="5"/>
  <c r="G5803" i="5" s="1"/>
  <c r="F5804" i="5"/>
  <c r="G5804" i="5" s="1"/>
  <c r="F5805" i="5"/>
  <c r="G5805" i="5" s="1"/>
  <c r="F5806" i="5"/>
  <c r="G5806" i="5" s="1"/>
  <c r="F5807" i="5"/>
  <c r="G5807" i="5" s="1"/>
  <c r="F5808" i="5"/>
  <c r="G5808" i="5" s="1"/>
  <c r="F5809" i="5"/>
  <c r="G5809" i="5" s="1"/>
  <c r="F5810" i="5"/>
  <c r="G5810" i="5" s="1"/>
  <c r="F5811" i="5"/>
  <c r="G5811" i="5" s="1"/>
  <c r="F5812" i="5"/>
  <c r="G5812" i="5" s="1"/>
  <c r="F5813" i="5"/>
  <c r="G5813" i="5" s="1"/>
  <c r="F5814" i="5"/>
  <c r="G5814" i="5" s="1"/>
  <c r="F5815" i="5"/>
  <c r="G5815" i="5" s="1"/>
  <c r="F5816" i="5"/>
  <c r="G5816" i="5" s="1"/>
  <c r="F5817" i="5"/>
  <c r="G5817" i="5" s="1"/>
  <c r="F5818" i="5"/>
  <c r="G5818" i="5" s="1"/>
  <c r="F5819" i="5"/>
  <c r="G5819" i="5" s="1"/>
  <c r="F5820" i="5"/>
  <c r="G5820" i="5" s="1"/>
  <c r="F5821" i="5"/>
  <c r="G5821" i="5" s="1"/>
  <c r="F5822" i="5"/>
  <c r="G5822" i="5" s="1"/>
  <c r="F5823" i="5"/>
  <c r="G5823" i="5" s="1"/>
  <c r="F5824" i="5"/>
  <c r="G5824" i="5" s="1"/>
  <c r="F5825" i="5"/>
  <c r="G5825" i="5" s="1"/>
  <c r="F5826" i="5"/>
  <c r="G5826" i="5" s="1"/>
  <c r="F5827" i="5"/>
  <c r="G5827" i="5" s="1"/>
  <c r="F5828" i="5"/>
  <c r="G5828" i="5" s="1"/>
  <c r="F5829" i="5"/>
  <c r="G5829" i="5" s="1"/>
  <c r="F5830" i="5"/>
  <c r="G5830" i="5" s="1"/>
  <c r="F5831" i="5"/>
  <c r="G5831" i="5" s="1"/>
  <c r="F5832" i="5"/>
  <c r="G5832" i="5" s="1"/>
  <c r="F5833" i="5"/>
  <c r="G5833" i="5" s="1"/>
  <c r="F5834" i="5"/>
  <c r="G5834" i="5" s="1"/>
  <c r="F5835" i="5"/>
  <c r="G5835" i="5" s="1"/>
  <c r="F5836" i="5"/>
  <c r="G5836" i="5" s="1"/>
  <c r="F5837" i="5"/>
  <c r="G5837" i="5" s="1"/>
  <c r="F5838" i="5"/>
  <c r="G5838" i="5" s="1"/>
  <c r="F5839" i="5"/>
  <c r="G5839" i="5" s="1"/>
  <c r="F5840" i="5"/>
  <c r="G5840" i="5" s="1"/>
  <c r="F5841" i="5"/>
  <c r="G5841" i="5" s="1"/>
  <c r="F5842" i="5"/>
  <c r="G5842" i="5" s="1"/>
  <c r="F5843" i="5"/>
  <c r="G5843" i="5" s="1"/>
  <c r="F5844" i="5"/>
  <c r="G5844" i="5" s="1"/>
  <c r="F5845" i="5"/>
  <c r="G5845" i="5" s="1"/>
  <c r="F5846" i="5"/>
  <c r="G5846" i="5" s="1"/>
  <c r="F5847" i="5"/>
  <c r="G5847" i="5" s="1"/>
  <c r="F5848" i="5"/>
  <c r="G5848" i="5" s="1"/>
  <c r="F5849" i="5"/>
  <c r="G5849" i="5" s="1"/>
  <c r="F5850" i="5"/>
  <c r="G5850" i="5" s="1"/>
  <c r="F5851" i="5"/>
  <c r="G5851" i="5" s="1"/>
  <c r="F5852" i="5"/>
  <c r="G5852" i="5" s="1"/>
  <c r="F5853" i="5"/>
  <c r="G5853" i="5" s="1"/>
  <c r="F5854" i="5"/>
  <c r="G5854" i="5" s="1"/>
  <c r="F5855" i="5"/>
  <c r="G5855" i="5" s="1"/>
  <c r="F5856" i="5"/>
  <c r="G5856" i="5" s="1"/>
  <c r="F5857" i="5"/>
  <c r="G5857" i="5" s="1"/>
  <c r="F5858" i="5"/>
  <c r="G5858" i="5" s="1"/>
  <c r="F5859" i="5"/>
  <c r="G5859" i="5" s="1"/>
  <c r="F5860" i="5"/>
  <c r="G5860" i="5" s="1"/>
  <c r="F5861" i="5"/>
  <c r="G5861" i="5" s="1"/>
  <c r="F5862" i="5"/>
  <c r="G5862" i="5" s="1"/>
  <c r="F5863" i="5"/>
  <c r="G5863" i="5" s="1"/>
  <c r="F5864" i="5"/>
  <c r="G5864" i="5" s="1"/>
  <c r="F5865" i="5"/>
  <c r="G5865" i="5" s="1"/>
  <c r="F5866" i="5"/>
  <c r="G5866" i="5" s="1"/>
  <c r="F5867" i="5"/>
  <c r="G5867" i="5" s="1"/>
  <c r="F5868" i="5"/>
  <c r="G5868" i="5" s="1"/>
  <c r="F5869" i="5"/>
  <c r="G5869" i="5" s="1"/>
  <c r="F5870" i="5"/>
  <c r="G5870" i="5" s="1"/>
  <c r="F5871" i="5"/>
  <c r="G5871" i="5" s="1"/>
  <c r="F5872" i="5"/>
  <c r="G5872" i="5" s="1"/>
  <c r="F5873" i="5"/>
  <c r="G5873" i="5" s="1"/>
  <c r="F5874" i="5"/>
  <c r="G5874" i="5" s="1"/>
  <c r="F5875" i="5"/>
  <c r="G5875" i="5" s="1"/>
  <c r="F5876" i="5"/>
  <c r="G5876" i="5" s="1"/>
  <c r="F5877" i="5"/>
  <c r="G5877" i="5" s="1"/>
  <c r="F5878" i="5"/>
  <c r="G5878" i="5" s="1"/>
  <c r="F5879" i="5"/>
  <c r="G5879" i="5" s="1"/>
  <c r="F5880" i="5"/>
  <c r="G5880" i="5" s="1"/>
  <c r="F5881" i="5"/>
  <c r="G5881" i="5" s="1"/>
  <c r="F5882" i="5"/>
  <c r="G5882" i="5" s="1"/>
  <c r="F5883" i="5"/>
  <c r="G5883" i="5" s="1"/>
  <c r="F5884" i="5"/>
  <c r="G5884" i="5" s="1"/>
  <c r="F5885" i="5"/>
  <c r="G5885" i="5" s="1"/>
  <c r="F5886" i="5"/>
  <c r="G5886" i="5" s="1"/>
  <c r="F5887" i="5"/>
  <c r="G5887" i="5" s="1"/>
  <c r="F5888" i="5"/>
  <c r="G5888" i="5" s="1"/>
  <c r="F5889" i="5"/>
  <c r="G5889" i="5" s="1"/>
  <c r="F5890" i="5"/>
  <c r="G5890" i="5" s="1"/>
  <c r="F5891" i="5"/>
  <c r="G5891" i="5" s="1"/>
  <c r="F5892" i="5"/>
  <c r="G5892" i="5" s="1"/>
  <c r="F5893" i="5"/>
  <c r="G5893" i="5" s="1"/>
  <c r="F5894" i="5"/>
  <c r="G5894" i="5" s="1"/>
  <c r="F5895" i="5"/>
  <c r="G5895" i="5" s="1"/>
  <c r="F5896" i="5"/>
  <c r="G5896" i="5" s="1"/>
  <c r="F5897" i="5"/>
  <c r="G5897" i="5" s="1"/>
  <c r="F5898" i="5"/>
  <c r="G5898" i="5" s="1"/>
  <c r="F5899" i="5"/>
  <c r="G5899" i="5" s="1"/>
  <c r="F5900" i="5"/>
  <c r="G5900" i="5" s="1"/>
  <c r="F5901" i="5"/>
  <c r="G5901" i="5" s="1"/>
  <c r="F5902" i="5"/>
  <c r="G5902" i="5" s="1"/>
  <c r="F5903" i="5"/>
  <c r="G5903" i="5" s="1"/>
  <c r="F5904" i="5"/>
  <c r="G5904" i="5" s="1"/>
  <c r="F5905" i="5"/>
  <c r="G5905" i="5" s="1"/>
  <c r="F5906" i="5"/>
  <c r="G5906" i="5" s="1"/>
  <c r="F5907" i="5"/>
  <c r="G5907" i="5" s="1"/>
  <c r="F5908" i="5"/>
  <c r="G5908" i="5" s="1"/>
  <c r="F5909" i="5"/>
  <c r="G5909" i="5" s="1"/>
  <c r="F5910" i="5"/>
  <c r="G5910" i="5" s="1"/>
  <c r="F5911" i="5"/>
  <c r="G5911" i="5" s="1"/>
  <c r="F5912" i="5"/>
  <c r="G5912" i="5" s="1"/>
  <c r="F5913" i="5"/>
  <c r="G5913" i="5" s="1"/>
  <c r="F5914" i="5"/>
  <c r="G5914" i="5" s="1"/>
  <c r="F5915" i="5"/>
  <c r="G5915" i="5" s="1"/>
  <c r="F5916" i="5"/>
  <c r="G5916" i="5" s="1"/>
  <c r="F5917" i="5"/>
  <c r="G5917" i="5" s="1"/>
  <c r="F5918" i="5"/>
  <c r="G5918" i="5" s="1"/>
  <c r="F5919" i="5"/>
  <c r="G5919" i="5" s="1"/>
  <c r="F5920" i="5"/>
  <c r="G5920" i="5" s="1"/>
  <c r="F5921" i="5"/>
  <c r="G5921" i="5" s="1"/>
  <c r="F5922" i="5"/>
  <c r="G5922" i="5" s="1"/>
  <c r="F5923" i="5"/>
  <c r="G5923" i="5" s="1"/>
  <c r="F5924" i="5"/>
  <c r="G5924" i="5" s="1"/>
  <c r="F5925" i="5"/>
  <c r="G5925" i="5" s="1"/>
  <c r="F5926" i="5"/>
  <c r="G5926" i="5" s="1"/>
  <c r="F5927" i="5"/>
  <c r="G5927" i="5" s="1"/>
  <c r="F5928" i="5"/>
  <c r="G5928" i="5" s="1"/>
  <c r="F5929" i="5"/>
  <c r="G5929" i="5" s="1"/>
  <c r="F5930" i="5"/>
  <c r="G5930" i="5" s="1"/>
  <c r="F5931" i="5"/>
  <c r="G5931" i="5" s="1"/>
  <c r="F5932" i="5"/>
  <c r="G5932" i="5" s="1"/>
  <c r="F5933" i="5"/>
  <c r="G5933" i="5" s="1"/>
  <c r="F5934" i="5"/>
  <c r="G5934" i="5" s="1"/>
  <c r="F5935" i="5"/>
  <c r="G5935" i="5" s="1"/>
  <c r="F5936" i="5"/>
  <c r="G5936" i="5" s="1"/>
  <c r="F5937" i="5"/>
  <c r="G5937" i="5" s="1"/>
  <c r="F5938" i="5"/>
  <c r="G5938" i="5" s="1"/>
  <c r="F5939" i="5"/>
  <c r="G5939" i="5" s="1"/>
  <c r="F5940" i="5"/>
  <c r="G5940" i="5" s="1"/>
  <c r="F5941" i="5"/>
  <c r="G5941" i="5" s="1"/>
  <c r="F5942" i="5"/>
  <c r="G5942" i="5" s="1"/>
  <c r="F5943" i="5"/>
  <c r="G5943" i="5" s="1"/>
  <c r="F5944" i="5"/>
  <c r="G5944" i="5" s="1"/>
  <c r="F5945" i="5"/>
  <c r="G5945" i="5" s="1"/>
  <c r="F5946" i="5"/>
  <c r="G5946" i="5" s="1"/>
  <c r="F5947" i="5"/>
  <c r="G5947" i="5" s="1"/>
  <c r="F5948" i="5"/>
  <c r="G5948" i="5" s="1"/>
  <c r="F5949" i="5"/>
  <c r="G5949" i="5" s="1"/>
  <c r="F5950" i="5"/>
  <c r="G5950" i="5" s="1"/>
  <c r="F5951" i="5"/>
  <c r="G5951" i="5" s="1"/>
  <c r="F5952" i="5"/>
  <c r="G5952" i="5" s="1"/>
  <c r="F5953" i="5"/>
  <c r="G5953" i="5" s="1"/>
  <c r="F5954" i="5"/>
  <c r="G5954" i="5" s="1"/>
  <c r="F5955" i="5"/>
  <c r="G5955" i="5" s="1"/>
  <c r="F5956" i="5"/>
  <c r="G5956" i="5" s="1"/>
  <c r="F5957" i="5"/>
  <c r="G5957" i="5" s="1"/>
  <c r="F5958" i="5"/>
  <c r="G5958" i="5" s="1"/>
  <c r="F5959" i="5"/>
  <c r="G5959" i="5" s="1"/>
  <c r="F5960" i="5"/>
  <c r="G5960" i="5" s="1"/>
  <c r="F5961" i="5"/>
  <c r="G5961" i="5" s="1"/>
  <c r="F5962" i="5"/>
  <c r="G5962" i="5" s="1"/>
  <c r="F5963" i="5"/>
  <c r="G5963" i="5" s="1"/>
  <c r="F5964" i="5"/>
  <c r="G5964" i="5" s="1"/>
  <c r="F5965" i="5"/>
  <c r="G5965" i="5" s="1"/>
  <c r="F5966" i="5"/>
  <c r="G5966" i="5" s="1"/>
  <c r="F5967" i="5"/>
  <c r="G5967" i="5" s="1"/>
  <c r="F5968" i="5"/>
  <c r="G5968" i="5" s="1"/>
  <c r="F5969" i="5"/>
  <c r="G5969" i="5" s="1"/>
  <c r="F5970" i="5"/>
  <c r="G5970" i="5" s="1"/>
  <c r="F5971" i="5"/>
  <c r="G5971" i="5" s="1"/>
  <c r="F5972" i="5"/>
  <c r="G5972" i="5" s="1"/>
  <c r="F5973" i="5"/>
  <c r="G5973" i="5" s="1"/>
  <c r="F5974" i="5"/>
  <c r="G5974" i="5" s="1"/>
  <c r="F5975" i="5"/>
  <c r="G5975" i="5" s="1"/>
  <c r="F5976" i="5"/>
  <c r="G5976" i="5" s="1"/>
  <c r="F5977" i="5"/>
  <c r="G5977" i="5" s="1"/>
  <c r="F5978" i="5"/>
  <c r="G5978" i="5" s="1"/>
  <c r="F5979" i="5"/>
  <c r="G5979" i="5" s="1"/>
  <c r="F5980" i="5"/>
  <c r="G5980" i="5" s="1"/>
  <c r="F5981" i="5"/>
  <c r="G5981" i="5" s="1"/>
  <c r="F5982" i="5"/>
  <c r="G5982" i="5" s="1"/>
  <c r="F5983" i="5"/>
  <c r="G5983" i="5" s="1"/>
  <c r="F5984" i="5"/>
  <c r="G5984" i="5" s="1"/>
  <c r="F5985" i="5"/>
  <c r="G5985" i="5" s="1"/>
  <c r="F5986" i="5"/>
  <c r="G5986" i="5" s="1"/>
  <c r="F5987" i="5"/>
  <c r="G5987" i="5" s="1"/>
  <c r="F5988" i="5"/>
  <c r="G5988" i="5" s="1"/>
  <c r="F5989" i="5"/>
  <c r="G5989" i="5" s="1"/>
  <c r="F5990" i="5"/>
  <c r="G5990" i="5" s="1"/>
  <c r="F5991" i="5"/>
  <c r="G5991" i="5" s="1"/>
  <c r="F5992" i="5"/>
  <c r="G5992" i="5" s="1"/>
  <c r="F5993" i="5"/>
  <c r="G5993" i="5" s="1"/>
  <c r="F5994" i="5"/>
  <c r="G5994" i="5" s="1"/>
  <c r="F5995" i="5"/>
  <c r="G5995" i="5" s="1"/>
  <c r="F5996" i="5"/>
  <c r="G5996" i="5" s="1"/>
  <c r="F5997" i="5"/>
  <c r="G5997" i="5" s="1"/>
  <c r="F5998" i="5"/>
  <c r="G5998" i="5" s="1"/>
  <c r="F5999" i="5"/>
  <c r="G5999" i="5" s="1"/>
  <c r="F6000" i="5"/>
  <c r="G6000" i="5" s="1"/>
  <c r="F6001" i="5"/>
  <c r="G6001" i="5" s="1"/>
  <c r="F6002" i="5"/>
  <c r="G6002" i="5" s="1"/>
  <c r="F6003" i="5"/>
  <c r="G6003" i="5" s="1"/>
  <c r="F6004" i="5"/>
  <c r="G6004" i="5" s="1"/>
  <c r="F6005" i="5"/>
  <c r="G6005" i="5" s="1"/>
  <c r="F6006" i="5"/>
  <c r="G6006" i="5" s="1"/>
  <c r="F6007" i="5"/>
  <c r="G6007" i="5" s="1"/>
  <c r="F6008" i="5"/>
  <c r="G6008" i="5" s="1"/>
  <c r="F6009" i="5"/>
  <c r="G6009" i="5" s="1"/>
  <c r="F6010" i="5"/>
  <c r="G6010" i="5" s="1"/>
  <c r="F6011" i="5"/>
  <c r="G6011" i="5" s="1"/>
  <c r="F6012" i="5"/>
  <c r="G6012" i="5" s="1"/>
  <c r="F6013" i="5"/>
  <c r="G6013" i="5" s="1"/>
  <c r="F6014" i="5"/>
  <c r="G6014" i="5" s="1"/>
  <c r="F6015" i="5"/>
  <c r="G6015" i="5" s="1"/>
  <c r="F6016" i="5"/>
  <c r="G6016" i="5" s="1"/>
  <c r="F6017" i="5"/>
  <c r="G6017" i="5" s="1"/>
  <c r="F6018" i="5"/>
  <c r="G6018" i="5" s="1"/>
  <c r="F6019" i="5"/>
  <c r="G6019" i="5" s="1"/>
  <c r="F6020" i="5"/>
  <c r="G6020" i="5" s="1"/>
  <c r="F6021" i="5"/>
  <c r="G6021" i="5" s="1"/>
  <c r="F6022" i="5"/>
  <c r="G6022" i="5" s="1"/>
  <c r="F6023" i="5"/>
  <c r="G6023" i="5" s="1"/>
  <c r="F6024" i="5"/>
  <c r="G6024" i="5" s="1"/>
  <c r="F6025" i="5"/>
  <c r="G6025" i="5" s="1"/>
  <c r="F6026" i="5"/>
  <c r="G6026" i="5" s="1"/>
  <c r="F6027" i="5"/>
  <c r="G6027" i="5" s="1"/>
  <c r="F6028" i="5"/>
  <c r="G6028" i="5" s="1"/>
  <c r="F6029" i="5"/>
  <c r="G6029" i="5" s="1"/>
  <c r="F6030" i="5"/>
  <c r="G6030" i="5" s="1"/>
  <c r="F6031" i="5"/>
  <c r="G6031" i="5" s="1"/>
  <c r="F6032" i="5"/>
  <c r="G6032" i="5" s="1"/>
  <c r="F6033" i="5"/>
  <c r="G6033" i="5" s="1"/>
  <c r="F6034" i="5"/>
  <c r="G6034" i="5" s="1"/>
  <c r="F6035" i="5"/>
  <c r="G6035" i="5" s="1"/>
  <c r="F6036" i="5"/>
  <c r="G6036" i="5" s="1"/>
  <c r="F6037" i="5"/>
  <c r="G6037" i="5" s="1"/>
  <c r="F6038" i="5"/>
  <c r="G6038" i="5" s="1"/>
  <c r="F6039" i="5"/>
  <c r="G6039" i="5" s="1"/>
  <c r="F6040" i="5"/>
  <c r="G6040" i="5" s="1"/>
  <c r="F6041" i="5"/>
  <c r="G6041" i="5" s="1"/>
  <c r="F6042" i="5"/>
  <c r="G6042" i="5" s="1"/>
  <c r="F6043" i="5"/>
  <c r="G6043" i="5" s="1"/>
  <c r="F6044" i="5"/>
  <c r="G6044" i="5" s="1"/>
  <c r="F6045" i="5"/>
  <c r="G6045" i="5" s="1"/>
  <c r="F6046" i="5"/>
  <c r="G6046" i="5" s="1"/>
  <c r="F6047" i="5"/>
  <c r="G6047" i="5" s="1"/>
  <c r="F6048" i="5"/>
  <c r="G6048" i="5" s="1"/>
  <c r="F6049" i="5"/>
  <c r="G6049" i="5" s="1"/>
  <c r="F6050" i="5"/>
  <c r="G6050" i="5" s="1"/>
  <c r="F6051" i="5"/>
  <c r="G6051" i="5" s="1"/>
  <c r="F6052" i="5"/>
  <c r="G6052" i="5" s="1"/>
  <c r="F6053" i="5"/>
  <c r="G6053" i="5" s="1"/>
  <c r="F6054" i="5"/>
  <c r="G6054" i="5" s="1"/>
  <c r="F6055" i="5"/>
  <c r="G6055" i="5" s="1"/>
  <c r="F6056" i="5"/>
  <c r="G6056" i="5" s="1"/>
  <c r="F6057" i="5"/>
  <c r="G6057" i="5" s="1"/>
  <c r="F6058" i="5"/>
  <c r="G6058" i="5" s="1"/>
  <c r="F6059" i="5"/>
  <c r="G6059" i="5" s="1"/>
  <c r="F6060" i="5"/>
  <c r="G6060" i="5" s="1"/>
  <c r="F6061" i="5"/>
  <c r="G6061" i="5" s="1"/>
  <c r="F6062" i="5"/>
  <c r="G6062" i="5" s="1"/>
  <c r="F6063" i="5"/>
  <c r="G6063" i="5" s="1"/>
  <c r="F6064" i="5"/>
  <c r="G6064" i="5" s="1"/>
  <c r="F6065" i="5"/>
  <c r="G6065" i="5" s="1"/>
  <c r="F6066" i="5"/>
  <c r="G6066" i="5" s="1"/>
  <c r="F6067" i="5"/>
  <c r="G6067" i="5" s="1"/>
  <c r="F6068" i="5"/>
  <c r="G6068" i="5" s="1"/>
  <c r="F6069" i="5"/>
  <c r="G6069" i="5" s="1"/>
  <c r="F6070" i="5"/>
  <c r="G6070" i="5" s="1"/>
  <c r="F6071" i="5"/>
  <c r="G6071" i="5" s="1"/>
  <c r="F6072" i="5"/>
  <c r="G6072" i="5" s="1"/>
  <c r="F6073" i="5"/>
  <c r="G6073" i="5" s="1"/>
  <c r="F6074" i="5"/>
  <c r="G6074" i="5" s="1"/>
  <c r="F6075" i="5"/>
  <c r="G6075" i="5" s="1"/>
  <c r="F6076" i="5"/>
  <c r="G6076" i="5" s="1"/>
  <c r="F6077" i="5"/>
  <c r="G6077" i="5" s="1"/>
  <c r="F6078" i="5"/>
  <c r="G6078" i="5" s="1"/>
  <c r="F6079" i="5"/>
  <c r="G6079" i="5" s="1"/>
  <c r="F6080" i="5"/>
  <c r="G6080" i="5" s="1"/>
  <c r="F6081" i="5"/>
  <c r="G6081" i="5" s="1"/>
  <c r="F6082" i="5"/>
  <c r="G6082" i="5" s="1"/>
  <c r="F6083" i="5"/>
  <c r="G6083" i="5" s="1"/>
  <c r="F6084" i="5"/>
  <c r="G6084" i="5" s="1"/>
  <c r="F6085" i="5"/>
  <c r="G6085" i="5" s="1"/>
  <c r="F6086" i="5"/>
  <c r="G6086" i="5" s="1"/>
  <c r="F6087" i="5"/>
  <c r="G6087" i="5" s="1"/>
  <c r="F6088" i="5"/>
  <c r="G6088" i="5" s="1"/>
  <c r="F6089" i="5"/>
  <c r="G6089" i="5" s="1"/>
  <c r="F6090" i="5"/>
  <c r="G6090" i="5" s="1"/>
  <c r="F6091" i="5"/>
  <c r="G6091" i="5" s="1"/>
  <c r="F6092" i="5"/>
  <c r="G6092" i="5" s="1"/>
  <c r="F6093" i="5"/>
  <c r="G6093" i="5" s="1"/>
  <c r="F6094" i="5"/>
  <c r="G6094" i="5" s="1"/>
  <c r="F6095" i="5"/>
  <c r="G6095" i="5" s="1"/>
  <c r="F6096" i="5"/>
  <c r="G6096" i="5" s="1"/>
  <c r="F6097" i="5"/>
  <c r="G6097" i="5" s="1"/>
  <c r="F6098" i="5"/>
  <c r="G6098" i="5" s="1"/>
  <c r="F6099" i="5"/>
  <c r="G6099" i="5" s="1"/>
  <c r="F6100" i="5"/>
  <c r="G6100" i="5" s="1"/>
  <c r="F6101" i="5"/>
  <c r="G6101" i="5" s="1"/>
  <c r="F6102" i="5"/>
  <c r="G6102" i="5" s="1"/>
  <c r="F6103" i="5"/>
  <c r="G6103" i="5" s="1"/>
  <c r="F6104" i="5"/>
  <c r="G6104" i="5" s="1"/>
  <c r="F6105" i="5"/>
  <c r="G6105" i="5" s="1"/>
  <c r="F6106" i="5"/>
  <c r="G6106" i="5" s="1"/>
  <c r="F6107" i="5"/>
  <c r="G6107" i="5" s="1"/>
  <c r="F6108" i="5"/>
  <c r="G6108" i="5" s="1"/>
  <c r="F6109" i="5"/>
  <c r="G6109" i="5" s="1"/>
  <c r="F6110" i="5"/>
  <c r="G6110" i="5" s="1"/>
  <c r="F6111" i="5"/>
  <c r="G6111" i="5" s="1"/>
  <c r="F6112" i="5"/>
  <c r="G6112" i="5" s="1"/>
  <c r="F6113" i="5"/>
  <c r="G6113" i="5" s="1"/>
  <c r="F6114" i="5"/>
  <c r="G6114" i="5" s="1"/>
  <c r="F6115" i="5"/>
  <c r="G6115" i="5" s="1"/>
  <c r="F6116" i="5"/>
  <c r="G6116" i="5" s="1"/>
  <c r="F6117" i="5"/>
  <c r="G6117" i="5" s="1"/>
  <c r="F6118" i="5"/>
  <c r="G6118" i="5" s="1"/>
  <c r="F6119" i="5"/>
  <c r="G6119" i="5" s="1"/>
  <c r="F6120" i="5"/>
  <c r="G6120" i="5" s="1"/>
  <c r="F6121" i="5"/>
  <c r="G6121" i="5" s="1"/>
  <c r="F6122" i="5"/>
  <c r="G6122" i="5" s="1"/>
  <c r="F6123" i="5"/>
  <c r="G6123" i="5" s="1"/>
  <c r="F6124" i="5"/>
  <c r="G6124" i="5" s="1"/>
  <c r="F6125" i="5"/>
  <c r="G6125" i="5" s="1"/>
  <c r="F6126" i="5"/>
  <c r="G6126" i="5" s="1"/>
  <c r="F6127" i="5"/>
  <c r="G6127" i="5" s="1"/>
  <c r="F6128" i="5"/>
  <c r="G6128" i="5" s="1"/>
  <c r="F6129" i="5"/>
  <c r="G6129" i="5" s="1"/>
  <c r="F6130" i="5"/>
  <c r="G6130" i="5" s="1"/>
  <c r="F6131" i="5"/>
  <c r="G6131" i="5" s="1"/>
  <c r="F6132" i="5"/>
  <c r="G6132" i="5" s="1"/>
  <c r="F6133" i="5"/>
  <c r="G6133" i="5" s="1"/>
  <c r="F6134" i="5"/>
  <c r="G6134" i="5" s="1"/>
  <c r="F6135" i="5"/>
  <c r="G6135" i="5" s="1"/>
  <c r="F6136" i="5"/>
  <c r="G6136" i="5" s="1"/>
  <c r="F6137" i="5"/>
  <c r="G6137" i="5" s="1"/>
  <c r="F6138" i="5"/>
  <c r="G6138" i="5" s="1"/>
  <c r="F6139" i="5"/>
  <c r="G6139" i="5" s="1"/>
  <c r="F6140" i="5"/>
  <c r="G6140" i="5" s="1"/>
  <c r="F6141" i="5"/>
  <c r="G6141" i="5" s="1"/>
  <c r="F6142" i="5"/>
  <c r="G6142" i="5" s="1"/>
  <c r="F6143" i="5"/>
  <c r="G6143" i="5" s="1"/>
  <c r="F6144" i="5"/>
  <c r="G6144" i="5" s="1"/>
  <c r="F6145" i="5"/>
  <c r="G6145" i="5" s="1"/>
  <c r="F6146" i="5"/>
  <c r="G6146" i="5" s="1"/>
  <c r="F6147" i="5"/>
  <c r="G6147" i="5" s="1"/>
  <c r="F6148" i="5"/>
  <c r="G6148" i="5" s="1"/>
  <c r="F6149" i="5"/>
  <c r="G6149" i="5" s="1"/>
  <c r="F6150" i="5"/>
  <c r="G6150" i="5" s="1"/>
  <c r="F6151" i="5"/>
  <c r="G6151" i="5" s="1"/>
  <c r="F6152" i="5"/>
  <c r="G6152" i="5" s="1"/>
  <c r="F6153" i="5"/>
  <c r="G6153" i="5" s="1"/>
  <c r="F6154" i="5"/>
  <c r="G6154" i="5" s="1"/>
  <c r="F6155" i="5"/>
  <c r="G6155" i="5" s="1"/>
  <c r="F6156" i="5"/>
  <c r="G6156" i="5" s="1"/>
  <c r="F6157" i="5"/>
  <c r="G6157" i="5" s="1"/>
  <c r="F6158" i="5"/>
  <c r="G6158" i="5" s="1"/>
  <c r="F6159" i="5"/>
  <c r="G6159" i="5" s="1"/>
  <c r="F6160" i="5"/>
  <c r="G6160" i="5" s="1"/>
  <c r="F6161" i="5"/>
  <c r="G6161" i="5" s="1"/>
  <c r="F6162" i="5"/>
  <c r="G6162" i="5" s="1"/>
  <c r="F6163" i="5"/>
  <c r="G6163" i="5" s="1"/>
  <c r="F6164" i="5"/>
  <c r="G6164" i="5" s="1"/>
  <c r="F6165" i="5"/>
  <c r="G6165" i="5" s="1"/>
  <c r="F6166" i="5"/>
  <c r="G6166" i="5" s="1"/>
  <c r="F6167" i="5"/>
  <c r="G6167" i="5" s="1"/>
  <c r="F6168" i="5"/>
  <c r="G6168" i="5" s="1"/>
  <c r="F6169" i="5"/>
  <c r="G6169" i="5" s="1"/>
  <c r="F6170" i="5"/>
  <c r="G6170" i="5" s="1"/>
  <c r="F6171" i="5"/>
  <c r="G6171" i="5" s="1"/>
  <c r="F6172" i="5"/>
  <c r="G6172" i="5" s="1"/>
  <c r="F6173" i="5"/>
  <c r="G6173" i="5" s="1"/>
  <c r="F6174" i="5"/>
  <c r="G6174" i="5" s="1"/>
  <c r="F6175" i="5"/>
  <c r="G6175" i="5" s="1"/>
  <c r="F6176" i="5"/>
  <c r="G6176" i="5" s="1"/>
  <c r="F6177" i="5"/>
  <c r="G6177" i="5" s="1"/>
  <c r="F6178" i="5"/>
  <c r="G6178" i="5" s="1"/>
  <c r="F6179" i="5"/>
  <c r="G6179" i="5" s="1"/>
  <c r="F6180" i="5"/>
  <c r="G6180" i="5" s="1"/>
  <c r="F6181" i="5"/>
  <c r="G6181" i="5" s="1"/>
  <c r="F6182" i="5"/>
  <c r="G6182" i="5" s="1"/>
  <c r="F6183" i="5"/>
  <c r="G6183" i="5" s="1"/>
  <c r="F6184" i="5"/>
  <c r="G6184" i="5" s="1"/>
  <c r="F6185" i="5"/>
  <c r="G6185" i="5" s="1"/>
  <c r="F6186" i="5"/>
  <c r="G6186" i="5" s="1"/>
  <c r="F6187" i="5"/>
  <c r="G6187" i="5" s="1"/>
  <c r="F6188" i="5"/>
  <c r="G6188" i="5" s="1"/>
  <c r="F6189" i="5"/>
  <c r="G6189" i="5" s="1"/>
  <c r="F6190" i="5"/>
  <c r="G6190" i="5" s="1"/>
  <c r="F6191" i="5"/>
  <c r="G6191" i="5" s="1"/>
  <c r="F6192" i="5"/>
  <c r="G6192" i="5" s="1"/>
  <c r="F6193" i="5"/>
  <c r="G6193" i="5" s="1"/>
  <c r="F6194" i="5"/>
  <c r="G6194" i="5" s="1"/>
  <c r="F6195" i="5"/>
  <c r="G6195" i="5" s="1"/>
  <c r="F6196" i="5"/>
  <c r="G6196" i="5" s="1"/>
  <c r="F6197" i="5"/>
  <c r="G6197" i="5" s="1"/>
  <c r="F6198" i="5"/>
  <c r="G6198" i="5" s="1"/>
  <c r="F6199" i="5"/>
  <c r="G6199" i="5" s="1"/>
  <c r="F6200" i="5"/>
  <c r="G6200" i="5" s="1"/>
  <c r="F6201" i="5"/>
  <c r="G6201" i="5" s="1"/>
  <c r="F6202" i="5"/>
  <c r="G6202" i="5" s="1"/>
  <c r="F6203" i="5"/>
  <c r="G6203" i="5" s="1"/>
  <c r="F6204" i="5"/>
  <c r="G6204" i="5" s="1"/>
  <c r="F6205" i="5"/>
  <c r="G6205" i="5" s="1"/>
  <c r="F6206" i="5"/>
  <c r="G6206" i="5" s="1"/>
  <c r="F6207" i="5"/>
  <c r="G6207" i="5" s="1"/>
  <c r="F6208" i="5"/>
  <c r="G6208" i="5" s="1"/>
  <c r="F6209" i="5"/>
  <c r="G6209" i="5" s="1"/>
  <c r="F6210" i="5"/>
  <c r="G6210" i="5" s="1"/>
  <c r="F6211" i="5"/>
  <c r="G6211" i="5" s="1"/>
  <c r="F6212" i="5"/>
  <c r="G6212" i="5" s="1"/>
  <c r="F6213" i="5"/>
  <c r="G6213" i="5" s="1"/>
  <c r="F6214" i="5"/>
  <c r="G6214" i="5" s="1"/>
  <c r="F6215" i="5"/>
  <c r="G6215" i="5" s="1"/>
  <c r="F6216" i="5"/>
  <c r="G6216" i="5" s="1"/>
  <c r="F6217" i="5"/>
  <c r="G6217" i="5" s="1"/>
  <c r="F6218" i="5"/>
  <c r="G6218" i="5" s="1"/>
  <c r="F6219" i="5"/>
  <c r="G6219" i="5" s="1"/>
  <c r="F6220" i="5"/>
  <c r="G6220" i="5" s="1"/>
  <c r="F6221" i="5"/>
  <c r="G6221" i="5" s="1"/>
  <c r="F6222" i="5"/>
  <c r="G6222" i="5" s="1"/>
  <c r="F6223" i="5"/>
  <c r="G6223" i="5" s="1"/>
  <c r="F6224" i="5"/>
  <c r="G6224" i="5" s="1"/>
  <c r="F6225" i="5"/>
  <c r="G6225" i="5" s="1"/>
  <c r="F6226" i="5"/>
  <c r="G6226" i="5" s="1"/>
  <c r="F6227" i="5"/>
  <c r="G6227" i="5" s="1"/>
  <c r="F6228" i="5"/>
  <c r="G6228" i="5" s="1"/>
  <c r="F6229" i="5"/>
  <c r="G6229" i="5" s="1"/>
  <c r="F6230" i="5"/>
  <c r="G6230" i="5" s="1"/>
  <c r="F6231" i="5"/>
  <c r="G6231" i="5" s="1"/>
  <c r="F6232" i="5"/>
  <c r="G6232" i="5" s="1"/>
  <c r="F6233" i="5"/>
  <c r="G6233" i="5" s="1"/>
  <c r="F6234" i="5"/>
  <c r="G6234" i="5" s="1"/>
  <c r="F6235" i="5"/>
  <c r="G6235" i="5" s="1"/>
  <c r="F6236" i="5"/>
  <c r="G6236" i="5" s="1"/>
  <c r="F6237" i="5"/>
  <c r="G6237" i="5" s="1"/>
  <c r="F6238" i="5"/>
  <c r="G6238" i="5" s="1"/>
  <c r="F6239" i="5"/>
  <c r="G6239" i="5" s="1"/>
  <c r="F6240" i="5"/>
  <c r="G6240" i="5" s="1"/>
  <c r="F6241" i="5"/>
  <c r="G6241" i="5" s="1"/>
  <c r="F6242" i="5"/>
  <c r="G6242" i="5" s="1"/>
  <c r="F6243" i="5"/>
  <c r="G6243" i="5" s="1"/>
  <c r="F6244" i="5"/>
  <c r="G6244" i="5" s="1"/>
  <c r="F6245" i="5"/>
  <c r="G6245" i="5" s="1"/>
  <c r="F6246" i="5"/>
  <c r="G6246" i="5" s="1"/>
  <c r="F6247" i="5"/>
  <c r="G6247" i="5" s="1"/>
  <c r="F6248" i="5"/>
  <c r="G6248" i="5" s="1"/>
  <c r="F6249" i="5"/>
  <c r="G6249" i="5" s="1"/>
  <c r="F6250" i="5"/>
  <c r="G6250" i="5" s="1"/>
  <c r="F6251" i="5"/>
  <c r="G6251" i="5" s="1"/>
  <c r="F6252" i="5"/>
  <c r="G6252" i="5" s="1"/>
  <c r="F6253" i="5"/>
  <c r="G6253" i="5" s="1"/>
  <c r="F6254" i="5"/>
  <c r="G6254" i="5" s="1"/>
  <c r="F6255" i="5"/>
  <c r="G6255" i="5" s="1"/>
  <c r="F6256" i="5"/>
  <c r="G6256" i="5" s="1"/>
  <c r="F6257" i="5"/>
  <c r="G6257" i="5" s="1"/>
  <c r="F6258" i="5"/>
  <c r="G6258" i="5" s="1"/>
  <c r="F6259" i="5"/>
  <c r="G6259" i="5" s="1"/>
  <c r="F6260" i="5"/>
  <c r="G6260" i="5" s="1"/>
  <c r="F6261" i="5"/>
  <c r="G6261" i="5" s="1"/>
  <c r="F6262" i="5"/>
  <c r="G6262" i="5" s="1"/>
  <c r="F6263" i="5"/>
  <c r="G6263" i="5" s="1"/>
  <c r="F6264" i="5"/>
  <c r="G6264" i="5" s="1"/>
  <c r="F6265" i="5"/>
  <c r="G6265" i="5" s="1"/>
  <c r="F6266" i="5"/>
  <c r="G6266" i="5" s="1"/>
  <c r="F6267" i="5"/>
  <c r="G6267" i="5" s="1"/>
  <c r="F6268" i="5"/>
  <c r="G6268" i="5" s="1"/>
  <c r="F6269" i="5"/>
  <c r="G6269" i="5" s="1"/>
  <c r="F6270" i="5"/>
  <c r="G6270" i="5" s="1"/>
  <c r="F6271" i="5"/>
  <c r="G6271" i="5" s="1"/>
  <c r="F6272" i="5"/>
  <c r="G6272" i="5" s="1"/>
  <c r="F6273" i="5"/>
  <c r="G6273" i="5" s="1"/>
  <c r="F6274" i="5"/>
  <c r="G6274" i="5" s="1"/>
  <c r="F6275" i="5"/>
  <c r="G6275" i="5" s="1"/>
  <c r="F6276" i="5"/>
  <c r="G6276" i="5" s="1"/>
  <c r="F6277" i="5"/>
  <c r="G6277" i="5" s="1"/>
  <c r="F6278" i="5"/>
  <c r="G6278" i="5" s="1"/>
  <c r="F6279" i="5"/>
  <c r="G6279" i="5" s="1"/>
  <c r="F6280" i="5"/>
  <c r="G6280" i="5" s="1"/>
  <c r="F6281" i="5"/>
  <c r="G6281" i="5" s="1"/>
  <c r="F6282" i="5"/>
  <c r="G6282" i="5" s="1"/>
  <c r="F6283" i="5"/>
  <c r="G6283" i="5" s="1"/>
  <c r="F6284" i="5"/>
  <c r="G6284" i="5" s="1"/>
  <c r="F6285" i="5"/>
  <c r="G6285" i="5" s="1"/>
  <c r="F6286" i="5"/>
  <c r="G6286" i="5" s="1"/>
  <c r="F6287" i="5"/>
  <c r="G6287" i="5" s="1"/>
  <c r="F6288" i="5"/>
  <c r="G6288" i="5" s="1"/>
  <c r="F6289" i="5"/>
  <c r="G6289" i="5" s="1"/>
  <c r="F6290" i="5"/>
  <c r="G6290" i="5" s="1"/>
  <c r="F6291" i="5"/>
  <c r="G6291" i="5" s="1"/>
  <c r="F6292" i="5"/>
  <c r="G6292" i="5" s="1"/>
  <c r="F6293" i="5"/>
  <c r="G6293" i="5" s="1"/>
  <c r="F6294" i="5"/>
  <c r="G6294" i="5" s="1"/>
  <c r="F6295" i="5"/>
  <c r="G6295" i="5" s="1"/>
  <c r="F6296" i="5"/>
  <c r="G6296" i="5" s="1"/>
  <c r="F6297" i="5"/>
  <c r="G6297" i="5" s="1"/>
  <c r="F6298" i="5"/>
  <c r="G6298" i="5" s="1"/>
  <c r="F6299" i="5"/>
  <c r="G6299" i="5" s="1"/>
  <c r="F6300" i="5"/>
  <c r="G6300" i="5" s="1"/>
  <c r="F6301" i="5"/>
  <c r="G6301" i="5" s="1"/>
  <c r="F6302" i="5"/>
  <c r="G6302" i="5" s="1"/>
  <c r="F6303" i="5"/>
  <c r="G6303" i="5" s="1"/>
  <c r="F6304" i="5"/>
  <c r="G6304" i="5" s="1"/>
  <c r="F6305" i="5"/>
  <c r="G6305" i="5" s="1"/>
  <c r="F6306" i="5"/>
  <c r="G6306" i="5" s="1"/>
  <c r="F6307" i="5"/>
  <c r="G6307" i="5" s="1"/>
  <c r="F6308" i="5"/>
  <c r="G6308" i="5" s="1"/>
  <c r="F6309" i="5"/>
  <c r="G6309" i="5" s="1"/>
  <c r="F6310" i="5"/>
  <c r="G6310" i="5" s="1"/>
  <c r="F6311" i="5"/>
  <c r="G6311" i="5" s="1"/>
  <c r="F6312" i="5"/>
  <c r="G6312" i="5" s="1"/>
  <c r="F6313" i="5"/>
  <c r="G6313" i="5" s="1"/>
  <c r="F6314" i="5"/>
  <c r="G6314" i="5" s="1"/>
  <c r="F6315" i="5"/>
  <c r="G6315" i="5" s="1"/>
  <c r="F6316" i="5"/>
  <c r="G6316" i="5" s="1"/>
  <c r="F6317" i="5"/>
  <c r="G6317" i="5" s="1"/>
  <c r="F6318" i="5"/>
  <c r="G6318" i="5" s="1"/>
  <c r="F6319" i="5"/>
  <c r="G6319" i="5" s="1"/>
  <c r="F6320" i="5"/>
  <c r="G6320" i="5" s="1"/>
  <c r="F6321" i="5"/>
  <c r="G6321" i="5" s="1"/>
  <c r="F6322" i="5"/>
  <c r="G6322" i="5" s="1"/>
  <c r="F6323" i="5"/>
  <c r="G6323" i="5" s="1"/>
  <c r="F6324" i="5"/>
  <c r="G6324" i="5" s="1"/>
  <c r="F6325" i="5"/>
  <c r="G6325" i="5" s="1"/>
  <c r="F6326" i="5"/>
  <c r="G6326" i="5" s="1"/>
  <c r="F6327" i="5"/>
  <c r="G6327" i="5" s="1"/>
  <c r="F6328" i="5"/>
  <c r="G6328" i="5" s="1"/>
  <c r="F6329" i="5"/>
  <c r="G6329" i="5" s="1"/>
  <c r="F6330" i="5"/>
  <c r="G6330" i="5" s="1"/>
  <c r="F6331" i="5"/>
  <c r="G6331" i="5" s="1"/>
  <c r="F6332" i="5"/>
  <c r="G6332" i="5" s="1"/>
  <c r="F6333" i="5"/>
  <c r="G6333" i="5" s="1"/>
  <c r="F6334" i="5"/>
  <c r="G6334" i="5" s="1"/>
  <c r="F6335" i="5"/>
  <c r="G6335" i="5" s="1"/>
  <c r="F6336" i="5"/>
  <c r="G6336" i="5" s="1"/>
  <c r="F6337" i="5"/>
  <c r="G6337" i="5" s="1"/>
  <c r="F6338" i="5"/>
  <c r="G6338" i="5" s="1"/>
  <c r="F6339" i="5"/>
  <c r="G6339" i="5" s="1"/>
  <c r="F6340" i="5"/>
  <c r="G6340" i="5" s="1"/>
  <c r="F6341" i="5"/>
  <c r="G6341" i="5" s="1"/>
  <c r="F6342" i="5"/>
  <c r="G6342" i="5" s="1"/>
  <c r="F6343" i="5"/>
  <c r="G6343" i="5" s="1"/>
  <c r="F6344" i="5"/>
  <c r="G6344" i="5" s="1"/>
  <c r="F6345" i="5"/>
  <c r="G6345" i="5" s="1"/>
  <c r="F6346" i="5"/>
  <c r="G6346" i="5" s="1"/>
  <c r="F6347" i="5"/>
  <c r="G6347" i="5" s="1"/>
  <c r="F6348" i="5"/>
  <c r="G6348" i="5" s="1"/>
  <c r="F6349" i="5"/>
  <c r="G6349" i="5" s="1"/>
  <c r="F6350" i="5"/>
  <c r="G6350" i="5" s="1"/>
  <c r="F6351" i="5"/>
  <c r="G6351" i="5" s="1"/>
  <c r="F6352" i="5"/>
  <c r="G6352" i="5" s="1"/>
  <c r="F6353" i="5"/>
  <c r="G6353" i="5" s="1"/>
  <c r="F6354" i="5"/>
  <c r="G6354" i="5" s="1"/>
  <c r="F6355" i="5"/>
  <c r="G6355" i="5" s="1"/>
  <c r="F6356" i="5"/>
  <c r="G6356" i="5" s="1"/>
  <c r="F6357" i="5"/>
  <c r="G6357" i="5" s="1"/>
  <c r="F6358" i="5"/>
  <c r="G6358" i="5" s="1"/>
  <c r="F6359" i="5"/>
  <c r="G6359" i="5" s="1"/>
  <c r="F6360" i="5"/>
  <c r="G6360" i="5" s="1"/>
  <c r="F6361" i="5"/>
  <c r="G6361" i="5" s="1"/>
  <c r="F6362" i="5"/>
  <c r="G6362" i="5" s="1"/>
  <c r="F6363" i="5"/>
  <c r="G6363" i="5" s="1"/>
  <c r="F6364" i="5"/>
  <c r="G6364" i="5" s="1"/>
  <c r="F6365" i="5"/>
  <c r="G6365" i="5" s="1"/>
  <c r="F6366" i="5"/>
  <c r="G6366" i="5" s="1"/>
  <c r="F6367" i="5"/>
  <c r="G6367" i="5" s="1"/>
  <c r="F6368" i="5"/>
  <c r="G6368" i="5" s="1"/>
  <c r="F6369" i="5"/>
  <c r="G6369" i="5" s="1"/>
  <c r="F6370" i="5"/>
  <c r="G6370" i="5" s="1"/>
  <c r="F6371" i="5"/>
  <c r="G6371" i="5" s="1"/>
  <c r="F6372" i="5"/>
  <c r="G6372" i="5" s="1"/>
  <c r="F6373" i="5"/>
  <c r="G6373" i="5" s="1"/>
  <c r="F6374" i="5"/>
  <c r="G6374" i="5" s="1"/>
  <c r="F6375" i="5"/>
  <c r="G6375" i="5" s="1"/>
  <c r="F6376" i="5"/>
  <c r="G6376" i="5" s="1"/>
  <c r="F6377" i="5"/>
  <c r="G6377" i="5" s="1"/>
  <c r="F6378" i="5"/>
  <c r="G6378" i="5" s="1"/>
  <c r="F6379" i="5"/>
  <c r="G6379" i="5" s="1"/>
  <c r="F6380" i="5"/>
  <c r="G6380" i="5" s="1"/>
  <c r="F6381" i="5"/>
  <c r="G6381" i="5" s="1"/>
  <c r="F6382" i="5"/>
  <c r="G6382" i="5" s="1"/>
  <c r="F6383" i="5"/>
  <c r="G6383" i="5" s="1"/>
  <c r="F6384" i="5"/>
  <c r="G6384" i="5" s="1"/>
  <c r="F6385" i="5"/>
  <c r="G6385" i="5" s="1"/>
  <c r="F6386" i="5"/>
  <c r="G6386" i="5" s="1"/>
  <c r="F6387" i="5"/>
  <c r="G6387" i="5" s="1"/>
  <c r="F6388" i="5"/>
  <c r="G6388" i="5" s="1"/>
  <c r="F6389" i="5"/>
  <c r="G6389" i="5" s="1"/>
  <c r="F6390" i="5"/>
  <c r="G6390" i="5" s="1"/>
  <c r="F6391" i="5"/>
  <c r="G6391" i="5" s="1"/>
  <c r="F6392" i="5"/>
  <c r="G6392" i="5" s="1"/>
  <c r="F6393" i="5"/>
  <c r="G6393" i="5" s="1"/>
  <c r="F6394" i="5"/>
  <c r="G6394" i="5" s="1"/>
  <c r="F6395" i="5"/>
  <c r="G6395" i="5" s="1"/>
  <c r="F6396" i="5"/>
  <c r="G6396" i="5" s="1"/>
  <c r="F6397" i="5"/>
  <c r="G6397" i="5" s="1"/>
  <c r="F6398" i="5"/>
  <c r="G6398" i="5" s="1"/>
  <c r="F6399" i="5"/>
  <c r="G6399" i="5" s="1"/>
  <c r="F6400" i="5"/>
  <c r="G6400" i="5" s="1"/>
  <c r="F6401" i="5"/>
  <c r="G6401" i="5" s="1"/>
  <c r="F6402" i="5"/>
  <c r="G6402" i="5" s="1"/>
  <c r="F6403" i="5"/>
  <c r="G6403" i="5" s="1"/>
  <c r="F6404" i="5"/>
  <c r="G6404" i="5" s="1"/>
  <c r="F6405" i="5"/>
  <c r="G6405" i="5" s="1"/>
  <c r="F6406" i="5"/>
  <c r="G6406" i="5" s="1"/>
  <c r="F6407" i="5"/>
  <c r="G6407" i="5" s="1"/>
  <c r="F6408" i="5"/>
  <c r="G6408" i="5" s="1"/>
  <c r="F6409" i="5"/>
  <c r="G6409" i="5" s="1"/>
  <c r="F6410" i="5"/>
  <c r="G6410" i="5" s="1"/>
  <c r="F6411" i="5"/>
  <c r="G6411" i="5" s="1"/>
  <c r="F6412" i="5"/>
  <c r="G6412" i="5" s="1"/>
  <c r="F6413" i="5"/>
  <c r="G6413" i="5" s="1"/>
  <c r="F6414" i="5"/>
  <c r="G6414" i="5" s="1"/>
  <c r="F6415" i="5"/>
  <c r="G6415" i="5" s="1"/>
  <c r="F6416" i="5"/>
  <c r="G6416" i="5" s="1"/>
  <c r="F6417" i="5"/>
  <c r="G6417" i="5" s="1"/>
  <c r="F6418" i="5"/>
  <c r="G6418" i="5" s="1"/>
  <c r="F6419" i="5"/>
  <c r="G6419" i="5" s="1"/>
  <c r="F6420" i="5"/>
  <c r="G6420" i="5" s="1"/>
  <c r="F6421" i="5"/>
  <c r="G6421" i="5" s="1"/>
  <c r="F6422" i="5"/>
  <c r="G6422" i="5" s="1"/>
  <c r="F6423" i="5"/>
  <c r="G6423" i="5" s="1"/>
  <c r="F6424" i="5"/>
  <c r="G6424" i="5" s="1"/>
  <c r="F6425" i="5"/>
  <c r="G6425" i="5" s="1"/>
  <c r="F6426" i="5"/>
  <c r="G6426" i="5" s="1"/>
  <c r="F6427" i="5"/>
  <c r="G6427" i="5" s="1"/>
  <c r="F6428" i="5"/>
  <c r="G6428" i="5" s="1"/>
  <c r="F6429" i="5"/>
  <c r="G6429" i="5" s="1"/>
  <c r="F6430" i="5"/>
  <c r="G6430" i="5" s="1"/>
  <c r="F6431" i="5"/>
  <c r="G6431" i="5" s="1"/>
  <c r="F6432" i="5"/>
  <c r="G6432" i="5" s="1"/>
  <c r="F6433" i="5"/>
  <c r="G6433" i="5" s="1"/>
  <c r="F6434" i="5"/>
  <c r="G6434" i="5" s="1"/>
  <c r="F6435" i="5"/>
  <c r="G6435" i="5" s="1"/>
  <c r="F6436" i="5"/>
  <c r="G6436" i="5" s="1"/>
  <c r="F6437" i="5"/>
  <c r="G6437" i="5" s="1"/>
  <c r="F6438" i="5"/>
  <c r="G6438" i="5" s="1"/>
  <c r="F6439" i="5"/>
  <c r="G6439" i="5" s="1"/>
  <c r="F6440" i="5"/>
  <c r="G6440" i="5" s="1"/>
  <c r="F6441" i="5"/>
  <c r="G6441" i="5" s="1"/>
  <c r="F6442" i="5"/>
  <c r="G6442" i="5" s="1"/>
  <c r="F6443" i="5"/>
  <c r="G6443" i="5" s="1"/>
  <c r="F6444" i="5"/>
  <c r="G6444" i="5" s="1"/>
  <c r="F6445" i="5"/>
  <c r="G6445" i="5" s="1"/>
  <c r="F6446" i="5"/>
  <c r="G6446" i="5" s="1"/>
  <c r="F6447" i="5"/>
  <c r="G6447" i="5" s="1"/>
  <c r="F6448" i="5"/>
  <c r="G6448" i="5" s="1"/>
  <c r="F6449" i="5"/>
  <c r="G6449" i="5" s="1"/>
  <c r="F6450" i="5"/>
  <c r="G6450" i="5" s="1"/>
  <c r="F6451" i="5"/>
  <c r="G6451" i="5" s="1"/>
  <c r="F6452" i="5"/>
  <c r="G6452" i="5" s="1"/>
  <c r="F6453" i="5"/>
  <c r="G6453" i="5" s="1"/>
  <c r="F6454" i="5"/>
  <c r="G6454" i="5" s="1"/>
  <c r="F6455" i="5"/>
  <c r="G6455" i="5" s="1"/>
  <c r="F6456" i="5"/>
  <c r="G6456" i="5" s="1"/>
  <c r="F6457" i="5"/>
  <c r="G6457" i="5" s="1"/>
  <c r="F6458" i="5"/>
  <c r="G6458" i="5" s="1"/>
  <c r="F6459" i="5"/>
  <c r="G6459" i="5" s="1"/>
  <c r="F6460" i="5"/>
  <c r="G6460" i="5" s="1"/>
  <c r="F6461" i="5"/>
  <c r="G6461" i="5" s="1"/>
  <c r="F6462" i="5"/>
  <c r="G6462" i="5" s="1"/>
  <c r="F6463" i="5"/>
  <c r="G6463" i="5" s="1"/>
  <c r="F6464" i="5"/>
  <c r="G6464" i="5" s="1"/>
  <c r="F6465" i="5"/>
  <c r="G6465" i="5" s="1"/>
  <c r="F6466" i="5"/>
  <c r="G6466" i="5" s="1"/>
  <c r="F6467" i="5"/>
  <c r="G6467" i="5" s="1"/>
  <c r="F6468" i="5"/>
  <c r="G6468" i="5" s="1"/>
  <c r="F6469" i="5"/>
  <c r="G6469" i="5" s="1"/>
  <c r="F6470" i="5"/>
  <c r="G6470" i="5" s="1"/>
  <c r="F6471" i="5"/>
  <c r="G6471" i="5" s="1"/>
  <c r="F6472" i="5"/>
  <c r="G6472" i="5" s="1"/>
  <c r="F6473" i="5"/>
  <c r="G6473" i="5" s="1"/>
  <c r="F6474" i="5"/>
  <c r="G6474" i="5" s="1"/>
  <c r="F6475" i="5"/>
  <c r="G6475" i="5" s="1"/>
  <c r="F6476" i="5"/>
  <c r="G6476" i="5" s="1"/>
  <c r="F6477" i="5"/>
  <c r="G6477" i="5" s="1"/>
  <c r="F6478" i="5"/>
  <c r="G6478" i="5" s="1"/>
  <c r="F6479" i="5"/>
  <c r="G6479" i="5" s="1"/>
  <c r="F6480" i="5"/>
  <c r="G6480" i="5" s="1"/>
  <c r="F6481" i="5"/>
  <c r="G6481" i="5" s="1"/>
  <c r="F6482" i="5"/>
  <c r="G6482" i="5" s="1"/>
  <c r="F6483" i="5"/>
  <c r="G6483" i="5" s="1"/>
  <c r="F6484" i="5"/>
  <c r="G6484" i="5" s="1"/>
  <c r="F6485" i="5"/>
  <c r="G6485" i="5" s="1"/>
  <c r="F6486" i="5"/>
  <c r="G6486" i="5" s="1"/>
  <c r="F6487" i="5"/>
  <c r="G6487" i="5" s="1"/>
  <c r="F6488" i="5"/>
  <c r="G6488" i="5" s="1"/>
  <c r="F6489" i="5"/>
  <c r="G6489" i="5" s="1"/>
  <c r="F6490" i="5"/>
  <c r="G6490" i="5" s="1"/>
  <c r="F6491" i="5"/>
  <c r="G6491" i="5" s="1"/>
  <c r="F6492" i="5"/>
  <c r="G6492" i="5" s="1"/>
  <c r="F6493" i="5"/>
  <c r="G6493" i="5" s="1"/>
  <c r="F6494" i="5"/>
  <c r="G6494" i="5" s="1"/>
  <c r="F6495" i="5"/>
  <c r="G6495" i="5" s="1"/>
  <c r="F6496" i="5"/>
  <c r="G6496" i="5" s="1"/>
  <c r="F6497" i="5"/>
  <c r="G6497" i="5" s="1"/>
  <c r="F6498" i="5"/>
  <c r="G6498" i="5" s="1"/>
  <c r="F6499" i="5"/>
  <c r="G6499" i="5" s="1"/>
  <c r="F6500" i="5"/>
  <c r="G6500" i="5" s="1"/>
  <c r="F6501" i="5"/>
  <c r="G6501" i="5" s="1"/>
  <c r="F6502" i="5"/>
  <c r="G6502" i="5" s="1"/>
  <c r="F6503" i="5"/>
  <c r="G6503" i="5" s="1"/>
  <c r="F6504" i="5"/>
  <c r="G6504" i="5" s="1"/>
  <c r="F6505" i="5"/>
  <c r="G6505" i="5" s="1"/>
  <c r="F6506" i="5"/>
  <c r="G6506" i="5" s="1"/>
  <c r="F6507" i="5"/>
  <c r="G6507" i="5" s="1"/>
  <c r="F6508" i="5"/>
  <c r="G6508" i="5" s="1"/>
  <c r="F6509" i="5"/>
  <c r="G6509" i="5" s="1"/>
  <c r="F6510" i="5"/>
  <c r="G6510" i="5" s="1"/>
  <c r="F6511" i="5"/>
  <c r="G6511" i="5" s="1"/>
  <c r="F6512" i="5"/>
  <c r="G6512" i="5" s="1"/>
  <c r="F6513" i="5"/>
  <c r="G6513" i="5" s="1"/>
  <c r="F6514" i="5"/>
  <c r="G6514" i="5" s="1"/>
  <c r="F6515" i="5"/>
  <c r="G6515" i="5" s="1"/>
  <c r="F6516" i="5"/>
  <c r="G6516" i="5" s="1"/>
  <c r="F6517" i="5"/>
  <c r="G6517" i="5" s="1"/>
  <c r="F6518" i="5"/>
  <c r="G6518" i="5" s="1"/>
  <c r="F6519" i="5"/>
  <c r="G6519" i="5" s="1"/>
  <c r="F6520" i="5"/>
  <c r="G6520" i="5" s="1"/>
  <c r="F6521" i="5"/>
  <c r="G6521" i="5" s="1"/>
  <c r="F6522" i="5"/>
  <c r="G6522" i="5" s="1"/>
  <c r="F6523" i="5"/>
  <c r="G6523" i="5" s="1"/>
  <c r="F6524" i="5"/>
  <c r="G6524" i="5" s="1"/>
  <c r="F6525" i="5"/>
  <c r="G6525" i="5" s="1"/>
  <c r="F6526" i="5"/>
  <c r="G6526" i="5" s="1"/>
  <c r="F6527" i="5"/>
  <c r="G6527" i="5" s="1"/>
  <c r="F6528" i="5"/>
  <c r="G6528" i="5" s="1"/>
  <c r="F6529" i="5"/>
  <c r="G6529" i="5" s="1"/>
  <c r="F6530" i="5"/>
  <c r="G6530" i="5" s="1"/>
  <c r="F6531" i="5"/>
  <c r="G6531" i="5" s="1"/>
  <c r="F6532" i="5"/>
  <c r="G6532" i="5" s="1"/>
  <c r="F6533" i="5"/>
  <c r="G6533" i="5" s="1"/>
  <c r="F6534" i="5"/>
  <c r="G6534" i="5" s="1"/>
  <c r="F6535" i="5"/>
  <c r="G6535" i="5" s="1"/>
  <c r="F6536" i="5"/>
  <c r="G6536" i="5" s="1"/>
  <c r="F6537" i="5"/>
  <c r="G6537" i="5" s="1"/>
  <c r="F6538" i="5"/>
  <c r="G6538" i="5" s="1"/>
  <c r="F6539" i="5"/>
  <c r="G6539" i="5" s="1"/>
  <c r="F6540" i="5"/>
  <c r="G6540" i="5" s="1"/>
  <c r="F6541" i="5"/>
  <c r="G6541" i="5" s="1"/>
  <c r="F6542" i="5"/>
  <c r="G6542" i="5" s="1"/>
  <c r="F6543" i="5"/>
  <c r="G6543" i="5" s="1"/>
  <c r="F6544" i="5"/>
  <c r="G6544" i="5" s="1"/>
  <c r="F6545" i="5"/>
  <c r="G6545" i="5" s="1"/>
  <c r="F6546" i="5"/>
  <c r="G6546" i="5" s="1"/>
  <c r="F6547" i="5"/>
  <c r="G6547" i="5" s="1"/>
  <c r="F6548" i="5"/>
  <c r="G6548" i="5" s="1"/>
  <c r="F6549" i="5"/>
  <c r="G6549" i="5" s="1"/>
  <c r="F6550" i="5"/>
  <c r="G6550" i="5" s="1"/>
  <c r="F6551" i="5"/>
  <c r="G6551" i="5" s="1"/>
  <c r="F6552" i="5"/>
  <c r="G6552" i="5" s="1"/>
  <c r="F6553" i="5"/>
  <c r="G6553" i="5" s="1"/>
  <c r="F6554" i="5"/>
  <c r="G6554" i="5" s="1"/>
  <c r="F6555" i="5"/>
  <c r="G6555" i="5" s="1"/>
  <c r="F6556" i="5"/>
  <c r="G6556" i="5" s="1"/>
  <c r="F6557" i="5"/>
  <c r="G6557" i="5" s="1"/>
  <c r="F6558" i="5"/>
  <c r="G6558" i="5" s="1"/>
  <c r="F6559" i="5"/>
  <c r="G6559" i="5" s="1"/>
  <c r="F6560" i="5"/>
  <c r="G6560" i="5" s="1"/>
  <c r="F6561" i="5"/>
  <c r="G6561" i="5" s="1"/>
  <c r="F6562" i="5"/>
  <c r="G6562" i="5" s="1"/>
  <c r="F6563" i="5"/>
  <c r="G6563" i="5" s="1"/>
  <c r="F6564" i="5"/>
  <c r="G6564" i="5" s="1"/>
  <c r="F6565" i="5"/>
  <c r="G6565" i="5" s="1"/>
  <c r="F6566" i="5"/>
  <c r="G6566" i="5" s="1"/>
  <c r="F6567" i="5"/>
  <c r="G6567" i="5" s="1"/>
  <c r="F6568" i="5"/>
  <c r="G6568" i="5" s="1"/>
  <c r="F6569" i="5"/>
  <c r="G6569" i="5" s="1"/>
  <c r="F6570" i="5"/>
  <c r="G6570" i="5" s="1"/>
  <c r="F6571" i="5"/>
  <c r="G6571" i="5" s="1"/>
  <c r="F6572" i="5"/>
  <c r="G6572" i="5" s="1"/>
  <c r="F6573" i="5"/>
  <c r="G6573" i="5" s="1"/>
  <c r="F6574" i="5"/>
  <c r="G6574" i="5" s="1"/>
  <c r="F6575" i="5"/>
  <c r="G6575" i="5" s="1"/>
  <c r="F6576" i="5"/>
  <c r="G6576" i="5" s="1"/>
  <c r="F6577" i="5"/>
  <c r="G6577" i="5" s="1"/>
  <c r="F6578" i="5"/>
  <c r="G6578" i="5" s="1"/>
  <c r="F6579" i="5"/>
  <c r="G6579" i="5" s="1"/>
  <c r="F6580" i="5"/>
  <c r="G6580" i="5" s="1"/>
  <c r="F6581" i="5"/>
  <c r="G6581" i="5" s="1"/>
  <c r="F6582" i="5"/>
  <c r="G6582" i="5" s="1"/>
  <c r="F6583" i="5"/>
  <c r="G6583" i="5" s="1"/>
  <c r="F6584" i="5"/>
  <c r="G6584" i="5" s="1"/>
  <c r="F6585" i="5"/>
  <c r="G6585" i="5" s="1"/>
  <c r="F6586" i="5"/>
  <c r="G6586" i="5" s="1"/>
  <c r="F6587" i="5"/>
  <c r="G6587" i="5" s="1"/>
  <c r="F6588" i="5"/>
  <c r="G6588" i="5" s="1"/>
  <c r="F6589" i="5"/>
  <c r="G6589" i="5" s="1"/>
  <c r="F6590" i="5"/>
  <c r="G6590" i="5" s="1"/>
  <c r="F6591" i="5"/>
  <c r="G6591" i="5" s="1"/>
  <c r="F6592" i="5"/>
  <c r="G6592" i="5" s="1"/>
  <c r="F6593" i="5"/>
  <c r="G6593" i="5" s="1"/>
  <c r="F6594" i="5"/>
  <c r="G6594" i="5" s="1"/>
  <c r="F6595" i="5"/>
  <c r="G6595" i="5" s="1"/>
  <c r="F6596" i="5"/>
  <c r="G6596" i="5" s="1"/>
  <c r="F6597" i="5"/>
  <c r="G6597" i="5" s="1"/>
  <c r="F6598" i="5"/>
  <c r="G6598" i="5" s="1"/>
  <c r="F6599" i="5"/>
  <c r="G6599" i="5" s="1"/>
  <c r="F6600" i="5"/>
  <c r="G6600" i="5" s="1"/>
  <c r="F6601" i="5"/>
  <c r="G6601" i="5" s="1"/>
  <c r="F6602" i="5"/>
  <c r="G6602" i="5" s="1"/>
  <c r="F6603" i="5"/>
  <c r="G6603" i="5" s="1"/>
  <c r="F6604" i="5"/>
  <c r="G6604" i="5" s="1"/>
  <c r="F6605" i="5"/>
  <c r="G6605" i="5" s="1"/>
  <c r="F6606" i="5"/>
  <c r="G6606" i="5" s="1"/>
  <c r="F6607" i="5"/>
  <c r="G6607" i="5" s="1"/>
  <c r="F6608" i="5"/>
  <c r="G6608" i="5" s="1"/>
  <c r="F6609" i="5"/>
  <c r="G6609" i="5" s="1"/>
  <c r="F6610" i="5"/>
  <c r="G6610" i="5" s="1"/>
  <c r="F6611" i="5"/>
  <c r="G6611" i="5" s="1"/>
  <c r="F6612" i="5"/>
  <c r="G6612" i="5" s="1"/>
  <c r="F6613" i="5"/>
  <c r="G6613" i="5" s="1"/>
  <c r="F6614" i="5"/>
  <c r="G6614" i="5" s="1"/>
  <c r="F6615" i="5"/>
  <c r="G6615" i="5" s="1"/>
  <c r="F6616" i="5"/>
  <c r="G6616" i="5" s="1"/>
  <c r="F6617" i="5"/>
  <c r="G6617" i="5" s="1"/>
  <c r="F6618" i="5"/>
  <c r="G6618" i="5" s="1"/>
  <c r="F6619" i="5"/>
  <c r="G6619" i="5" s="1"/>
  <c r="F6620" i="5"/>
  <c r="G6620" i="5" s="1"/>
  <c r="F6621" i="5"/>
  <c r="G6621" i="5" s="1"/>
  <c r="F6622" i="5"/>
  <c r="G6622" i="5" s="1"/>
  <c r="F6623" i="5"/>
  <c r="G6623" i="5" s="1"/>
  <c r="F6624" i="5"/>
  <c r="G6624" i="5" s="1"/>
  <c r="F6625" i="5"/>
  <c r="G6625" i="5" s="1"/>
  <c r="F6626" i="5"/>
  <c r="G6626" i="5" s="1"/>
  <c r="F6627" i="5"/>
  <c r="G6627" i="5" s="1"/>
  <c r="F6628" i="5"/>
  <c r="G6628" i="5" s="1"/>
  <c r="F6629" i="5"/>
  <c r="G6629" i="5" s="1"/>
  <c r="F6630" i="5"/>
  <c r="G6630" i="5" s="1"/>
  <c r="F6631" i="5"/>
  <c r="G6631" i="5" s="1"/>
  <c r="F6632" i="5"/>
  <c r="G6632" i="5" s="1"/>
  <c r="F6633" i="5"/>
  <c r="G6633" i="5" s="1"/>
  <c r="F6634" i="5"/>
  <c r="G6634" i="5" s="1"/>
  <c r="F6635" i="5"/>
  <c r="G6635" i="5" s="1"/>
  <c r="F6636" i="5"/>
  <c r="G6636" i="5" s="1"/>
  <c r="F6637" i="5"/>
  <c r="G6637" i="5" s="1"/>
  <c r="F6638" i="5"/>
  <c r="G6638" i="5" s="1"/>
  <c r="F6639" i="5"/>
  <c r="G6639" i="5" s="1"/>
  <c r="F6640" i="5"/>
  <c r="G6640" i="5" s="1"/>
  <c r="F6641" i="5"/>
  <c r="G6641" i="5" s="1"/>
  <c r="F6642" i="5"/>
  <c r="G6642" i="5" s="1"/>
  <c r="F6643" i="5"/>
  <c r="G6643" i="5" s="1"/>
  <c r="F6644" i="5"/>
  <c r="G6644" i="5" s="1"/>
  <c r="F6645" i="5"/>
  <c r="G6645" i="5" s="1"/>
  <c r="F6646" i="5"/>
  <c r="G6646" i="5" s="1"/>
  <c r="F6647" i="5"/>
  <c r="G6647" i="5" s="1"/>
  <c r="F6648" i="5"/>
  <c r="G6648" i="5" s="1"/>
  <c r="F6649" i="5"/>
  <c r="G6649" i="5" s="1"/>
  <c r="F6650" i="5"/>
  <c r="G6650" i="5" s="1"/>
  <c r="F6651" i="5"/>
  <c r="G6651" i="5" s="1"/>
  <c r="F6652" i="5"/>
  <c r="G6652" i="5" s="1"/>
  <c r="F6653" i="5"/>
  <c r="G6653" i="5" s="1"/>
  <c r="F6654" i="5"/>
  <c r="G6654" i="5" s="1"/>
  <c r="F6655" i="5"/>
  <c r="G6655" i="5" s="1"/>
  <c r="F6656" i="5"/>
  <c r="G6656" i="5" s="1"/>
  <c r="F6657" i="5"/>
  <c r="G6657" i="5" s="1"/>
  <c r="F6658" i="5"/>
  <c r="G6658" i="5" s="1"/>
  <c r="F6659" i="5"/>
  <c r="G6659" i="5" s="1"/>
  <c r="F6660" i="5"/>
  <c r="G6660" i="5" s="1"/>
  <c r="F6661" i="5"/>
  <c r="G6661" i="5" s="1"/>
  <c r="F6662" i="5"/>
  <c r="G6662" i="5" s="1"/>
  <c r="F6663" i="5"/>
  <c r="G6663" i="5" s="1"/>
  <c r="F6664" i="5"/>
  <c r="G6664" i="5" s="1"/>
  <c r="F6665" i="5"/>
  <c r="G6665" i="5" s="1"/>
  <c r="F6666" i="5"/>
  <c r="G6666" i="5" s="1"/>
  <c r="F6667" i="5"/>
  <c r="G6667" i="5" s="1"/>
  <c r="F6668" i="5"/>
  <c r="G6668" i="5" s="1"/>
  <c r="F6669" i="5"/>
  <c r="G6669" i="5" s="1"/>
  <c r="F6670" i="5"/>
  <c r="G6670" i="5" s="1"/>
  <c r="F6671" i="5"/>
  <c r="G6671" i="5" s="1"/>
  <c r="F6672" i="5"/>
  <c r="G6672" i="5" s="1"/>
  <c r="F6673" i="5"/>
  <c r="G6673" i="5" s="1"/>
  <c r="F6674" i="5"/>
  <c r="G6674" i="5" s="1"/>
  <c r="F6675" i="5"/>
  <c r="G6675" i="5" s="1"/>
  <c r="F6676" i="5"/>
  <c r="G6676" i="5" s="1"/>
  <c r="F6677" i="5"/>
  <c r="G6677" i="5" s="1"/>
  <c r="F6678" i="5"/>
  <c r="G6678" i="5" s="1"/>
  <c r="F6679" i="5"/>
  <c r="G6679" i="5" s="1"/>
  <c r="F6680" i="5"/>
  <c r="G6680" i="5" s="1"/>
  <c r="F6681" i="5"/>
  <c r="G6681" i="5" s="1"/>
  <c r="F6682" i="5"/>
  <c r="G6682" i="5" s="1"/>
  <c r="F6683" i="5"/>
  <c r="G6683" i="5" s="1"/>
  <c r="F6684" i="5"/>
  <c r="G6684" i="5" s="1"/>
  <c r="F6685" i="5"/>
  <c r="G6685" i="5" s="1"/>
  <c r="F6686" i="5"/>
  <c r="G6686" i="5" s="1"/>
  <c r="F6687" i="5"/>
  <c r="G6687" i="5" s="1"/>
  <c r="F6688" i="5"/>
  <c r="G6688" i="5" s="1"/>
  <c r="F6689" i="5"/>
  <c r="G6689" i="5" s="1"/>
  <c r="F6690" i="5"/>
  <c r="G6690" i="5" s="1"/>
  <c r="F6691" i="5"/>
  <c r="G6691" i="5" s="1"/>
  <c r="F6692" i="5"/>
  <c r="G6692" i="5" s="1"/>
  <c r="F6693" i="5"/>
  <c r="G6693" i="5" s="1"/>
  <c r="F6694" i="5"/>
  <c r="G6694" i="5" s="1"/>
  <c r="F6695" i="5"/>
  <c r="G6695" i="5" s="1"/>
  <c r="F6696" i="5"/>
  <c r="G6696" i="5" s="1"/>
  <c r="F6697" i="5"/>
  <c r="G6697" i="5" s="1"/>
  <c r="F6698" i="5"/>
  <c r="G6698" i="5" s="1"/>
  <c r="F6699" i="5"/>
  <c r="G6699" i="5" s="1"/>
  <c r="F6700" i="5"/>
  <c r="G6700" i="5" s="1"/>
  <c r="F6701" i="5"/>
  <c r="G6701" i="5" s="1"/>
  <c r="F6702" i="5"/>
  <c r="G6702" i="5" s="1"/>
  <c r="F6703" i="5"/>
  <c r="G6703" i="5" s="1"/>
  <c r="F6704" i="5"/>
  <c r="G6704" i="5" s="1"/>
  <c r="F6705" i="5"/>
  <c r="G6705" i="5" s="1"/>
  <c r="F6706" i="5"/>
  <c r="G6706" i="5" s="1"/>
  <c r="F6707" i="5"/>
  <c r="G6707" i="5" s="1"/>
  <c r="F6708" i="5"/>
  <c r="G6708" i="5" s="1"/>
  <c r="F6709" i="5"/>
  <c r="G6709" i="5" s="1"/>
  <c r="F6710" i="5"/>
  <c r="G6710" i="5" s="1"/>
  <c r="F6711" i="5"/>
  <c r="G6711" i="5" s="1"/>
  <c r="F6712" i="5"/>
  <c r="G6712" i="5" s="1"/>
  <c r="F6713" i="5"/>
  <c r="G6713" i="5" s="1"/>
  <c r="F6714" i="5"/>
  <c r="G6714" i="5" s="1"/>
  <c r="F6715" i="5"/>
  <c r="G6715" i="5" s="1"/>
  <c r="F6716" i="5"/>
  <c r="G6716" i="5" s="1"/>
  <c r="F6717" i="5"/>
  <c r="G6717" i="5" s="1"/>
  <c r="F6718" i="5"/>
  <c r="G6718" i="5" s="1"/>
  <c r="F6719" i="5"/>
  <c r="G6719" i="5" s="1"/>
  <c r="F6720" i="5"/>
  <c r="G6720" i="5" s="1"/>
  <c r="F6721" i="5"/>
  <c r="G6721" i="5" s="1"/>
  <c r="F6722" i="5"/>
  <c r="G6722" i="5" s="1"/>
  <c r="F6723" i="5"/>
  <c r="G6723" i="5" s="1"/>
  <c r="F6724" i="5"/>
  <c r="G6724" i="5" s="1"/>
  <c r="F6725" i="5"/>
  <c r="G6725" i="5" s="1"/>
  <c r="F6726" i="5"/>
  <c r="G6726" i="5" s="1"/>
  <c r="F6727" i="5"/>
  <c r="G6727" i="5" s="1"/>
  <c r="F6728" i="5"/>
  <c r="G6728" i="5" s="1"/>
  <c r="F6729" i="5"/>
  <c r="G6729" i="5" s="1"/>
  <c r="F6730" i="5"/>
  <c r="G6730" i="5" s="1"/>
  <c r="F6731" i="5"/>
  <c r="G6731" i="5" s="1"/>
  <c r="F6732" i="5"/>
  <c r="G6732" i="5" s="1"/>
  <c r="F6733" i="5"/>
  <c r="G6733" i="5" s="1"/>
  <c r="F6734" i="5"/>
  <c r="G6734" i="5" s="1"/>
  <c r="F6735" i="5"/>
  <c r="G6735" i="5" s="1"/>
  <c r="F6736" i="5"/>
  <c r="G6736" i="5" s="1"/>
  <c r="F6737" i="5"/>
  <c r="G6737" i="5" s="1"/>
  <c r="F6738" i="5"/>
  <c r="G6738" i="5" s="1"/>
  <c r="F6739" i="5"/>
  <c r="G6739" i="5" s="1"/>
  <c r="F6740" i="5"/>
  <c r="G6740" i="5" s="1"/>
  <c r="F6741" i="5"/>
  <c r="G6741" i="5" s="1"/>
  <c r="F6742" i="5"/>
  <c r="G6742" i="5" s="1"/>
  <c r="F6743" i="5"/>
  <c r="G6743" i="5" s="1"/>
  <c r="F6744" i="5"/>
  <c r="G6744" i="5" s="1"/>
  <c r="F6745" i="5"/>
  <c r="G6745" i="5" s="1"/>
  <c r="F6746" i="5"/>
  <c r="G6746" i="5" s="1"/>
  <c r="F6747" i="5"/>
  <c r="G6747" i="5" s="1"/>
  <c r="F6748" i="5"/>
  <c r="G6748" i="5" s="1"/>
  <c r="F6749" i="5"/>
  <c r="G6749" i="5" s="1"/>
  <c r="F6750" i="5"/>
  <c r="G6750" i="5" s="1"/>
  <c r="F6751" i="5"/>
  <c r="G6751" i="5" s="1"/>
  <c r="F6752" i="5"/>
  <c r="G6752" i="5" s="1"/>
  <c r="F6753" i="5"/>
  <c r="G6753" i="5" s="1"/>
  <c r="F6754" i="5"/>
  <c r="G6754" i="5" s="1"/>
  <c r="F6755" i="5"/>
  <c r="G6755" i="5" s="1"/>
  <c r="F6756" i="5"/>
  <c r="G6756" i="5" s="1"/>
  <c r="F6757" i="5"/>
  <c r="G6757" i="5" s="1"/>
  <c r="F6758" i="5"/>
  <c r="G6758" i="5" s="1"/>
  <c r="F6759" i="5"/>
  <c r="G6759" i="5" s="1"/>
  <c r="F6760" i="5"/>
  <c r="G6760" i="5" s="1"/>
  <c r="F6761" i="5"/>
  <c r="G6761" i="5" s="1"/>
  <c r="F6762" i="5"/>
  <c r="G6762" i="5" s="1"/>
  <c r="F6763" i="5"/>
  <c r="G6763" i="5" s="1"/>
  <c r="F6764" i="5"/>
  <c r="G6764" i="5" s="1"/>
  <c r="F6765" i="5"/>
  <c r="G6765" i="5" s="1"/>
  <c r="F6766" i="5"/>
  <c r="G6766" i="5" s="1"/>
  <c r="F6767" i="5"/>
  <c r="G6767" i="5" s="1"/>
  <c r="F6768" i="5"/>
  <c r="G6768" i="5" s="1"/>
  <c r="F6769" i="5"/>
  <c r="G6769" i="5" s="1"/>
  <c r="F6770" i="5"/>
  <c r="G6770" i="5" s="1"/>
  <c r="F6771" i="5"/>
  <c r="G6771" i="5" s="1"/>
  <c r="F6772" i="5"/>
  <c r="G6772" i="5" s="1"/>
  <c r="F6773" i="5"/>
  <c r="G6773" i="5" s="1"/>
  <c r="F6774" i="5"/>
  <c r="G6774" i="5" s="1"/>
  <c r="F6775" i="5"/>
  <c r="G6775" i="5" s="1"/>
  <c r="F6776" i="5"/>
  <c r="G6776" i="5" s="1"/>
  <c r="F6777" i="5"/>
  <c r="G6777" i="5" s="1"/>
  <c r="F6778" i="5"/>
  <c r="G6778" i="5" s="1"/>
  <c r="F6779" i="5"/>
  <c r="G6779" i="5" s="1"/>
  <c r="F6780" i="5"/>
  <c r="G6780" i="5" s="1"/>
  <c r="F6781" i="5"/>
  <c r="G6781" i="5" s="1"/>
  <c r="F6782" i="5"/>
  <c r="G6782" i="5" s="1"/>
  <c r="F6783" i="5"/>
  <c r="G6783" i="5" s="1"/>
  <c r="F6784" i="5"/>
  <c r="G6784" i="5" s="1"/>
  <c r="F6785" i="5"/>
  <c r="G6785" i="5" s="1"/>
  <c r="F6786" i="5"/>
  <c r="G6786" i="5" s="1"/>
  <c r="F6787" i="5"/>
  <c r="G6787" i="5" s="1"/>
  <c r="F6788" i="5"/>
  <c r="G6788" i="5" s="1"/>
  <c r="F6789" i="5"/>
  <c r="G6789" i="5" s="1"/>
  <c r="F6790" i="5"/>
  <c r="G6790" i="5" s="1"/>
  <c r="F6791" i="5"/>
  <c r="G6791" i="5" s="1"/>
  <c r="F6792" i="5"/>
  <c r="G6792" i="5" s="1"/>
  <c r="F6793" i="5"/>
  <c r="G6793" i="5" s="1"/>
  <c r="F6794" i="5"/>
  <c r="G6794" i="5" s="1"/>
  <c r="F6795" i="5"/>
  <c r="G6795" i="5" s="1"/>
  <c r="F6796" i="5"/>
  <c r="G6796" i="5" s="1"/>
  <c r="F6797" i="5"/>
  <c r="G6797" i="5" s="1"/>
  <c r="F6798" i="5"/>
  <c r="G6798" i="5" s="1"/>
  <c r="F6799" i="5"/>
  <c r="G6799" i="5" s="1"/>
  <c r="F6800" i="5"/>
  <c r="G6800" i="5" s="1"/>
  <c r="F6801" i="5"/>
  <c r="G6801" i="5" s="1"/>
  <c r="F6802" i="5"/>
  <c r="G6802" i="5" s="1"/>
  <c r="F6803" i="5"/>
  <c r="G6803" i="5" s="1"/>
  <c r="F6804" i="5"/>
  <c r="G6804" i="5" s="1"/>
  <c r="F6805" i="5"/>
  <c r="G6805" i="5" s="1"/>
  <c r="F6806" i="5"/>
  <c r="G6806" i="5" s="1"/>
  <c r="F6807" i="5"/>
  <c r="G6807" i="5" s="1"/>
  <c r="F6808" i="5"/>
  <c r="G6808" i="5" s="1"/>
  <c r="F6809" i="5"/>
  <c r="G6809" i="5" s="1"/>
  <c r="F6810" i="5"/>
  <c r="G6810" i="5" s="1"/>
  <c r="F6811" i="5"/>
  <c r="G6811" i="5" s="1"/>
  <c r="F6812" i="5"/>
  <c r="G6812" i="5" s="1"/>
  <c r="F6813" i="5"/>
  <c r="G6813" i="5" s="1"/>
  <c r="F6814" i="5"/>
  <c r="G6814" i="5" s="1"/>
  <c r="F6815" i="5"/>
  <c r="G6815" i="5" s="1"/>
  <c r="F6816" i="5"/>
  <c r="G6816" i="5" s="1"/>
  <c r="F6817" i="5"/>
  <c r="G6817" i="5" s="1"/>
  <c r="F6818" i="5"/>
  <c r="G6818" i="5" s="1"/>
  <c r="F6819" i="5"/>
  <c r="G6819" i="5" s="1"/>
  <c r="F6820" i="5"/>
  <c r="G6820" i="5" s="1"/>
  <c r="F6821" i="5"/>
  <c r="G6821" i="5" s="1"/>
  <c r="F6822" i="5"/>
  <c r="G6822" i="5" s="1"/>
  <c r="F6823" i="5"/>
  <c r="G6823" i="5" s="1"/>
  <c r="F6824" i="5"/>
  <c r="G6824" i="5" s="1"/>
  <c r="F6825" i="5"/>
  <c r="G6825" i="5" s="1"/>
  <c r="F6826" i="5"/>
  <c r="G6826" i="5" s="1"/>
  <c r="F6827" i="5"/>
  <c r="G6827" i="5" s="1"/>
  <c r="F6828" i="5"/>
  <c r="G6828" i="5" s="1"/>
  <c r="F6829" i="5"/>
  <c r="G6829" i="5" s="1"/>
  <c r="F6830" i="5"/>
  <c r="G6830" i="5" s="1"/>
  <c r="F6831" i="5"/>
  <c r="G6831" i="5" s="1"/>
  <c r="F6832" i="5"/>
  <c r="G6832" i="5" s="1"/>
  <c r="F6833" i="5"/>
  <c r="G6833" i="5" s="1"/>
  <c r="F6834" i="5"/>
  <c r="G6834" i="5" s="1"/>
  <c r="F6835" i="5"/>
  <c r="G6835" i="5" s="1"/>
  <c r="F6836" i="5"/>
  <c r="G6836" i="5" s="1"/>
  <c r="F6837" i="5"/>
  <c r="G6837" i="5" s="1"/>
  <c r="F6838" i="5"/>
  <c r="G6838" i="5" s="1"/>
  <c r="F6839" i="5"/>
  <c r="G6839" i="5" s="1"/>
  <c r="F6840" i="5"/>
  <c r="G6840" i="5" s="1"/>
  <c r="F6841" i="5"/>
  <c r="G6841" i="5" s="1"/>
  <c r="F6842" i="5"/>
  <c r="G6842" i="5" s="1"/>
  <c r="F6843" i="5"/>
  <c r="G6843" i="5" s="1"/>
  <c r="F6844" i="5"/>
  <c r="G6844" i="5" s="1"/>
  <c r="F6845" i="5"/>
  <c r="G6845" i="5" s="1"/>
  <c r="F6846" i="5"/>
  <c r="G6846" i="5" s="1"/>
  <c r="F6847" i="5"/>
  <c r="G6847" i="5" s="1"/>
  <c r="F6848" i="5"/>
  <c r="G6848" i="5" s="1"/>
  <c r="F6849" i="5"/>
  <c r="G6849" i="5" s="1"/>
  <c r="F6850" i="5"/>
  <c r="G6850" i="5" s="1"/>
  <c r="F6851" i="5"/>
  <c r="G6851" i="5" s="1"/>
  <c r="F6852" i="5"/>
  <c r="G6852" i="5" s="1"/>
  <c r="F6853" i="5"/>
  <c r="G6853" i="5" s="1"/>
  <c r="F6854" i="5"/>
  <c r="G6854" i="5" s="1"/>
  <c r="F6855" i="5"/>
  <c r="G6855" i="5" s="1"/>
  <c r="F6856" i="5"/>
  <c r="G6856" i="5" s="1"/>
  <c r="F6857" i="5"/>
  <c r="G6857" i="5" s="1"/>
  <c r="F6858" i="5"/>
  <c r="G6858" i="5" s="1"/>
  <c r="F6859" i="5"/>
  <c r="G6859" i="5" s="1"/>
  <c r="F6860" i="5"/>
  <c r="G6860" i="5" s="1"/>
  <c r="F6861" i="5"/>
  <c r="G6861" i="5" s="1"/>
  <c r="F6862" i="5"/>
  <c r="G6862" i="5" s="1"/>
  <c r="F6863" i="5"/>
  <c r="G6863" i="5" s="1"/>
  <c r="F6864" i="5"/>
  <c r="G6864" i="5" s="1"/>
  <c r="F6865" i="5"/>
  <c r="G6865" i="5" s="1"/>
  <c r="F6866" i="5"/>
  <c r="G6866" i="5" s="1"/>
  <c r="F6867" i="5"/>
  <c r="G6867" i="5" s="1"/>
  <c r="F6868" i="5"/>
  <c r="G6868" i="5" s="1"/>
  <c r="F6869" i="5"/>
  <c r="G6869" i="5" s="1"/>
  <c r="F6870" i="5"/>
  <c r="G6870" i="5" s="1"/>
  <c r="F6871" i="5"/>
  <c r="G6871" i="5" s="1"/>
  <c r="F6872" i="5"/>
  <c r="G6872" i="5" s="1"/>
  <c r="F6873" i="5"/>
  <c r="G6873" i="5" s="1"/>
  <c r="F6874" i="5"/>
  <c r="G6874" i="5" s="1"/>
  <c r="F6875" i="5"/>
  <c r="G6875" i="5" s="1"/>
  <c r="F6876" i="5"/>
  <c r="G6876" i="5" s="1"/>
  <c r="F6877" i="5"/>
  <c r="G6877" i="5" s="1"/>
  <c r="F6878" i="5"/>
  <c r="G6878" i="5" s="1"/>
  <c r="F6879" i="5"/>
  <c r="G6879" i="5" s="1"/>
  <c r="F6880" i="5"/>
  <c r="G6880" i="5" s="1"/>
  <c r="F6881" i="5"/>
  <c r="G6881" i="5" s="1"/>
  <c r="F6882" i="5"/>
  <c r="G6882" i="5" s="1"/>
  <c r="F6883" i="5"/>
  <c r="G6883" i="5" s="1"/>
  <c r="F6884" i="5"/>
  <c r="G6884" i="5" s="1"/>
  <c r="F6885" i="5"/>
  <c r="G6885" i="5" s="1"/>
  <c r="F6886" i="5"/>
  <c r="G6886" i="5" s="1"/>
  <c r="F6887" i="5"/>
  <c r="G6887" i="5" s="1"/>
  <c r="F6888" i="5"/>
  <c r="G6888" i="5" s="1"/>
  <c r="F6889" i="5"/>
  <c r="G6889" i="5" s="1"/>
  <c r="F6890" i="5"/>
  <c r="G6890" i="5" s="1"/>
  <c r="F6891" i="5"/>
  <c r="G6891" i="5" s="1"/>
  <c r="F6892" i="5"/>
  <c r="G6892" i="5" s="1"/>
  <c r="F6893" i="5"/>
  <c r="G6893" i="5" s="1"/>
  <c r="F6894" i="5"/>
  <c r="G6894" i="5" s="1"/>
  <c r="F6895" i="5"/>
  <c r="G6895" i="5" s="1"/>
  <c r="F6896" i="5"/>
  <c r="G6896" i="5" s="1"/>
  <c r="F6897" i="5"/>
  <c r="G6897" i="5" s="1"/>
  <c r="F6898" i="5"/>
  <c r="G6898" i="5" s="1"/>
  <c r="F6899" i="5"/>
  <c r="G6899" i="5" s="1"/>
  <c r="F6900" i="5"/>
  <c r="G6900" i="5" s="1"/>
  <c r="F6901" i="5"/>
  <c r="G6901" i="5" s="1"/>
  <c r="F6902" i="5"/>
  <c r="G6902" i="5" s="1"/>
  <c r="F6903" i="5"/>
  <c r="G6903" i="5" s="1"/>
  <c r="F6904" i="5"/>
  <c r="G6904" i="5" s="1"/>
  <c r="F6905" i="5"/>
  <c r="G6905" i="5" s="1"/>
  <c r="F6906" i="5"/>
  <c r="G6906" i="5" s="1"/>
  <c r="F6907" i="5"/>
  <c r="G6907" i="5" s="1"/>
  <c r="F6908" i="5"/>
  <c r="G6908" i="5" s="1"/>
  <c r="F6909" i="5"/>
  <c r="G6909" i="5" s="1"/>
  <c r="F6910" i="5"/>
  <c r="G6910" i="5" s="1"/>
  <c r="F6911" i="5"/>
  <c r="G6911" i="5" s="1"/>
  <c r="F6912" i="5"/>
  <c r="G6912" i="5" s="1"/>
  <c r="F6913" i="5"/>
  <c r="G6913" i="5" s="1"/>
  <c r="F6914" i="5"/>
  <c r="G6914" i="5" s="1"/>
  <c r="F6915" i="5"/>
  <c r="G6915" i="5" s="1"/>
  <c r="F6916" i="5"/>
  <c r="G6916" i="5" s="1"/>
  <c r="F6917" i="5"/>
  <c r="G6917" i="5" s="1"/>
  <c r="F6918" i="5"/>
  <c r="G6918" i="5" s="1"/>
  <c r="F6919" i="5"/>
  <c r="G6919" i="5" s="1"/>
  <c r="F6920" i="5"/>
  <c r="G6920" i="5" s="1"/>
  <c r="F6921" i="5"/>
  <c r="G6921" i="5" s="1"/>
  <c r="F6922" i="5"/>
  <c r="G6922" i="5" s="1"/>
  <c r="F6923" i="5"/>
  <c r="G6923" i="5" s="1"/>
  <c r="F6924" i="5"/>
  <c r="G6924" i="5" s="1"/>
  <c r="F6925" i="5"/>
  <c r="G6925" i="5" s="1"/>
  <c r="F6926" i="5"/>
  <c r="G6926" i="5" s="1"/>
  <c r="F6927" i="5"/>
  <c r="G6927" i="5" s="1"/>
  <c r="F6928" i="5"/>
  <c r="G6928" i="5" s="1"/>
  <c r="F6929" i="5"/>
  <c r="G6929" i="5" s="1"/>
  <c r="F6930" i="5"/>
  <c r="G6930" i="5" s="1"/>
  <c r="F6931" i="5"/>
  <c r="G6931" i="5" s="1"/>
  <c r="F6932" i="5"/>
  <c r="G6932" i="5" s="1"/>
  <c r="F6933" i="5"/>
  <c r="G6933" i="5" s="1"/>
  <c r="F6934" i="5"/>
  <c r="G6934" i="5" s="1"/>
  <c r="F6935" i="5"/>
  <c r="G6935" i="5" s="1"/>
  <c r="F6936" i="5"/>
  <c r="G6936" i="5" s="1"/>
  <c r="F6937" i="5"/>
  <c r="G6937" i="5" s="1"/>
  <c r="F6938" i="5"/>
  <c r="G6938" i="5" s="1"/>
  <c r="F6939" i="5"/>
  <c r="G6939" i="5" s="1"/>
  <c r="F6940" i="5"/>
  <c r="G6940" i="5" s="1"/>
  <c r="F6941" i="5"/>
  <c r="G6941" i="5" s="1"/>
  <c r="F6942" i="5"/>
  <c r="G6942" i="5" s="1"/>
  <c r="F6943" i="5"/>
  <c r="G6943" i="5" s="1"/>
  <c r="F6944" i="5"/>
  <c r="G6944" i="5" s="1"/>
  <c r="F6945" i="5"/>
  <c r="G6945" i="5" s="1"/>
  <c r="F6946" i="5"/>
  <c r="G6946" i="5" s="1"/>
  <c r="F6947" i="5"/>
  <c r="G6947" i="5" s="1"/>
  <c r="F6948" i="5"/>
  <c r="G6948" i="5" s="1"/>
  <c r="F6949" i="5"/>
  <c r="G6949" i="5" s="1"/>
  <c r="F6950" i="5"/>
  <c r="G6950" i="5" s="1"/>
  <c r="F6951" i="5"/>
  <c r="G6951" i="5" s="1"/>
  <c r="F6952" i="5"/>
  <c r="G6952" i="5" s="1"/>
  <c r="F6953" i="5"/>
  <c r="G6953" i="5" s="1"/>
  <c r="F6954" i="5"/>
  <c r="G6954" i="5" s="1"/>
  <c r="F6955" i="5"/>
  <c r="G6955" i="5" s="1"/>
  <c r="F6956" i="5"/>
  <c r="G6956" i="5" s="1"/>
  <c r="F6957" i="5"/>
  <c r="G6957" i="5" s="1"/>
  <c r="F6958" i="5"/>
  <c r="G6958" i="5" s="1"/>
  <c r="F6959" i="5"/>
  <c r="G6959" i="5" s="1"/>
  <c r="F6960" i="5"/>
  <c r="G6960" i="5" s="1"/>
  <c r="F6961" i="5"/>
  <c r="G6961" i="5" s="1"/>
  <c r="F6962" i="5"/>
  <c r="G6962" i="5" s="1"/>
  <c r="F6963" i="5"/>
  <c r="G6963" i="5" s="1"/>
  <c r="F6964" i="5"/>
  <c r="G6964" i="5" s="1"/>
  <c r="F6965" i="5"/>
  <c r="G6965" i="5" s="1"/>
  <c r="F6966" i="5"/>
  <c r="G6966" i="5" s="1"/>
  <c r="F6967" i="5"/>
  <c r="G6967" i="5" s="1"/>
  <c r="F6968" i="5"/>
  <c r="G6968" i="5" s="1"/>
  <c r="F6969" i="5"/>
  <c r="G6969" i="5" s="1"/>
  <c r="F6970" i="5"/>
  <c r="G6970" i="5" s="1"/>
  <c r="F6971" i="5"/>
  <c r="G6971" i="5" s="1"/>
  <c r="F6972" i="5"/>
  <c r="G6972" i="5" s="1"/>
  <c r="F6973" i="5"/>
  <c r="G6973" i="5" s="1"/>
  <c r="F6974" i="5"/>
  <c r="G6974" i="5" s="1"/>
  <c r="F2798" i="5"/>
  <c r="G2798" i="5" s="1"/>
  <c r="F2799" i="5"/>
  <c r="G2799" i="5" s="1"/>
  <c r="F2800" i="5"/>
  <c r="G2800" i="5" s="1"/>
  <c r="F2801" i="5"/>
  <c r="G2801" i="5" s="1"/>
  <c r="F2802" i="5"/>
  <c r="G2802" i="5" s="1"/>
  <c r="F2803" i="5"/>
  <c r="G2803" i="5" s="1"/>
  <c r="F2804" i="5"/>
  <c r="G2804" i="5" s="1"/>
  <c r="F2805" i="5"/>
  <c r="G2805" i="5" s="1"/>
  <c r="F2806" i="5"/>
  <c r="G2806" i="5" s="1"/>
  <c r="F2807" i="5"/>
  <c r="G2807" i="5" s="1"/>
  <c r="F2808" i="5"/>
  <c r="G2808" i="5" s="1"/>
  <c r="F2809" i="5"/>
  <c r="G2809" i="5" s="1"/>
  <c r="F2810" i="5"/>
  <c r="G2810" i="5" s="1"/>
  <c r="F2811" i="5"/>
  <c r="G2811" i="5" s="1"/>
  <c r="F2812" i="5"/>
  <c r="G2812" i="5" s="1"/>
  <c r="F2813" i="5"/>
  <c r="G2813" i="5" s="1"/>
  <c r="F2814" i="5"/>
  <c r="G2814" i="5" s="1"/>
  <c r="F2815" i="5"/>
  <c r="G2815" i="5" s="1"/>
  <c r="F2816" i="5"/>
  <c r="G2816" i="5" s="1"/>
  <c r="F2817" i="5"/>
  <c r="G2817" i="5" s="1"/>
  <c r="F2818" i="5"/>
  <c r="G2818" i="5" s="1"/>
  <c r="F2819" i="5"/>
  <c r="G2819" i="5" s="1"/>
  <c r="F2820" i="5"/>
  <c r="G2820" i="5" s="1"/>
  <c r="F2821" i="5"/>
  <c r="G2821" i="5" s="1"/>
  <c r="F2822" i="5"/>
  <c r="G2822" i="5" s="1"/>
  <c r="F2823" i="5"/>
  <c r="G2823" i="5" s="1"/>
  <c r="F2824" i="5"/>
  <c r="G2824" i="5" s="1"/>
  <c r="F2825" i="5"/>
  <c r="G2825" i="5" s="1"/>
  <c r="F2826" i="5"/>
  <c r="G2826" i="5" s="1"/>
  <c r="F2827" i="5"/>
  <c r="G2827" i="5" s="1"/>
  <c r="F2828" i="5"/>
  <c r="G2828" i="5" s="1"/>
  <c r="F2829" i="5"/>
  <c r="G2829" i="5" s="1"/>
  <c r="F2830" i="5"/>
  <c r="G2830" i="5" s="1"/>
  <c r="F2831" i="5"/>
  <c r="G2831" i="5" s="1"/>
  <c r="F2832" i="5"/>
  <c r="G2832" i="5" s="1"/>
  <c r="F2833" i="5"/>
  <c r="G2833" i="5" s="1"/>
  <c r="F2834" i="5"/>
  <c r="G2834" i="5" s="1"/>
  <c r="F2835" i="5"/>
  <c r="G2835" i="5" s="1"/>
  <c r="F2836" i="5"/>
  <c r="G2836" i="5" s="1"/>
  <c r="F2837" i="5"/>
  <c r="G2837" i="5" s="1"/>
  <c r="F2838" i="5"/>
  <c r="G2838" i="5" s="1"/>
  <c r="F2839" i="5"/>
  <c r="G2839" i="5" s="1"/>
  <c r="F2840" i="5"/>
  <c r="G2840" i="5" s="1"/>
  <c r="F2841" i="5"/>
  <c r="G2841" i="5" s="1"/>
  <c r="F2842" i="5"/>
  <c r="G2842" i="5" s="1"/>
  <c r="F2843" i="5"/>
  <c r="G2843" i="5" s="1"/>
  <c r="F2844" i="5"/>
  <c r="G2844" i="5" s="1"/>
  <c r="F2845" i="5"/>
  <c r="G2845" i="5" s="1"/>
  <c r="F2846" i="5"/>
  <c r="G2846" i="5" s="1"/>
  <c r="F2847" i="5"/>
  <c r="G2847" i="5" s="1"/>
  <c r="F2848" i="5"/>
  <c r="G2848" i="5" s="1"/>
  <c r="F2849" i="5"/>
  <c r="G2849" i="5" s="1"/>
  <c r="F2850" i="5"/>
  <c r="G2850" i="5" s="1"/>
  <c r="F2851" i="5"/>
  <c r="G2851" i="5" s="1"/>
  <c r="F2852" i="5"/>
  <c r="G2852" i="5" s="1"/>
  <c r="F2853" i="5"/>
  <c r="G2853" i="5" s="1"/>
  <c r="F2854" i="5"/>
  <c r="G2854" i="5" s="1"/>
  <c r="F2855" i="5"/>
  <c r="G2855" i="5" s="1"/>
  <c r="F2856" i="5"/>
  <c r="G2856" i="5" s="1"/>
  <c r="F2857" i="5"/>
  <c r="G2857" i="5" s="1"/>
  <c r="F2858" i="5"/>
  <c r="G2858" i="5" s="1"/>
  <c r="F2859" i="5"/>
  <c r="G2859" i="5" s="1"/>
  <c r="F2860" i="5"/>
  <c r="G2860" i="5" s="1"/>
  <c r="F2861" i="5"/>
  <c r="G2861" i="5" s="1"/>
  <c r="F2862" i="5"/>
  <c r="G2862" i="5" s="1"/>
  <c r="F2863" i="5"/>
  <c r="G2863" i="5" s="1"/>
  <c r="F2864" i="5"/>
  <c r="G2864" i="5" s="1"/>
  <c r="F2865" i="5"/>
  <c r="G2865" i="5" s="1"/>
  <c r="F2866" i="5"/>
  <c r="G2866" i="5" s="1"/>
  <c r="F2867" i="5"/>
  <c r="G2867" i="5" s="1"/>
  <c r="F2868" i="5"/>
  <c r="G2868" i="5" s="1"/>
  <c r="F2869" i="5"/>
  <c r="G2869" i="5" s="1"/>
  <c r="F2870" i="5"/>
  <c r="G2870" i="5" s="1"/>
  <c r="F2871" i="5"/>
  <c r="G2871" i="5" s="1"/>
  <c r="F2872" i="5"/>
  <c r="G2872" i="5" s="1"/>
  <c r="F2873" i="5"/>
  <c r="G2873" i="5" s="1"/>
  <c r="F2874" i="5"/>
  <c r="G2874" i="5" s="1"/>
  <c r="F2875" i="5"/>
  <c r="G2875" i="5" s="1"/>
  <c r="F2876" i="5"/>
  <c r="G2876" i="5" s="1"/>
  <c r="F2877" i="5"/>
  <c r="G2877" i="5" s="1"/>
  <c r="F2878" i="5"/>
  <c r="G2878" i="5" s="1"/>
  <c r="F2879" i="5"/>
  <c r="G2879" i="5" s="1"/>
  <c r="F2880" i="5"/>
  <c r="G2880" i="5" s="1"/>
  <c r="F2881" i="5"/>
  <c r="G2881" i="5" s="1"/>
  <c r="F2882" i="5"/>
  <c r="G2882" i="5" s="1"/>
  <c r="F2883" i="5"/>
  <c r="G2883" i="5" s="1"/>
  <c r="F2884" i="5"/>
  <c r="G2884" i="5" s="1"/>
  <c r="F2885" i="5"/>
  <c r="G2885" i="5" s="1"/>
  <c r="F2886" i="5"/>
  <c r="G2886" i="5" s="1"/>
  <c r="F2887" i="5"/>
  <c r="G2887" i="5" s="1"/>
  <c r="F2888" i="5"/>
  <c r="G2888" i="5" s="1"/>
  <c r="F2889" i="5"/>
  <c r="G2889" i="5" s="1"/>
  <c r="F2890" i="5"/>
  <c r="G2890" i="5" s="1"/>
  <c r="F2891" i="5"/>
  <c r="G2891" i="5" s="1"/>
  <c r="F2892" i="5"/>
  <c r="G2892" i="5" s="1"/>
  <c r="F2893" i="5"/>
  <c r="G2893" i="5" s="1"/>
  <c r="F2894" i="5"/>
  <c r="G2894" i="5" s="1"/>
  <c r="F2895" i="5"/>
  <c r="G2895" i="5" s="1"/>
  <c r="F2896" i="5"/>
  <c r="G2896" i="5" s="1"/>
  <c r="F2897" i="5"/>
  <c r="G2897" i="5" s="1"/>
  <c r="F2898" i="5"/>
  <c r="G2898" i="5" s="1"/>
  <c r="F2899" i="5"/>
  <c r="G2899" i="5" s="1"/>
  <c r="F2900" i="5"/>
  <c r="G2900" i="5" s="1"/>
  <c r="F2901" i="5"/>
  <c r="G2901" i="5" s="1"/>
  <c r="F2902" i="5"/>
  <c r="G2902" i="5" s="1"/>
  <c r="F2903" i="5"/>
  <c r="G2903" i="5" s="1"/>
  <c r="F2904" i="5"/>
  <c r="G2904" i="5" s="1"/>
  <c r="F2905" i="5"/>
  <c r="G2905" i="5" s="1"/>
  <c r="F2906" i="5"/>
  <c r="G2906" i="5" s="1"/>
  <c r="F2907" i="5"/>
  <c r="G2907" i="5" s="1"/>
  <c r="F2908" i="5"/>
  <c r="G2908" i="5" s="1"/>
  <c r="F2909" i="5"/>
  <c r="G2909" i="5" s="1"/>
  <c r="F2910" i="5"/>
  <c r="G2910" i="5" s="1"/>
  <c r="F2911" i="5"/>
  <c r="G2911" i="5" s="1"/>
  <c r="F2912" i="5"/>
  <c r="G2912" i="5" s="1"/>
  <c r="F2913" i="5"/>
  <c r="G2913" i="5" s="1"/>
  <c r="F2914" i="5"/>
  <c r="G2914" i="5" s="1"/>
  <c r="F2915" i="5"/>
  <c r="G2915" i="5" s="1"/>
  <c r="F2916" i="5"/>
  <c r="G2916" i="5" s="1"/>
  <c r="F2917" i="5"/>
  <c r="G2917" i="5" s="1"/>
  <c r="F2918" i="5"/>
  <c r="G2918" i="5" s="1"/>
  <c r="F2919" i="5"/>
  <c r="G2919" i="5" s="1"/>
  <c r="F2920" i="5"/>
  <c r="G2920" i="5" s="1"/>
  <c r="F2921" i="5"/>
  <c r="G2921" i="5" s="1"/>
  <c r="F2922" i="5"/>
  <c r="G2922" i="5" s="1"/>
  <c r="F2923" i="5"/>
  <c r="G2923" i="5" s="1"/>
  <c r="F2924" i="5"/>
  <c r="G2924" i="5" s="1"/>
  <c r="F2925" i="5"/>
  <c r="G2925" i="5" s="1"/>
  <c r="F2926" i="5"/>
  <c r="G2926" i="5" s="1"/>
  <c r="F2927" i="5"/>
  <c r="G2927" i="5" s="1"/>
  <c r="F2928" i="5"/>
  <c r="G2928" i="5" s="1"/>
  <c r="F2929" i="5"/>
  <c r="G2929" i="5" s="1"/>
  <c r="F2930" i="5"/>
  <c r="G2930" i="5" s="1"/>
  <c r="F2931" i="5"/>
  <c r="G2931" i="5" s="1"/>
  <c r="F2932" i="5"/>
  <c r="G2932" i="5" s="1"/>
  <c r="F2933" i="5"/>
  <c r="G2933" i="5" s="1"/>
  <c r="F2934" i="5"/>
  <c r="G2934" i="5" s="1"/>
  <c r="F2935" i="5"/>
  <c r="G2935" i="5" s="1"/>
  <c r="F2936" i="5"/>
  <c r="G2936" i="5" s="1"/>
  <c r="F2937" i="5"/>
  <c r="G2937" i="5" s="1"/>
  <c r="F2938" i="5"/>
  <c r="G2938" i="5" s="1"/>
  <c r="F2939" i="5"/>
  <c r="G2939" i="5" s="1"/>
  <c r="F2940" i="5"/>
  <c r="G2940" i="5" s="1"/>
  <c r="F2941" i="5"/>
  <c r="G2941" i="5" s="1"/>
  <c r="F2942" i="5"/>
  <c r="G2942" i="5" s="1"/>
  <c r="F2943" i="5"/>
  <c r="G2943" i="5" s="1"/>
  <c r="F2944" i="5"/>
  <c r="G2944" i="5" s="1"/>
  <c r="F2945" i="5"/>
  <c r="G2945" i="5" s="1"/>
  <c r="F2946" i="5"/>
  <c r="G2946" i="5" s="1"/>
  <c r="F2947" i="5"/>
  <c r="G2947" i="5" s="1"/>
  <c r="F2948" i="5"/>
  <c r="G2948" i="5" s="1"/>
  <c r="F2949" i="5"/>
  <c r="G2949" i="5" s="1"/>
  <c r="F2950" i="5"/>
  <c r="G2950" i="5" s="1"/>
  <c r="F2951" i="5"/>
  <c r="G2951" i="5" s="1"/>
  <c r="F2952" i="5"/>
  <c r="G2952" i="5" s="1"/>
  <c r="F2953" i="5"/>
  <c r="G2953" i="5" s="1"/>
  <c r="F2954" i="5"/>
  <c r="G2954" i="5" s="1"/>
  <c r="F2955" i="5"/>
  <c r="G2955" i="5" s="1"/>
  <c r="F2956" i="5"/>
  <c r="G2956" i="5" s="1"/>
  <c r="F2957" i="5"/>
  <c r="G2957" i="5" s="1"/>
  <c r="F2958" i="5"/>
  <c r="G2958" i="5" s="1"/>
  <c r="F2959" i="5"/>
  <c r="G2959" i="5" s="1"/>
  <c r="F2960" i="5"/>
  <c r="G2960" i="5" s="1"/>
  <c r="F2961" i="5"/>
  <c r="G2961" i="5" s="1"/>
  <c r="F2962" i="5"/>
  <c r="G2962" i="5" s="1"/>
  <c r="F2963" i="5"/>
  <c r="G2963" i="5" s="1"/>
  <c r="F2964" i="5"/>
  <c r="G2964" i="5" s="1"/>
  <c r="F2965" i="5"/>
  <c r="G2965" i="5" s="1"/>
  <c r="F2966" i="5"/>
  <c r="G2966" i="5" s="1"/>
  <c r="F2967" i="5"/>
  <c r="G2967" i="5" s="1"/>
  <c r="F2968" i="5"/>
  <c r="G2968" i="5" s="1"/>
  <c r="F2969" i="5"/>
  <c r="G2969" i="5" s="1"/>
  <c r="F2970" i="5"/>
  <c r="G2970" i="5" s="1"/>
  <c r="F2971" i="5"/>
  <c r="G2971" i="5" s="1"/>
  <c r="F2972" i="5"/>
  <c r="G2972" i="5" s="1"/>
  <c r="F2973" i="5"/>
  <c r="G2973" i="5" s="1"/>
  <c r="F2974" i="5"/>
  <c r="G2974" i="5" s="1"/>
  <c r="F2975" i="5"/>
  <c r="G2975" i="5" s="1"/>
  <c r="F2976" i="5"/>
  <c r="G2976" i="5" s="1"/>
  <c r="F2977" i="5"/>
  <c r="G2977" i="5" s="1"/>
  <c r="F2978" i="5"/>
  <c r="G2978" i="5" s="1"/>
  <c r="F2979" i="5"/>
  <c r="G2979" i="5" s="1"/>
  <c r="F2980" i="5"/>
  <c r="G2980" i="5" s="1"/>
  <c r="F2981" i="5"/>
  <c r="G2981" i="5" s="1"/>
  <c r="F2982" i="5"/>
  <c r="G2982" i="5" s="1"/>
  <c r="F2983" i="5"/>
  <c r="G2983" i="5" s="1"/>
  <c r="F2984" i="5"/>
  <c r="G2984" i="5" s="1"/>
  <c r="F2985" i="5"/>
  <c r="G2985" i="5" s="1"/>
  <c r="F2986" i="5"/>
  <c r="G2986" i="5" s="1"/>
  <c r="F2987" i="5"/>
  <c r="G2987" i="5" s="1"/>
  <c r="F2988" i="5"/>
  <c r="G2988" i="5" s="1"/>
  <c r="F2989" i="5"/>
  <c r="G2989" i="5" s="1"/>
  <c r="F2990" i="5"/>
  <c r="G2990" i="5" s="1"/>
  <c r="F2991" i="5"/>
  <c r="G2991" i="5" s="1"/>
  <c r="F2992" i="5"/>
  <c r="G2992" i="5" s="1"/>
  <c r="F2993" i="5"/>
  <c r="G2993" i="5" s="1"/>
  <c r="F2994" i="5"/>
  <c r="G2994" i="5" s="1"/>
  <c r="F2995" i="5"/>
  <c r="G2995" i="5" s="1"/>
  <c r="F2996" i="5"/>
  <c r="G2996" i="5" s="1"/>
  <c r="F2997" i="5"/>
  <c r="G2997" i="5" s="1"/>
  <c r="F2998" i="5"/>
  <c r="G2998" i="5" s="1"/>
  <c r="F2999" i="5"/>
  <c r="G2999" i="5" s="1"/>
  <c r="F3000" i="5"/>
  <c r="G3000" i="5" s="1"/>
  <c r="F3001" i="5"/>
  <c r="G3001" i="5" s="1"/>
  <c r="F3002" i="5"/>
  <c r="G3002" i="5" s="1"/>
  <c r="F3003" i="5"/>
  <c r="G3003" i="5" s="1"/>
  <c r="F3004" i="5"/>
  <c r="G3004" i="5" s="1"/>
  <c r="F3005" i="5"/>
  <c r="G3005" i="5" s="1"/>
  <c r="F3006" i="5"/>
  <c r="G3006" i="5" s="1"/>
  <c r="F3007" i="5"/>
  <c r="G3007" i="5" s="1"/>
  <c r="F3008" i="5"/>
  <c r="G3008" i="5" s="1"/>
  <c r="F3009" i="5"/>
  <c r="G3009" i="5" s="1"/>
  <c r="F3010" i="5"/>
  <c r="G3010" i="5" s="1"/>
  <c r="F3011" i="5"/>
  <c r="G3011" i="5" s="1"/>
  <c r="F3012" i="5"/>
  <c r="G3012" i="5" s="1"/>
  <c r="F3013" i="5"/>
  <c r="G3013" i="5" s="1"/>
  <c r="F3014" i="5"/>
  <c r="G3014" i="5" s="1"/>
  <c r="F3015" i="5"/>
  <c r="G3015" i="5" s="1"/>
  <c r="F3016" i="5"/>
  <c r="G3016" i="5" s="1"/>
  <c r="F3017" i="5"/>
  <c r="G3017" i="5" s="1"/>
  <c r="F3018" i="5"/>
  <c r="G3018" i="5" s="1"/>
  <c r="F3019" i="5"/>
  <c r="G3019" i="5" s="1"/>
  <c r="F3020" i="5"/>
  <c r="G3020" i="5" s="1"/>
  <c r="F3021" i="5"/>
  <c r="G3021" i="5" s="1"/>
  <c r="F3022" i="5"/>
  <c r="G3022" i="5" s="1"/>
  <c r="F3023" i="5"/>
  <c r="G3023" i="5" s="1"/>
  <c r="F3024" i="5"/>
  <c r="G3024" i="5" s="1"/>
  <c r="F3025" i="5"/>
  <c r="G3025" i="5" s="1"/>
  <c r="F3026" i="5"/>
  <c r="G3026" i="5" s="1"/>
  <c r="F3027" i="5"/>
  <c r="G3027" i="5" s="1"/>
  <c r="F3028" i="5"/>
  <c r="G3028" i="5" s="1"/>
  <c r="F3029" i="5"/>
  <c r="G3029" i="5" s="1"/>
  <c r="F3030" i="5"/>
  <c r="G3030" i="5" s="1"/>
  <c r="F3031" i="5"/>
  <c r="G3031" i="5" s="1"/>
  <c r="F3032" i="5"/>
  <c r="G3032" i="5" s="1"/>
  <c r="F3033" i="5"/>
  <c r="G3033" i="5" s="1"/>
  <c r="F3034" i="5"/>
  <c r="G3034" i="5" s="1"/>
  <c r="F3035" i="5"/>
  <c r="G3035" i="5" s="1"/>
  <c r="F3036" i="5"/>
  <c r="G3036" i="5" s="1"/>
  <c r="F3037" i="5"/>
  <c r="G3037" i="5" s="1"/>
  <c r="F3038" i="5"/>
  <c r="G3038" i="5" s="1"/>
  <c r="F3039" i="5"/>
  <c r="G3039" i="5" s="1"/>
  <c r="F3040" i="5"/>
  <c r="G3040" i="5" s="1"/>
  <c r="F3041" i="5"/>
  <c r="G3041" i="5" s="1"/>
  <c r="F3042" i="5"/>
  <c r="G3042" i="5" s="1"/>
  <c r="F3043" i="5"/>
  <c r="G3043" i="5" s="1"/>
  <c r="F3044" i="5"/>
  <c r="G3044" i="5" s="1"/>
  <c r="F3045" i="5"/>
  <c r="G3045" i="5" s="1"/>
  <c r="F3046" i="5"/>
  <c r="G3046" i="5" s="1"/>
  <c r="F3047" i="5"/>
  <c r="G3047" i="5" s="1"/>
  <c r="F3048" i="5"/>
  <c r="G3048" i="5" s="1"/>
  <c r="F3049" i="5"/>
  <c r="G3049" i="5" s="1"/>
  <c r="F3050" i="5"/>
  <c r="G3050" i="5" s="1"/>
  <c r="F3051" i="5"/>
  <c r="G3051" i="5" s="1"/>
  <c r="F3052" i="5"/>
  <c r="G3052" i="5" s="1"/>
  <c r="F3053" i="5"/>
  <c r="G3053" i="5" s="1"/>
  <c r="F3054" i="5"/>
  <c r="G3054" i="5" s="1"/>
  <c r="F3055" i="5"/>
  <c r="G3055" i="5" s="1"/>
  <c r="F3056" i="5"/>
  <c r="G3056" i="5" s="1"/>
  <c r="F3057" i="5"/>
  <c r="G3057" i="5" s="1"/>
  <c r="F3058" i="5"/>
  <c r="G3058" i="5" s="1"/>
  <c r="F3059" i="5"/>
  <c r="G3059" i="5" s="1"/>
  <c r="F3060" i="5"/>
  <c r="G3060" i="5" s="1"/>
  <c r="F3061" i="5"/>
  <c r="G3061" i="5" s="1"/>
  <c r="F3062" i="5"/>
  <c r="G3062" i="5" s="1"/>
  <c r="F3063" i="5"/>
  <c r="G3063" i="5" s="1"/>
  <c r="F3064" i="5"/>
  <c r="G3064" i="5" s="1"/>
  <c r="F3065" i="5"/>
  <c r="G3065" i="5" s="1"/>
  <c r="F3066" i="5"/>
  <c r="G3066" i="5" s="1"/>
  <c r="F3067" i="5"/>
  <c r="G3067" i="5" s="1"/>
  <c r="F3068" i="5"/>
  <c r="G3068" i="5" s="1"/>
  <c r="F3069" i="5"/>
  <c r="G3069" i="5" s="1"/>
  <c r="F3070" i="5"/>
  <c r="G3070" i="5" s="1"/>
  <c r="F3071" i="5"/>
  <c r="G3071" i="5" s="1"/>
  <c r="F3072" i="5"/>
  <c r="G3072" i="5" s="1"/>
  <c r="F3073" i="5"/>
  <c r="G3073" i="5" s="1"/>
  <c r="F3074" i="5"/>
  <c r="G3074" i="5" s="1"/>
  <c r="F3075" i="5"/>
  <c r="G3075" i="5" s="1"/>
  <c r="F3076" i="5"/>
  <c r="G3076" i="5" s="1"/>
  <c r="F3077" i="5"/>
  <c r="G3077" i="5" s="1"/>
  <c r="F3078" i="5"/>
  <c r="G3078" i="5" s="1"/>
  <c r="F3079" i="5"/>
  <c r="G3079" i="5" s="1"/>
  <c r="F3080" i="5"/>
  <c r="G3080" i="5" s="1"/>
  <c r="F3081" i="5"/>
  <c r="G3081" i="5" s="1"/>
  <c r="F3082" i="5"/>
  <c r="G3082" i="5" s="1"/>
  <c r="F3083" i="5"/>
  <c r="G3083" i="5" s="1"/>
  <c r="F3084" i="5"/>
  <c r="G3084" i="5" s="1"/>
  <c r="F3085" i="5"/>
  <c r="G3085" i="5" s="1"/>
  <c r="F3086" i="5"/>
  <c r="G3086" i="5" s="1"/>
  <c r="F3087" i="5"/>
  <c r="G3087" i="5" s="1"/>
  <c r="F3088" i="5"/>
  <c r="G3088" i="5" s="1"/>
  <c r="F3089" i="5"/>
  <c r="G3089" i="5" s="1"/>
  <c r="F3090" i="5"/>
  <c r="G3090" i="5" s="1"/>
  <c r="F3091" i="5"/>
  <c r="G3091" i="5" s="1"/>
  <c r="F3092" i="5"/>
  <c r="G3092" i="5" s="1"/>
  <c r="F3093" i="5"/>
  <c r="G3093" i="5" s="1"/>
  <c r="F3094" i="5"/>
  <c r="G3094" i="5" s="1"/>
  <c r="F3095" i="5"/>
  <c r="G3095" i="5" s="1"/>
  <c r="F3096" i="5"/>
  <c r="G3096" i="5" s="1"/>
  <c r="F3097" i="5"/>
  <c r="G3097" i="5" s="1"/>
  <c r="F3098" i="5"/>
  <c r="G3098" i="5" s="1"/>
  <c r="F3099" i="5"/>
  <c r="G3099" i="5" s="1"/>
  <c r="F3100" i="5"/>
  <c r="G3100" i="5" s="1"/>
  <c r="F3101" i="5"/>
  <c r="G3101" i="5" s="1"/>
  <c r="F3102" i="5"/>
  <c r="G3102" i="5" s="1"/>
  <c r="F3103" i="5"/>
  <c r="G3103" i="5" s="1"/>
  <c r="F3104" i="5"/>
  <c r="G3104" i="5" s="1"/>
  <c r="F3105" i="5"/>
  <c r="G3105" i="5" s="1"/>
  <c r="F3106" i="5"/>
  <c r="G3106" i="5" s="1"/>
  <c r="F3107" i="5"/>
  <c r="G3107" i="5" s="1"/>
  <c r="F3108" i="5"/>
  <c r="G3108" i="5" s="1"/>
  <c r="F3109" i="5"/>
  <c r="G3109" i="5" s="1"/>
  <c r="F3110" i="5"/>
  <c r="G3110" i="5" s="1"/>
  <c r="F3111" i="5"/>
  <c r="G3111" i="5" s="1"/>
  <c r="F3112" i="5"/>
  <c r="G3112" i="5" s="1"/>
  <c r="F3113" i="5"/>
  <c r="G3113" i="5" s="1"/>
  <c r="F3114" i="5"/>
  <c r="G3114" i="5" s="1"/>
  <c r="F3115" i="5"/>
  <c r="G3115" i="5" s="1"/>
  <c r="F3116" i="5"/>
  <c r="G3116" i="5" s="1"/>
  <c r="F3117" i="5"/>
  <c r="G3117" i="5" s="1"/>
  <c r="F3118" i="5"/>
  <c r="G3118" i="5" s="1"/>
  <c r="F3119" i="5"/>
  <c r="G3119" i="5" s="1"/>
  <c r="F3120" i="5"/>
  <c r="G3120" i="5" s="1"/>
  <c r="F3121" i="5"/>
  <c r="G3121" i="5" s="1"/>
  <c r="F3122" i="5"/>
  <c r="G3122" i="5" s="1"/>
  <c r="F3123" i="5"/>
  <c r="G3123" i="5" s="1"/>
  <c r="F3124" i="5"/>
  <c r="G3124" i="5" s="1"/>
  <c r="F3125" i="5"/>
  <c r="G3125" i="5" s="1"/>
  <c r="F3126" i="5"/>
  <c r="G3126" i="5" s="1"/>
  <c r="F3127" i="5"/>
  <c r="G3127" i="5" s="1"/>
  <c r="F3128" i="5"/>
  <c r="G3128" i="5" s="1"/>
  <c r="F3129" i="5"/>
  <c r="G3129" i="5" s="1"/>
  <c r="F3130" i="5"/>
  <c r="G3130" i="5" s="1"/>
  <c r="F3131" i="5"/>
  <c r="G3131" i="5" s="1"/>
  <c r="F3132" i="5"/>
  <c r="G3132" i="5" s="1"/>
  <c r="F3133" i="5"/>
  <c r="G3133" i="5" s="1"/>
  <c r="F3134" i="5"/>
  <c r="G3134" i="5" s="1"/>
  <c r="F3135" i="5"/>
  <c r="G3135" i="5" s="1"/>
  <c r="F3136" i="5"/>
  <c r="G3136" i="5" s="1"/>
  <c r="F3137" i="5"/>
  <c r="G3137" i="5" s="1"/>
  <c r="F3138" i="5"/>
  <c r="G3138" i="5" s="1"/>
  <c r="F3139" i="5"/>
  <c r="G3139" i="5" s="1"/>
  <c r="F3140" i="5"/>
  <c r="G3140" i="5" s="1"/>
  <c r="F3141" i="5"/>
  <c r="G3141" i="5" s="1"/>
  <c r="F3142" i="5"/>
  <c r="G3142" i="5" s="1"/>
  <c r="F3143" i="5"/>
  <c r="G3143" i="5" s="1"/>
  <c r="F3144" i="5"/>
  <c r="G3144" i="5" s="1"/>
  <c r="F3145" i="5"/>
  <c r="G3145" i="5" s="1"/>
  <c r="F3146" i="5"/>
  <c r="G3146" i="5" s="1"/>
  <c r="F3147" i="5"/>
  <c r="G3147" i="5" s="1"/>
  <c r="F3148" i="5"/>
  <c r="G3148" i="5" s="1"/>
  <c r="F3149" i="5"/>
  <c r="G3149" i="5" s="1"/>
  <c r="F3150" i="5"/>
  <c r="G3150" i="5" s="1"/>
  <c r="F3151" i="5"/>
  <c r="G3151" i="5" s="1"/>
  <c r="F3152" i="5"/>
  <c r="G3152" i="5" s="1"/>
  <c r="F3153" i="5"/>
  <c r="G3153" i="5" s="1"/>
  <c r="F3154" i="5"/>
  <c r="G3154" i="5" s="1"/>
  <c r="F3155" i="5"/>
  <c r="G3155" i="5" s="1"/>
  <c r="F3156" i="5"/>
  <c r="G3156" i="5" s="1"/>
  <c r="F3157" i="5"/>
  <c r="G3157" i="5" s="1"/>
  <c r="F3158" i="5"/>
  <c r="G3158" i="5" s="1"/>
  <c r="F3159" i="5"/>
  <c r="G3159" i="5" s="1"/>
  <c r="F3160" i="5"/>
  <c r="G3160" i="5" s="1"/>
  <c r="F3161" i="5"/>
  <c r="G3161" i="5" s="1"/>
  <c r="F3162" i="5"/>
  <c r="G3162" i="5" s="1"/>
  <c r="F3163" i="5"/>
  <c r="G3163" i="5" s="1"/>
  <c r="F3164" i="5"/>
  <c r="G3164" i="5" s="1"/>
  <c r="F3165" i="5"/>
  <c r="G3165" i="5" s="1"/>
  <c r="F3166" i="5"/>
  <c r="G3166" i="5" s="1"/>
  <c r="F3167" i="5"/>
  <c r="G3167" i="5" s="1"/>
  <c r="F3168" i="5"/>
  <c r="G3168" i="5" s="1"/>
  <c r="F3169" i="5"/>
  <c r="G3169" i="5" s="1"/>
  <c r="F3170" i="5"/>
  <c r="G3170" i="5" s="1"/>
  <c r="F3171" i="5"/>
  <c r="G3171" i="5" s="1"/>
  <c r="F3172" i="5"/>
  <c r="G3172" i="5" s="1"/>
  <c r="F3173" i="5"/>
  <c r="G3173" i="5" s="1"/>
  <c r="F3174" i="5"/>
  <c r="G3174" i="5" s="1"/>
  <c r="F3175" i="5"/>
  <c r="G3175" i="5" s="1"/>
  <c r="F3176" i="5"/>
  <c r="G3176" i="5" s="1"/>
  <c r="F3177" i="5"/>
  <c r="G3177" i="5" s="1"/>
  <c r="F3178" i="5"/>
  <c r="G3178" i="5" s="1"/>
  <c r="F3179" i="5"/>
  <c r="G3179" i="5" s="1"/>
  <c r="F3180" i="5"/>
  <c r="G3180" i="5" s="1"/>
  <c r="F3181" i="5"/>
  <c r="G3181" i="5" s="1"/>
  <c r="F3182" i="5"/>
  <c r="G3182" i="5" s="1"/>
  <c r="F3183" i="5"/>
  <c r="G3183" i="5" s="1"/>
  <c r="F3184" i="5"/>
  <c r="G3184" i="5" s="1"/>
  <c r="F3185" i="5"/>
  <c r="G3185" i="5" s="1"/>
  <c r="F3186" i="5"/>
  <c r="G3186" i="5" s="1"/>
  <c r="F3187" i="5"/>
  <c r="G3187" i="5" s="1"/>
  <c r="F3188" i="5"/>
  <c r="G3188" i="5" s="1"/>
  <c r="F3189" i="5"/>
  <c r="G3189" i="5" s="1"/>
  <c r="F3190" i="5"/>
  <c r="G3190" i="5" s="1"/>
  <c r="F3191" i="5"/>
  <c r="G3191" i="5" s="1"/>
  <c r="F3192" i="5"/>
  <c r="G3192" i="5" s="1"/>
  <c r="F3193" i="5"/>
  <c r="G3193" i="5" s="1"/>
  <c r="F3194" i="5"/>
  <c r="G3194" i="5" s="1"/>
  <c r="F3195" i="5"/>
  <c r="G3195" i="5" s="1"/>
  <c r="F3196" i="5"/>
  <c r="G3196" i="5" s="1"/>
  <c r="F3197" i="5"/>
  <c r="G3197" i="5" s="1"/>
  <c r="F3198" i="5"/>
  <c r="G3198" i="5" s="1"/>
  <c r="F3199" i="5"/>
  <c r="G3199" i="5" s="1"/>
  <c r="F3200" i="5"/>
  <c r="G3200" i="5" s="1"/>
  <c r="F3201" i="5"/>
  <c r="G3201" i="5" s="1"/>
  <c r="F3202" i="5"/>
  <c r="G3202" i="5" s="1"/>
  <c r="F3203" i="5"/>
  <c r="G3203" i="5" s="1"/>
  <c r="F3204" i="5"/>
  <c r="G3204" i="5" s="1"/>
  <c r="F3205" i="5"/>
  <c r="G3205" i="5" s="1"/>
  <c r="F3206" i="5"/>
  <c r="G3206" i="5" s="1"/>
  <c r="F3207" i="5"/>
  <c r="G3207" i="5" s="1"/>
  <c r="F3208" i="5"/>
  <c r="G3208" i="5" s="1"/>
  <c r="F3209" i="5"/>
  <c r="G3209" i="5" s="1"/>
  <c r="F3210" i="5"/>
  <c r="G3210" i="5" s="1"/>
  <c r="F3211" i="5"/>
  <c r="G3211" i="5" s="1"/>
  <c r="F3212" i="5"/>
  <c r="G3212" i="5" s="1"/>
  <c r="F3213" i="5"/>
  <c r="G3213" i="5" s="1"/>
  <c r="F3214" i="5"/>
  <c r="G3214" i="5" s="1"/>
  <c r="F3215" i="5"/>
  <c r="G3215" i="5" s="1"/>
  <c r="F3216" i="5"/>
  <c r="G3216" i="5" s="1"/>
  <c r="F3217" i="5"/>
  <c r="G3217" i="5" s="1"/>
  <c r="F3218" i="5"/>
  <c r="G3218" i="5" s="1"/>
  <c r="F3219" i="5"/>
  <c r="G3219" i="5" s="1"/>
  <c r="F3220" i="5"/>
  <c r="G3220" i="5" s="1"/>
  <c r="F3221" i="5"/>
  <c r="G3221" i="5" s="1"/>
  <c r="F3222" i="5"/>
  <c r="G3222" i="5" s="1"/>
  <c r="F3223" i="5"/>
  <c r="G3223" i="5" s="1"/>
  <c r="F3224" i="5"/>
  <c r="G3224" i="5" s="1"/>
  <c r="F3225" i="5"/>
  <c r="G3225" i="5" s="1"/>
  <c r="F3226" i="5"/>
  <c r="G3226" i="5" s="1"/>
  <c r="F3227" i="5"/>
  <c r="G3227" i="5" s="1"/>
  <c r="F3228" i="5"/>
  <c r="G3228" i="5" s="1"/>
  <c r="F3229" i="5"/>
  <c r="G3229" i="5" s="1"/>
  <c r="F3230" i="5"/>
  <c r="G3230" i="5" s="1"/>
  <c r="F3231" i="5"/>
  <c r="G3231" i="5" s="1"/>
  <c r="F3232" i="5"/>
  <c r="G3232" i="5" s="1"/>
  <c r="F3233" i="5"/>
  <c r="G3233" i="5" s="1"/>
  <c r="F3234" i="5"/>
  <c r="G3234" i="5" s="1"/>
  <c r="F3235" i="5"/>
  <c r="G3235" i="5" s="1"/>
  <c r="F3236" i="5"/>
  <c r="G3236" i="5" s="1"/>
  <c r="F3237" i="5"/>
  <c r="G3237" i="5" s="1"/>
  <c r="F3238" i="5"/>
  <c r="G3238" i="5" s="1"/>
  <c r="F3239" i="5"/>
  <c r="G3239" i="5" s="1"/>
  <c r="F3240" i="5"/>
  <c r="G3240" i="5" s="1"/>
  <c r="F3241" i="5"/>
  <c r="G3241" i="5" s="1"/>
  <c r="F3242" i="5"/>
  <c r="G3242" i="5" s="1"/>
  <c r="F3243" i="5"/>
  <c r="G3243" i="5" s="1"/>
  <c r="F3244" i="5"/>
  <c r="G3244" i="5" s="1"/>
  <c r="F3245" i="5"/>
  <c r="G3245" i="5" s="1"/>
  <c r="F3246" i="5"/>
  <c r="G3246" i="5" s="1"/>
  <c r="F3247" i="5"/>
  <c r="G3247" i="5" s="1"/>
  <c r="F3248" i="5"/>
  <c r="G3248" i="5" s="1"/>
  <c r="F3249" i="5"/>
  <c r="G3249" i="5" s="1"/>
  <c r="F3250" i="5"/>
  <c r="G3250" i="5" s="1"/>
  <c r="F3251" i="5"/>
  <c r="G3251" i="5" s="1"/>
  <c r="F3252" i="5"/>
  <c r="G3252" i="5" s="1"/>
  <c r="F3253" i="5"/>
  <c r="G3253" i="5" s="1"/>
  <c r="F3254" i="5"/>
  <c r="G3254" i="5" s="1"/>
  <c r="F3255" i="5"/>
  <c r="G3255" i="5" s="1"/>
  <c r="F3256" i="5"/>
  <c r="G3256" i="5" s="1"/>
  <c r="F3257" i="5"/>
  <c r="G3257" i="5" s="1"/>
  <c r="F3258" i="5"/>
  <c r="G3258" i="5" s="1"/>
  <c r="F3259" i="5"/>
  <c r="G3259" i="5" s="1"/>
  <c r="F3260" i="5"/>
  <c r="G3260" i="5" s="1"/>
  <c r="F3261" i="5"/>
  <c r="G3261" i="5" s="1"/>
  <c r="F3262" i="5"/>
  <c r="G3262" i="5" s="1"/>
  <c r="F3263" i="5"/>
  <c r="G3263" i="5" s="1"/>
  <c r="F3264" i="5"/>
  <c r="G3264" i="5" s="1"/>
  <c r="F3265" i="5"/>
  <c r="G3265" i="5" s="1"/>
  <c r="F3266" i="5"/>
  <c r="G3266" i="5" s="1"/>
  <c r="F3267" i="5"/>
  <c r="G3267" i="5" s="1"/>
  <c r="F3268" i="5"/>
  <c r="G3268" i="5" s="1"/>
  <c r="F3269" i="5"/>
  <c r="G3269" i="5" s="1"/>
  <c r="F3270" i="5"/>
  <c r="G3270" i="5" s="1"/>
  <c r="F3271" i="5"/>
  <c r="G3271" i="5" s="1"/>
  <c r="F3272" i="5"/>
  <c r="G3272" i="5" s="1"/>
  <c r="F3273" i="5"/>
  <c r="G3273" i="5" s="1"/>
  <c r="F3274" i="5"/>
  <c r="G3274" i="5" s="1"/>
  <c r="F3275" i="5"/>
  <c r="G3275" i="5" s="1"/>
  <c r="F3276" i="5"/>
  <c r="G3276" i="5" s="1"/>
  <c r="F3277" i="5"/>
  <c r="G3277" i="5" s="1"/>
  <c r="F3278" i="5"/>
  <c r="G3278" i="5" s="1"/>
  <c r="F3279" i="5"/>
  <c r="G3279" i="5" s="1"/>
  <c r="F3280" i="5"/>
  <c r="G3280" i="5" s="1"/>
  <c r="F3281" i="5"/>
  <c r="G3281" i="5" s="1"/>
  <c r="F3282" i="5"/>
  <c r="G3282" i="5" s="1"/>
  <c r="F3283" i="5"/>
  <c r="G3283" i="5" s="1"/>
  <c r="F3284" i="5"/>
  <c r="G3284" i="5" s="1"/>
  <c r="F3285" i="5"/>
  <c r="G3285" i="5" s="1"/>
  <c r="F3286" i="5"/>
  <c r="G3286" i="5" s="1"/>
  <c r="F3287" i="5"/>
  <c r="G3287" i="5" s="1"/>
  <c r="F3288" i="5"/>
  <c r="G3288" i="5" s="1"/>
  <c r="F3289" i="5"/>
  <c r="G3289" i="5" s="1"/>
  <c r="F3290" i="5"/>
  <c r="G3290" i="5" s="1"/>
  <c r="F3291" i="5"/>
  <c r="G3291" i="5" s="1"/>
  <c r="F3292" i="5"/>
  <c r="G3292" i="5" s="1"/>
  <c r="F3293" i="5"/>
  <c r="G3293" i="5" s="1"/>
  <c r="F3294" i="5"/>
  <c r="G3294" i="5" s="1"/>
  <c r="F3295" i="5"/>
  <c r="G3295" i="5" s="1"/>
  <c r="F3296" i="5"/>
  <c r="G3296" i="5" s="1"/>
  <c r="F3297" i="5"/>
  <c r="G3297" i="5" s="1"/>
  <c r="F3298" i="5"/>
  <c r="G3298" i="5" s="1"/>
  <c r="F3299" i="5"/>
  <c r="G3299" i="5" s="1"/>
  <c r="F3300" i="5"/>
  <c r="G3300" i="5" s="1"/>
  <c r="F3301" i="5"/>
  <c r="G3301" i="5" s="1"/>
  <c r="F3302" i="5"/>
  <c r="G3302" i="5" s="1"/>
  <c r="F3303" i="5"/>
  <c r="G3303" i="5" s="1"/>
  <c r="F3304" i="5"/>
  <c r="G3304" i="5" s="1"/>
  <c r="F3305" i="5"/>
  <c r="G3305" i="5" s="1"/>
  <c r="F3306" i="5"/>
  <c r="G3306" i="5" s="1"/>
  <c r="F3307" i="5"/>
  <c r="G3307" i="5" s="1"/>
  <c r="F3308" i="5"/>
  <c r="G3308" i="5" s="1"/>
  <c r="F3309" i="5"/>
  <c r="G3309" i="5" s="1"/>
  <c r="F3310" i="5"/>
  <c r="G3310" i="5" s="1"/>
  <c r="F3311" i="5"/>
  <c r="G3311" i="5" s="1"/>
  <c r="F3312" i="5"/>
  <c r="G3312" i="5" s="1"/>
  <c r="F3313" i="5"/>
  <c r="G3313" i="5" s="1"/>
  <c r="F3314" i="5"/>
  <c r="G3314" i="5" s="1"/>
  <c r="F3315" i="5"/>
  <c r="G3315" i="5" s="1"/>
  <c r="F3316" i="5"/>
  <c r="G3316" i="5" s="1"/>
  <c r="F3317" i="5"/>
  <c r="G3317" i="5" s="1"/>
  <c r="F3318" i="5"/>
  <c r="G3318" i="5" s="1"/>
  <c r="F3319" i="5"/>
  <c r="G3319" i="5" s="1"/>
  <c r="F3320" i="5"/>
  <c r="G3320" i="5" s="1"/>
  <c r="F3321" i="5"/>
  <c r="G3321" i="5" s="1"/>
  <c r="F3322" i="5"/>
  <c r="G3322" i="5" s="1"/>
  <c r="F3323" i="5"/>
  <c r="G3323" i="5" s="1"/>
  <c r="F3324" i="5"/>
  <c r="G3324" i="5" s="1"/>
  <c r="F3325" i="5"/>
  <c r="G3325" i="5" s="1"/>
  <c r="F3326" i="5"/>
  <c r="G3326" i="5" s="1"/>
  <c r="F3327" i="5"/>
  <c r="G3327" i="5" s="1"/>
  <c r="F3328" i="5"/>
  <c r="G3328" i="5" s="1"/>
  <c r="F3329" i="5"/>
  <c r="G3329" i="5" s="1"/>
  <c r="F3330" i="5"/>
  <c r="G3330" i="5" s="1"/>
  <c r="F3331" i="5"/>
  <c r="G3331" i="5" s="1"/>
  <c r="F3332" i="5"/>
  <c r="G3332" i="5" s="1"/>
  <c r="F3333" i="5"/>
  <c r="G3333" i="5" s="1"/>
  <c r="F3334" i="5"/>
  <c r="G3334" i="5" s="1"/>
  <c r="F3335" i="5"/>
  <c r="G3335" i="5" s="1"/>
  <c r="F3336" i="5"/>
  <c r="G3336" i="5" s="1"/>
  <c r="F3337" i="5"/>
  <c r="G3337" i="5" s="1"/>
  <c r="F3338" i="5"/>
  <c r="G3338" i="5" s="1"/>
  <c r="F3339" i="5"/>
  <c r="G3339" i="5" s="1"/>
  <c r="F3340" i="5"/>
  <c r="G3340" i="5" s="1"/>
  <c r="F3341" i="5"/>
  <c r="G3341" i="5" s="1"/>
  <c r="F3342" i="5"/>
  <c r="G3342" i="5" s="1"/>
  <c r="F3343" i="5"/>
  <c r="G3343" i="5" s="1"/>
  <c r="F3344" i="5"/>
  <c r="G3344" i="5" s="1"/>
  <c r="F3345" i="5"/>
  <c r="G3345" i="5" s="1"/>
  <c r="F3346" i="5"/>
  <c r="G3346" i="5" s="1"/>
  <c r="F3347" i="5"/>
  <c r="G3347" i="5" s="1"/>
  <c r="F3348" i="5"/>
  <c r="G3348" i="5" s="1"/>
  <c r="F3349" i="5"/>
  <c r="G3349" i="5" s="1"/>
  <c r="F3350" i="5"/>
  <c r="G3350" i="5" s="1"/>
  <c r="F3351" i="5"/>
  <c r="G3351" i="5" s="1"/>
  <c r="F3352" i="5"/>
  <c r="G3352" i="5" s="1"/>
  <c r="F3353" i="5"/>
  <c r="G3353" i="5" s="1"/>
  <c r="F3354" i="5"/>
  <c r="G3354" i="5" s="1"/>
  <c r="F3355" i="5"/>
  <c r="G3355" i="5" s="1"/>
  <c r="F3356" i="5"/>
  <c r="G3356" i="5" s="1"/>
  <c r="F3357" i="5"/>
  <c r="G3357" i="5" s="1"/>
  <c r="F3358" i="5"/>
  <c r="G3358" i="5" s="1"/>
  <c r="F3359" i="5"/>
  <c r="G3359" i="5" s="1"/>
  <c r="F3360" i="5"/>
  <c r="G3360" i="5" s="1"/>
  <c r="F3361" i="5"/>
  <c r="G3361" i="5" s="1"/>
  <c r="F3362" i="5"/>
  <c r="G3362" i="5" s="1"/>
  <c r="F3363" i="5"/>
  <c r="G3363" i="5" s="1"/>
  <c r="F3364" i="5"/>
  <c r="G3364" i="5" s="1"/>
  <c r="F3365" i="5"/>
  <c r="G3365" i="5" s="1"/>
  <c r="F3366" i="5"/>
  <c r="G3366" i="5" s="1"/>
  <c r="F3367" i="5"/>
  <c r="G3367" i="5" s="1"/>
  <c r="F3368" i="5"/>
  <c r="G3368" i="5" s="1"/>
  <c r="F3369" i="5"/>
  <c r="G3369" i="5" s="1"/>
  <c r="F3370" i="5"/>
  <c r="G3370" i="5" s="1"/>
  <c r="F3371" i="5"/>
  <c r="G3371" i="5" s="1"/>
  <c r="F3372" i="5"/>
  <c r="G3372" i="5" s="1"/>
  <c r="F3373" i="5"/>
  <c r="G3373" i="5" s="1"/>
  <c r="F3374" i="5"/>
  <c r="G3374" i="5" s="1"/>
  <c r="F3375" i="5"/>
  <c r="G3375" i="5" s="1"/>
  <c r="F3376" i="5"/>
  <c r="G3376" i="5" s="1"/>
  <c r="F3377" i="5"/>
  <c r="G3377" i="5" s="1"/>
  <c r="F3378" i="5"/>
  <c r="G3378" i="5" s="1"/>
  <c r="F3379" i="5"/>
  <c r="G3379" i="5" s="1"/>
  <c r="F3380" i="5"/>
  <c r="G3380" i="5" s="1"/>
  <c r="F3381" i="5"/>
  <c r="G3381" i="5" s="1"/>
  <c r="F3382" i="5"/>
  <c r="G3382" i="5" s="1"/>
  <c r="F3383" i="5"/>
  <c r="G3383" i="5" s="1"/>
  <c r="F3384" i="5"/>
  <c r="G3384" i="5" s="1"/>
  <c r="F3385" i="5"/>
  <c r="G3385" i="5" s="1"/>
  <c r="F3386" i="5"/>
  <c r="G3386" i="5" s="1"/>
  <c r="F3387" i="5"/>
  <c r="G3387" i="5" s="1"/>
  <c r="F3388" i="5"/>
  <c r="G3388" i="5" s="1"/>
  <c r="F3389" i="5"/>
  <c r="G3389" i="5" s="1"/>
  <c r="F3390" i="5"/>
  <c r="G3390" i="5" s="1"/>
  <c r="F3391" i="5"/>
  <c r="G3391" i="5" s="1"/>
  <c r="F3392" i="5"/>
  <c r="G3392" i="5" s="1"/>
  <c r="F3393" i="5"/>
  <c r="G3393" i="5" s="1"/>
  <c r="F3394" i="5"/>
  <c r="G3394" i="5" s="1"/>
  <c r="F3395" i="5"/>
  <c r="G3395" i="5" s="1"/>
  <c r="F3396" i="5"/>
  <c r="G3396" i="5" s="1"/>
  <c r="F3397" i="5"/>
  <c r="G3397" i="5" s="1"/>
  <c r="F3398" i="5"/>
  <c r="G3398" i="5" s="1"/>
  <c r="F3399" i="5"/>
  <c r="G3399" i="5" s="1"/>
  <c r="F3400" i="5"/>
  <c r="G3400" i="5" s="1"/>
  <c r="F3401" i="5"/>
  <c r="G3401" i="5" s="1"/>
  <c r="F3402" i="5"/>
  <c r="G3402" i="5" s="1"/>
  <c r="F3403" i="5"/>
  <c r="G3403" i="5" s="1"/>
  <c r="F3404" i="5"/>
  <c r="G3404" i="5" s="1"/>
  <c r="F3405" i="5"/>
  <c r="G3405" i="5" s="1"/>
  <c r="F3406" i="5"/>
  <c r="G3406" i="5" s="1"/>
  <c r="F3407" i="5"/>
  <c r="G3407" i="5" s="1"/>
  <c r="F3408" i="5"/>
  <c r="G3408" i="5" s="1"/>
  <c r="F3409" i="5"/>
  <c r="G3409" i="5" s="1"/>
  <c r="F3410" i="5"/>
  <c r="G3410" i="5" s="1"/>
  <c r="F3411" i="5"/>
  <c r="G3411" i="5" s="1"/>
  <c r="F3412" i="5"/>
  <c r="G3412" i="5" s="1"/>
  <c r="F3413" i="5"/>
  <c r="G3413" i="5" s="1"/>
  <c r="F3414" i="5"/>
  <c r="G3414" i="5" s="1"/>
  <c r="F3415" i="5"/>
  <c r="G3415" i="5" s="1"/>
  <c r="F3416" i="5"/>
  <c r="G3416" i="5" s="1"/>
  <c r="F3417" i="5"/>
  <c r="G3417" i="5" s="1"/>
  <c r="F3418" i="5"/>
  <c r="G3418" i="5" s="1"/>
  <c r="F3419" i="5"/>
  <c r="G3419" i="5" s="1"/>
  <c r="F3420" i="5"/>
  <c r="G3420" i="5" s="1"/>
  <c r="F3421" i="5"/>
  <c r="G3421" i="5" s="1"/>
  <c r="F3422" i="5"/>
  <c r="G3422" i="5" s="1"/>
  <c r="F3423" i="5"/>
  <c r="G3423" i="5" s="1"/>
  <c r="F3424" i="5"/>
  <c r="G3424" i="5" s="1"/>
  <c r="F3425" i="5"/>
  <c r="G3425" i="5" s="1"/>
  <c r="F3426" i="5"/>
  <c r="G3426" i="5" s="1"/>
  <c r="F3427" i="5"/>
  <c r="G3427" i="5" s="1"/>
  <c r="F3428" i="5"/>
  <c r="G3428" i="5" s="1"/>
  <c r="F3429" i="5"/>
  <c r="G3429" i="5" s="1"/>
  <c r="F3430" i="5"/>
  <c r="G3430" i="5" s="1"/>
  <c r="F3431" i="5"/>
  <c r="G3431" i="5" s="1"/>
  <c r="F3432" i="5"/>
  <c r="G3432" i="5" s="1"/>
  <c r="F3433" i="5"/>
  <c r="G3433" i="5" s="1"/>
  <c r="F3434" i="5"/>
  <c r="G3434" i="5" s="1"/>
  <c r="F3435" i="5"/>
  <c r="G3435" i="5" s="1"/>
  <c r="F3436" i="5"/>
  <c r="G3436" i="5" s="1"/>
  <c r="F3437" i="5"/>
  <c r="G3437" i="5" s="1"/>
  <c r="F3438" i="5"/>
  <c r="G3438" i="5" s="1"/>
  <c r="F3439" i="5"/>
  <c r="G3439" i="5" s="1"/>
  <c r="F3440" i="5"/>
  <c r="G3440" i="5" s="1"/>
  <c r="F3441" i="5"/>
  <c r="G3441" i="5" s="1"/>
  <c r="F3442" i="5"/>
  <c r="G3442" i="5" s="1"/>
  <c r="F3443" i="5"/>
  <c r="G3443" i="5" s="1"/>
  <c r="F3444" i="5"/>
  <c r="G3444" i="5" s="1"/>
  <c r="F3445" i="5"/>
  <c r="G3445" i="5" s="1"/>
  <c r="F3446" i="5"/>
  <c r="G3446" i="5" s="1"/>
  <c r="F3447" i="5"/>
  <c r="G3447" i="5" s="1"/>
  <c r="F3448" i="5"/>
  <c r="G3448" i="5" s="1"/>
  <c r="F3449" i="5"/>
  <c r="G3449" i="5" s="1"/>
  <c r="F3450" i="5"/>
  <c r="G3450" i="5" s="1"/>
  <c r="F3451" i="5"/>
  <c r="G3451" i="5" s="1"/>
  <c r="F3452" i="5"/>
  <c r="G3452" i="5" s="1"/>
  <c r="F3453" i="5"/>
  <c r="G3453" i="5" s="1"/>
  <c r="F3454" i="5"/>
  <c r="G3454" i="5" s="1"/>
  <c r="F3455" i="5"/>
  <c r="G3455" i="5" s="1"/>
  <c r="F3456" i="5"/>
  <c r="G3456" i="5" s="1"/>
  <c r="F3457" i="5"/>
  <c r="G3457" i="5" s="1"/>
  <c r="F3458" i="5"/>
  <c r="G3458" i="5" s="1"/>
  <c r="F3459" i="5"/>
  <c r="G3459" i="5" s="1"/>
  <c r="F3460" i="5"/>
  <c r="G3460" i="5" s="1"/>
  <c r="F3461" i="5"/>
  <c r="G3461" i="5" s="1"/>
  <c r="F3462" i="5"/>
  <c r="G3462" i="5" s="1"/>
  <c r="F3463" i="5"/>
  <c r="G3463" i="5" s="1"/>
  <c r="F3464" i="5"/>
  <c r="G3464" i="5" s="1"/>
  <c r="F3465" i="5"/>
  <c r="G3465" i="5" s="1"/>
  <c r="F3466" i="5"/>
  <c r="G3466" i="5" s="1"/>
  <c r="F3467" i="5"/>
  <c r="G3467" i="5" s="1"/>
  <c r="F3468" i="5"/>
  <c r="G3468" i="5" s="1"/>
  <c r="F3469" i="5"/>
  <c r="G3469" i="5" s="1"/>
  <c r="F3470" i="5"/>
  <c r="G3470" i="5" s="1"/>
  <c r="F3471" i="5"/>
  <c r="G3471" i="5" s="1"/>
  <c r="F3472" i="5"/>
  <c r="G3472" i="5" s="1"/>
  <c r="F3473" i="5"/>
  <c r="G3473" i="5" s="1"/>
  <c r="F3474" i="5"/>
  <c r="G3474" i="5" s="1"/>
  <c r="F3475" i="5"/>
  <c r="G3475" i="5" s="1"/>
  <c r="F3476" i="5"/>
  <c r="G3476" i="5" s="1"/>
  <c r="F3477" i="5"/>
  <c r="G3477" i="5" s="1"/>
  <c r="F3478" i="5"/>
  <c r="G3478" i="5" s="1"/>
  <c r="F3479" i="5"/>
  <c r="G3479" i="5" s="1"/>
  <c r="F3480" i="5"/>
  <c r="G3480" i="5" s="1"/>
  <c r="F3481" i="5"/>
  <c r="G3481" i="5" s="1"/>
  <c r="F3482" i="5"/>
  <c r="G3482" i="5" s="1"/>
  <c r="F3483" i="5"/>
  <c r="G3483" i="5" s="1"/>
  <c r="F3484" i="5"/>
  <c r="G3484" i="5" s="1"/>
  <c r="F3485" i="5"/>
  <c r="G3485" i="5" s="1"/>
  <c r="F3486" i="5"/>
  <c r="G3486" i="5" s="1"/>
  <c r="F3487" i="5"/>
  <c r="G3487" i="5" s="1"/>
  <c r="F3488" i="5"/>
  <c r="G3488" i="5" s="1"/>
  <c r="F3489" i="5"/>
  <c r="G3489" i="5" s="1"/>
  <c r="F3490" i="5"/>
  <c r="G3490" i="5" s="1"/>
  <c r="F3491" i="5"/>
  <c r="G3491" i="5" s="1"/>
  <c r="F3492" i="5"/>
  <c r="G3492" i="5" s="1"/>
  <c r="F3493" i="5"/>
  <c r="G3493" i="5" s="1"/>
  <c r="F3494" i="5"/>
  <c r="G3494" i="5" s="1"/>
  <c r="F3495" i="5"/>
  <c r="G3495" i="5" s="1"/>
  <c r="F3496" i="5"/>
  <c r="G3496" i="5" s="1"/>
  <c r="F3497" i="5"/>
  <c r="G3497" i="5" s="1"/>
  <c r="F3498" i="5"/>
  <c r="G3498" i="5" s="1"/>
  <c r="F3499" i="5"/>
  <c r="G3499" i="5" s="1"/>
  <c r="F3500" i="5"/>
  <c r="G3500" i="5" s="1"/>
  <c r="F3501" i="5"/>
  <c r="G3501" i="5" s="1"/>
  <c r="F3502" i="5"/>
  <c r="G3502" i="5" s="1"/>
  <c r="F3503" i="5"/>
  <c r="G3503" i="5" s="1"/>
  <c r="F3504" i="5"/>
  <c r="G3504" i="5" s="1"/>
  <c r="F3505" i="5"/>
  <c r="G3505" i="5" s="1"/>
  <c r="F3506" i="5"/>
  <c r="G3506" i="5" s="1"/>
  <c r="F3507" i="5"/>
  <c r="G3507" i="5" s="1"/>
  <c r="F3508" i="5"/>
  <c r="G3508" i="5" s="1"/>
  <c r="F3509" i="5"/>
  <c r="G3509" i="5" s="1"/>
  <c r="F3510" i="5"/>
  <c r="G3510" i="5" s="1"/>
  <c r="F3511" i="5"/>
  <c r="G3511" i="5" s="1"/>
  <c r="F3512" i="5"/>
  <c r="G3512" i="5" s="1"/>
  <c r="F3513" i="5"/>
  <c r="G3513" i="5" s="1"/>
  <c r="F3514" i="5"/>
  <c r="G3514" i="5" s="1"/>
  <c r="F3515" i="5"/>
  <c r="G3515" i="5" s="1"/>
  <c r="F3516" i="5"/>
  <c r="G3516" i="5" s="1"/>
  <c r="F3517" i="5"/>
  <c r="G3517" i="5" s="1"/>
  <c r="F3518" i="5"/>
  <c r="G3518" i="5" s="1"/>
  <c r="F3519" i="5"/>
  <c r="G3519" i="5" s="1"/>
  <c r="F3520" i="5"/>
  <c r="G3520" i="5" s="1"/>
  <c r="F3521" i="5"/>
  <c r="G3521" i="5" s="1"/>
  <c r="F3522" i="5"/>
  <c r="G3522" i="5" s="1"/>
  <c r="F3523" i="5"/>
  <c r="G3523" i="5" s="1"/>
  <c r="F3524" i="5"/>
  <c r="G3524" i="5" s="1"/>
  <c r="F3525" i="5"/>
  <c r="G3525" i="5" s="1"/>
  <c r="F3526" i="5"/>
  <c r="G3526" i="5" s="1"/>
  <c r="F3527" i="5"/>
  <c r="G3527" i="5" s="1"/>
  <c r="F3528" i="5"/>
  <c r="G3528" i="5" s="1"/>
  <c r="F3529" i="5"/>
  <c r="G3529" i="5" s="1"/>
  <c r="F3530" i="5"/>
  <c r="G3530" i="5" s="1"/>
  <c r="F3531" i="5"/>
  <c r="G3531" i="5" s="1"/>
  <c r="F3532" i="5"/>
  <c r="G3532" i="5" s="1"/>
  <c r="F3533" i="5"/>
  <c r="G3533" i="5" s="1"/>
  <c r="F3534" i="5"/>
  <c r="G3534" i="5" s="1"/>
  <c r="F3535" i="5"/>
  <c r="G3535" i="5" s="1"/>
  <c r="F3536" i="5"/>
  <c r="G3536" i="5" s="1"/>
  <c r="F3537" i="5"/>
  <c r="G3537" i="5" s="1"/>
  <c r="F3538" i="5"/>
  <c r="G3538" i="5" s="1"/>
  <c r="F3539" i="5"/>
  <c r="G3539" i="5" s="1"/>
  <c r="F3540" i="5"/>
  <c r="G3540" i="5" s="1"/>
  <c r="F3541" i="5"/>
  <c r="G3541" i="5" s="1"/>
  <c r="F3542" i="5"/>
  <c r="G3542" i="5" s="1"/>
  <c r="F3543" i="5"/>
  <c r="G3543" i="5" s="1"/>
  <c r="F3544" i="5"/>
  <c r="G3544" i="5" s="1"/>
  <c r="F3545" i="5"/>
  <c r="G3545" i="5" s="1"/>
  <c r="F3546" i="5"/>
  <c r="G3546" i="5" s="1"/>
  <c r="F3547" i="5"/>
  <c r="G3547" i="5" s="1"/>
  <c r="F3548" i="5"/>
  <c r="G3548" i="5" s="1"/>
  <c r="F3549" i="5"/>
  <c r="G3549" i="5" s="1"/>
  <c r="F3550" i="5"/>
  <c r="G3550" i="5" s="1"/>
  <c r="F3551" i="5"/>
  <c r="G3551" i="5" s="1"/>
  <c r="F3552" i="5"/>
  <c r="G3552" i="5" s="1"/>
  <c r="F3553" i="5"/>
  <c r="G3553" i="5" s="1"/>
  <c r="F3554" i="5"/>
  <c r="G3554" i="5" s="1"/>
  <c r="F3555" i="5"/>
  <c r="G3555" i="5" s="1"/>
  <c r="F3556" i="5"/>
  <c r="G3556" i="5" s="1"/>
  <c r="F3557" i="5"/>
  <c r="G3557" i="5" s="1"/>
  <c r="F3558" i="5"/>
  <c r="G3558" i="5" s="1"/>
  <c r="F3559" i="5"/>
  <c r="G3559" i="5" s="1"/>
  <c r="F3560" i="5"/>
  <c r="G3560" i="5" s="1"/>
  <c r="F3561" i="5"/>
  <c r="G3561" i="5" s="1"/>
  <c r="F3562" i="5"/>
  <c r="G3562" i="5" s="1"/>
  <c r="F3563" i="5"/>
  <c r="G3563" i="5" s="1"/>
  <c r="F3564" i="5"/>
  <c r="G3564" i="5" s="1"/>
  <c r="F3565" i="5"/>
  <c r="G3565" i="5" s="1"/>
  <c r="F3566" i="5"/>
  <c r="G3566" i="5" s="1"/>
  <c r="F3567" i="5"/>
  <c r="G3567" i="5" s="1"/>
  <c r="F3568" i="5"/>
  <c r="G3568" i="5" s="1"/>
  <c r="F3569" i="5"/>
  <c r="G3569" i="5" s="1"/>
  <c r="F3570" i="5"/>
  <c r="G3570" i="5" s="1"/>
  <c r="F3571" i="5"/>
  <c r="G3571" i="5" s="1"/>
  <c r="F3572" i="5"/>
  <c r="G3572" i="5" s="1"/>
  <c r="F3573" i="5"/>
  <c r="G3573" i="5" s="1"/>
  <c r="F3574" i="5"/>
  <c r="G3574" i="5" s="1"/>
  <c r="F3575" i="5"/>
  <c r="G3575" i="5" s="1"/>
  <c r="F3576" i="5"/>
  <c r="G3576" i="5" s="1"/>
  <c r="F3577" i="5"/>
  <c r="G3577" i="5" s="1"/>
  <c r="F3578" i="5"/>
  <c r="G3578" i="5" s="1"/>
  <c r="F3579" i="5"/>
  <c r="G3579" i="5" s="1"/>
  <c r="F3580" i="5"/>
  <c r="G3580" i="5" s="1"/>
  <c r="F3581" i="5"/>
  <c r="G3581" i="5" s="1"/>
  <c r="F3582" i="5"/>
  <c r="G3582" i="5" s="1"/>
  <c r="F3583" i="5"/>
  <c r="G3583" i="5" s="1"/>
  <c r="F3584" i="5"/>
  <c r="G3584" i="5" s="1"/>
  <c r="F3585" i="5"/>
  <c r="G3585" i="5" s="1"/>
  <c r="F3586" i="5"/>
  <c r="G3586" i="5" s="1"/>
  <c r="F3587" i="5"/>
  <c r="G3587" i="5" s="1"/>
  <c r="F3588" i="5"/>
  <c r="G3588" i="5" s="1"/>
  <c r="F3589" i="5"/>
  <c r="G3589" i="5" s="1"/>
  <c r="F3590" i="5"/>
  <c r="G3590" i="5" s="1"/>
  <c r="F3591" i="5"/>
  <c r="G3591" i="5" s="1"/>
  <c r="F3592" i="5"/>
  <c r="G3592" i="5" s="1"/>
  <c r="F3593" i="5"/>
  <c r="G3593" i="5" s="1"/>
  <c r="F3594" i="5"/>
  <c r="G3594" i="5" s="1"/>
  <c r="F3595" i="5"/>
  <c r="G3595" i="5" s="1"/>
  <c r="F3596" i="5"/>
  <c r="G3596" i="5" s="1"/>
  <c r="F3597" i="5"/>
  <c r="G3597" i="5" s="1"/>
  <c r="F3598" i="5"/>
  <c r="G3598" i="5" s="1"/>
  <c r="F3599" i="5"/>
  <c r="G3599" i="5" s="1"/>
  <c r="F3600" i="5"/>
  <c r="G3600" i="5" s="1"/>
  <c r="F3601" i="5"/>
  <c r="G3601" i="5" s="1"/>
  <c r="F3602" i="5"/>
  <c r="G3602" i="5" s="1"/>
  <c r="F3603" i="5"/>
  <c r="G3603" i="5" s="1"/>
  <c r="F3604" i="5"/>
  <c r="G3604" i="5" s="1"/>
  <c r="F3605" i="5"/>
  <c r="G3605" i="5" s="1"/>
  <c r="F3606" i="5"/>
  <c r="G3606" i="5" s="1"/>
  <c r="F3607" i="5"/>
  <c r="G3607" i="5" s="1"/>
  <c r="F3608" i="5"/>
  <c r="G3608" i="5" s="1"/>
  <c r="F3609" i="5"/>
  <c r="G3609" i="5" s="1"/>
  <c r="F3610" i="5"/>
  <c r="G3610" i="5" s="1"/>
  <c r="F3611" i="5"/>
  <c r="G3611" i="5" s="1"/>
  <c r="F3612" i="5"/>
  <c r="G3612" i="5" s="1"/>
  <c r="F3613" i="5"/>
  <c r="G3613" i="5" s="1"/>
  <c r="F3614" i="5"/>
  <c r="G3614" i="5" s="1"/>
  <c r="F3615" i="5"/>
  <c r="G3615" i="5" s="1"/>
  <c r="F3616" i="5"/>
  <c r="G3616" i="5" s="1"/>
  <c r="F3617" i="5"/>
  <c r="G3617" i="5" s="1"/>
  <c r="F3618" i="5"/>
  <c r="G3618" i="5" s="1"/>
  <c r="F3619" i="5"/>
  <c r="G3619" i="5" s="1"/>
  <c r="F3620" i="5"/>
  <c r="G3620" i="5" s="1"/>
  <c r="F3621" i="5"/>
  <c r="G3621" i="5" s="1"/>
  <c r="F3622" i="5"/>
  <c r="G3622" i="5" s="1"/>
  <c r="F3623" i="5"/>
  <c r="G3623" i="5" s="1"/>
  <c r="F3624" i="5"/>
  <c r="G3624" i="5" s="1"/>
  <c r="F3625" i="5"/>
  <c r="G3625" i="5" s="1"/>
  <c r="F3626" i="5"/>
  <c r="G3626" i="5" s="1"/>
  <c r="F3627" i="5"/>
  <c r="G3627" i="5" s="1"/>
  <c r="F3628" i="5"/>
  <c r="G3628" i="5" s="1"/>
  <c r="F3629" i="5"/>
  <c r="G3629" i="5" s="1"/>
  <c r="F3630" i="5"/>
  <c r="G3630" i="5" s="1"/>
  <c r="F3631" i="5"/>
  <c r="G3631" i="5" s="1"/>
  <c r="F3632" i="5"/>
  <c r="G3632" i="5" s="1"/>
  <c r="F3633" i="5"/>
  <c r="G3633" i="5" s="1"/>
  <c r="F3634" i="5"/>
  <c r="G3634" i="5" s="1"/>
  <c r="F3635" i="5"/>
  <c r="G3635" i="5" s="1"/>
  <c r="F3636" i="5"/>
  <c r="G3636" i="5" s="1"/>
  <c r="F3637" i="5"/>
  <c r="G3637" i="5" s="1"/>
  <c r="F3638" i="5"/>
  <c r="G3638" i="5" s="1"/>
  <c r="F3639" i="5"/>
  <c r="G3639" i="5" s="1"/>
  <c r="F3640" i="5"/>
  <c r="G3640" i="5" s="1"/>
  <c r="F3641" i="5"/>
  <c r="G3641" i="5" s="1"/>
  <c r="F3642" i="5"/>
  <c r="G3642" i="5" s="1"/>
  <c r="F3643" i="5"/>
  <c r="G3643" i="5" s="1"/>
  <c r="F3644" i="5"/>
  <c r="G3644" i="5" s="1"/>
  <c r="F3645" i="5"/>
  <c r="G3645" i="5" s="1"/>
  <c r="F3646" i="5"/>
  <c r="G3646" i="5" s="1"/>
  <c r="F3647" i="5"/>
  <c r="G3647" i="5" s="1"/>
  <c r="F3648" i="5"/>
  <c r="G3648" i="5" s="1"/>
  <c r="F3649" i="5"/>
  <c r="G3649" i="5" s="1"/>
  <c r="F3650" i="5"/>
  <c r="G3650" i="5" s="1"/>
  <c r="F3651" i="5"/>
  <c r="G3651" i="5" s="1"/>
  <c r="F3652" i="5"/>
  <c r="G3652" i="5" s="1"/>
  <c r="F3653" i="5"/>
  <c r="G3653" i="5" s="1"/>
  <c r="F3654" i="5"/>
  <c r="G3654" i="5" s="1"/>
  <c r="F3655" i="5"/>
  <c r="G3655" i="5" s="1"/>
  <c r="F3656" i="5"/>
  <c r="G3656" i="5" s="1"/>
  <c r="F3657" i="5"/>
  <c r="G3657" i="5" s="1"/>
  <c r="F3658" i="5"/>
  <c r="G3658" i="5" s="1"/>
  <c r="F3659" i="5"/>
  <c r="G3659" i="5" s="1"/>
  <c r="F3660" i="5"/>
  <c r="G3660" i="5" s="1"/>
  <c r="F3661" i="5"/>
  <c r="G3661" i="5" s="1"/>
  <c r="F3662" i="5"/>
  <c r="G3662" i="5" s="1"/>
  <c r="F3663" i="5"/>
  <c r="G3663" i="5" s="1"/>
  <c r="F3664" i="5"/>
  <c r="G3664" i="5" s="1"/>
  <c r="F3665" i="5"/>
  <c r="G3665" i="5" s="1"/>
  <c r="F3666" i="5"/>
  <c r="G3666" i="5" s="1"/>
  <c r="F3667" i="5"/>
  <c r="G3667" i="5" s="1"/>
  <c r="F3668" i="5"/>
  <c r="G3668" i="5" s="1"/>
  <c r="F3669" i="5"/>
  <c r="G3669" i="5" s="1"/>
  <c r="F3670" i="5"/>
  <c r="G3670" i="5" s="1"/>
  <c r="F3671" i="5"/>
  <c r="G3671" i="5" s="1"/>
  <c r="F3672" i="5"/>
  <c r="G3672" i="5" s="1"/>
  <c r="F3673" i="5"/>
  <c r="G3673" i="5" s="1"/>
  <c r="F3674" i="5"/>
  <c r="G3674" i="5" s="1"/>
  <c r="F3675" i="5"/>
  <c r="G3675" i="5" s="1"/>
  <c r="F3676" i="5"/>
  <c r="G3676" i="5" s="1"/>
  <c r="F3677" i="5"/>
  <c r="G3677" i="5" s="1"/>
  <c r="F3678" i="5"/>
  <c r="G3678" i="5" s="1"/>
  <c r="F3679" i="5"/>
  <c r="G3679" i="5" s="1"/>
  <c r="F3680" i="5"/>
  <c r="G3680" i="5" s="1"/>
  <c r="F3681" i="5"/>
  <c r="G3681" i="5" s="1"/>
  <c r="F3682" i="5"/>
  <c r="G3682" i="5" s="1"/>
  <c r="F3683" i="5"/>
  <c r="G3683" i="5" s="1"/>
  <c r="F3684" i="5"/>
  <c r="G3684" i="5" s="1"/>
  <c r="F3685" i="5"/>
  <c r="G3685" i="5" s="1"/>
  <c r="F3686" i="5"/>
  <c r="G3686" i="5" s="1"/>
  <c r="F3687" i="5"/>
  <c r="G3687" i="5" s="1"/>
  <c r="F3688" i="5"/>
  <c r="G3688" i="5" s="1"/>
  <c r="F3689" i="5"/>
  <c r="G3689" i="5" s="1"/>
  <c r="F3690" i="5"/>
  <c r="G3690" i="5" s="1"/>
  <c r="F3691" i="5"/>
  <c r="G3691" i="5" s="1"/>
  <c r="F3692" i="5"/>
  <c r="G3692" i="5" s="1"/>
  <c r="F3693" i="5"/>
  <c r="G3693" i="5" s="1"/>
  <c r="F3694" i="5"/>
  <c r="G3694" i="5" s="1"/>
  <c r="F3695" i="5"/>
  <c r="G3695" i="5" s="1"/>
  <c r="F3696" i="5"/>
  <c r="G3696" i="5" s="1"/>
  <c r="F3697" i="5"/>
  <c r="G3697" i="5" s="1"/>
  <c r="F3698" i="5"/>
  <c r="G3698" i="5" s="1"/>
  <c r="F3699" i="5"/>
  <c r="G3699" i="5" s="1"/>
  <c r="F3700" i="5"/>
  <c r="G3700" i="5" s="1"/>
  <c r="F3701" i="5"/>
  <c r="G3701" i="5" s="1"/>
  <c r="F3702" i="5"/>
  <c r="G3702" i="5" s="1"/>
  <c r="F3703" i="5"/>
  <c r="G3703" i="5" s="1"/>
  <c r="F3704" i="5"/>
  <c r="G3704" i="5" s="1"/>
  <c r="F3705" i="5"/>
  <c r="G3705" i="5" s="1"/>
  <c r="F3706" i="5"/>
  <c r="G3706" i="5" s="1"/>
  <c r="F3707" i="5"/>
  <c r="G3707" i="5" s="1"/>
  <c r="F3708" i="5"/>
  <c r="G3708" i="5" s="1"/>
  <c r="F3709" i="5"/>
  <c r="G3709" i="5" s="1"/>
  <c r="F3710" i="5"/>
  <c r="G3710" i="5" s="1"/>
  <c r="F3711" i="5"/>
  <c r="G3711" i="5" s="1"/>
  <c r="F3712" i="5"/>
  <c r="G3712" i="5" s="1"/>
  <c r="F3713" i="5"/>
  <c r="G3713" i="5" s="1"/>
  <c r="F3714" i="5"/>
  <c r="G3714" i="5" s="1"/>
  <c r="F3715" i="5"/>
  <c r="G3715" i="5" s="1"/>
  <c r="F3716" i="5"/>
  <c r="G3716" i="5" s="1"/>
  <c r="F3717" i="5"/>
  <c r="G3717" i="5" s="1"/>
  <c r="F3718" i="5"/>
  <c r="G3718" i="5" s="1"/>
  <c r="F3719" i="5"/>
  <c r="G3719" i="5" s="1"/>
  <c r="F3720" i="5"/>
  <c r="G3720" i="5" s="1"/>
  <c r="F3721" i="5"/>
  <c r="G3721" i="5" s="1"/>
  <c r="F3722" i="5"/>
  <c r="G3722" i="5" s="1"/>
  <c r="F3723" i="5"/>
  <c r="G3723" i="5" s="1"/>
  <c r="F3724" i="5"/>
  <c r="G3724" i="5" s="1"/>
  <c r="F3725" i="5"/>
  <c r="G3725" i="5" s="1"/>
  <c r="F3726" i="5"/>
  <c r="G3726" i="5" s="1"/>
  <c r="F3727" i="5"/>
  <c r="G3727" i="5" s="1"/>
  <c r="F3728" i="5"/>
  <c r="G3728" i="5" s="1"/>
  <c r="F3729" i="5"/>
  <c r="G3729" i="5" s="1"/>
  <c r="F3730" i="5"/>
  <c r="G3730" i="5" s="1"/>
  <c r="F3731" i="5"/>
  <c r="G3731" i="5" s="1"/>
  <c r="F3732" i="5"/>
  <c r="G3732" i="5" s="1"/>
  <c r="F3733" i="5"/>
  <c r="G3733" i="5" s="1"/>
  <c r="F3734" i="5"/>
  <c r="G3734" i="5" s="1"/>
  <c r="F3735" i="5"/>
  <c r="G3735" i="5" s="1"/>
  <c r="F3736" i="5"/>
  <c r="G3736" i="5" s="1"/>
  <c r="F3737" i="5"/>
  <c r="G3737" i="5" s="1"/>
  <c r="F3738" i="5"/>
  <c r="G3738" i="5" s="1"/>
  <c r="F3739" i="5"/>
  <c r="G3739" i="5" s="1"/>
  <c r="F3740" i="5"/>
  <c r="G3740" i="5" s="1"/>
  <c r="F3741" i="5"/>
  <c r="G3741" i="5" s="1"/>
  <c r="F3742" i="5"/>
  <c r="G3742" i="5" s="1"/>
  <c r="F3743" i="5"/>
  <c r="G3743" i="5" s="1"/>
  <c r="F3744" i="5"/>
  <c r="G3744" i="5" s="1"/>
  <c r="F3745" i="5"/>
  <c r="G3745" i="5" s="1"/>
  <c r="F3746" i="5"/>
  <c r="G3746" i="5" s="1"/>
  <c r="F3747" i="5"/>
  <c r="G3747" i="5" s="1"/>
  <c r="F3748" i="5"/>
  <c r="G3748" i="5" s="1"/>
  <c r="F3749" i="5"/>
  <c r="G3749" i="5" s="1"/>
  <c r="F3750" i="5"/>
  <c r="G3750" i="5" s="1"/>
  <c r="F3751" i="5"/>
  <c r="G3751" i="5" s="1"/>
  <c r="F3752" i="5"/>
  <c r="G3752" i="5" s="1"/>
  <c r="F3753" i="5"/>
  <c r="G3753" i="5" s="1"/>
  <c r="F3754" i="5"/>
  <c r="G3754" i="5" s="1"/>
  <c r="F3755" i="5"/>
  <c r="G3755" i="5" s="1"/>
  <c r="F3756" i="5"/>
  <c r="G3756" i="5" s="1"/>
  <c r="F3757" i="5"/>
  <c r="G3757" i="5" s="1"/>
  <c r="F3758" i="5"/>
  <c r="G3758" i="5" s="1"/>
  <c r="F3759" i="5"/>
  <c r="G3759" i="5" s="1"/>
  <c r="F3760" i="5"/>
  <c r="G3760" i="5" s="1"/>
  <c r="F3761" i="5"/>
  <c r="G3761" i="5" s="1"/>
  <c r="F3762" i="5"/>
  <c r="G3762" i="5" s="1"/>
  <c r="F3763" i="5"/>
  <c r="G3763" i="5" s="1"/>
  <c r="F3764" i="5"/>
  <c r="G3764" i="5" s="1"/>
  <c r="F3765" i="5"/>
  <c r="G3765" i="5" s="1"/>
  <c r="F3766" i="5"/>
  <c r="G3766" i="5" s="1"/>
  <c r="F3767" i="5"/>
  <c r="G3767" i="5" s="1"/>
  <c r="F3768" i="5"/>
  <c r="G3768" i="5" s="1"/>
  <c r="F3769" i="5"/>
  <c r="G3769" i="5" s="1"/>
  <c r="F3770" i="5"/>
  <c r="G3770" i="5" s="1"/>
  <c r="F3771" i="5"/>
  <c r="G3771" i="5" s="1"/>
  <c r="F3772" i="5"/>
  <c r="G3772" i="5" s="1"/>
  <c r="F3773" i="5"/>
  <c r="G3773" i="5" s="1"/>
  <c r="F3774" i="5"/>
  <c r="G3774" i="5" s="1"/>
  <c r="F3775" i="5"/>
  <c r="G3775" i="5" s="1"/>
  <c r="F3776" i="5"/>
  <c r="G3776" i="5" s="1"/>
  <c r="F3777" i="5"/>
  <c r="G3777" i="5" s="1"/>
  <c r="F3778" i="5"/>
  <c r="G3778" i="5" s="1"/>
  <c r="F3779" i="5"/>
  <c r="G3779" i="5" s="1"/>
  <c r="F3780" i="5"/>
  <c r="G3780" i="5" s="1"/>
  <c r="F3781" i="5"/>
  <c r="G3781" i="5" s="1"/>
  <c r="F3782" i="5"/>
  <c r="G3782" i="5" s="1"/>
  <c r="F3783" i="5"/>
  <c r="G3783" i="5" s="1"/>
  <c r="F3784" i="5"/>
  <c r="G3784" i="5" s="1"/>
  <c r="F3785" i="5"/>
  <c r="G3785" i="5" s="1"/>
  <c r="F3786" i="5"/>
  <c r="G3786" i="5" s="1"/>
  <c r="F3787" i="5"/>
  <c r="G3787" i="5" s="1"/>
  <c r="F3788" i="5"/>
  <c r="G3788" i="5" s="1"/>
  <c r="F3789" i="5"/>
  <c r="G3789" i="5" s="1"/>
  <c r="F3790" i="5"/>
  <c r="G3790" i="5" s="1"/>
  <c r="F3791" i="5"/>
  <c r="G3791" i="5" s="1"/>
  <c r="F3792" i="5"/>
  <c r="G3792" i="5" s="1"/>
  <c r="F3793" i="5"/>
  <c r="G3793" i="5" s="1"/>
  <c r="F3794" i="5"/>
  <c r="G3794" i="5" s="1"/>
  <c r="F3795" i="5"/>
  <c r="G3795" i="5" s="1"/>
  <c r="F3796" i="5"/>
  <c r="G3796" i="5" s="1"/>
  <c r="F3797" i="5"/>
  <c r="G3797" i="5" s="1"/>
  <c r="F3798" i="5"/>
  <c r="G3798" i="5" s="1"/>
  <c r="F3799" i="5"/>
  <c r="G3799" i="5" s="1"/>
  <c r="F3800" i="5"/>
  <c r="G3800" i="5" s="1"/>
  <c r="F3801" i="5"/>
  <c r="G3801" i="5" s="1"/>
  <c r="F3802" i="5"/>
  <c r="G3802" i="5" s="1"/>
  <c r="F3803" i="5"/>
  <c r="G3803" i="5" s="1"/>
  <c r="F3804" i="5"/>
  <c r="G3804" i="5" s="1"/>
  <c r="F3805" i="5"/>
  <c r="G3805" i="5" s="1"/>
  <c r="F3806" i="5"/>
  <c r="G3806" i="5" s="1"/>
  <c r="F3807" i="5"/>
  <c r="G3807" i="5" s="1"/>
  <c r="F3808" i="5"/>
  <c r="G3808" i="5" s="1"/>
  <c r="F3809" i="5"/>
  <c r="G3809" i="5" s="1"/>
  <c r="F3810" i="5"/>
  <c r="G3810" i="5" s="1"/>
  <c r="F3811" i="5"/>
  <c r="G3811" i="5" s="1"/>
  <c r="F3812" i="5"/>
  <c r="G3812" i="5" s="1"/>
  <c r="F3813" i="5"/>
  <c r="G3813" i="5" s="1"/>
  <c r="F3814" i="5"/>
  <c r="G3814" i="5" s="1"/>
  <c r="F3815" i="5"/>
  <c r="G3815" i="5" s="1"/>
  <c r="F3816" i="5"/>
  <c r="G3816" i="5" s="1"/>
  <c r="F3817" i="5"/>
  <c r="G3817" i="5" s="1"/>
  <c r="F3818" i="5"/>
  <c r="G3818" i="5" s="1"/>
  <c r="F3819" i="5"/>
  <c r="G3819" i="5" s="1"/>
  <c r="F3820" i="5"/>
  <c r="G3820" i="5" s="1"/>
  <c r="F3821" i="5"/>
  <c r="G3821" i="5" s="1"/>
  <c r="F3822" i="5"/>
  <c r="G3822" i="5" s="1"/>
  <c r="F3823" i="5"/>
  <c r="G3823" i="5" s="1"/>
  <c r="F3824" i="5"/>
  <c r="G3824" i="5" s="1"/>
  <c r="F3825" i="5"/>
  <c r="G3825" i="5" s="1"/>
  <c r="F3826" i="5"/>
  <c r="G3826" i="5" s="1"/>
  <c r="F3827" i="5"/>
  <c r="G3827" i="5" s="1"/>
  <c r="F3828" i="5"/>
  <c r="G3828" i="5" s="1"/>
  <c r="F3829" i="5"/>
  <c r="G3829" i="5" s="1"/>
  <c r="F3830" i="5"/>
  <c r="G3830" i="5" s="1"/>
  <c r="F3831" i="5"/>
  <c r="G3831" i="5" s="1"/>
  <c r="F3832" i="5"/>
  <c r="G3832" i="5" s="1"/>
  <c r="F3833" i="5"/>
  <c r="G3833" i="5" s="1"/>
  <c r="F3834" i="5"/>
  <c r="G3834" i="5" s="1"/>
  <c r="F3835" i="5"/>
  <c r="G3835" i="5" s="1"/>
  <c r="F3836" i="5"/>
  <c r="G3836" i="5" s="1"/>
  <c r="F3837" i="5"/>
  <c r="G3837" i="5" s="1"/>
  <c r="F3838" i="5"/>
  <c r="G3838" i="5" s="1"/>
  <c r="F3839" i="5"/>
  <c r="G3839" i="5" s="1"/>
  <c r="F3840" i="5"/>
  <c r="G3840" i="5" s="1"/>
  <c r="F3841" i="5"/>
  <c r="G3841" i="5" s="1"/>
  <c r="F3842" i="5"/>
  <c r="G3842" i="5" s="1"/>
  <c r="F3843" i="5"/>
  <c r="G3843" i="5" s="1"/>
  <c r="F3844" i="5"/>
  <c r="G3844" i="5" s="1"/>
  <c r="F3845" i="5"/>
  <c r="G3845" i="5" s="1"/>
  <c r="F3846" i="5"/>
  <c r="G3846" i="5" s="1"/>
  <c r="F3847" i="5"/>
  <c r="G3847" i="5" s="1"/>
  <c r="F3848" i="5"/>
  <c r="G3848" i="5" s="1"/>
  <c r="F3849" i="5"/>
  <c r="G3849" i="5" s="1"/>
  <c r="F3850" i="5"/>
  <c r="G3850" i="5" s="1"/>
  <c r="F3851" i="5"/>
  <c r="G3851" i="5" s="1"/>
  <c r="F3852" i="5"/>
  <c r="G3852" i="5" s="1"/>
  <c r="F3853" i="5"/>
  <c r="G3853" i="5" s="1"/>
  <c r="F3854" i="5"/>
  <c r="G3854" i="5" s="1"/>
  <c r="F3855" i="5"/>
  <c r="G3855" i="5" s="1"/>
  <c r="F3856" i="5"/>
  <c r="G3856" i="5" s="1"/>
  <c r="F3857" i="5"/>
  <c r="G3857" i="5" s="1"/>
  <c r="F3858" i="5"/>
  <c r="G3858" i="5" s="1"/>
  <c r="F3859" i="5"/>
  <c r="G3859" i="5" s="1"/>
  <c r="F3860" i="5"/>
  <c r="G3860" i="5" s="1"/>
  <c r="F3861" i="5"/>
  <c r="G3861" i="5" s="1"/>
  <c r="F3862" i="5"/>
  <c r="G3862" i="5" s="1"/>
  <c r="F3863" i="5"/>
  <c r="G3863" i="5" s="1"/>
  <c r="F3864" i="5"/>
  <c r="G3864" i="5" s="1"/>
  <c r="F3865" i="5"/>
  <c r="G3865" i="5" s="1"/>
  <c r="F3866" i="5"/>
  <c r="G3866" i="5" s="1"/>
  <c r="F3867" i="5"/>
  <c r="G3867" i="5" s="1"/>
  <c r="F3868" i="5"/>
  <c r="G3868" i="5" s="1"/>
  <c r="F3869" i="5"/>
  <c r="G3869" i="5" s="1"/>
  <c r="F3870" i="5"/>
  <c r="G3870" i="5" s="1"/>
  <c r="F3871" i="5"/>
  <c r="G3871" i="5" s="1"/>
  <c r="F3872" i="5"/>
  <c r="G3872" i="5" s="1"/>
  <c r="F3873" i="5"/>
  <c r="G3873" i="5" s="1"/>
  <c r="F3874" i="5"/>
  <c r="G3874" i="5" s="1"/>
  <c r="F3875" i="5"/>
  <c r="G3875" i="5" s="1"/>
  <c r="F3876" i="5"/>
  <c r="G3876" i="5" s="1"/>
  <c r="F3877" i="5"/>
  <c r="G3877" i="5" s="1"/>
  <c r="F3878" i="5"/>
  <c r="G3878" i="5" s="1"/>
  <c r="F3879" i="5"/>
  <c r="G3879" i="5" s="1"/>
  <c r="F3880" i="5"/>
  <c r="G3880" i="5" s="1"/>
  <c r="F3881" i="5"/>
  <c r="G3881" i="5" s="1"/>
  <c r="F3882" i="5"/>
  <c r="G3882" i="5" s="1"/>
  <c r="F3883" i="5"/>
  <c r="G3883" i="5" s="1"/>
  <c r="F3884" i="5"/>
  <c r="G3884" i="5" s="1"/>
  <c r="F3885" i="5"/>
  <c r="G3885" i="5" s="1"/>
  <c r="F3886" i="5"/>
  <c r="G3886" i="5" s="1"/>
  <c r="F3887" i="5"/>
  <c r="G3887" i="5" s="1"/>
  <c r="F3888" i="5"/>
  <c r="G3888" i="5" s="1"/>
  <c r="F3889" i="5"/>
  <c r="G3889" i="5" s="1"/>
  <c r="F3890" i="5"/>
  <c r="G3890" i="5" s="1"/>
  <c r="F3891" i="5"/>
  <c r="G3891" i="5" s="1"/>
  <c r="F3892" i="5"/>
  <c r="G3892" i="5" s="1"/>
  <c r="F3893" i="5"/>
  <c r="G3893" i="5" s="1"/>
  <c r="F3894" i="5"/>
  <c r="G3894" i="5" s="1"/>
  <c r="F3895" i="5"/>
  <c r="G3895" i="5" s="1"/>
  <c r="F3896" i="5"/>
  <c r="G3896" i="5" s="1"/>
  <c r="F3897" i="5"/>
  <c r="G3897" i="5" s="1"/>
  <c r="F3898" i="5"/>
  <c r="G3898" i="5" s="1"/>
  <c r="F3899" i="5"/>
  <c r="G3899" i="5" s="1"/>
  <c r="F3900" i="5"/>
  <c r="G3900" i="5" s="1"/>
  <c r="F3901" i="5"/>
  <c r="G3901" i="5" s="1"/>
  <c r="F3902" i="5"/>
  <c r="G3902" i="5" s="1"/>
  <c r="F3903" i="5"/>
  <c r="G3903" i="5" s="1"/>
  <c r="F3904" i="5"/>
  <c r="G3904" i="5" s="1"/>
  <c r="F3905" i="5"/>
  <c r="G3905" i="5" s="1"/>
  <c r="F3906" i="5"/>
  <c r="G3906" i="5" s="1"/>
  <c r="F3907" i="5"/>
  <c r="G3907" i="5" s="1"/>
  <c r="F3908" i="5"/>
  <c r="G3908" i="5" s="1"/>
  <c r="F3909" i="5"/>
  <c r="G3909" i="5" s="1"/>
  <c r="F3910" i="5"/>
  <c r="G3910" i="5" s="1"/>
  <c r="F3911" i="5"/>
  <c r="G3911" i="5" s="1"/>
  <c r="F3912" i="5"/>
  <c r="G3912" i="5" s="1"/>
  <c r="F3913" i="5"/>
  <c r="G3913" i="5" s="1"/>
  <c r="F3914" i="5"/>
  <c r="G3914" i="5" s="1"/>
  <c r="F3915" i="5"/>
  <c r="G3915" i="5" s="1"/>
  <c r="F3916" i="5"/>
  <c r="G3916" i="5" s="1"/>
  <c r="F3917" i="5"/>
  <c r="G3917" i="5" s="1"/>
  <c r="F3918" i="5"/>
  <c r="G3918" i="5" s="1"/>
  <c r="F3919" i="5"/>
  <c r="G3919" i="5" s="1"/>
  <c r="F3920" i="5"/>
  <c r="G3920" i="5" s="1"/>
  <c r="F3921" i="5"/>
  <c r="G3921" i="5" s="1"/>
  <c r="F3922" i="5"/>
  <c r="G3922" i="5" s="1"/>
  <c r="F3923" i="5"/>
  <c r="G3923" i="5" s="1"/>
  <c r="F3924" i="5"/>
  <c r="G3924" i="5" s="1"/>
  <c r="F3925" i="5"/>
  <c r="G3925" i="5" s="1"/>
  <c r="F3926" i="5"/>
  <c r="G3926" i="5" s="1"/>
  <c r="F3927" i="5"/>
  <c r="G3927" i="5" s="1"/>
  <c r="F3928" i="5"/>
  <c r="G3928" i="5" s="1"/>
  <c r="F3929" i="5"/>
  <c r="G3929" i="5" s="1"/>
  <c r="F3930" i="5"/>
  <c r="G3930" i="5" s="1"/>
  <c r="F3931" i="5"/>
  <c r="G3931" i="5" s="1"/>
  <c r="F3932" i="5"/>
  <c r="G3932" i="5" s="1"/>
  <c r="F3933" i="5"/>
  <c r="G3933" i="5" s="1"/>
  <c r="F3934" i="5"/>
  <c r="G3934" i="5" s="1"/>
  <c r="F3935" i="5"/>
  <c r="G3935" i="5" s="1"/>
  <c r="F3936" i="5"/>
  <c r="G3936" i="5" s="1"/>
  <c r="F3937" i="5"/>
  <c r="G3937" i="5" s="1"/>
  <c r="F3938" i="5"/>
  <c r="G3938" i="5" s="1"/>
  <c r="F3939" i="5"/>
  <c r="G3939" i="5" s="1"/>
  <c r="F3940" i="5"/>
  <c r="G3940" i="5" s="1"/>
  <c r="F3941" i="5"/>
  <c r="G3941" i="5" s="1"/>
  <c r="F3942" i="5"/>
  <c r="G3942" i="5" s="1"/>
  <c r="F3943" i="5"/>
  <c r="G3943" i="5" s="1"/>
  <c r="F3944" i="5"/>
  <c r="G3944" i="5" s="1"/>
  <c r="F3945" i="5"/>
  <c r="G3945" i="5" s="1"/>
  <c r="F3946" i="5"/>
  <c r="G3946" i="5" s="1"/>
  <c r="F3947" i="5"/>
  <c r="G3947" i="5" s="1"/>
  <c r="F3948" i="5"/>
  <c r="G3948" i="5" s="1"/>
  <c r="F3949" i="5"/>
  <c r="G3949" i="5" s="1"/>
  <c r="F3950" i="5"/>
  <c r="G3950" i="5" s="1"/>
  <c r="F3951" i="5"/>
  <c r="G3951" i="5" s="1"/>
  <c r="F3952" i="5"/>
  <c r="G3952" i="5" s="1"/>
  <c r="F3953" i="5"/>
  <c r="G3953" i="5" s="1"/>
  <c r="F3954" i="5"/>
  <c r="G3954" i="5" s="1"/>
  <c r="F3955" i="5"/>
  <c r="G3955" i="5" s="1"/>
  <c r="F3956" i="5"/>
  <c r="G3956" i="5" s="1"/>
  <c r="F3957" i="5"/>
  <c r="G3957" i="5" s="1"/>
  <c r="F3958" i="5"/>
  <c r="G3958" i="5" s="1"/>
  <c r="F3959" i="5"/>
  <c r="G3959" i="5" s="1"/>
  <c r="F3960" i="5"/>
  <c r="G3960" i="5" s="1"/>
  <c r="F3961" i="5"/>
  <c r="G3961" i="5" s="1"/>
  <c r="F3962" i="5"/>
  <c r="G3962" i="5" s="1"/>
  <c r="F3963" i="5"/>
  <c r="G3963" i="5" s="1"/>
  <c r="F3964" i="5"/>
  <c r="G3964" i="5" s="1"/>
  <c r="F3965" i="5"/>
  <c r="G3965" i="5" s="1"/>
  <c r="F3966" i="5"/>
  <c r="G3966" i="5" s="1"/>
  <c r="F3967" i="5"/>
  <c r="G3967" i="5" s="1"/>
  <c r="F3968" i="5"/>
  <c r="G3968" i="5" s="1"/>
  <c r="F3969" i="5"/>
  <c r="G3969" i="5" s="1"/>
  <c r="F3970" i="5"/>
  <c r="G3970" i="5" s="1"/>
  <c r="F3971" i="5"/>
  <c r="G3971" i="5" s="1"/>
  <c r="F3972" i="5"/>
  <c r="G3972" i="5" s="1"/>
  <c r="F3973" i="5"/>
  <c r="G3973" i="5" s="1"/>
  <c r="F3974" i="5"/>
  <c r="G3974" i="5" s="1"/>
  <c r="F3975" i="5"/>
  <c r="G3975" i="5" s="1"/>
  <c r="F3976" i="5"/>
  <c r="G3976" i="5" s="1"/>
  <c r="F3977" i="5"/>
  <c r="G3977" i="5" s="1"/>
  <c r="F3978" i="5"/>
  <c r="G3978" i="5" s="1"/>
  <c r="F3979" i="5"/>
  <c r="G3979" i="5" s="1"/>
  <c r="F3980" i="5"/>
  <c r="G3980" i="5" s="1"/>
  <c r="F3981" i="5"/>
  <c r="G3981" i="5" s="1"/>
  <c r="F3982" i="5"/>
  <c r="G3982" i="5" s="1"/>
  <c r="F3983" i="5"/>
  <c r="G3983" i="5" s="1"/>
  <c r="F3984" i="5"/>
  <c r="G3984" i="5" s="1"/>
  <c r="F3985" i="5"/>
  <c r="G3985" i="5" s="1"/>
  <c r="F3986" i="5"/>
  <c r="G3986" i="5" s="1"/>
  <c r="F3987" i="5"/>
  <c r="G3987" i="5" s="1"/>
  <c r="F3988" i="5"/>
  <c r="G3988" i="5" s="1"/>
  <c r="F3989" i="5"/>
  <c r="G3989" i="5" s="1"/>
  <c r="F3990" i="5"/>
  <c r="G3990" i="5" s="1"/>
  <c r="F3991" i="5"/>
  <c r="G3991" i="5" s="1"/>
  <c r="F3992" i="5"/>
  <c r="G3992" i="5" s="1"/>
  <c r="F3993" i="5"/>
  <c r="G3993" i="5" s="1"/>
  <c r="F3994" i="5"/>
  <c r="G3994" i="5" s="1"/>
  <c r="F3995" i="5"/>
  <c r="G3995" i="5" s="1"/>
  <c r="F3996" i="5"/>
  <c r="G3996" i="5" s="1"/>
  <c r="F3997" i="5"/>
  <c r="G3997" i="5" s="1"/>
  <c r="F3998" i="5"/>
  <c r="G3998" i="5" s="1"/>
  <c r="F3999" i="5"/>
  <c r="G3999" i="5" s="1"/>
  <c r="F4000" i="5"/>
  <c r="G4000" i="5" s="1"/>
  <c r="F4001" i="5"/>
  <c r="G4001" i="5" s="1"/>
  <c r="F4002" i="5"/>
  <c r="G4002" i="5" s="1"/>
  <c r="F4003" i="5"/>
  <c r="G4003" i="5" s="1"/>
  <c r="F4004" i="5"/>
  <c r="G4004" i="5" s="1"/>
  <c r="F4005" i="5"/>
  <c r="G4005" i="5" s="1"/>
  <c r="F4006" i="5"/>
  <c r="G4006" i="5" s="1"/>
  <c r="F4007" i="5"/>
  <c r="G4007" i="5" s="1"/>
  <c r="F4008" i="5"/>
  <c r="G4008" i="5" s="1"/>
  <c r="F4009" i="5"/>
  <c r="G4009" i="5" s="1"/>
  <c r="F4010" i="5"/>
  <c r="G4010" i="5" s="1"/>
  <c r="F4011" i="5"/>
  <c r="G4011" i="5" s="1"/>
  <c r="F4012" i="5"/>
  <c r="G4012" i="5" s="1"/>
  <c r="F4013" i="5"/>
  <c r="G4013" i="5" s="1"/>
  <c r="F4014" i="5"/>
  <c r="G4014" i="5" s="1"/>
  <c r="F4015" i="5"/>
  <c r="G4015" i="5" s="1"/>
  <c r="F4016" i="5"/>
  <c r="G4016" i="5" s="1"/>
  <c r="F4017" i="5"/>
  <c r="G4017" i="5" s="1"/>
  <c r="F4018" i="5"/>
  <c r="G4018" i="5" s="1"/>
  <c r="F4019" i="5"/>
  <c r="G4019" i="5" s="1"/>
  <c r="F4020" i="5"/>
  <c r="G4020" i="5" s="1"/>
  <c r="F4021" i="5"/>
  <c r="G4021" i="5" s="1"/>
  <c r="F4022" i="5"/>
  <c r="G4022" i="5" s="1"/>
  <c r="F4023" i="5"/>
  <c r="G4023" i="5" s="1"/>
  <c r="F4024" i="5"/>
  <c r="G4024" i="5" s="1"/>
  <c r="F4025" i="5"/>
  <c r="G4025" i="5" s="1"/>
  <c r="F4026" i="5"/>
  <c r="G4026" i="5" s="1"/>
  <c r="F4027" i="5"/>
  <c r="G4027" i="5" s="1"/>
  <c r="F4028" i="5"/>
  <c r="G4028" i="5" s="1"/>
  <c r="F4029" i="5"/>
  <c r="G4029" i="5" s="1"/>
  <c r="F4030" i="5"/>
  <c r="G4030" i="5" s="1"/>
  <c r="F4031" i="5"/>
  <c r="G4031" i="5" s="1"/>
  <c r="F4032" i="5"/>
  <c r="G4032" i="5" s="1"/>
  <c r="F4033" i="5"/>
  <c r="G4033" i="5" s="1"/>
  <c r="F4034" i="5"/>
  <c r="G4034" i="5" s="1"/>
  <c r="F4035" i="5"/>
  <c r="G4035" i="5" s="1"/>
  <c r="F4036" i="5"/>
  <c r="G4036" i="5" s="1"/>
  <c r="F4037" i="5"/>
  <c r="G4037" i="5" s="1"/>
  <c r="F4038" i="5"/>
  <c r="G4038" i="5" s="1"/>
  <c r="F4039" i="5"/>
  <c r="G4039" i="5" s="1"/>
  <c r="F4040" i="5"/>
  <c r="G4040" i="5" s="1"/>
  <c r="F4041" i="5"/>
  <c r="G4041" i="5" s="1"/>
  <c r="F4042" i="5"/>
  <c r="G4042" i="5" s="1"/>
  <c r="F4043" i="5"/>
  <c r="G4043" i="5" s="1"/>
  <c r="F4044" i="5"/>
  <c r="G4044" i="5" s="1"/>
  <c r="F4045" i="5"/>
  <c r="G4045" i="5" s="1"/>
  <c r="F4046" i="5"/>
  <c r="G4046" i="5" s="1"/>
  <c r="F4047" i="5"/>
  <c r="G4047" i="5" s="1"/>
  <c r="F4048" i="5"/>
  <c r="G4048" i="5" s="1"/>
  <c r="F4049" i="5"/>
  <c r="G4049" i="5" s="1"/>
  <c r="F4050" i="5"/>
  <c r="G4050" i="5" s="1"/>
  <c r="F4051" i="5"/>
  <c r="G4051" i="5" s="1"/>
  <c r="F4052" i="5"/>
  <c r="G4052" i="5" s="1"/>
  <c r="F4053" i="5"/>
  <c r="G4053" i="5" s="1"/>
  <c r="F4054" i="5"/>
  <c r="G4054" i="5" s="1"/>
  <c r="F4055" i="5"/>
  <c r="G4055" i="5" s="1"/>
  <c r="F4056" i="5"/>
  <c r="G4056" i="5" s="1"/>
  <c r="F4057" i="5"/>
  <c r="G4057" i="5" s="1"/>
  <c r="F4058" i="5"/>
  <c r="G4058" i="5" s="1"/>
  <c r="F4059" i="5"/>
  <c r="G4059" i="5" s="1"/>
  <c r="F4060" i="5"/>
  <c r="G4060" i="5" s="1"/>
  <c r="F4061" i="5"/>
  <c r="G4061" i="5" s="1"/>
  <c r="F4062" i="5"/>
  <c r="G4062" i="5" s="1"/>
  <c r="F4063" i="5"/>
  <c r="G4063" i="5" s="1"/>
  <c r="F4064" i="5"/>
  <c r="G4064" i="5" s="1"/>
  <c r="F4065" i="5"/>
  <c r="G4065" i="5" s="1"/>
  <c r="F4066" i="5"/>
  <c r="G4066" i="5" s="1"/>
  <c r="F4067" i="5"/>
  <c r="G4067" i="5" s="1"/>
  <c r="F4068" i="5"/>
  <c r="G4068" i="5" s="1"/>
  <c r="F4069" i="5"/>
  <c r="G4069" i="5" s="1"/>
  <c r="F4070" i="5"/>
  <c r="G4070" i="5" s="1"/>
  <c r="F4071" i="5"/>
  <c r="G4071" i="5" s="1"/>
  <c r="F4072" i="5"/>
  <c r="G4072" i="5" s="1"/>
  <c r="F4073" i="5"/>
  <c r="G4073" i="5" s="1"/>
  <c r="F4074" i="5"/>
  <c r="G4074" i="5" s="1"/>
  <c r="F4075" i="5"/>
  <c r="G4075" i="5" s="1"/>
  <c r="F4076" i="5"/>
  <c r="G4076" i="5" s="1"/>
  <c r="F4077" i="5"/>
  <c r="G4077" i="5" s="1"/>
  <c r="F4078" i="5"/>
  <c r="G4078" i="5" s="1"/>
  <c r="F4079" i="5"/>
  <c r="G4079" i="5" s="1"/>
  <c r="F4080" i="5"/>
  <c r="G4080" i="5" s="1"/>
  <c r="F4081" i="5"/>
  <c r="G4081" i="5" s="1"/>
  <c r="F4082" i="5"/>
  <c r="G4082" i="5" s="1"/>
  <c r="F4083" i="5"/>
  <c r="G4083" i="5" s="1"/>
  <c r="F4084" i="5"/>
  <c r="G4084" i="5" s="1"/>
  <c r="F4085" i="5"/>
  <c r="G4085" i="5" s="1"/>
  <c r="F4086" i="5"/>
  <c r="G4086" i="5" s="1"/>
  <c r="F4087" i="5"/>
  <c r="G4087" i="5" s="1"/>
  <c r="F4088" i="5"/>
  <c r="G4088" i="5" s="1"/>
  <c r="F4089" i="5"/>
  <c r="G4089" i="5" s="1"/>
  <c r="F4090" i="5"/>
  <c r="G4090" i="5" s="1"/>
  <c r="F4091" i="5"/>
  <c r="G4091" i="5" s="1"/>
  <c r="F4092" i="5"/>
  <c r="G4092" i="5" s="1"/>
  <c r="F4093" i="5"/>
  <c r="G4093" i="5" s="1"/>
  <c r="F4094" i="5"/>
  <c r="G4094" i="5" s="1"/>
  <c r="F4095" i="5"/>
  <c r="G4095" i="5" s="1"/>
  <c r="F4096" i="5"/>
  <c r="G4096" i="5" s="1"/>
  <c r="F4097" i="5"/>
  <c r="G4097" i="5" s="1"/>
  <c r="F4098" i="5"/>
  <c r="G4098" i="5" s="1"/>
  <c r="F4099" i="5"/>
  <c r="G4099" i="5" s="1"/>
  <c r="F4100" i="5"/>
  <c r="G4100" i="5" s="1"/>
  <c r="F4101" i="5"/>
  <c r="G4101" i="5" s="1"/>
  <c r="F4102" i="5"/>
  <c r="G4102" i="5" s="1"/>
  <c r="F4103" i="5"/>
  <c r="G4103" i="5" s="1"/>
  <c r="F4104" i="5"/>
  <c r="G4104" i="5" s="1"/>
  <c r="F4105" i="5"/>
  <c r="G4105" i="5" s="1"/>
  <c r="F4106" i="5"/>
  <c r="G4106" i="5" s="1"/>
  <c r="F4107" i="5"/>
  <c r="G4107" i="5" s="1"/>
  <c r="F4108" i="5"/>
  <c r="G4108" i="5" s="1"/>
  <c r="F4109" i="5"/>
  <c r="G4109" i="5" s="1"/>
  <c r="F4110" i="5"/>
  <c r="G4110" i="5" s="1"/>
  <c r="F4111" i="5"/>
  <c r="G4111" i="5" s="1"/>
  <c r="F4112" i="5"/>
  <c r="G4112" i="5" s="1"/>
  <c r="F4113" i="5"/>
  <c r="G4113" i="5" s="1"/>
  <c r="F4114" i="5"/>
  <c r="G4114" i="5" s="1"/>
  <c r="F4115" i="5"/>
  <c r="G4115" i="5" s="1"/>
  <c r="F4116" i="5"/>
  <c r="G4116" i="5" s="1"/>
  <c r="F4117" i="5"/>
  <c r="G4117" i="5" s="1"/>
  <c r="F4118" i="5"/>
  <c r="G4118" i="5" s="1"/>
  <c r="F4119" i="5"/>
  <c r="G4119" i="5" s="1"/>
  <c r="F4120" i="5"/>
  <c r="G4120" i="5" s="1"/>
  <c r="F4121" i="5"/>
  <c r="G4121" i="5" s="1"/>
  <c r="F4122" i="5"/>
  <c r="G4122" i="5" s="1"/>
  <c r="F4123" i="5"/>
  <c r="G4123" i="5" s="1"/>
  <c r="F4124" i="5"/>
  <c r="G4124" i="5" s="1"/>
  <c r="F4125" i="5"/>
  <c r="G4125" i="5" s="1"/>
  <c r="F4126" i="5"/>
  <c r="G4126" i="5" s="1"/>
  <c r="F4127" i="5"/>
  <c r="G4127" i="5" s="1"/>
  <c r="F4128" i="5"/>
  <c r="G4128" i="5" s="1"/>
  <c r="F4129" i="5"/>
  <c r="G4129" i="5" s="1"/>
  <c r="F4130" i="5"/>
  <c r="G4130" i="5" s="1"/>
  <c r="F4131" i="5"/>
  <c r="G4131" i="5" s="1"/>
  <c r="F4132" i="5"/>
  <c r="G4132" i="5" s="1"/>
  <c r="F4133" i="5"/>
  <c r="G4133" i="5" s="1"/>
  <c r="F4134" i="5"/>
  <c r="G4134" i="5" s="1"/>
  <c r="F4135" i="5"/>
  <c r="G4135" i="5" s="1"/>
  <c r="F4136" i="5"/>
  <c r="G4136" i="5" s="1"/>
  <c r="F4137" i="5"/>
  <c r="G4137" i="5" s="1"/>
  <c r="F4138" i="5"/>
  <c r="G4138" i="5" s="1"/>
  <c r="F4139" i="5"/>
  <c r="G4139" i="5" s="1"/>
  <c r="F4140" i="5"/>
  <c r="G4140" i="5" s="1"/>
  <c r="F4141" i="5"/>
  <c r="G4141" i="5" s="1"/>
  <c r="F4142" i="5"/>
  <c r="G4142" i="5" s="1"/>
  <c r="F4143" i="5"/>
  <c r="G4143" i="5" s="1"/>
  <c r="F4144" i="5"/>
  <c r="G4144" i="5" s="1"/>
  <c r="F4145" i="5"/>
  <c r="G4145" i="5" s="1"/>
  <c r="F4146" i="5"/>
  <c r="G4146" i="5" s="1"/>
  <c r="F4147" i="5"/>
  <c r="G4147" i="5" s="1"/>
  <c r="F4148" i="5"/>
  <c r="G4148" i="5" s="1"/>
  <c r="F4149" i="5"/>
  <c r="G4149" i="5" s="1"/>
  <c r="F4150" i="5"/>
  <c r="G4150" i="5" s="1"/>
  <c r="F4151" i="5"/>
  <c r="G4151" i="5" s="1"/>
  <c r="F4152" i="5"/>
  <c r="G4152" i="5" s="1"/>
  <c r="F4153" i="5"/>
  <c r="G4153" i="5" s="1"/>
  <c r="F4154" i="5"/>
  <c r="G4154" i="5" s="1"/>
  <c r="F4155" i="5"/>
  <c r="G4155" i="5" s="1"/>
  <c r="F4156" i="5"/>
  <c r="G4156" i="5" s="1"/>
  <c r="F4157" i="5"/>
  <c r="G4157" i="5" s="1"/>
  <c r="F4158" i="5"/>
  <c r="G4158" i="5" s="1"/>
  <c r="F4159" i="5"/>
  <c r="G4159" i="5" s="1"/>
  <c r="F4160" i="5"/>
  <c r="G4160" i="5" s="1"/>
  <c r="F4161" i="5"/>
  <c r="G4161" i="5" s="1"/>
  <c r="F4162" i="5"/>
  <c r="G4162" i="5" s="1"/>
  <c r="F4163" i="5"/>
  <c r="G4163" i="5" s="1"/>
  <c r="F4164" i="5"/>
  <c r="G4164" i="5" s="1"/>
  <c r="F4165" i="5"/>
  <c r="G4165" i="5" s="1"/>
  <c r="F4166" i="5"/>
  <c r="G4166" i="5" s="1"/>
  <c r="F4167" i="5"/>
  <c r="G4167" i="5" s="1"/>
  <c r="F4168" i="5"/>
  <c r="G4168" i="5" s="1"/>
  <c r="F4169" i="5"/>
  <c r="G4169" i="5" s="1"/>
  <c r="F4170" i="5"/>
  <c r="G4170" i="5" s="1"/>
  <c r="F4171" i="5"/>
  <c r="G4171" i="5" s="1"/>
  <c r="F4172" i="5"/>
  <c r="G4172" i="5" s="1"/>
  <c r="F4173" i="5"/>
  <c r="G4173" i="5" s="1"/>
  <c r="F4174" i="5"/>
  <c r="G4174" i="5" s="1"/>
  <c r="F4175" i="5"/>
  <c r="G4175" i="5" s="1"/>
  <c r="F4176" i="5"/>
  <c r="G4176" i="5" s="1"/>
  <c r="F4177" i="5"/>
  <c r="G4177" i="5" s="1"/>
  <c r="F4178" i="5"/>
  <c r="G4178" i="5" s="1"/>
  <c r="F4179" i="5"/>
  <c r="G4179" i="5" s="1"/>
  <c r="F4180" i="5"/>
  <c r="G4180" i="5" s="1"/>
  <c r="F4181" i="5"/>
  <c r="G4181" i="5" s="1"/>
  <c r="F4182" i="5"/>
  <c r="G4182" i="5" s="1"/>
  <c r="F4183" i="5"/>
  <c r="G4183" i="5" s="1"/>
  <c r="F4184" i="5"/>
  <c r="G4184" i="5" s="1"/>
  <c r="F4185" i="5"/>
  <c r="G4185" i="5" s="1"/>
  <c r="F4186" i="5"/>
  <c r="G4186" i="5" s="1"/>
  <c r="F4187" i="5"/>
  <c r="G4187" i="5" s="1"/>
  <c r="F4188" i="5"/>
  <c r="G4188" i="5" s="1"/>
  <c r="F4189" i="5"/>
  <c r="G4189" i="5" s="1"/>
  <c r="F4190" i="5"/>
  <c r="G4190" i="5" s="1"/>
  <c r="F4191" i="5"/>
  <c r="G4191" i="5" s="1"/>
  <c r="F4192" i="5"/>
  <c r="G4192" i="5" s="1"/>
  <c r="F4193" i="5"/>
  <c r="G4193" i="5" s="1"/>
  <c r="F4194" i="5"/>
  <c r="G4194" i="5" s="1"/>
  <c r="F4195" i="5"/>
  <c r="G4195" i="5" s="1"/>
  <c r="F4196" i="5"/>
  <c r="G4196" i="5" s="1"/>
  <c r="F4197" i="5"/>
  <c r="G4197" i="5" s="1"/>
  <c r="F4198" i="5"/>
  <c r="G4198" i="5" s="1"/>
  <c r="F4199" i="5"/>
  <c r="G4199" i="5" s="1"/>
  <c r="F4200" i="5"/>
  <c r="G4200" i="5" s="1"/>
  <c r="F4201" i="5"/>
  <c r="G4201" i="5" s="1"/>
  <c r="F4202" i="5"/>
  <c r="G4202" i="5" s="1"/>
  <c r="F4203" i="5"/>
  <c r="G4203" i="5" s="1"/>
  <c r="F4204" i="5"/>
  <c r="G4204" i="5" s="1"/>
  <c r="F4205" i="5"/>
  <c r="G4205" i="5" s="1"/>
  <c r="F4206" i="5"/>
  <c r="G4206" i="5" s="1"/>
  <c r="F4207" i="5"/>
  <c r="G4207" i="5" s="1"/>
  <c r="F4208" i="5"/>
  <c r="G4208" i="5" s="1"/>
  <c r="F4209" i="5"/>
  <c r="G4209" i="5" s="1"/>
  <c r="F4210" i="5"/>
  <c r="G4210" i="5" s="1"/>
  <c r="F4211" i="5"/>
  <c r="G4211" i="5" s="1"/>
  <c r="F4212" i="5"/>
  <c r="G4212" i="5" s="1"/>
  <c r="F4213" i="5"/>
  <c r="G4213" i="5" s="1"/>
  <c r="F4214" i="5"/>
  <c r="G4214" i="5" s="1"/>
  <c r="F4215" i="5"/>
  <c r="G4215" i="5" s="1"/>
  <c r="F4216" i="5"/>
  <c r="G4216" i="5" s="1"/>
  <c r="F4217" i="5"/>
  <c r="G4217" i="5" s="1"/>
  <c r="F4218" i="5"/>
  <c r="G4218" i="5" s="1"/>
  <c r="F4219" i="5"/>
  <c r="G4219" i="5" s="1"/>
  <c r="F4220" i="5"/>
  <c r="G4220" i="5" s="1"/>
  <c r="F4221" i="5"/>
  <c r="G4221" i="5" s="1"/>
  <c r="F4222" i="5"/>
  <c r="G4222" i="5" s="1"/>
  <c r="F4223" i="5"/>
  <c r="G4223" i="5" s="1"/>
  <c r="F4224" i="5"/>
  <c r="G4224" i="5" s="1"/>
  <c r="F4225" i="5"/>
  <c r="G4225" i="5" s="1"/>
  <c r="F4226" i="5"/>
  <c r="G4226" i="5" s="1"/>
  <c r="F4227" i="5"/>
  <c r="G4227" i="5" s="1"/>
  <c r="F4228" i="5"/>
  <c r="G4228" i="5" s="1"/>
  <c r="F4229" i="5"/>
  <c r="G4229" i="5" s="1"/>
  <c r="F4230" i="5"/>
  <c r="G4230" i="5" s="1"/>
  <c r="F4231" i="5"/>
  <c r="G4231" i="5" s="1"/>
  <c r="F4232" i="5"/>
  <c r="G4232" i="5" s="1"/>
  <c r="F4233" i="5"/>
  <c r="G4233" i="5" s="1"/>
  <c r="F4234" i="5"/>
  <c r="G4234" i="5" s="1"/>
  <c r="F4235" i="5"/>
  <c r="G4235" i="5" s="1"/>
  <c r="F4236" i="5"/>
  <c r="G4236" i="5" s="1"/>
  <c r="F4237" i="5"/>
  <c r="G4237" i="5" s="1"/>
  <c r="F4238" i="5"/>
  <c r="G4238" i="5" s="1"/>
  <c r="F4239" i="5"/>
  <c r="G4239" i="5" s="1"/>
  <c r="F4240" i="5"/>
  <c r="G4240" i="5" s="1"/>
  <c r="F4241" i="5"/>
  <c r="G4241" i="5" s="1"/>
  <c r="F4242" i="5"/>
  <c r="G4242" i="5" s="1"/>
  <c r="F4243" i="5"/>
  <c r="G4243" i="5" s="1"/>
  <c r="F4244" i="5"/>
  <c r="G4244" i="5" s="1"/>
  <c r="F4245" i="5"/>
  <c r="G4245" i="5" s="1"/>
  <c r="F4246" i="5"/>
  <c r="G4246" i="5" s="1"/>
  <c r="F4247" i="5"/>
  <c r="G4247" i="5" s="1"/>
  <c r="F4248" i="5"/>
  <c r="G4248" i="5" s="1"/>
  <c r="F4249" i="5"/>
  <c r="G4249" i="5" s="1"/>
  <c r="F4250" i="5"/>
  <c r="G4250" i="5" s="1"/>
  <c r="F4251" i="5"/>
  <c r="G4251" i="5" s="1"/>
  <c r="F4252" i="5"/>
  <c r="G4252" i="5" s="1"/>
  <c r="F4253" i="5"/>
  <c r="G4253" i="5" s="1"/>
  <c r="F4254" i="5"/>
  <c r="G4254" i="5" s="1"/>
  <c r="F4255" i="5"/>
  <c r="G4255" i="5" s="1"/>
  <c r="F4256" i="5"/>
  <c r="G4256" i="5" s="1"/>
  <c r="F4257" i="5"/>
  <c r="G4257" i="5" s="1"/>
  <c r="F4258" i="5"/>
  <c r="G4258" i="5" s="1"/>
  <c r="F4259" i="5"/>
  <c r="G4259" i="5" s="1"/>
  <c r="F4260" i="5"/>
  <c r="G4260" i="5" s="1"/>
  <c r="F4261" i="5"/>
  <c r="G4261" i="5" s="1"/>
  <c r="F4262" i="5"/>
  <c r="G4262" i="5" s="1"/>
  <c r="F4263" i="5"/>
  <c r="G4263" i="5" s="1"/>
  <c r="F4264" i="5"/>
  <c r="G4264" i="5" s="1"/>
  <c r="F4265" i="5"/>
  <c r="G4265" i="5" s="1"/>
  <c r="F4266" i="5"/>
  <c r="G4266" i="5" s="1"/>
  <c r="F4267" i="5"/>
  <c r="G4267" i="5" s="1"/>
  <c r="F4268" i="5"/>
  <c r="G4268" i="5" s="1"/>
  <c r="F4269" i="5"/>
  <c r="G4269" i="5" s="1"/>
  <c r="F4270" i="5"/>
  <c r="G4270" i="5" s="1"/>
  <c r="F4271" i="5"/>
  <c r="G4271" i="5" s="1"/>
  <c r="F4272" i="5"/>
  <c r="G4272" i="5" s="1"/>
  <c r="F4273" i="5"/>
  <c r="G4273" i="5" s="1"/>
  <c r="F4274" i="5"/>
  <c r="G4274" i="5" s="1"/>
  <c r="F4275" i="5"/>
  <c r="G4275" i="5" s="1"/>
  <c r="F4276" i="5"/>
  <c r="G4276" i="5" s="1"/>
  <c r="F4277" i="5"/>
  <c r="G4277" i="5" s="1"/>
  <c r="F4278" i="5"/>
  <c r="G4278" i="5" s="1"/>
  <c r="F4279" i="5"/>
  <c r="G4279" i="5" s="1"/>
  <c r="F4280" i="5"/>
  <c r="G4280" i="5" s="1"/>
  <c r="F4281" i="5"/>
  <c r="G4281" i="5" s="1"/>
  <c r="F4282" i="5"/>
  <c r="G4282" i="5" s="1"/>
  <c r="F4283" i="5"/>
  <c r="G4283" i="5" s="1"/>
  <c r="F4284" i="5"/>
  <c r="G4284" i="5" s="1"/>
  <c r="F4285" i="5"/>
  <c r="G4285" i="5" s="1"/>
  <c r="F4286" i="5"/>
  <c r="G4286" i="5" s="1"/>
  <c r="F4287" i="5"/>
  <c r="G4287" i="5" s="1"/>
  <c r="F4288" i="5"/>
  <c r="G4288" i="5" s="1"/>
  <c r="F4289" i="5"/>
  <c r="G4289" i="5" s="1"/>
  <c r="F4290" i="5"/>
  <c r="G4290" i="5" s="1"/>
  <c r="F4291" i="5"/>
  <c r="G4291" i="5" s="1"/>
  <c r="F4292" i="5"/>
  <c r="G4292" i="5" s="1"/>
  <c r="F4293" i="5"/>
  <c r="G4293" i="5" s="1"/>
  <c r="F3" i="5"/>
  <c r="G3" i="5" s="1"/>
  <c r="F4" i="5"/>
  <c r="G4" i="5" s="1"/>
  <c r="F5" i="5"/>
  <c r="G5" i="5" s="1"/>
  <c r="F6" i="5"/>
  <c r="G6" i="5" s="1"/>
  <c r="F7" i="5"/>
  <c r="G7" i="5" s="1"/>
  <c r="F8" i="5"/>
  <c r="G8" i="5" s="1"/>
  <c r="F9" i="5"/>
  <c r="G9" i="5" s="1"/>
  <c r="F10" i="5"/>
  <c r="G10" i="5" s="1"/>
  <c r="F11" i="5"/>
  <c r="G11" i="5" s="1"/>
  <c r="F12" i="5"/>
  <c r="G12" i="5" s="1"/>
  <c r="F13" i="5"/>
  <c r="G13" i="5" s="1"/>
  <c r="F14" i="5"/>
  <c r="G14" i="5" s="1"/>
  <c r="F15" i="5"/>
  <c r="G15" i="5" s="1"/>
  <c r="F16" i="5"/>
  <c r="G16" i="5" s="1"/>
  <c r="F17" i="5"/>
  <c r="G17" i="5" s="1"/>
  <c r="F18" i="5"/>
  <c r="G18" i="5" s="1"/>
  <c r="F19" i="5"/>
  <c r="G19" i="5" s="1"/>
  <c r="F20" i="5"/>
  <c r="G20" i="5" s="1"/>
  <c r="F21" i="5"/>
  <c r="G21" i="5" s="1"/>
  <c r="F22" i="5"/>
  <c r="G22" i="5" s="1"/>
  <c r="F23" i="5"/>
  <c r="G23" i="5" s="1"/>
  <c r="F24" i="5"/>
  <c r="G24" i="5" s="1"/>
  <c r="F25" i="5"/>
  <c r="G25" i="5" s="1"/>
  <c r="F26" i="5"/>
  <c r="G26" i="5" s="1"/>
  <c r="F27" i="5"/>
  <c r="G27" i="5" s="1"/>
  <c r="F28" i="5"/>
  <c r="G28" i="5" s="1"/>
  <c r="F29" i="5"/>
  <c r="G29" i="5" s="1"/>
  <c r="F30" i="5"/>
  <c r="G30" i="5" s="1"/>
  <c r="F31" i="5"/>
  <c r="G31" i="5" s="1"/>
  <c r="F32" i="5"/>
  <c r="G32" i="5" s="1"/>
  <c r="F33" i="5"/>
  <c r="G33" i="5" s="1"/>
  <c r="F34" i="5"/>
  <c r="G34" i="5" s="1"/>
  <c r="F35" i="5"/>
  <c r="G35" i="5" s="1"/>
  <c r="F36" i="5"/>
  <c r="G36" i="5" s="1"/>
  <c r="F37" i="5"/>
  <c r="G37" i="5" s="1"/>
  <c r="F38" i="5"/>
  <c r="G38" i="5" s="1"/>
  <c r="F39" i="5"/>
  <c r="G39" i="5" s="1"/>
  <c r="F40" i="5"/>
  <c r="G40" i="5" s="1"/>
  <c r="F41" i="5"/>
  <c r="G41" i="5" s="1"/>
  <c r="F42" i="5"/>
  <c r="G42" i="5" s="1"/>
  <c r="F43" i="5"/>
  <c r="G43" i="5" s="1"/>
  <c r="F44" i="5"/>
  <c r="G44" i="5" s="1"/>
  <c r="F45" i="5"/>
  <c r="G45" i="5" s="1"/>
  <c r="F46" i="5"/>
  <c r="G46" i="5" s="1"/>
  <c r="F47" i="5"/>
  <c r="G47" i="5" s="1"/>
  <c r="F48" i="5"/>
  <c r="G48" i="5" s="1"/>
  <c r="F49" i="5"/>
  <c r="G49" i="5" s="1"/>
  <c r="F50" i="5"/>
  <c r="G50" i="5" s="1"/>
  <c r="F51" i="5"/>
  <c r="G51" i="5" s="1"/>
  <c r="F52" i="5"/>
  <c r="G52" i="5" s="1"/>
  <c r="F53" i="5"/>
  <c r="G53" i="5" s="1"/>
  <c r="F54" i="5"/>
  <c r="G54" i="5" s="1"/>
  <c r="F55" i="5"/>
  <c r="G55" i="5" s="1"/>
  <c r="F56" i="5"/>
  <c r="G56" i="5" s="1"/>
  <c r="F57" i="5"/>
  <c r="G57" i="5" s="1"/>
  <c r="F58" i="5"/>
  <c r="G58" i="5" s="1"/>
  <c r="F59" i="5"/>
  <c r="G59" i="5" s="1"/>
  <c r="F60" i="5"/>
  <c r="G60" i="5" s="1"/>
  <c r="F61" i="5"/>
  <c r="G61" i="5" s="1"/>
  <c r="F62" i="5"/>
  <c r="G62" i="5" s="1"/>
  <c r="F63" i="5"/>
  <c r="G63" i="5" s="1"/>
  <c r="F64" i="5"/>
  <c r="G64" i="5" s="1"/>
  <c r="F65" i="5"/>
  <c r="G65" i="5" s="1"/>
  <c r="F66" i="5"/>
  <c r="G66" i="5" s="1"/>
  <c r="F67" i="5"/>
  <c r="G67" i="5" s="1"/>
  <c r="F68" i="5"/>
  <c r="G68" i="5" s="1"/>
  <c r="F69" i="5"/>
  <c r="G69" i="5" s="1"/>
  <c r="F70" i="5"/>
  <c r="G70" i="5" s="1"/>
  <c r="F71" i="5"/>
  <c r="G71" i="5" s="1"/>
  <c r="F72" i="5"/>
  <c r="G72" i="5" s="1"/>
  <c r="F73" i="5"/>
  <c r="G73" i="5" s="1"/>
  <c r="F74" i="5"/>
  <c r="G74" i="5" s="1"/>
  <c r="F75" i="5"/>
  <c r="G75" i="5" s="1"/>
  <c r="F76" i="5"/>
  <c r="G76" i="5" s="1"/>
  <c r="F77" i="5"/>
  <c r="G77" i="5" s="1"/>
  <c r="F78" i="5"/>
  <c r="G78" i="5" s="1"/>
  <c r="F79" i="5"/>
  <c r="G79" i="5" s="1"/>
  <c r="F80" i="5"/>
  <c r="G80" i="5" s="1"/>
  <c r="F81" i="5"/>
  <c r="G81" i="5" s="1"/>
  <c r="F82" i="5"/>
  <c r="G82" i="5" s="1"/>
  <c r="F83" i="5"/>
  <c r="G83" i="5" s="1"/>
  <c r="F84" i="5"/>
  <c r="G84" i="5" s="1"/>
  <c r="F85" i="5"/>
  <c r="G85" i="5" s="1"/>
  <c r="F86" i="5"/>
  <c r="G86" i="5" s="1"/>
  <c r="F87" i="5"/>
  <c r="G87" i="5" s="1"/>
  <c r="F88" i="5"/>
  <c r="G88" i="5" s="1"/>
  <c r="F89" i="5"/>
  <c r="G89" i="5" s="1"/>
  <c r="F90" i="5"/>
  <c r="G90" i="5" s="1"/>
  <c r="F91" i="5"/>
  <c r="G91" i="5" s="1"/>
  <c r="F92" i="5"/>
  <c r="G92" i="5" s="1"/>
  <c r="F93" i="5"/>
  <c r="G93" i="5" s="1"/>
  <c r="F94" i="5"/>
  <c r="G94" i="5" s="1"/>
  <c r="F95" i="5"/>
  <c r="G95" i="5" s="1"/>
  <c r="F96" i="5"/>
  <c r="G96" i="5" s="1"/>
  <c r="F97" i="5"/>
  <c r="G97" i="5" s="1"/>
  <c r="F98" i="5"/>
  <c r="G98" i="5" s="1"/>
  <c r="F99" i="5"/>
  <c r="G99" i="5" s="1"/>
  <c r="F100" i="5"/>
  <c r="G100" i="5" s="1"/>
  <c r="F101" i="5"/>
  <c r="G101" i="5" s="1"/>
  <c r="F102" i="5"/>
  <c r="G102" i="5" s="1"/>
  <c r="F103" i="5"/>
  <c r="G103" i="5" s="1"/>
  <c r="F104" i="5"/>
  <c r="G104" i="5" s="1"/>
  <c r="F105" i="5"/>
  <c r="G105" i="5" s="1"/>
  <c r="F106" i="5"/>
  <c r="G106" i="5" s="1"/>
  <c r="F107" i="5"/>
  <c r="G107" i="5" s="1"/>
  <c r="F108" i="5"/>
  <c r="G108" i="5" s="1"/>
  <c r="F109" i="5"/>
  <c r="G109" i="5" s="1"/>
  <c r="F110" i="5"/>
  <c r="G110" i="5" s="1"/>
  <c r="F111" i="5"/>
  <c r="G111" i="5" s="1"/>
  <c r="F112" i="5"/>
  <c r="G112" i="5" s="1"/>
  <c r="F113" i="5"/>
  <c r="G113" i="5" s="1"/>
  <c r="F114" i="5"/>
  <c r="G114" i="5" s="1"/>
  <c r="F115" i="5"/>
  <c r="G115" i="5" s="1"/>
  <c r="F116" i="5"/>
  <c r="G116" i="5" s="1"/>
  <c r="F117" i="5"/>
  <c r="G117" i="5" s="1"/>
  <c r="F118" i="5"/>
  <c r="G118" i="5" s="1"/>
  <c r="F119" i="5"/>
  <c r="G119" i="5" s="1"/>
  <c r="F120" i="5"/>
  <c r="G120" i="5" s="1"/>
  <c r="F121" i="5"/>
  <c r="G121" i="5" s="1"/>
  <c r="F122" i="5"/>
  <c r="G122" i="5" s="1"/>
  <c r="F123" i="5"/>
  <c r="G123" i="5" s="1"/>
  <c r="F124" i="5"/>
  <c r="G124" i="5" s="1"/>
  <c r="F125" i="5"/>
  <c r="G125" i="5" s="1"/>
  <c r="F126" i="5"/>
  <c r="G126" i="5" s="1"/>
  <c r="F127" i="5"/>
  <c r="G127" i="5" s="1"/>
  <c r="F128" i="5"/>
  <c r="G128" i="5" s="1"/>
  <c r="F129" i="5"/>
  <c r="G129" i="5" s="1"/>
  <c r="F130" i="5"/>
  <c r="G130" i="5" s="1"/>
  <c r="F131" i="5"/>
  <c r="G131" i="5" s="1"/>
  <c r="F132" i="5"/>
  <c r="G132" i="5" s="1"/>
  <c r="F133" i="5"/>
  <c r="G133" i="5" s="1"/>
  <c r="F134" i="5"/>
  <c r="G134" i="5" s="1"/>
  <c r="F135" i="5"/>
  <c r="G135" i="5" s="1"/>
  <c r="F136" i="5"/>
  <c r="G136" i="5" s="1"/>
  <c r="F137" i="5"/>
  <c r="G137" i="5" s="1"/>
  <c r="F138" i="5"/>
  <c r="G138" i="5" s="1"/>
  <c r="F139" i="5"/>
  <c r="G139" i="5" s="1"/>
  <c r="F140" i="5"/>
  <c r="G140" i="5" s="1"/>
  <c r="F141" i="5"/>
  <c r="G141" i="5" s="1"/>
  <c r="F142" i="5"/>
  <c r="G142" i="5" s="1"/>
  <c r="F143" i="5"/>
  <c r="G143" i="5" s="1"/>
  <c r="F144" i="5"/>
  <c r="G144" i="5" s="1"/>
  <c r="F145" i="5"/>
  <c r="G145" i="5" s="1"/>
  <c r="F146" i="5"/>
  <c r="G146" i="5" s="1"/>
  <c r="F147" i="5"/>
  <c r="G147" i="5" s="1"/>
  <c r="F148" i="5"/>
  <c r="G148" i="5" s="1"/>
  <c r="F149" i="5"/>
  <c r="G149" i="5" s="1"/>
  <c r="F150" i="5"/>
  <c r="G150" i="5" s="1"/>
  <c r="F151" i="5"/>
  <c r="G151" i="5" s="1"/>
  <c r="F152" i="5"/>
  <c r="G152" i="5" s="1"/>
  <c r="F153" i="5"/>
  <c r="G153" i="5" s="1"/>
  <c r="F154" i="5"/>
  <c r="G154" i="5" s="1"/>
  <c r="F155" i="5"/>
  <c r="G155" i="5" s="1"/>
  <c r="F156" i="5"/>
  <c r="G156" i="5" s="1"/>
  <c r="F157" i="5"/>
  <c r="G157" i="5" s="1"/>
  <c r="F158" i="5"/>
  <c r="G158" i="5" s="1"/>
  <c r="F159" i="5"/>
  <c r="G159" i="5" s="1"/>
  <c r="F160" i="5"/>
  <c r="G160" i="5" s="1"/>
  <c r="F161" i="5"/>
  <c r="G161" i="5" s="1"/>
  <c r="F162" i="5"/>
  <c r="G162" i="5" s="1"/>
  <c r="F163" i="5"/>
  <c r="G163" i="5" s="1"/>
  <c r="F164" i="5"/>
  <c r="G164" i="5" s="1"/>
  <c r="F165" i="5"/>
  <c r="G165" i="5" s="1"/>
  <c r="F166" i="5"/>
  <c r="G166" i="5" s="1"/>
  <c r="F167" i="5"/>
  <c r="G167" i="5" s="1"/>
  <c r="F168" i="5"/>
  <c r="G168" i="5" s="1"/>
  <c r="F169" i="5"/>
  <c r="G169" i="5" s="1"/>
  <c r="F170" i="5"/>
  <c r="G170" i="5" s="1"/>
  <c r="F171" i="5"/>
  <c r="G171" i="5" s="1"/>
  <c r="F172" i="5"/>
  <c r="G172" i="5" s="1"/>
  <c r="F173" i="5"/>
  <c r="G173" i="5" s="1"/>
  <c r="F174" i="5"/>
  <c r="G174" i="5" s="1"/>
  <c r="F175" i="5"/>
  <c r="G175" i="5" s="1"/>
  <c r="F176" i="5"/>
  <c r="G176" i="5" s="1"/>
  <c r="F177" i="5"/>
  <c r="G177" i="5" s="1"/>
  <c r="F178" i="5"/>
  <c r="G178" i="5" s="1"/>
  <c r="F179" i="5"/>
  <c r="G179" i="5" s="1"/>
  <c r="F180" i="5"/>
  <c r="G180" i="5" s="1"/>
  <c r="F181" i="5"/>
  <c r="G181" i="5" s="1"/>
  <c r="F182" i="5"/>
  <c r="G182" i="5" s="1"/>
  <c r="F183" i="5"/>
  <c r="G183" i="5" s="1"/>
  <c r="F184" i="5"/>
  <c r="G184" i="5" s="1"/>
  <c r="F185" i="5"/>
  <c r="G185" i="5" s="1"/>
  <c r="F186" i="5"/>
  <c r="G186" i="5" s="1"/>
  <c r="F187" i="5"/>
  <c r="G187" i="5" s="1"/>
  <c r="F188" i="5"/>
  <c r="G188" i="5" s="1"/>
  <c r="F189" i="5"/>
  <c r="G189" i="5" s="1"/>
  <c r="F190" i="5"/>
  <c r="G190" i="5" s="1"/>
  <c r="F191" i="5"/>
  <c r="G191" i="5" s="1"/>
  <c r="F192" i="5"/>
  <c r="G192" i="5" s="1"/>
  <c r="F193" i="5"/>
  <c r="G193" i="5" s="1"/>
  <c r="F194" i="5"/>
  <c r="G194" i="5" s="1"/>
  <c r="F195" i="5"/>
  <c r="G195" i="5" s="1"/>
  <c r="F196" i="5"/>
  <c r="G196" i="5" s="1"/>
  <c r="F197" i="5"/>
  <c r="G197" i="5" s="1"/>
  <c r="F198" i="5"/>
  <c r="G198" i="5" s="1"/>
  <c r="F199" i="5"/>
  <c r="G199" i="5" s="1"/>
  <c r="F200" i="5"/>
  <c r="G200" i="5" s="1"/>
  <c r="F201" i="5"/>
  <c r="G201" i="5" s="1"/>
  <c r="F202" i="5"/>
  <c r="G202" i="5" s="1"/>
  <c r="F203" i="5"/>
  <c r="G203" i="5" s="1"/>
  <c r="F204" i="5"/>
  <c r="G204" i="5" s="1"/>
  <c r="F205" i="5"/>
  <c r="G205" i="5" s="1"/>
  <c r="F206" i="5"/>
  <c r="G206" i="5" s="1"/>
  <c r="F207" i="5"/>
  <c r="G207" i="5" s="1"/>
  <c r="F208" i="5"/>
  <c r="G208" i="5" s="1"/>
  <c r="F209" i="5"/>
  <c r="G209" i="5" s="1"/>
  <c r="F210" i="5"/>
  <c r="G210" i="5" s="1"/>
  <c r="F211" i="5"/>
  <c r="G211" i="5" s="1"/>
  <c r="F212" i="5"/>
  <c r="G212" i="5" s="1"/>
  <c r="F213" i="5"/>
  <c r="G213" i="5" s="1"/>
  <c r="F214" i="5"/>
  <c r="G214" i="5" s="1"/>
  <c r="F215" i="5"/>
  <c r="G215" i="5" s="1"/>
  <c r="F216" i="5"/>
  <c r="G216" i="5" s="1"/>
  <c r="F217" i="5"/>
  <c r="G217" i="5" s="1"/>
  <c r="F218" i="5"/>
  <c r="G218" i="5" s="1"/>
  <c r="F219" i="5"/>
  <c r="G219" i="5" s="1"/>
  <c r="F220" i="5"/>
  <c r="G220" i="5" s="1"/>
  <c r="F221" i="5"/>
  <c r="G221" i="5" s="1"/>
  <c r="F222" i="5"/>
  <c r="G222" i="5" s="1"/>
  <c r="F223" i="5"/>
  <c r="G223" i="5" s="1"/>
  <c r="F224" i="5"/>
  <c r="G224" i="5" s="1"/>
  <c r="F225" i="5"/>
  <c r="G225" i="5" s="1"/>
  <c r="F226" i="5"/>
  <c r="G226" i="5" s="1"/>
  <c r="F227" i="5"/>
  <c r="G227" i="5" s="1"/>
  <c r="F228" i="5"/>
  <c r="G228" i="5" s="1"/>
  <c r="F229" i="5"/>
  <c r="G229" i="5" s="1"/>
  <c r="F230" i="5"/>
  <c r="G230" i="5" s="1"/>
  <c r="F231" i="5"/>
  <c r="G231" i="5" s="1"/>
  <c r="F232" i="5"/>
  <c r="G232" i="5" s="1"/>
  <c r="F233" i="5"/>
  <c r="G233" i="5" s="1"/>
  <c r="F234" i="5"/>
  <c r="G234" i="5" s="1"/>
  <c r="F235" i="5"/>
  <c r="G235" i="5" s="1"/>
  <c r="F236" i="5"/>
  <c r="G236" i="5" s="1"/>
  <c r="F237" i="5"/>
  <c r="G237" i="5" s="1"/>
  <c r="F238" i="5"/>
  <c r="G238" i="5" s="1"/>
  <c r="F239" i="5"/>
  <c r="G239" i="5" s="1"/>
  <c r="F240" i="5"/>
  <c r="G240" i="5" s="1"/>
  <c r="F241" i="5"/>
  <c r="G241" i="5" s="1"/>
  <c r="F242" i="5"/>
  <c r="G242" i="5" s="1"/>
  <c r="F243" i="5"/>
  <c r="G243" i="5" s="1"/>
  <c r="F244" i="5"/>
  <c r="G244" i="5" s="1"/>
  <c r="F245" i="5"/>
  <c r="G245" i="5" s="1"/>
  <c r="F246" i="5"/>
  <c r="G246" i="5" s="1"/>
  <c r="F247" i="5"/>
  <c r="G247" i="5" s="1"/>
  <c r="F248" i="5"/>
  <c r="G248" i="5" s="1"/>
  <c r="F249" i="5"/>
  <c r="G249" i="5" s="1"/>
  <c r="F250" i="5"/>
  <c r="G250" i="5" s="1"/>
  <c r="F251" i="5"/>
  <c r="G251" i="5" s="1"/>
  <c r="F252" i="5"/>
  <c r="G252" i="5" s="1"/>
  <c r="F253" i="5"/>
  <c r="G253" i="5" s="1"/>
  <c r="F254" i="5"/>
  <c r="G254" i="5" s="1"/>
  <c r="F255" i="5"/>
  <c r="G255" i="5" s="1"/>
  <c r="F256" i="5"/>
  <c r="G256" i="5" s="1"/>
  <c r="F257" i="5"/>
  <c r="G257" i="5" s="1"/>
  <c r="F258" i="5"/>
  <c r="G258" i="5" s="1"/>
  <c r="F259" i="5"/>
  <c r="G259" i="5" s="1"/>
  <c r="F260" i="5"/>
  <c r="G260" i="5" s="1"/>
  <c r="F261" i="5"/>
  <c r="G261" i="5" s="1"/>
  <c r="F262" i="5"/>
  <c r="G262" i="5" s="1"/>
  <c r="F263" i="5"/>
  <c r="G263" i="5" s="1"/>
  <c r="F264" i="5"/>
  <c r="G264" i="5" s="1"/>
  <c r="F265" i="5"/>
  <c r="G265" i="5" s="1"/>
  <c r="F266" i="5"/>
  <c r="G266" i="5" s="1"/>
  <c r="F267" i="5"/>
  <c r="G267" i="5" s="1"/>
  <c r="F268" i="5"/>
  <c r="G268" i="5" s="1"/>
  <c r="F269" i="5"/>
  <c r="G269" i="5" s="1"/>
  <c r="F270" i="5"/>
  <c r="G270" i="5" s="1"/>
  <c r="F271" i="5"/>
  <c r="G271" i="5" s="1"/>
  <c r="F272" i="5"/>
  <c r="G272" i="5" s="1"/>
  <c r="F273" i="5"/>
  <c r="G273" i="5" s="1"/>
  <c r="F274" i="5"/>
  <c r="G274" i="5" s="1"/>
  <c r="F275" i="5"/>
  <c r="G275" i="5" s="1"/>
  <c r="F276" i="5"/>
  <c r="G276" i="5" s="1"/>
  <c r="F277" i="5"/>
  <c r="G277" i="5" s="1"/>
  <c r="F278" i="5"/>
  <c r="G278" i="5" s="1"/>
  <c r="F279" i="5"/>
  <c r="G279" i="5" s="1"/>
  <c r="F280" i="5"/>
  <c r="G280" i="5" s="1"/>
  <c r="F281" i="5"/>
  <c r="G281" i="5" s="1"/>
  <c r="F282" i="5"/>
  <c r="G282" i="5" s="1"/>
  <c r="F283" i="5"/>
  <c r="G283" i="5" s="1"/>
  <c r="F284" i="5"/>
  <c r="G284" i="5" s="1"/>
  <c r="F285" i="5"/>
  <c r="G285" i="5" s="1"/>
  <c r="F286" i="5"/>
  <c r="G286" i="5" s="1"/>
  <c r="F287" i="5"/>
  <c r="G287" i="5" s="1"/>
  <c r="F288" i="5"/>
  <c r="G288" i="5" s="1"/>
  <c r="F289" i="5"/>
  <c r="G289" i="5" s="1"/>
  <c r="F290" i="5"/>
  <c r="G290" i="5" s="1"/>
  <c r="F291" i="5"/>
  <c r="G291" i="5" s="1"/>
  <c r="F292" i="5"/>
  <c r="G292" i="5" s="1"/>
  <c r="F293" i="5"/>
  <c r="G293" i="5" s="1"/>
  <c r="F294" i="5"/>
  <c r="G294" i="5" s="1"/>
  <c r="F295" i="5"/>
  <c r="G295" i="5" s="1"/>
  <c r="F296" i="5"/>
  <c r="G296" i="5" s="1"/>
  <c r="F297" i="5"/>
  <c r="G297" i="5" s="1"/>
  <c r="F298" i="5"/>
  <c r="G298" i="5" s="1"/>
  <c r="F299" i="5"/>
  <c r="G299" i="5" s="1"/>
  <c r="F300" i="5"/>
  <c r="G300" i="5" s="1"/>
  <c r="F301" i="5"/>
  <c r="G301" i="5" s="1"/>
  <c r="F302" i="5"/>
  <c r="G302" i="5" s="1"/>
  <c r="F303" i="5"/>
  <c r="G303" i="5" s="1"/>
  <c r="F304" i="5"/>
  <c r="G304" i="5" s="1"/>
  <c r="F305" i="5"/>
  <c r="G305" i="5" s="1"/>
  <c r="F306" i="5"/>
  <c r="G306" i="5" s="1"/>
  <c r="F307" i="5"/>
  <c r="G307" i="5" s="1"/>
  <c r="F308" i="5"/>
  <c r="G308" i="5" s="1"/>
  <c r="F309" i="5"/>
  <c r="G309" i="5" s="1"/>
  <c r="F310" i="5"/>
  <c r="G310" i="5" s="1"/>
  <c r="F311" i="5"/>
  <c r="G311" i="5" s="1"/>
  <c r="F312" i="5"/>
  <c r="G312" i="5" s="1"/>
  <c r="F313" i="5"/>
  <c r="G313" i="5" s="1"/>
  <c r="F314" i="5"/>
  <c r="G314" i="5" s="1"/>
  <c r="F315" i="5"/>
  <c r="G315" i="5" s="1"/>
  <c r="F316" i="5"/>
  <c r="G316" i="5" s="1"/>
  <c r="F317" i="5"/>
  <c r="G317" i="5" s="1"/>
  <c r="F318" i="5"/>
  <c r="G318" i="5" s="1"/>
  <c r="F319" i="5"/>
  <c r="G319" i="5" s="1"/>
  <c r="F320" i="5"/>
  <c r="G320" i="5" s="1"/>
  <c r="F321" i="5"/>
  <c r="G321" i="5" s="1"/>
  <c r="F322" i="5"/>
  <c r="G322" i="5" s="1"/>
  <c r="F323" i="5"/>
  <c r="G323" i="5" s="1"/>
  <c r="F324" i="5"/>
  <c r="G324" i="5" s="1"/>
  <c r="F325" i="5"/>
  <c r="G325" i="5" s="1"/>
  <c r="F326" i="5"/>
  <c r="G326" i="5" s="1"/>
  <c r="F327" i="5"/>
  <c r="G327" i="5" s="1"/>
  <c r="F328" i="5"/>
  <c r="G328" i="5" s="1"/>
  <c r="F329" i="5"/>
  <c r="G329" i="5" s="1"/>
  <c r="F330" i="5"/>
  <c r="G330" i="5" s="1"/>
  <c r="F331" i="5"/>
  <c r="G331" i="5" s="1"/>
  <c r="F332" i="5"/>
  <c r="G332" i="5" s="1"/>
  <c r="F333" i="5"/>
  <c r="G333" i="5" s="1"/>
  <c r="F334" i="5"/>
  <c r="G334" i="5" s="1"/>
  <c r="F335" i="5"/>
  <c r="G335" i="5" s="1"/>
  <c r="F336" i="5"/>
  <c r="G336" i="5" s="1"/>
  <c r="F337" i="5"/>
  <c r="G337" i="5" s="1"/>
  <c r="F338" i="5"/>
  <c r="G338" i="5" s="1"/>
  <c r="F339" i="5"/>
  <c r="G339" i="5" s="1"/>
  <c r="F340" i="5"/>
  <c r="G340" i="5" s="1"/>
  <c r="F341" i="5"/>
  <c r="G341" i="5" s="1"/>
  <c r="F342" i="5"/>
  <c r="G342" i="5" s="1"/>
  <c r="F343" i="5"/>
  <c r="G343" i="5" s="1"/>
  <c r="F344" i="5"/>
  <c r="G344" i="5" s="1"/>
  <c r="F345" i="5"/>
  <c r="G345" i="5" s="1"/>
  <c r="F346" i="5"/>
  <c r="G346" i="5" s="1"/>
  <c r="F347" i="5"/>
  <c r="G347" i="5" s="1"/>
  <c r="F348" i="5"/>
  <c r="G348" i="5" s="1"/>
  <c r="F349" i="5"/>
  <c r="G349" i="5" s="1"/>
  <c r="F350" i="5"/>
  <c r="G350" i="5" s="1"/>
  <c r="F351" i="5"/>
  <c r="G351" i="5" s="1"/>
  <c r="F352" i="5"/>
  <c r="G352" i="5" s="1"/>
  <c r="F353" i="5"/>
  <c r="G353" i="5" s="1"/>
  <c r="F354" i="5"/>
  <c r="G354" i="5" s="1"/>
  <c r="F355" i="5"/>
  <c r="G355" i="5" s="1"/>
  <c r="F356" i="5"/>
  <c r="G356" i="5" s="1"/>
  <c r="F357" i="5"/>
  <c r="G357" i="5" s="1"/>
  <c r="F358" i="5"/>
  <c r="G358" i="5" s="1"/>
  <c r="F359" i="5"/>
  <c r="G359" i="5" s="1"/>
  <c r="F360" i="5"/>
  <c r="G360" i="5" s="1"/>
  <c r="F361" i="5"/>
  <c r="G361" i="5" s="1"/>
  <c r="F362" i="5"/>
  <c r="G362" i="5" s="1"/>
  <c r="F363" i="5"/>
  <c r="G363" i="5" s="1"/>
  <c r="F364" i="5"/>
  <c r="G364" i="5" s="1"/>
  <c r="F365" i="5"/>
  <c r="G365" i="5" s="1"/>
  <c r="F366" i="5"/>
  <c r="G366" i="5" s="1"/>
  <c r="F367" i="5"/>
  <c r="G367" i="5" s="1"/>
  <c r="F368" i="5"/>
  <c r="G368" i="5" s="1"/>
  <c r="F369" i="5"/>
  <c r="G369" i="5" s="1"/>
  <c r="F370" i="5"/>
  <c r="G370" i="5" s="1"/>
  <c r="F371" i="5"/>
  <c r="G371" i="5" s="1"/>
  <c r="F372" i="5"/>
  <c r="G372" i="5" s="1"/>
  <c r="F373" i="5"/>
  <c r="G373" i="5" s="1"/>
  <c r="F374" i="5"/>
  <c r="G374" i="5" s="1"/>
  <c r="F375" i="5"/>
  <c r="G375" i="5" s="1"/>
  <c r="F376" i="5"/>
  <c r="G376" i="5" s="1"/>
  <c r="F377" i="5"/>
  <c r="G377" i="5" s="1"/>
  <c r="F378" i="5"/>
  <c r="G378" i="5" s="1"/>
  <c r="F379" i="5"/>
  <c r="G379" i="5" s="1"/>
  <c r="F380" i="5"/>
  <c r="G380" i="5" s="1"/>
  <c r="F381" i="5"/>
  <c r="G381" i="5" s="1"/>
  <c r="F382" i="5"/>
  <c r="G382" i="5" s="1"/>
  <c r="F383" i="5"/>
  <c r="G383" i="5" s="1"/>
  <c r="F384" i="5"/>
  <c r="G384" i="5" s="1"/>
  <c r="F385" i="5"/>
  <c r="G385" i="5" s="1"/>
  <c r="F386" i="5"/>
  <c r="G386" i="5" s="1"/>
  <c r="F387" i="5"/>
  <c r="G387" i="5" s="1"/>
  <c r="F388" i="5"/>
  <c r="G388" i="5" s="1"/>
  <c r="F389" i="5"/>
  <c r="G389" i="5" s="1"/>
  <c r="F390" i="5"/>
  <c r="G390" i="5" s="1"/>
  <c r="F391" i="5"/>
  <c r="G391" i="5" s="1"/>
  <c r="F392" i="5"/>
  <c r="G392" i="5" s="1"/>
  <c r="F393" i="5"/>
  <c r="G393" i="5" s="1"/>
  <c r="F394" i="5"/>
  <c r="G394" i="5" s="1"/>
  <c r="F395" i="5"/>
  <c r="G395" i="5" s="1"/>
  <c r="F396" i="5"/>
  <c r="G396" i="5" s="1"/>
  <c r="F397" i="5"/>
  <c r="G397" i="5" s="1"/>
  <c r="F398" i="5"/>
  <c r="G398" i="5" s="1"/>
  <c r="F399" i="5"/>
  <c r="G399" i="5" s="1"/>
  <c r="F400" i="5"/>
  <c r="G400" i="5" s="1"/>
  <c r="F401" i="5"/>
  <c r="G401" i="5" s="1"/>
  <c r="F402" i="5"/>
  <c r="G402" i="5" s="1"/>
  <c r="F403" i="5"/>
  <c r="G403" i="5" s="1"/>
  <c r="F404" i="5"/>
  <c r="G404" i="5" s="1"/>
  <c r="F405" i="5"/>
  <c r="G405" i="5" s="1"/>
  <c r="F406" i="5"/>
  <c r="G406" i="5" s="1"/>
  <c r="F407" i="5"/>
  <c r="G407" i="5" s="1"/>
  <c r="F408" i="5"/>
  <c r="G408" i="5" s="1"/>
  <c r="F409" i="5"/>
  <c r="G409" i="5" s="1"/>
  <c r="F410" i="5"/>
  <c r="G410" i="5" s="1"/>
  <c r="F411" i="5"/>
  <c r="G411" i="5" s="1"/>
  <c r="F412" i="5"/>
  <c r="G412" i="5" s="1"/>
  <c r="F413" i="5"/>
  <c r="G413" i="5" s="1"/>
  <c r="F414" i="5"/>
  <c r="G414" i="5" s="1"/>
  <c r="F415" i="5"/>
  <c r="G415" i="5" s="1"/>
  <c r="F416" i="5"/>
  <c r="G416" i="5" s="1"/>
  <c r="F417" i="5"/>
  <c r="G417" i="5" s="1"/>
  <c r="F418" i="5"/>
  <c r="G418" i="5" s="1"/>
  <c r="F419" i="5"/>
  <c r="G419" i="5" s="1"/>
  <c r="F420" i="5"/>
  <c r="G420" i="5" s="1"/>
  <c r="F421" i="5"/>
  <c r="G421" i="5" s="1"/>
  <c r="F422" i="5"/>
  <c r="G422" i="5" s="1"/>
  <c r="F423" i="5"/>
  <c r="G423" i="5" s="1"/>
  <c r="F424" i="5"/>
  <c r="G424" i="5" s="1"/>
  <c r="F425" i="5"/>
  <c r="G425" i="5" s="1"/>
  <c r="F426" i="5"/>
  <c r="G426" i="5" s="1"/>
  <c r="F427" i="5"/>
  <c r="G427" i="5" s="1"/>
  <c r="F428" i="5"/>
  <c r="G428" i="5" s="1"/>
  <c r="F429" i="5"/>
  <c r="G429" i="5" s="1"/>
  <c r="F430" i="5"/>
  <c r="G430" i="5" s="1"/>
  <c r="F431" i="5"/>
  <c r="G431" i="5" s="1"/>
  <c r="F432" i="5"/>
  <c r="G432" i="5" s="1"/>
  <c r="F433" i="5"/>
  <c r="G433" i="5" s="1"/>
  <c r="F434" i="5"/>
  <c r="G434" i="5" s="1"/>
  <c r="F435" i="5"/>
  <c r="G435" i="5" s="1"/>
  <c r="F436" i="5"/>
  <c r="G436" i="5" s="1"/>
  <c r="F437" i="5"/>
  <c r="G437" i="5" s="1"/>
  <c r="F438" i="5"/>
  <c r="G438" i="5" s="1"/>
  <c r="F439" i="5"/>
  <c r="G439" i="5" s="1"/>
  <c r="F440" i="5"/>
  <c r="G440" i="5" s="1"/>
  <c r="F441" i="5"/>
  <c r="G441" i="5" s="1"/>
  <c r="F442" i="5"/>
  <c r="G442" i="5" s="1"/>
  <c r="F443" i="5"/>
  <c r="G443" i="5" s="1"/>
  <c r="F444" i="5"/>
  <c r="G444" i="5" s="1"/>
  <c r="F445" i="5"/>
  <c r="G445" i="5" s="1"/>
  <c r="F446" i="5"/>
  <c r="G446" i="5" s="1"/>
  <c r="F447" i="5"/>
  <c r="G447" i="5" s="1"/>
  <c r="F448" i="5"/>
  <c r="G448" i="5" s="1"/>
  <c r="F449" i="5"/>
  <c r="G449" i="5" s="1"/>
  <c r="F450" i="5"/>
  <c r="G450" i="5" s="1"/>
  <c r="F451" i="5"/>
  <c r="G451" i="5" s="1"/>
  <c r="F452" i="5"/>
  <c r="G452" i="5" s="1"/>
  <c r="F453" i="5"/>
  <c r="G453" i="5" s="1"/>
  <c r="F454" i="5"/>
  <c r="G454" i="5" s="1"/>
  <c r="F455" i="5"/>
  <c r="G455" i="5" s="1"/>
  <c r="F456" i="5"/>
  <c r="G456" i="5" s="1"/>
  <c r="F457" i="5"/>
  <c r="G457" i="5" s="1"/>
  <c r="F458" i="5"/>
  <c r="G458" i="5" s="1"/>
  <c r="F459" i="5"/>
  <c r="G459" i="5" s="1"/>
  <c r="F460" i="5"/>
  <c r="G460" i="5" s="1"/>
  <c r="F461" i="5"/>
  <c r="G461" i="5" s="1"/>
  <c r="F462" i="5"/>
  <c r="G462" i="5" s="1"/>
  <c r="F463" i="5"/>
  <c r="G463" i="5" s="1"/>
  <c r="F464" i="5"/>
  <c r="G464" i="5" s="1"/>
  <c r="F465" i="5"/>
  <c r="G465" i="5" s="1"/>
  <c r="F466" i="5"/>
  <c r="G466" i="5" s="1"/>
  <c r="F467" i="5"/>
  <c r="G467" i="5" s="1"/>
  <c r="F468" i="5"/>
  <c r="G468" i="5" s="1"/>
  <c r="F469" i="5"/>
  <c r="G469" i="5" s="1"/>
  <c r="F470" i="5"/>
  <c r="G470" i="5" s="1"/>
  <c r="F471" i="5"/>
  <c r="G471" i="5" s="1"/>
  <c r="F472" i="5"/>
  <c r="G472" i="5" s="1"/>
  <c r="F473" i="5"/>
  <c r="G473" i="5" s="1"/>
  <c r="F474" i="5"/>
  <c r="G474" i="5" s="1"/>
  <c r="F475" i="5"/>
  <c r="G475" i="5" s="1"/>
  <c r="F476" i="5"/>
  <c r="G476" i="5" s="1"/>
  <c r="F477" i="5"/>
  <c r="G477" i="5" s="1"/>
  <c r="F478" i="5"/>
  <c r="G478" i="5" s="1"/>
  <c r="F479" i="5"/>
  <c r="G479" i="5" s="1"/>
  <c r="F480" i="5"/>
  <c r="G480" i="5" s="1"/>
  <c r="F481" i="5"/>
  <c r="G481" i="5" s="1"/>
  <c r="F482" i="5"/>
  <c r="G482" i="5" s="1"/>
  <c r="F483" i="5"/>
  <c r="G483" i="5" s="1"/>
  <c r="F484" i="5"/>
  <c r="G484" i="5" s="1"/>
  <c r="F485" i="5"/>
  <c r="G485" i="5" s="1"/>
  <c r="F486" i="5"/>
  <c r="G486" i="5" s="1"/>
  <c r="F487" i="5"/>
  <c r="G487" i="5" s="1"/>
  <c r="F488" i="5"/>
  <c r="G488" i="5" s="1"/>
  <c r="F489" i="5"/>
  <c r="G489" i="5" s="1"/>
  <c r="F490" i="5"/>
  <c r="G490" i="5" s="1"/>
  <c r="F491" i="5"/>
  <c r="G491" i="5" s="1"/>
  <c r="F492" i="5"/>
  <c r="G492" i="5" s="1"/>
  <c r="F493" i="5"/>
  <c r="G493" i="5" s="1"/>
  <c r="F494" i="5"/>
  <c r="G494" i="5" s="1"/>
  <c r="F495" i="5"/>
  <c r="G495" i="5" s="1"/>
  <c r="F496" i="5"/>
  <c r="G496" i="5" s="1"/>
  <c r="F497" i="5"/>
  <c r="G497" i="5" s="1"/>
  <c r="F498" i="5"/>
  <c r="G498" i="5" s="1"/>
  <c r="F499" i="5"/>
  <c r="G499" i="5" s="1"/>
  <c r="F500" i="5"/>
  <c r="G500" i="5" s="1"/>
  <c r="F501" i="5"/>
  <c r="G501" i="5" s="1"/>
  <c r="F502" i="5"/>
  <c r="G502" i="5" s="1"/>
  <c r="F503" i="5"/>
  <c r="G503" i="5" s="1"/>
  <c r="F504" i="5"/>
  <c r="G504" i="5" s="1"/>
  <c r="F505" i="5"/>
  <c r="G505" i="5" s="1"/>
  <c r="F506" i="5"/>
  <c r="G506" i="5" s="1"/>
  <c r="F507" i="5"/>
  <c r="G507" i="5" s="1"/>
  <c r="F508" i="5"/>
  <c r="G508" i="5" s="1"/>
  <c r="F509" i="5"/>
  <c r="G509" i="5" s="1"/>
  <c r="F510" i="5"/>
  <c r="G510" i="5" s="1"/>
  <c r="F511" i="5"/>
  <c r="G511" i="5" s="1"/>
  <c r="F512" i="5"/>
  <c r="G512" i="5" s="1"/>
  <c r="F513" i="5"/>
  <c r="G513" i="5" s="1"/>
  <c r="F514" i="5"/>
  <c r="G514" i="5" s="1"/>
  <c r="F515" i="5"/>
  <c r="G515" i="5" s="1"/>
  <c r="F516" i="5"/>
  <c r="G516" i="5" s="1"/>
  <c r="F517" i="5"/>
  <c r="G517" i="5" s="1"/>
  <c r="F518" i="5"/>
  <c r="G518" i="5" s="1"/>
  <c r="F519" i="5"/>
  <c r="G519" i="5" s="1"/>
  <c r="F520" i="5"/>
  <c r="G520" i="5" s="1"/>
  <c r="F521" i="5"/>
  <c r="G521" i="5" s="1"/>
  <c r="F522" i="5"/>
  <c r="G522" i="5" s="1"/>
  <c r="F523" i="5"/>
  <c r="G523" i="5" s="1"/>
  <c r="F524" i="5"/>
  <c r="G524" i="5" s="1"/>
  <c r="F525" i="5"/>
  <c r="G525" i="5" s="1"/>
  <c r="F526" i="5"/>
  <c r="G526" i="5" s="1"/>
  <c r="F527" i="5"/>
  <c r="G527" i="5" s="1"/>
  <c r="F528" i="5"/>
  <c r="G528" i="5" s="1"/>
  <c r="F529" i="5"/>
  <c r="G529" i="5" s="1"/>
  <c r="F530" i="5"/>
  <c r="G530" i="5" s="1"/>
  <c r="F531" i="5"/>
  <c r="G531" i="5" s="1"/>
  <c r="F532" i="5"/>
  <c r="G532" i="5" s="1"/>
  <c r="F533" i="5"/>
  <c r="G533" i="5" s="1"/>
  <c r="F534" i="5"/>
  <c r="G534" i="5" s="1"/>
  <c r="F535" i="5"/>
  <c r="G535" i="5" s="1"/>
  <c r="F536" i="5"/>
  <c r="G536" i="5" s="1"/>
  <c r="F537" i="5"/>
  <c r="G537" i="5" s="1"/>
  <c r="F538" i="5"/>
  <c r="G538" i="5" s="1"/>
  <c r="F539" i="5"/>
  <c r="G539" i="5" s="1"/>
  <c r="F540" i="5"/>
  <c r="G540" i="5" s="1"/>
  <c r="F541" i="5"/>
  <c r="G541" i="5" s="1"/>
  <c r="F542" i="5"/>
  <c r="G542" i="5" s="1"/>
  <c r="F543" i="5"/>
  <c r="G543" i="5" s="1"/>
  <c r="F544" i="5"/>
  <c r="G544" i="5" s="1"/>
  <c r="F545" i="5"/>
  <c r="G545" i="5" s="1"/>
  <c r="F546" i="5"/>
  <c r="G546" i="5" s="1"/>
  <c r="F547" i="5"/>
  <c r="G547" i="5" s="1"/>
  <c r="F548" i="5"/>
  <c r="G548" i="5" s="1"/>
  <c r="F549" i="5"/>
  <c r="G549" i="5" s="1"/>
  <c r="F550" i="5"/>
  <c r="G550" i="5" s="1"/>
  <c r="F551" i="5"/>
  <c r="G551" i="5" s="1"/>
  <c r="F552" i="5"/>
  <c r="G552" i="5" s="1"/>
  <c r="F553" i="5"/>
  <c r="G553" i="5" s="1"/>
  <c r="F554" i="5"/>
  <c r="G554" i="5" s="1"/>
  <c r="F555" i="5"/>
  <c r="G555" i="5" s="1"/>
  <c r="F556" i="5"/>
  <c r="G556" i="5" s="1"/>
  <c r="F557" i="5"/>
  <c r="G557" i="5" s="1"/>
  <c r="F558" i="5"/>
  <c r="G558" i="5" s="1"/>
  <c r="F559" i="5"/>
  <c r="G559" i="5" s="1"/>
  <c r="F560" i="5"/>
  <c r="G560" i="5" s="1"/>
  <c r="F561" i="5"/>
  <c r="G561" i="5" s="1"/>
  <c r="F562" i="5"/>
  <c r="G562" i="5" s="1"/>
  <c r="F563" i="5"/>
  <c r="G563" i="5" s="1"/>
  <c r="F564" i="5"/>
  <c r="G564" i="5" s="1"/>
  <c r="F565" i="5"/>
  <c r="G565" i="5" s="1"/>
  <c r="F566" i="5"/>
  <c r="G566" i="5" s="1"/>
  <c r="F567" i="5"/>
  <c r="G567" i="5" s="1"/>
  <c r="F568" i="5"/>
  <c r="G568" i="5" s="1"/>
  <c r="F569" i="5"/>
  <c r="G569" i="5" s="1"/>
  <c r="F570" i="5"/>
  <c r="G570" i="5" s="1"/>
  <c r="F571" i="5"/>
  <c r="G571" i="5" s="1"/>
  <c r="F572" i="5"/>
  <c r="G572" i="5" s="1"/>
  <c r="F573" i="5"/>
  <c r="G573" i="5" s="1"/>
  <c r="F574" i="5"/>
  <c r="G574" i="5" s="1"/>
  <c r="F575" i="5"/>
  <c r="G575" i="5" s="1"/>
  <c r="F576" i="5"/>
  <c r="G576" i="5" s="1"/>
  <c r="F577" i="5"/>
  <c r="G577" i="5" s="1"/>
  <c r="F578" i="5"/>
  <c r="G578" i="5" s="1"/>
  <c r="F579" i="5"/>
  <c r="G579" i="5" s="1"/>
  <c r="F580" i="5"/>
  <c r="G580" i="5" s="1"/>
  <c r="F581" i="5"/>
  <c r="G581" i="5" s="1"/>
  <c r="F582" i="5"/>
  <c r="G582" i="5" s="1"/>
  <c r="F583" i="5"/>
  <c r="G583" i="5" s="1"/>
  <c r="F584" i="5"/>
  <c r="G584" i="5" s="1"/>
  <c r="F585" i="5"/>
  <c r="G585" i="5" s="1"/>
  <c r="F586" i="5"/>
  <c r="G586" i="5" s="1"/>
  <c r="F587" i="5"/>
  <c r="G587" i="5" s="1"/>
  <c r="F588" i="5"/>
  <c r="G588" i="5" s="1"/>
  <c r="F589" i="5"/>
  <c r="G589" i="5" s="1"/>
  <c r="F590" i="5"/>
  <c r="G590" i="5" s="1"/>
  <c r="F591" i="5"/>
  <c r="G591" i="5" s="1"/>
  <c r="F592" i="5"/>
  <c r="G592" i="5" s="1"/>
  <c r="F593" i="5"/>
  <c r="G593" i="5" s="1"/>
  <c r="F594" i="5"/>
  <c r="G594" i="5" s="1"/>
  <c r="F595" i="5"/>
  <c r="G595" i="5" s="1"/>
  <c r="F596" i="5"/>
  <c r="G596" i="5" s="1"/>
  <c r="F597" i="5"/>
  <c r="G597" i="5" s="1"/>
  <c r="F598" i="5"/>
  <c r="G598" i="5" s="1"/>
  <c r="F599" i="5"/>
  <c r="G599" i="5" s="1"/>
  <c r="F600" i="5"/>
  <c r="G600" i="5" s="1"/>
  <c r="F601" i="5"/>
  <c r="G601" i="5" s="1"/>
  <c r="F602" i="5"/>
  <c r="G602" i="5" s="1"/>
  <c r="F603" i="5"/>
  <c r="G603" i="5" s="1"/>
  <c r="F604" i="5"/>
  <c r="G604" i="5" s="1"/>
  <c r="F605" i="5"/>
  <c r="G605" i="5" s="1"/>
  <c r="F606" i="5"/>
  <c r="G606" i="5" s="1"/>
  <c r="F607" i="5"/>
  <c r="G607" i="5" s="1"/>
  <c r="F608" i="5"/>
  <c r="G608" i="5" s="1"/>
  <c r="F609" i="5"/>
  <c r="G609" i="5" s="1"/>
  <c r="F610" i="5"/>
  <c r="G610" i="5" s="1"/>
  <c r="F611" i="5"/>
  <c r="G611" i="5" s="1"/>
  <c r="F612" i="5"/>
  <c r="G612" i="5" s="1"/>
  <c r="F613" i="5"/>
  <c r="G613" i="5" s="1"/>
  <c r="F614" i="5"/>
  <c r="G614" i="5" s="1"/>
  <c r="F615" i="5"/>
  <c r="G615" i="5" s="1"/>
  <c r="F616" i="5"/>
  <c r="G616" i="5" s="1"/>
  <c r="F617" i="5"/>
  <c r="G617" i="5" s="1"/>
  <c r="F618" i="5"/>
  <c r="G618" i="5" s="1"/>
  <c r="F619" i="5"/>
  <c r="G619" i="5" s="1"/>
  <c r="F620" i="5"/>
  <c r="G620" i="5" s="1"/>
  <c r="F621" i="5"/>
  <c r="G621" i="5" s="1"/>
  <c r="F622" i="5"/>
  <c r="G622" i="5" s="1"/>
  <c r="F623" i="5"/>
  <c r="G623" i="5" s="1"/>
  <c r="F624" i="5"/>
  <c r="G624" i="5" s="1"/>
  <c r="F625" i="5"/>
  <c r="G625" i="5" s="1"/>
  <c r="F626" i="5"/>
  <c r="G626" i="5" s="1"/>
  <c r="F627" i="5"/>
  <c r="G627" i="5" s="1"/>
  <c r="F628" i="5"/>
  <c r="G628" i="5" s="1"/>
  <c r="F629" i="5"/>
  <c r="G629" i="5" s="1"/>
  <c r="F630" i="5"/>
  <c r="G630" i="5" s="1"/>
  <c r="F631" i="5"/>
  <c r="G631" i="5" s="1"/>
  <c r="F632" i="5"/>
  <c r="G632" i="5" s="1"/>
  <c r="F633" i="5"/>
  <c r="G633" i="5" s="1"/>
  <c r="F634" i="5"/>
  <c r="G634" i="5" s="1"/>
  <c r="F635" i="5"/>
  <c r="G635" i="5" s="1"/>
  <c r="F636" i="5"/>
  <c r="G636" i="5" s="1"/>
  <c r="F637" i="5"/>
  <c r="G637" i="5" s="1"/>
  <c r="F638" i="5"/>
  <c r="G638" i="5" s="1"/>
  <c r="F639" i="5"/>
  <c r="G639" i="5" s="1"/>
  <c r="F640" i="5"/>
  <c r="G640" i="5" s="1"/>
  <c r="F641" i="5"/>
  <c r="G641" i="5" s="1"/>
  <c r="F642" i="5"/>
  <c r="G642" i="5" s="1"/>
  <c r="F643" i="5"/>
  <c r="G643" i="5" s="1"/>
  <c r="F644" i="5"/>
  <c r="G644" i="5" s="1"/>
  <c r="F645" i="5"/>
  <c r="G645" i="5" s="1"/>
  <c r="F646" i="5"/>
  <c r="G646" i="5" s="1"/>
  <c r="F647" i="5"/>
  <c r="G647" i="5" s="1"/>
  <c r="F648" i="5"/>
  <c r="G648" i="5" s="1"/>
  <c r="F649" i="5"/>
  <c r="G649" i="5" s="1"/>
  <c r="F650" i="5"/>
  <c r="G650" i="5" s="1"/>
  <c r="F651" i="5"/>
  <c r="G651" i="5" s="1"/>
  <c r="F652" i="5"/>
  <c r="G652" i="5" s="1"/>
  <c r="F653" i="5"/>
  <c r="G653" i="5" s="1"/>
  <c r="F654" i="5"/>
  <c r="G654" i="5" s="1"/>
  <c r="F655" i="5"/>
  <c r="G655" i="5" s="1"/>
  <c r="F656" i="5"/>
  <c r="G656" i="5" s="1"/>
  <c r="F657" i="5"/>
  <c r="G657" i="5" s="1"/>
  <c r="F658" i="5"/>
  <c r="G658" i="5" s="1"/>
  <c r="F659" i="5"/>
  <c r="G659" i="5" s="1"/>
  <c r="F660" i="5"/>
  <c r="G660" i="5" s="1"/>
  <c r="F661" i="5"/>
  <c r="G661" i="5" s="1"/>
  <c r="F662" i="5"/>
  <c r="G662" i="5" s="1"/>
  <c r="F663" i="5"/>
  <c r="G663" i="5" s="1"/>
  <c r="F664" i="5"/>
  <c r="G664" i="5" s="1"/>
  <c r="F665" i="5"/>
  <c r="G665" i="5" s="1"/>
  <c r="F666" i="5"/>
  <c r="G666" i="5" s="1"/>
  <c r="F667" i="5"/>
  <c r="G667" i="5" s="1"/>
  <c r="F668" i="5"/>
  <c r="G668" i="5" s="1"/>
  <c r="F669" i="5"/>
  <c r="G669" i="5" s="1"/>
  <c r="F670" i="5"/>
  <c r="G670" i="5" s="1"/>
  <c r="F671" i="5"/>
  <c r="G671" i="5" s="1"/>
  <c r="F672" i="5"/>
  <c r="G672" i="5" s="1"/>
  <c r="F673" i="5"/>
  <c r="G673" i="5" s="1"/>
  <c r="F674" i="5"/>
  <c r="G674" i="5" s="1"/>
  <c r="F675" i="5"/>
  <c r="G675" i="5" s="1"/>
  <c r="F676" i="5"/>
  <c r="G676" i="5" s="1"/>
  <c r="F677" i="5"/>
  <c r="G677" i="5" s="1"/>
  <c r="F678" i="5"/>
  <c r="G678" i="5" s="1"/>
  <c r="F679" i="5"/>
  <c r="G679" i="5" s="1"/>
  <c r="F680" i="5"/>
  <c r="G680" i="5" s="1"/>
  <c r="F681" i="5"/>
  <c r="G681" i="5" s="1"/>
  <c r="F682" i="5"/>
  <c r="G682" i="5" s="1"/>
  <c r="F683" i="5"/>
  <c r="G683" i="5" s="1"/>
  <c r="F684" i="5"/>
  <c r="G684" i="5" s="1"/>
  <c r="F685" i="5"/>
  <c r="G685" i="5" s="1"/>
  <c r="F686" i="5"/>
  <c r="G686" i="5" s="1"/>
  <c r="F687" i="5"/>
  <c r="G687" i="5" s="1"/>
  <c r="F688" i="5"/>
  <c r="G688" i="5" s="1"/>
  <c r="F689" i="5"/>
  <c r="G689" i="5" s="1"/>
  <c r="F690" i="5"/>
  <c r="G690" i="5" s="1"/>
  <c r="F691" i="5"/>
  <c r="G691" i="5" s="1"/>
  <c r="F692" i="5"/>
  <c r="G692" i="5" s="1"/>
  <c r="F693" i="5"/>
  <c r="G693" i="5" s="1"/>
  <c r="F694" i="5"/>
  <c r="G694" i="5" s="1"/>
  <c r="F695" i="5"/>
  <c r="G695" i="5" s="1"/>
  <c r="F696" i="5"/>
  <c r="G696" i="5" s="1"/>
  <c r="F697" i="5"/>
  <c r="G697" i="5" s="1"/>
  <c r="F698" i="5"/>
  <c r="G698" i="5" s="1"/>
  <c r="F699" i="5"/>
  <c r="G699" i="5" s="1"/>
  <c r="F700" i="5"/>
  <c r="G700" i="5" s="1"/>
  <c r="F701" i="5"/>
  <c r="G701" i="5" s="1"/>
  <c r="F702" i="5"/>
  <c r="G702" i="5" s="1"/>
  <c r="F703" i="5"/>
  <c r="G703" i="5" s="1"/>
  <c r="F704" i="5"/>
  <c r="G704" i="5" s="1"/>
  <c r="F705" i="5"/>
  <c r="G705" i="5" s="1"/>
  <c r="F706" i="5"/>
  <c r="G706" i="5" s="1"/>
  <c r="F707" i="5"/>
  <c r="G707" i="5" s="1"/>
  <c r="F708" i="5"/>
  <c r="G708" i="5" s="1"/>
  <c r="F709" i="5"/>
  <c r="G709" i="5" s="1"/>
  <c r="F710" i="5"/>
  <c r="G710" i="5" s="1"/>
  <c r="F711" i="5"/>
  <c r="G711" i="5" s="1"/>
  <c r="F712" i="5"/>
  <c r="G712" i="5" s="1"/>
  <c r="F713" i="5"/>
  <c r="G713" i="5" s="1"/>
  <c r="F714" i="5"/>
  <c r="G714" i="5" s="1"/>
  <c r="F715" i="5"/>
  <c r="G715" i="5" s="1"/>
  <c r="F716" i="5"/>
  <c r="G716" i="5" s="1"/>
  <c r="F717" i="5"/>
  <c r="G717" i="5" s="1"/>
  <c r="F718" i="5"/>
  <c r="G718" i="5" s="1"/>
  <c r="F719" i="5"/>
  <c r="G719" i="5" s="1"/>
  <c r="F720" i="5"/>
  <c r="G720" i="5" s="1"/>
  <c r="F721" i="5"/>
  <c r="G721" i="5" s="1"/>
  <c r="F722" i="5"/>
  <c r="G722" i="5" s="1"/>
  <c r="F723" i="5"/>
  <c r="G723" i="5" s="1"/>
  <c r="F724" i="5"/>
  <c r="G724" i="5" s="1"/>
  <c r="F725" i="5"/>
  <c r="G725" i="5" s="1"/>
  <c r="F726" i="5"/>
  <c r="G726" i="5" s="1"/>
  <c r="F727" i="5"/>
  <c r="G727" i="5" s="1"/>
  <c r="F728" i="5"/>
  <c r="G728" i="5" s="1"/>
  <c r="F729" i="5"/>
  <c r="G729" i="5" s="1"/>
  <c r="F730" i="5"/>
  <c r="G730" i="5" s="1"/>
  <c r="F731" i="5"/>
  <c r="G731" i="5" s="1"/>
  <c r="F732" i="5"/>
  <c r="G732" i="5" s="1"/>
  <c r="F733" i="5"/>
  <c r="G733" i="5" s="1"/>
  <c r="F734" i="5"/>
  <c r="G734" i="5" s="1"/>
  <c r="F735" i="5"/>
  <c r="G735" i="5" s="1"/>
  <c r="F736" i="5"/>
  <c r="G736" i="5" s="1"/>
  <c r="F737" i="5"/>
  <c r="G737" i="5" s="1"/>
  <c r="F738" i="5"/>
  <c r="G738" i="5" s="1"/>
  <c r="F739" i="5"/>
  <c r="G739" i="5" s="1"/>
  <c r="F740" i="5"/>
  <c r="G740" i="5" s="1"/>
  <c r="F741" i="5"/>
  <c r="G741" i="5" s="1"/>
  <c r="F742" i="5"/>
  <c r="G742" i="5" s="1"/>
  <c r="F743" i="5"/>
  <c r="G743" i="5" s="1"/>
  <c r="F744" i="5"/>
  <c r="G744" i="5" s="1"/>
  <c r="F745" i="5"/>
  <c r="G745" i="5" s="1"/>
  <c r="F746" i="5"/>
  <c r="G746" i="5" s="1"/>
  <c r="F747" i="5"/>
  <c r="G747" i="5" s="1"/>
  <c r="F748" i="5"/>
  <c r="G748" i="5" s="1"/>
  <c r="F749" i="5"/>
  <c r="G749" i="5" s="1"/>
  <c r="F750" i="5"/>
  <c r="G750" i="5" s="1"/>
  <c r="F751" i="5"/>
  <c r="G751" i="5" s="1"/>
  <c r="F752" i="5"/>
  <c r="G752" i="5" s="1"/>
  <c r="F753" i="5"/>
  <c r="G753" i="5" s="1"/>
  <c r="F754" i="5"/>
  <c r="G754" i="5" s="1"/>
  <c r="F755" i="5"/>
  <c r="G755" i="5" s="1"/>
  <c r="F756" i="5"/>
  <c r="G756" i="5" s="1"/>
  <c r="F757" i="5"/>
  <c r="G757" i="5" s="1"/>
  <c r="F758" i="5"/>
  <c r="G758" i="5" s="1"/>
  <c r="F759" i="5"/>
  <c r="G759" i="5" s="1"/>
  <c r="F760" i="5"/>
  <c r="G760" i="5" s="1"/>
  <c r="F761" i="5"/>
  <c r="G761" i="5" s="1"/>
  <c r="F762" i="5"/>
  <c r="G762" i="5" s="1"/>
  <c r="F763" i="5"/>
  <c r="G763" i="5" s="1"/>
  <c r="F764" i="5"/>
  <c r="G764" i="5" s="1"/>
  <c r="F765" i="5"/>
  <c r="G765" i="5" s="1"/>
  <c r="F766" i="5"/>
  <c r="G766" i="5" s="1"/>
  <c r="F767" i="5"/>
  <c r="G767" i="5" s="1"/>
  <c r="F768" i="5"/>
  <c r="G768" i="5" s="1"/>
  <c r="F769" i="5"/>
  <c r="G769" i="5" s="1"/>
  <c r="F770" i="5"/>
  <c r="G770" i="5" s="1"/>
  <c r="F771" i="5"/>
  <c r="G771" i="5" s="1"/>
  <c r="F772" i="5"/>
  <c r="G772" i="5" s="1"/>
  <c r="F773" i="5"/>
  <c r="G773" i="5" s="1"/>
  <c r="F774" i="5"/>
  <c r="G774" i="5" s="1"/>
  <c r="F775" i="5"/>
  <c r="G775" i="5" s="1"/>
  <c r="F776" i="5"/>
  <c r="G776" i="5" s="1"/>
  <c r="F777" i="5"/>
  <c r="G777" i="5" s="1"/>
  <c r="F778" i="5"/>
  <c r="G778" i="5" s="1"/>
  <c r="F779" i="5"/>
  <c r="G779" i="5" s="1"/>
  <c r="F780" i="5"/>
  <c r="G780" i="5" s="1"/>
  <c r="F781" i="5"/>
  <c r="G781" i="5" s="1"/>
  <c r="F782" i="5"/>
  <c r="G782" i="5" s="1"/>
  <c r="F783" i="5"/>
  <c r="G783" i="5" s="1"/>
  <c r="F784" i="5"/>
  <c r="G784" i="5" s="1"/>
  <c r="F785" i="5"/>
  <c r="G785" i="5" s="1"/>
  <c r="F786" i="5"/>
  <c r="G786" i="5" s="1"/>
  <c r="F787" i="5"/>
  <c r="G787" i="5" s="1"/>
  <c r="F788" i="5"/>
  <c r="G788" i="5" s="1"/>
  <c r="F789" i="5"/>
  <c r="G789" i="5" s="1"/>
  <c r="F790" i="5"/>
  <c r="G790" i="5" s="1"/>
  <c r="F791" i="5"/>
  <c r="G791" i="5" s="1"/>
  <c r="F792" i="5"/>
  <c r="G792" i="5" s="1"/>
  <c r="F793" i="5"/>
  <c r="G793" i="5" s="1"/>
  <c r="F794" i="5"/>
  <c r="G794" i="5" s="1"/>
  <c r="F795" i="5"/>
  <c r="G795" i="5" s="1"/>
  <c r="F796" i="5"/>
  <c r="G796" i="5" s="1"/>
  <c r="F797" i="5"/>
  <c r="G797" i="5" s="1"/>
  <c r="F798" i="5"/>
  <c r="G798" i="5" s="1"/>
  <c r="F799" i="5"/>
  <c r="G799" i="5" s="1"/>
  <c r="F800" i="5"/>
  <c r="G800" i="5" s="1"/>
  <c r="F801" i="5"/>
  <c r="G801" i="5" s="1"/>
  <c r="F802" i="5"/>
  <c r="G802" i="5" s="1"/>
  <c r="F803" i="5"/>
  <c r="G803" i="5" s="1"/>
  <c r="F804" i="5"/>
  <c r="G804" i="5" s="1"/>
  <c r="F805" i="5"/>
  <c r="G805" i="5" s="1"/>
  <c r="F806" i="5"/>
  <c r="G806" i="5" s="1"/>
  <c r="F807" i="5"/>
  <c r="G807" i="5" s="1"/>
  <c r="F808" i="5"/>
  <c r="G808" i="5" s="1"/>
  <c r="F809" i="5"/>
  <c r="G809" i="5" s="1"/>
  <c r="F810" i="5"/>
  <c r="G810" i="5" s="1"/>
  <c r="F811" i="5"/>
  <c r="G811" i="5" s="1"/>
  <c r="F812" i="5"/>
  <c r="G812" i="5" s="1"/>
  <c r="F813" i="5"/>
  <c r="G813" i="5" s="1"/>
  <c r="F814" i="5"/>
  <c r="G814" i="5" s="1"/>
  <c r="F815" i="5"/>
  <c r="G815" i="5" s="1"/>
  <c r="F816" i="5"/>
  <c r="G816" i="5" s="1"/>
  <c r="F817" i="5"/>
  <c r="G817" i="5" s="1"/>
  <c r="F818" i="5"/>
  <c r="G818" i="5" s="1"/>
  <c r="F819" i="5"/>
  <c r="G819" i="5" s="1"/>
  <c r="F820" i="5"/>
  <c r="G820" i="5" s="1"/>
  <c r="F821" i="5"/>
  <c r="G821" i="5" s="1"/>
  <c r="F822" i="5"/>
  <c r="G822" i="5" s="1"/>
  <c r="F823" i="5"/>
  <c r="G823" i="5" s="1"/>
  <c r="F824" i="5"/>
  <c r="G824" i="5" s="1"/>
  <c r="F825" i="5"/>
  <c r="G825" i="5" s="1"/>
  <c r="F826" i="5"/>
  <c r="G826" i="5" s="1"/>
  <c r="F827" i="5"/>
  <c r="G827" i="5" s="1"/>
  <c r="F828" i="5"/>
  <c r="G828" i="5" s="1"/>
  <c r="F829" i="5"/>
  <c r="G829" i="5" s="1"/>
  <c r="F830" i="5"/>
  <c r="G830" i="5" s="1"/>
  <c r="F831" i="5"/>
  <c r="G831" i="5" s="1"/>
  <c r="F832" i="5"/>
  <c r="G832" i="5" s="1"/>
  <c r="F833" i="5"/>
  <c r="G833" i="5" s="1"/>
  <c r="F834" i="5"/>
  <c r="G834" i="5" s="1"/>
  <c r="F835" i="5"/>
  <c r="G835" i="5" s="1"/>
  <c r="F836" i="5"/>
  <c r="G836" i="5" s="1"/>
  <c r="F837" i="5"/>
  <c r="G837" i="5" s="1"/>
  <c r="F838" i="5"/>
  <c r="G838" i="5" s="1"/>
  <c r="F839" i="5"/>
  <c r="G839" i="5" s="1"/>
  <c r="F840" i="5"/>
  <c r="G840" i="5" s="1"/>
  <c r="F841" i="5"/>
  <c r="G841" i="5" s="1"/>
  <c r="F842" i="5"/>
  <c r="G842" i="5" s="1"/>
  <c r="F843" i="5"/>
  <c r="G843" i="5" s="1"/>
  <c r="F844" i="5"/>
  <c r="G844" i="5" s="1"/>
  <c r="F845" i="5"/>
  <c r="G845" i="5" s="1"/>
  <c r="F846" i="5"/>
  <c r="G846" i="5" s="1"/>
  <c r="F847" i="5"/>
  <c r="G847" i="5" s="1"/>
  <c r="F848" i="5"/>
  <c r="G848" i="5" s="1"/>
  <c r="F849" i="5"/>
  <c r="G849" i="5" s="1"/>
  <c r="F850" i="5"/>
  <c r="G850" i="5" s="1"/>
  <c r="F851" i="5"/>
  <c r="G851" i="5" s="1"/>
  <c r="F852" i="5"/>
  <c r="G852" i="5" s="1"/>
  <c r="F853" i="5"/>
  <c r="G853" i="5" s="1"/>
  <c r="F854" i="5"/>
  <c r="G854" i="5" s="1"/>
  <c r="F855" i="5"/>
  <c r="G855" i="5" s="1"/>
  <c r="F856" i="5"/>
  <c r="G856" i="5" s="1"/>
  <c r="F857" i="5"/>
  <c r="G857" i="5" s="1"/>
  <c r="F858" i="5"/>
  <c r="G858" i="5" s="1"/>
  <c r="F859" i="5"/>
  <c r="G859" i="5" s="1"/>
  <c r="F860" i="5"/>
  <c r="G860" i="5" s="1"/>
  <c r="F861" i="5"/>
  <c r="G861" i="5" s="1"/>
  <c r="F862" i="5"/>
  <c r="G862" i="5" s="1"/>
  <c r="F863" i="5"/>
  <c r="G863" i="5" s="1"/>
  <c r="F864" i="5"/>
  <c r="G864" i="5" s="1"/>
  <c r="F865" i="5"/>
  <c r="G865" i="5" s="1"/>
  <c r="F866" i="5"/>
  <c r="G866" i="5" s="1"/>
  <c r="F867" i="5"/>
  <c r="G867" i="5" s="1"/>
  <c r="F868" i="5"/>
  <c r="G868" i="5" s="1"/>
  <c r="F869" i="5"/>
  <c r="G869" i="5" s="1"/>
  <c r="F870" i="5"/>
  <c r="G870" i="5" s="1"/>
  <c r="F871" i="5"/>
  <c r="G871" i="5" s="1"/>
  <c r="F872" i="5"/>
  <c r="G872" i="5" s="1"/>
  <c r="F873" i="5"/>
  <c r="G873" i="5" s="1"/>
  <c r="F874" i="5"/>
  <c r="G874" i="5" s="1"/>
  <c r="F875" i="5"/>
  <c r="G875" i="5" s="1"/>
  <c r="F876" i="5"/>
  <c r="G876" i="5" s="1"/>
  <c r="F877" i="5"/>
  <c r="G877" i="5" s="1"/>
  <c r="F878" i="5"/>
  <c r="G878" i="5" s="1"/>
  <c r="F879" i="5"/>
  <c r="G879" i="5" s="1"/>
  <c r="F880" i="5"/>
  <c r="G880" i="5" s="1"/>
  <c r="F881" i="5"/>
  <c r="G881" i="5" s="1"/>
  <c r="F882" i="5"/>
  <c r="G882" i="5" s="1"/>
  <c r="F883" i="5"/>
  <c r="G883" i="5" s="1"/>
  <c r="F884" i="5"/>
  <c r="G884" i="5" s="1"/>
  <c r="F885" i="5"/>
  <c r="G885" i="5" s="1"/>
  <c r="F886" i="5"/>
  <c r="G886" i="5" s="1"/>
  <c r="F887" i="5"/>
  <c r="G887" i="5" s="1"/>
  <c r="F888" i="5"/>
  <c r="G888" i="5" s="1"/>
  <c r="F889" i="5"/>
  <c r="G889" i="5" s="1"/>
  <c r="F890" i="5"/>
  <c r="G890" i="5" s="1"/>
  <c r="F891" i="5"/>
  <c r="G891" i="5" s="1"/>
  <c r="F892" i="5"/>
  <c r="G892" i="5" s="1"/>
  <c r="F893" i="5"/>
  <c r="G893" i="5" s="1"/>
  <c r="F894" i="5"/>
  <c r="G894" i="5" s="1"/>
  <c r="F895" i="5"/>
  <c r="G895" i="5" s="1"/>
  <c r="F896" i="5"/>
  <c r="G896" i="5" s="1"/>
  <c r="F897" i="5"/>
  <c r="G897" i="5" s="1"/>
  <c r="F898" i="5"/>
  <c r="G898" i="5" s="1"/>
  <c r="F899" i="5"/>
  <c r="G899" i="5" s="1"/>
  <c r="F900" i="5"/>
  <c r="G900" i="5" s="1"/>
  <c r="F901" i="5"/>
  <c r="G901" i="5" s="1"/>
  <c r="F902" i="5"/>
  <c r="G902" i="5" s="1"/>
  <c r="F903" i="5"/>
  <c r="G903" i="5" s="1"/>
  <c r="F904" i="5"/>
  <c r="G904" i="5" s="1"/>
  <c r="F905" i="5"/>
  <c r="G905" i="5" s="1"/>
  <c r="F906" i="5"/>
  <c r="G906" i="5" s="1"/>
  <c r="F907" i="5"/>
  <c r="G907" i="5" s="1"/>
  <c r="F908" i="5"/>
  <c r="G908" i="5" s="1"/>
  <c r="F909" i="5"/>
  <c r="G909" i="5" s="1"/>
  <c r="F910" i="5"/>
  <c r="G910" i="5" s="1"/>
  <c r="F911" i="5"/>
  <c r="G911" i="5" s="1"/>
  <c r="F912" i="5"/>
  <c r="G912" i="5" s="1"/>
  <c r="F913" i="5"/>
  <c r="G913" i="5" s="1"/>
  <c r="F914" i="5"/>
  <c r="G914" i="5" s="1"/>
  <c r="F915" i="5"/>
  <c r="G915" i="5" s="1"/>
  <c r="F916" i="5"/>
  <c r="G916" i="5" s="1"/>
  <c r="F917" i="5"/>
  <c r="G917" i="5" s="1"/>
  <c r="F918" i="5"/>
  <c r="G918" i="5" s="1"/>
  <c r="F919" i="5"/>
  <c r="G919" i="5" s="1"/>
  <c r="F920" i="5"/>
  <c r="G920" i="5" s="1"/>
  <c r="F921" i="5"/>
  <c r="G921" i="5" s="1"/>
  <c r="F922" i="5"/>
  <c r="G922" i="5" s="1"/>
  <c r="F923" i="5"/>
  <c r="G923" i="5" s="1"/>
  <c r="F924" i="5"/>
  <c r="G924" i="5" s="1"/>
  <c r="F925" i="5"/>
  <c r="G925" i="5" s="1"/>
  <c r="F926" i="5"/>
  <c r="G926" i="5" s="1"/>
  <c r="F927" i="5"/>
  <c r="G927" i="5" s="1"/>
  <c r="F928" i="5"/>
  <c r="G928" i="5" s="1"/>
  <c r="F929" i="5"/>
  <c r="G929" i="5" s="1"/>
  <c r="F930" i="5"/>
  <c r="G930" i="5" s="1"/>
  <c r="F931" i="5"/>
  <c r="G931" i="5" s="1"/>
  <c r="F932" i="5"/>
  <c r="G932" i="5" s="1"/>
  <c r="F933" i="5"/>
  <c r="G933" i="5" s="1"/>
  <c r="F934" i="5"/>
  <c r="G934" i="5" s="1"/>
  <c r="F935" i="5"/>
  <c r="G935" i="5" s="1"/>
  <c r="F936" i="5"/>
  <c r="G936" i="5" s="1"/>
  <c r="F937" i="5"/>
  <c r="G937" i="5" s="1"/>
  <c r="F938" i="5"/>
  <c r="G938" i="5" s="1"/>
  <c r="F939" i="5"/>
  <c r="G939" i="5" s="1"/>
  <c r="F940" i="5"/>
  <c r="G940" i="5" s="1"/>
  <c r="F941" i="5"/>
  <c r="G941" i="5" s="1"/>
  <c r="F942" i="5"/>
  <c r="G942" i="5" s="1"/>
  <c r="F943" i="5"/>
  <c r="G943" i="5" s="1"/>
  <c r="F944" i="5"/>
  <c r="G944" i="5" s="1"/>
  <c r="F945" i="5"/>
  <c r="G945" i="5" s="1"/>
  <c r="F946" i="5"/>
  <c r="G946" i="5" s="1"/>
  <c r="F947" i="5"/>
  <c r="G947" i="5" s="1"/>
  <c r="F948" i="5"/>
  <c r="G948" i="5" s="1"/>
  <c r="F949" i="5"/>
  <c r="G949" i="5" s="1"/>
  <c r="F950" i="5"/>
  <c r="G950" i="5" s="1"/>
  <c r="F951" i="5"/>
  <c r="G951" i="5" s="1"/>
  <c r="F952" i="5"/>
  <c r="G952" i="5" s="1"/>
  <c r="F953" i="5"/>
  <c r="G953" i="5" s="1"/>
  <c r="F954" i="5"/>
  <c r="G954" i="5" s="1"/>
  <c r="F955" i="5"/>
  <c r="G955" i="5" s="1"/>
  <c r="F956" i="5"/>
  <c r="G956" i="5" s="1"/>
  <c r="F957" i="5"/>
  <c r="G957" i="5" s="1"/>
  <c r="F958" i="5"/>
  <c r="G958" i="5" s="1"/>
  <c r="F959" i="5"/>
  <c r="G959" i="5" s="1"/>
  <c r="F960" i="5"/>
  <c r="G960" i="5" s="1"/>
  <c r="F961" i="5"/>
  <c r="G961" i="5" s="1"/>
  <c r="F962" i="5"/>
  <c r="G962" i="5" s="1"/>
  <c r="F963" i="5"/>
  <c r="G963" i="5" s="1"/>
  <c r="F964" i="5"/>
  <c r="G964" i="5" s="1"/>
  <c r="F965" i="5"/>
  <c r="G965" i="5" s="1"/>
  <c r="F966" i="5"/>
  <c r="G966" i="5" s="1"/>
  <c r="F967" i="5"/>
  <c r="G967" i="5" s="1"/>
  <c r="F968" i="5"/>
  <c r="G968" i="5" s="1"/>
  <c r="F969" i="5"/>
  <c r="G969" i="5" s="1"/>
  <c r="F970" i="5"/>
  <c r="G970" i="5" s="1"/>
  <c r="F971" i="5"/>
  <c r="G971" i="5" s="1"/>
  <c r="F972" i="5"/>
  <c r="G972" i="5" s="1"/>
  <c r="F973" i="5"/>
  <c r="G973" i="5" s="1"/>
  <c r="F974" i="5"/>
  <c r="G974" i="5" s="1"/>
  <c r="F975" i="5"/>
  <c r="G975" i="5" s="1"/>
  <c r="F976" i="5"/>
  <c r="G976" i="5" s="1"/>
  <c r="F977" i="5"/>
  <c r="G977" i="5" s="1"/>
  <c r="F978" i="5"/>
  <c r="G978" i="5" s="1"/>
  <c r="F979" i="5"/>
  <c r="G979" i="5" s="1"/>
  <c r="F980" i="5"/>
  <c r="G980" i="5" s="1"/>
  <c r="F981" i="5"/>
  <c r="G981" i="5" s="1"/>
  <c r="F982" i="5"/>
  <c r="G982" i="5" s="1"/>
  <c r="F983" i="5"/>
  <c r="G983" i="5" s="1"/>
  <c r="F984" i="5"/>
  <c r="G984" i="5" s="1"/>
  <c r="F985" i="5"/>
  <c r="G985" i="5" s="1"/>
  <c r="F986" i="5"/>
  <c r="G986" i="5" s="1"/>
  <c r="F987" i="5"/>
  <c r="G987" i="5" s="1"/>
  <c r="F988" i="5"/>
  <c r="G988" i="5" s="1"/>
  <c r="F989" i="5"/>
  <c r="G989" i="5" s="1"/>
  <c r="F990" i="5"/>
  <c r="G990" i="5" s="1"/>
  <c r="F991" i="5"/>
  <c r="G991" i="5" s="1"/>
  <c r="F992" i="5"/>
  <c r="G992" i="5" s="1"/>
  <c r="F993" i="5"/>
  <c r="G993" i="5" s="1"/>
  <c r="F994" i="5"/>
  <c r="G994" i="5" s="1"/>
  <c r="F995" i="5"/>
  <c r="G995" i="5" s="1"/>
  <c r="F996" i="5"/>
  <c r="G996" i="5" s="1"/>
  <c r="F997" i="5"/>
  <c r="G997" i="5" s="1"/>
  <c r="F998" i="5"/>
  <c r="G998" i="5" s="1"/>
  <c r="F999" i="5"/>
  <c r="G999" i="5" s="1"/>
  <c r="F1000" i="5"/>
  <c r="G1000" i="5" s="1"/>
  <c r="F1001" i="5"/>
  <c r="G1001" i="5" s="1"/>
  <c r="F1002" i="5"/>
  <c r="G1002" i="5" s="1"/>
  <c r="F1003" i="5"/>
  <c r="G1003" i="5" s="1"/>
  <c r="F1004" i="5"/>
  <c r="G1004" i="5" s="1"/>
  <c r="F1005" i="5"/>
  <c r="G1005" i="5" s="1"/>
  <c r="F1006" i="5"/>
  <c r="G1006" i="5" s="1"/>
  <c r="F1007" i="5"/>
  <c r="G1007" i="5" s="1"/>
  <c r="F1008" i="5"/>
  <c r="G1008" i="5" s="1"/>
  <c r="F1009" i="5"/>
  <c r="G1009" i="5" s="1"/>
  <c r="F1010" i="5"/>
  <c r="G1010" i="5" s="1"/>
  <c r="F1011" i="5"/>
  <c r="G1011" i="5" s="1"/>
  <c r="F1012" i="5"/>
  <c r="G1012" i="5" s="1"/>
  <c r="F1013" i="5"/>
  <c r="G1013" i="5" s="1"/>
  <c r="F1014" i="5"/>
  <c r="G1014" i="5" s="1"/>
  <c r="F1015" i="5"/>
  <c r="G1015" i="5" s="1"/>
  <c r="F1016" i="5"/>
  <c r="G1016" i="5" s="1"/>
  <c r="F1017" i="5"/>
  <c r="G1017" i="5" s="1"/>
  <c r="F1018" i="5"/>
  <c r="G1018" i="5" s="1"/>
  <c r="F1019" i="5"/>
  <c r="G1019" i="5" s="1"/>
  <c r="F1020" i="5"/>
  <c r="G1020" i="5" s="1"/>
  <c r="F1021" i="5"/>
  <c r="G1021" i="5" s="1"/>
  <c r="F1022" i="5"/>
  <c r="G1022" i="5" s="1"/>
  <c r="F1023" i="5"/>
  <c r="G1023" i="5" s="1"/>
  <c r="F1024" i="5"/>
  <c r="G1024" i="5" s="1"/>
  <c r="F1025" i="5"/>
  <c r="G1025" i="5" s="1"/>
  <c r="F1026" i="5"/>
  <c r="G1026" i="5" s="1"/>
  <c r="F1027" i="5"/>
  <c r="G1027" i="5" s="1"/>
  <c r="F1028" i="5"/>
  <c r="G1028" i="5" s="1"/>
  <c r="F1029" i="5"/>
  <c r="G1029" i="5" s="1"/>
  <c r="F1030" i="5"/>
  <c r="G1030" i="5" s="1"/>
  <c r="F1031" i="5"/>
  <c r="G1031" i="5" s="1"/>
  <c r="F1032" i="5"/>
  <c r="G1032" i="5" s="1"/>
  <c r="F1033" i="5"/>
  <c r="G1033" i="5" s="1"/>
  <c r="F1034" i="5"/>
  <c r="G1034" i="5" s="1"/>
  <c r="F1035" i="5"/>
  <c r="G1035" i="5" s="1"/>
  <c r="F1036" i="5"/>
  <c r="G1036" i="5" s="1"/>
  <c r="F1037" i="5"/>
  <c r="G1037" i="5" s="1"/>
  <c r="F1038" i="5"/>
  <c r="G1038" i="5" s="1"/>
  <c r="F1039" i="5"/>
  <c r="G1039" i="5" s="1"/>
  <c r="F1040" i="5"/>
  <c r="G1040" i="5" s="1"/>
  <c r="F1041" i="5"/>
  <c r="G1041" i="5" s="1"/>
  <c r="F1042" i="5"/>
  <c r="G1042" i="5" s="1"/>
  <c r="F1043" i="5"/>
  <c r="G1043" i="5" s="1"/>
  <c r="F1044" i="5"/>
  <c r="G1044" i="5" s="1"/>
  <c r="F1045" i="5"/>
  <c r="G1045" i="5" s="1"/>
  <c r="F1046" i="5"/>
  <c r="G1046" i="5" s="1"/>
  <c r="F1047" i="5"/>
  <c r="G1047" i="5" s="1"/>
  <c r="F1048" i="5"/>
  <c r="G1048" i="5" s="1"/>
  <c r="F1049" i="5"/>
  <c r="G1049" i="5" s="1"/>
  <c r="F1050" i="5"/>
  <c r="G1050" i="5" s="1"/>
  <c r="F1051" i="5"/>
  <c r="G1051" i="5" s="1"/>
  <c r="F1052" i="5"/>
  <c r="G1052" i="5" s="1"/>
  <c r="F1053" i="5"/>
  <c r="G1053" i="5" s="1"/>
  <c r="F1054" i="5"/>
  <c r="G1054" i="5" s="1"/>
  <c r="F1055" i="5"/>
  <c r="G1055" i="5" s="1"/>
  <c r="F1056" i="5"/>
  <c r="G1056" i="5" s="1"/>
  <c r="F1057" i="5"/>
  <c r="G1057" i="5" s="1"/>
  <c r="F1058" i="5"/>
  <c r="G1058" i="5" s="1"/>
  <c r="F1059" i="5"/>
  <c r="G1059" i="5" s="1"/>
  <c r="F1060" i="5"/>
  <c r="G1060" i="5" s="1"/>
  <c r="F1061" i="5"/>
  <c r="G1061" i="5" s="1"/>
  <c r="F1062" i="5"/>
  <c r="G1062" i="5" s="1"/>
  <c r="F1063" i="5"/>
  <c r="G1063" i="5" s="1"/>
  <c r="F1064" i="5"/>
  <c r="G1064" i="5" s="1"/>
  <c r="F1065" i="5"/>
  <c r="G1065" i="5" s="1"/>
  <c r="F1066" i="5"/>
  <c r="G1066" i="5" s="1"/>
  <c r="F1067" i="5"/>
  <c r="G1067" i="5" s="1"/>
  <c r="F1068" i="5"/>
  <c r="G1068" i="5" s="1"/>
  <c r="F1069" i="5"/>
  <c r="G1069" i="5" s="1"/>
  <c r="F1070" i="5"/>
  <c r="G1070" i="5" s="1"/>
  <c r="F1071" i="5"/>
  <c r="G1071" i="5" s="1"/>
  <c r="F1072" i="5"/>
  <c r="G1072" i="5" s="1"/>
  <c r="F1073" i="5"/>
  <c r="G1073" i="5" s="1"/>
  <c r="F1074" i="5"/>
  <c r="G1074" i="5" s="1"/>
  <c r="F1075" i="5"/>
  <c r="G1075" i="5" s="1"/>
  <c r="F1076" i="5"/>
  <c r="G1076" i="5" s="1"/>
  <c r="F1077" i="5"/>
  <c r="G1077" i="5" s="1"/>
  <c r="F1078" i="5"/>
  <c r="G1078" i="5" s="1"/>
  <c r="F1079" i="5"/>
  <c r="G1079" i="5" s="1"/>
  <c r="F1080" i="5"/>
  <c r="G1080" i="5" s="1"/>
  <c r="F1081" i="5"/>
  <c r="G1081" i="5" s="1"/>
  <c r="F1082" i="5"/>
  <c r="G1082" i="5" s="1"/>
  <c r="F1083" i="5"/>
  <c r="G1083" i="5" s="1"/>
  <c r="F1084" i="5"/>
  <c r="G1084" i="5" s="1"/>
  <c r="F1085" i="5"/>
  <c r="G1085" i="5" s="1"/>
  <c r="F1086" i="5"/>
  <c r="G1086" i="5" s="1"/>
  <c r="F1087" i="5"/>
  <c r="G1087" i="5" s="1"/>
  <c r="F1088" i="5"/>
  <c r="G1088" i="5" s="1"/>
  <c r="F1089" i="5"/>
  <c r="G1089" i="5" s="1"/>
  <c r="F1090" i="5"/>
  <c r="G1090" i="5" s="1"/>
  <c r="F1091" i="5"/>
  <c r="G1091" i="5" s="1"/>
  <c r="F1092" i="5"/>
  <c r="G1092" i="5" s="1"/>
  <c r="F1093" i="5"/>
  <c r="G1093" i="5" s="1"/>
  <c r="F1094" i="5"/>
  <c r="G1094" i="5" s="1"/>
  <c r="F1095" i="5"/>
  <c r="G1095" i="5" s="1"/>
  <c r="F1096" i="5"/>
  <c r="G1096" i="5" s="1"/>
  <c r="F1097" i="5"/>
  <c r="G1097" i="5" s="1"/>
  <c r="F1098" i="5"/>
  <c r="G1098" i="5" s="1"/>
  <c r="F1099" i="5"/>
  <c r="G1099" i="5" s="1"/>
  <c r="F1100" i="5"/>
  <c r="G1100" i="5" s="1"/>
  <c r="F1101" i="5"/>
  <c r="G1101" i="5" s="1"/>
  <c r="F1102" i="5"/>
  <c r="G1102" i="5" s="1"/>
  <c r="F1103" i="5"/>
  <c r="G1103" i="5" s="1"/>
  <c r="F1104" i="5"/>
  <c r="G1104" i="5" s="1"/>
  <c r="F1105" i="5"/>
  <c r="G1105" i="5" s="1"/>
  <c r="F1106" i="5"/>
  <c r="G1106" i="5" s="1"/>
  <c r="F1107" i="5"/>
  <c r="G1107" i="5" s="1"/>
  <c r="F1108" i="5"/>
  <c r="G1108" i="5" s="1"/>
  <c r="F1109" i="5"/>
  <c r="G1109" i="5" s="1"/>
  <c r="F1110" i="5"/>
  <c r="G1110" i="5" s="1"/>
  <c r="F1111" i="5"/>
  <c r="G1111" i="5" s="1"/>
  <c r="F1112" i="5"/>
  <c r="G1112" i="5" s="1"/>
  <c r="F1113" i="5"/>
  <c r="G1113" i="5" s="1"/>
  <c r="F1114" i="5"/>
  <c r="G1114" i="5" s="1"/>
  <c r="F1115" i="5"/>
  <c r="G1115" i="5" s="1"/>
  <c r="F1116" i="5"/>
  <c r="G1116" i="5" s="1"/>
  <c r="F1117" i="5"/>
  <c r="G1117" i="5" s="1"/>
  <c r="F1118" i="5"/>
  <c r="G1118" i="5" s="1"/>
  <c r="F1119" i="5"/>
  <c r="G1119" i="5" s="1"/>
  <c r="F1120" i="5"/>
  <c r="G1120" i="5" s="1"/>
  <c r="F1121" i="5"/>
  <c r="G1121" i="5" s="1"/>
  <c r="F1122" i="5"/>
  <c r="G1122" i="5" s="1"/>
  <c r="F1123" i="5"/>
  <c r="G1123" i="5" s="1"/>
  <c r="F1124" i="5"/>
  <c r="G1124" i="5" s="1"/>
  <c r="F1125" i="5"/>
  <c r="G1125" i="5" s="1"/>
  <c r="F1126" i="5"/>
  <c r="G1126" i="5" s="1"/>
  <c r="F1127" i="5"/>
  <c r="G1127" i="5" s="1"/>
  <c r="F1128" i="5"/>
  <c r="G1128" i="5" s="1"/>
  <c r="F1129" i="5"/>
  <c r="G1129" i="5" s="1"/>
  <c r="F1130" i="5"/>
  <c r="G1130" i="5" s="1"/>
  <c r="F1131" i="5"/>
  <c r="G1131" i="5" s="1"/>
  <c r="F1132" i="5"/>
  <c r="G1132" i="5" s="1"/>
  <c r="F1133" i="5"/>
  <c r="G1133" i="5" s="1"/>
  <c r="F1134" i="5"/>
  <c r="G1134" i="5" s="1"/>
  <c r="F1135" i="5"/>
  <c r="G1135" i="5" s="1"/>
  <c r="F1136" i="5"/>
  <c r="G1136" i="5" s="1"/>
  <c r="F1137" i="5"/>
  <c r="G1137" i="5" s="1"/>
  <c r="F1138" i="5"/>
  <c r="G1138" i="5" s="1"/>
  <c r="F1139" i="5"/>
  <c r="G1139" i="5" s="1"/>
  <c r="F1140" i="5"/>
  <c r="G1140" i="5" s="1"/>
  <c r="F1141" i="5"/>
  <c r="G1141" i="5" s="1"/>
  <c r="F1142" i="5"/>
  <c r="G1142" i="5" s="1"/>
  <c r="F1143" i="5"/>
  <c r="G1143" i="5" s="1"/>
  <c r="F1144" i="5"/>
  <c r="G1144" i="5" s="1"/>
  <c r="F1145" i="5"/>
  <c r="G1145" i="5" s="1"/>
  <c r="F1146" i="5"/>
  <c r="G1146" i="5" s="1"/>
  <c r="F1147" i="5"/>
  <c r="G1147" i="5" s="1"/>
  <c r="F1148" i="5"/>
  <c r="G1148" i="5" s="1"/>
  <c r="F1149" i="5"/>
  <c r="G1149" i="5" s="1"/>
  <c r="F1150" i="5"/>
  <c r="G1150" i="5" s="1"/>
  <c r="F1151" i="5"/>
  <c r="G1151" i="5" s="1"/>
  <c r="F1152" i="5"/>
  <c r="G1152" i="5" s="1"/>
  <c r="F1153" i="5"/>
  <c r="G1153" i="5" s="1"/>
  <c r="F1154" i="5"/>
  <c r="G1154" i="5" s="1"/>
  <c r="F1155" i="5"/>
  <c r="G1155" i="5" s="1"/>
  <c r="F1156" i="5"/>
  <c r="G1156" i="5" s="1"/>
  <c r="F1157" i="5"/>
  <c r="G1157" i="5" s="1"/>
  <c r="F1158" i="5"/>
  <c r="G1158" i="5" s="1"/>
  <c r="F1159" i="5"/>
  <c r="G1159" i="5" s="1"/>
  <c r="F1160" i="5"/>
  <c r="G1160" i="5" s="1"/>
  <c r="F1161" i="5"/>
  <c r="G1161" i="5" s="1"/>
  <c r="F1162" i="5"/>
  <c r="G1162" i="5" s="1"/>
  <c r="F1163" i="5"/>
  <c r="G1163" i="5" s="1"/>
  <c r="F1164" i="5"/>
  <c r="G1164" i="5" s="1"/>
  <c r="F1165" i="5"/>
  <c r="G1165" i="5" s="1"/>
  <c r="F1166" i="5"/>
  <c r="G1166" i="5" s="1"/>
  <c r="F1167" i="5"/>
  <c r="G1167" i="5" s="1"/>
  <c r="F1168" i="5"/>
  <c r="G1168" i="5" s="1"/>
  <c r="F1169" i="5"/>
  <c r="G1169" i="5" s="1"/>
  <c r="F1170" i="5"/>
  <c r="G1170" i="5" s="1"/>
  <c r="F1171" i="5"/>
  <c r="G1171" i="5" s="1"/>
  <c r="F1172" i="5"/>
  <c r="G1172" i="5" s="1"/>
  <c r="F1173" i="5"/>
  <c r="G1173" i="5" s="1"/>
  <c r="F1174" i="5"/>
  <c r="G1174" i="5" s="1"/>
  <c r="F1175" i="5"/>
  <c r="G1175" i="5" s="1"/>
  <c r="F1176" i="5"/>
  <c r="G1176" i="5" s="1"/>
  <c r="F1177" i="5"/>
  <c r="G1177" i="5" s="1"/>
  <c r="F1178" i="5"/>
  <c r="G1178" i="5" s="1"/>
  <c r="F1179" i="5"/>
  <c r="G1179" i="5" s="1"/>
  <c r="F1180" i="5"/>
  <c r="G1180" i="5" s="1"/>
  <c r="F1181" i="5"/>
  <c r="G1181" i="5" s="1"/>
  <c r="F1182" i="5"/>
  <c r="G1182" i="5" s="1"/>
  <c r="F1183" i="5"/>
  <c r="G1183" i="5" s="1"/>
  <c r="F1184" i="5"/>
  <c r="G1184" i="5" s="1"/>
  <c r="F1185" i="5"/>
  <c r="G1185" i="5" s="1"/>
  <c r="F1186" i="5"/>
  <c r="G1186" i="5" s="1"/>
  <c r="F1187" i="5"/>
  <c r="G1187" i="5" s="1"/>
  <c r="F1188" i="5"/>
  <c r="G1188" i="5" s="1"/>
  <c r="F1189" i="5"/>
  <c r="G1189" i="5" s="1"/>
  <c r="F1190" i="5"/>
  <c r="G1190" i="5" s="1"/>
  <c r="F1191" i="5"/>
  <c r="G1191" i="5" s="1"/>
  <c r="F1192" i="5"/>
  <c r="G1192" i="5" s="1"/>
  <c r="F1193" i="5"/>
  <c r="G1193" i="5" s="1"/>
  <c r="F1194" i="5"/>
  <c r="G1194" i="5" s="1"/>
  <c r="F1195" i="5"/>
  <c r="G1195" i="5" s="1"/>
  <c r="F1196" i="5"/>
  <c r="G1196" i="5" s="1"/>
  <c r="F1197" i="5"/>
  <c r="G1197" i="5" s="1"/>
  <c r="F1198" i="5"/>
  <c r="G1198" i="5" s="1"/>
  <c r="F1199" i="5"/>
  <c r="G1199" i="5" s="1"/>
  <c r="F1200" i="5"/>
  <c r="G1200" i="5" s="1"/>
  <c r="F1201" i="5"/>
  <c r="G1201" i="5" s="1"/>
  <c r="F1202" i="5"/>
  <c r="G1202" i="5" s="1"/>
  <c r="F1203" i="5"/>
  <c r="G1203" i="5" s="1"/>
  <c r="F1204" i="5"/>
  <c r="G1204" i="5" s="1"/>
  <c r="F1205" i="5"/>
  <c r="G1205" i="5" s="1"/>
  <c r="F1206" i="5"/>
  <c r="G1206" i="5" s="1"/>
  <c r="F1207" i="5"/>
  <c r="G1207" i="5" s="1"/>
  <c r="F1208" i="5"/>
  <c r="G1208" i="5" s="1"/>
  <c r="F1209" i="5"/>
  <c r="G1209" i="5" s="1"/>
  <c r="F1210" i="5"/>
  <c r="G1210" i="5" s="1"/>
  <c r="F1211" i="5"/>
  <c r="G1211" i="5" s="1"/>
  <c r="F1212" i="5"/>
  <c r="G1212" i="5" s="1"/>
  <c r="F1213" i="5"/>
  <c r="G1213" i="5" s="1"/>
  <c r="F1214" i="5"/>
  <c r="G1214" i="5" s="1"/>
  <c r="F1215" i="5"/>
  <c r="G1215" i="5" s="1"/>
  <c r="F1216" i="5"/>
  <c r="G1216" i="5" s="1"/>
  <c r="F1217" i="5"/>
  <c r="G1217" i="5" s="1"/>
  <c r="F1218" i="5"/>
  <c r="G1218" i="5" s="1"/>
  <c r="F1219" i="5"/>
  <c r="G1219" i="5" s="1"/>
  <c r="F1220" i="5"/>
  <c r="G1220" i="5" s="1"/>
  <c r="F1221" i="5"/>
  <c r="G1221" i="5" s="1"/>
  <c r="F1222" i="5"/>
  <c r="G1222" i="5" s="1"/>
  <c r="F1223" i="5"/>
  <c r="G1223" i="5" s="1"/>
  <c r="F1224" i="5"/>
  <c r="G1224" i="5" s="1"/>
  <c r="F1225" i="5"/>
  <c r="G1225" i="5" s="1"/>
  <c r="F1226" i="5"/>
  <c r="G1226" i="5" s="1"/>
  <c r="F1227" i="5"/>
  <c r="G1227" i="5" s="1"/>
  <c r="F1228" i="5"/>
  <c r="G1228" i="5" s="1"/>
  <c r="F1229" i="5"/>
  <c r="G1229" i="5" s="1"/>
  <c r="F1230" i="5"/>
  <c r="G1230" i="5" s="1"/>
  <c r="F1231" i="5"/>
  <c r="G1231" i="5" s="1"/>
  <c r="F1232" i="5"/>
  <c r="G1232" i="5" s="1"/>
  <c r="F1233" i="5"/>
  <c r="G1233" i="5" s="1"/>
  <c r="F1234" i="5"/>
  <c r="G1234" i="5" s="1"/>
  <c r="F1235" i="5"/>
  <c r="G1235" i="5" s="1"/>
  <c r="F1236" i="5"/>
  <c r="G1236" i="5" s="1"/>
  <c r="F1237" i="5"/>
  <c r="G1237" i="5" s="1"/>
  <c r="F1238" i="5"/>
  <c r="G1238" i="5" s="1"/>
  <c r="F1239" i="5"/>
  <c r="G1239" i="5" s="1"/>
  <c r="F1240" i="5"/>
  <c r="G1240" i="5" s="1"/>
  <c r="F1241" i="5"/>
  <c r="G1241" i="5" s="1"/>
  <c r="F1242" i="5"/>
  <c r="G1242" i="5" s="1"/>
  <c r="F1243" i="5"/>
  <c r="G1243" i="5" s="1"/>
  <c r="F1244" i="5"/>
  <c r="G1244" i="5" s="1"/>
  <c r="F1245" i="5"/>
  <c r="G1245" i="5" s="1"/>
  <c r="F1246" i="5"/>
  <c r="G1246" i="5" s="1"/>
  <c r="F1247" i="5"/>
  <c r="G1247" i="5" s="1"/>
  <c r="F1248" i="5"/>
  <c r="G1248" i="5" s="1"/>
  <c r="F1249" i="5"/>
  <c r="G1249" i="5" s="1"/>
  <c r="F1250" i="5"/>
  <c r="G1250" i="5" s="1"/>
  <c r="F1251" i="5"/>
  <c r="G1251" i="5" s="1"/>
  <c r="F1252" i="5"/>
  <c r="G1252" i="5" s="1"/>
  <c r="F1253" i="5"/>
  <c r="G1253" i="5" s="1"/>
  <c r="F1254" i="5"/>
  <c r="G1254" i="5" s="1"/>
  <c r="F1255" i="5"/>
  <c r="G1255" i="5" s="1"/>
  <c r="F1256" i="5"/>
  <c r="G1256" i="5" s="1"/>
  <c r="F1257" i="5"/>
  <c r="G1257" i="5" s="1"/>
  <c r="F1258" i="5"/>
  <c r="G1258" i="5" s="1"/>
  <c r="F1259" i="5"/>
  <c r="G1259" i="5" s="1"/>
  <c r="F1260" i="5"/>
  <c r="G1260" i="5" s="1"/>
  <c r="F1261" i="5"/>
  <c r="G1261" i="5" s="1"/>
  <c r="F1262" i="5"/>
  <c r="G1262" i="5" s="1"/>
  <c r="F1263" i="5"/>
  <c r="G1263" i="5" s="1"/>
  <c r="F1264" i="5"/>
  <c r="G1264" i="5" s="1"/>
  <c r="F1265" i="5"/>
  <c r="G1265" i="5" s="1"/>
  <c r="F1266" i="5"/>
  <c r="G1266" i="5" s="1"/>
  <c r="F1267" i="5"/>
  <c r="G1267" i="5" s="1"/>
  <c r="F1268" i="5"/>
  <c r="G1268" i="5" s="1"/>
  <c r="F1269" i="5"/>
  <c r="G1269" i="5" s="1"/>
  <c r="F1270" i="5"/>
  <c r="G1270" i="5" s="1"/>
  <c r="F1271" i="5"/>
  <c r="G1271" i="5" s="1"/>
  <c r="F1272" i="5"/>
  <c r="G1272" i="5" s="1"/>
  <c r="F1273" i="5"/>
  <c r="G1273" i="5" s="1"/>
  <c r="F1274" i="5"/>
  <c r="G1274" i="5" s="1"/>
  <c r="F1275" i="5"/>
  <c r="G1275" i="5" s="1"/>
  <c r="F1276" i="5"/>
  <c r="G1276" i="5" s="1"/>
  <c r="F1277" i="5"/>
  <c r="G1277" i="5" s="1"/>
  <c r="F1278" i="5"/>
  <c r="G1278" i="5" s="1"/>
  <c r="F1279" i="5"/>
  <c r="G1279" i="5" s="1"/>
  <c r="F1280" i="5"/>
  <c r="G1280" i="5" s="1"/>
  <c r="F1281" i="5"/>
  <c r="G1281" i="5" s="1"/>
  <c r="F1282" i="5"/>
  <c r="G1282" i="5" s="1"/>
  <c r="F1283" i="5"/>
  <c r="G1283" i="5" s="1"/>
  <c r="F1284" i="5"/>
  <c r="G1284" i="5" s="1"/>
  <c r="F1285" i="5"/>
  <c r="G1285" i="5" s="1"/>
  <c r="F1286" i="5"/>
  <c r="G1286" i="5" s="1"/>
  <c r="F1287" i="5"/>
  <c r="G1287" i="5" s="1"/>
  <c r="F1288" i="5"/>
  <c r="G1288" i="5" s="1"/>
  <c r="F1289" i="5"/>
  <c r="G1289" i="5" s="1"/>
  <c r="F1290" i="5"/>
  <c r="G1290" i="5" s="1"/>
  <c r="F1291" i="5"/>
  <c r="G1291" i="5" s="1"/>
  <c r="F1292" i="5"/>
  <c r="G1292" i="5" s="1"/>
  <c r="F1293" i="5"/>
  <c r="G1293" i="5" s="1"/>
  <c r="F1294" i="5"/>
  <c r="G1294" i="5" s="1"/>
  <c r="F1295" i="5"/>
  <c r="G1295" i="5" s="1"/>
  <c r="F1296" i="5"/>
  <c r="G1296" i="5" s="1"/>
  <c r="F1297" i="5"/>
  <c r="G1297" i="5" s="1"/>
  <c r="F1298" i="5"/>
  <c r="G1298" i="5" s="1"/>
  <c r="F1299" i="5"/>
  <c r="G1299" i="5" s="1"/>
  <c r="F1300" i="5"/>
  <c r="G1300" i="5" s="1"/>
  <c r="F1301" i="5"/>
  <c r="G1301" i="5" s="1"/>
  <c r="F1302" i="5"/>
  <c r="G1302" i="5" s="1"/>
  <c r="F1303" i="5"/>
  <c r="G1303" i="5" s="1"/>
  <c r="F1304" i="5"/>
  <c r="G1304" i="5" s="1"/>
  <c r="F1305" i="5"/>
  <c r="G1305" i="5" s="1"/>
  <c r="F1306" i="5"/>
  <c r="G1306" i="5" s="1"/>
  <c r="F1307" i="5"/>
  <c r="G1307" i="5" s="1"/>
  <c r="F1308" i="5"/>
  <c r="G1308" i="5" s="1"/>
  <c r="F1309" i="5"/>
  <c r="G1309" i="5" s="1"/>
  <c r="F1310" i="5"/>
  <c r="G1310" i="5" s="1"/>
  <c r="F1311" i="5"/>
  <c r="G1311" i="5" s="1"/>
  <c r="F1312" i="5"/>
  <c r="G1312" i="5" s="1"/>
  <c r="F1313" i="5"/>
  <c r="G1313" i="5" s="1"/>
  <c r="F1314" i="5"/>
  <c r="G1314" i="5" s="1"/>
  <c r="F1315" i="5"/>
  <c r="G1315" i="5" s="1"/>
  <c r="F1316" i="5"/>
  <c r="G1316" i="5" s="1"/>
  <c r="F1317" i="5"/>
  <c r="G1317" i="5" s="1"/>
  <c r="F1318" i="5"/>
  <c r="G1318" i="5" s="1"/>
  <c r="F1319" i="5"/>
  <c r="G1319" i="5" s="1"/>
  <c r="F1320" i="5"/>
  <c r="G1320" i="5" s="1"/>
  <c r="F1321" i="5"/>
  <c r="G1321" i="5" s="1"/>
  <c r="F1322" i="5"/>
  <c r="G1322" i="5" s="1"/>
  <c r="F1323" i="5"/>
  <c r="G1323" i="5" s="1"/>
  <c r="F1324" i="5"/>
  <c r="G1324" i="5" s="1"/>
  <c r="F1325" i="5"/>
  <c r="G1325" i="5" s="1"/>
  <c r="F1326" i="5"/>
  <c r="G1326" i="5" s="1"/>
  <c r="F1327" i="5"/>
  <c r="G1327" i="5" s="1"/>
  <c r="F1328" i="5"/>
  <c r="G1328" i="5" s="1"/>
  <c r="F1329" i="5"/>
  <c r="G1329" i="5" s="1"/>
  <c r="F1330" i="5"/>
  <c r="G1330" i="5" s="1"/>
  <c r="F1331" i="5"/>
  <c r="G1331" i="5" s="1"/>
  <c r="F1332" i="5"/>
  <c r="G1332" i="5" s="1"/>
  <c r="F1333" i="5"/>
  <c r="G1333" i="5" s="1"/>
  <c r="F1334" i="5"/>
  <c r="G1334" i="5" s="1"/>
  <c r="F1335" i="5"/>
  <c r="G1335" i="5" s="1"/>
  <c r="F1336" i="5"/>
  <c r="G1336" i="5" s="1"/>
  <c r="F1337" i="5"/>
  <c r="G1337" i="5" s="1"/>
  <c r="F1338" i="5"/>
  <c r="G1338" i="5" s="1"/>
  <c r="F1339" i="5"/>
  <c r="G1339" i="5" s="1"/>
  <c r="F1340" i="5"/>
  <c r="G1340" i="5" s="1"/>
  <c r="F1341" i="5"/>
  <c r="G1341" i="5" s="1"/>
  <c r="F1342" i="5"/>
  <c r="G1342" i="5" s="1"/>
  <c r="F1343" i="5"/>
  <c r="G1343" i="5" s="1"/>
  <c r="F1344" i="5"/>
  <c r="G1344" i="5" s="1"/>
  <c r="F1345" i="5"/>
  <c r="G1345" i="5" s="1"/>
  <c r="F1346" i="5"/>
  <c r="G1346" i="5" s="1"/>
  <c r="F1347" i="5"/>
  <c r="G1347" i="5" s="1"/>
  <c r="F1348" i="5"/>
  <c r="G1348" i="5" s="1"/>
  <c r="F1349" i="5"/>
  <c r="G1349" i="5" s="1"/>
  <c r="F1350" i="5"/>
  <c r="G1350" i="5" s="1"/>
  <c r="F1351" i="5"/>
  <c r="G1351" i="5" s="1"/>
  <c r="F1352" i="5"/>
  <c r="G1352" i="5" s="1"/>
  <c r="F1353" i="5"/>
  <c r="G1353" i="5" s="1"/>
  <c r="F1354" i="5"/>
  <c r="G1354" i="5" s="1"/>
  <c r="F1355" i="5"/>
  <c r="G1355" i="5" s="1"/>
  <c r="F1356" i="5"/>
  <c r="G1356" i="5" s="1"/>
  <c r="F1357" i="5"/>
  <c r="G1357" i="5" s="1"/>
  <c r="F1358" i="5"/>
  <c r="G1358" i="5" s="1"/>
  <c r="F1359" i="5"/>
  <c r="G1359" i="5" s="1"/>
  <c r="F1360" i="5"/>
  <c r="G1360" i="5" s="1"/>
  <c r="F1361" i="5"/>
  <c r="G1361" i="5" s="1"/>
  <c r="F1362" i="5"/>
  <c r="G1362" i="5" s="1"/>
  <c r="F1363" i="5"/>
  <c r="G1363" i="5" s="1"/>
  <c r="F1364" i="5"/>
  <c r="G1364" i="5" s="1"/>
  <c r="F1365" i="5"/>
  <c r="G1365" i="5" s="1"/>
  <c r="F1366" i="5"/>
  <c r="G1366" i="5" s="1"/>
  <c r="F1367" i="5"/>
  <c r="G1367" i="5" s="1"/>
  <c r="F1368" i="5"/>
  <c r="G1368" i="5" s="1"/>
  <c r="F1369" i="5"/>
  <c r="G1369" i="5" s="1"/>
  <c r="F1370" i="5"/>
  <c r="G1370" i="5" s="1"/>
  <c r="F1371" i="5"/>
  <c r="G1371" i="5" s="1"/>
  <c r="F1372" i="5"/>
  <c r="G1372" i="5" s="1"/>
  <c r="F1373" i="5"/>
  <c r="G1373" i="5" s="1"/>
  <c r="F1374" i="5"/>
  <c r="G1374" i="5" s="1"/>
  <c r="F1375" i="5"/>
  <c r="G1375" i="5" s="1"/>
  <c r="F1376" i="5"/>
  <c r="G1376" i="5" s="1"/>
  <c r="F1377" i="5"/>
  <c r="G1377" i="5" s="1"/>
  <c r="F1378" i="5"/>
  <c r="G1378" i="5" s="1"/>
  <c r="F1379" i="5"/>
  <c r="G1379" i="5" s="1"/>
  <c r="F1380" i="5"/>
  <c r="G1380" i="5" s="1"/>
  <c r="F1381" i="5"/>
  <c r="G1381" i="5" s="1"/>
  <c r="F1382" i="5"/>
  <c r="G1382" i="5" s="1"/>
  <c r="F1383" i="5"/>
  <c r="G1383" i="5" s="1"/>
  <c r="F1384" i="5"/>
  <c r="G1384" i="5" s="1"/>
  <c r="F1385" i="5"/>
  <c r="G1385" i="5" s="1"/>
  <c r="F1386" i="5"/>
  <c r="G1386" i="5" s="1"/>
  <c r="F1387" i="5"/>
  <c r="G1387" i="5" s="1"/>
  <c r="F1388" i="5"/>
  <c r="G1388" i="5" s="1"/>
  <c r="F1389" i="5"/>
  <c r="G1389" i="5" s="1"/>
  <c r="F1390" i="5"/>
  <c r="G1390" i="5" s="1"/>
  <c r="F1391" i="5"/>
  <c r="G1391" i="5" s="1"/>
  <c r="F1392" i="5"/>
  <c r="G1392" i="5" s="1"/>
  <c r="F1393" i="5"/>
  <c r="G1393" i="5" s="1"/>
  <c r="F1394" i="5"/>
  <c r="G1394" i="5" s="1"/>
  <c r="F1395" i="5"/>
  <c r="G1395" i="5" s="1"/>
  <c r="F1396" i="5"/>
  <c r="G1396" i="5" s="1"/>
  <c r="F1397" i="5"/>
  <c r="G1397" i="5" s="1"/>
  <c r="F1398" i="5"/>
  <c r="G1398" i="5" s="1"/>
  <c r="F1399" i="5"/>
  <c r="G1399" i="5" s="1"/>
  <c r="F1400" i="5"/>
  <c r="G1400" i="5" s="1"/>
  <c r="F1401" i="5"/>
  <c r="G1401" i="5" s="1"/>
  <c r="F1402" i="5"/>
  <c r="G1402" i="5" s="1"/>
  <c r="F1403" i="5"/>
  <c r="G1403" i="5" s="1"/>
  <c r="F1404" i="5"/>
  <c r="G1404" i="5" s="1"/>
  <c r="F1405" i="5"/>
  <c r="G1405" i="5" s="1"/>
  <c r="F1406" i="5"/>
  <c r="G1406" i="5" s="1"/>
  <c r="F1407" i="5"/>
  <c r="G1407" i="5" s="1"/>
  <c r="F1408" i="5"/>
  <c r="G1408" i="5" s="1"/>
  <c r="F1409" i="5"/>
  <c r="G1409" i="5" s="1"/>
  <c r="F1410" i="5"/>
  <c r="G1410" i="5" s="1"/>
  <c r="F1411" i="5"/>
  <c r="G1411" i="5" s="1"/>
  <c r="F1412" i="5"/>
  <c r="G1412" i="5" s="1"/>
  <c r="F1413" i="5"/>
  <c r="G1413" i="5" s="1"/>
  <c r="F1414" i="5"/>
  <c r="G1414" i="5" s="1"/>
  <c r="F1415" i="5"/>
  <c r="G1415" i="5" s="1"/>
  <c r="F1416" i="5"/>
  <c r="G1416" i="5" s="1"/>
  <c r="F1417" i="5"/>
  <c r="G1417" i="5" s="1"/>
  <c r="F1418" i="5"/>
  <c r="G1418" i="5" s="1"/>
  <c r="F1419" i="5"/>
  <c r="G1419" i="5" s="1"/>
  <c r="F1420" i="5"/>
  <c r="G1420" i="5" s="1"/>
  <c r="F1421" i="5"/>
  <c r="G1421" i="5" s="1"/>
  <c r="F1422" i="5"/>
  <c r="G1422" i="5" s="1"/>
  <c r="F1423" i="5"/>
  <c r="G1423" i="5" s="1"/>
  <c r="F1424" i="5"/>
  <c r="G1424" i="5" s="1"/>
  <c r="F1425" i="5"/>
  <c r="G1425" i="5" s="1"/>
  <c r="F1426" i="5"/>
  <c r="G1426" i="5" s="1"/>
  <c r="F1427" i="5"/>
  <c r="G1427" i="5" s="1"/>
  <c r="F1428" i="5"/>
  <c r="G1428" i="5" s="1"/>
  <c r="F1429" i="5"/>
  <c r="G1429" i="5" s="1"/>
  <c r="F1430" i="5"/>
  <c r="G1430" i="5" s="1"/>
  <c r="F1431" i="5"/>
  <c r="G1431" i="5" s="1"/>
  <c r="F1432" i="5"/>
  <c r="G1432" i="5" s="1"/>
  <c r="F1433" i="5"/>
  <c r="G1433" i="5" s="1"/>
  <c r="F1434" i="5"/>
  <c r="G1434" i="5" s="1"/>
  <c r="F1435" i="5"/>
  <c r="G1435" i="5" s="1"/>
  <c r="F1436" i="5"/>
  <c r="G1436" i="5" s="1"/>
  <c r="F1437" i="5"/>
  <c r="G1437" i="5" s="1"/>
  <c r="F1438" i="5"/>
  <c r="G1438" i="5" s="1"/>
  <c r="F1439" i="5"/>
  <c r="G1439" i="5" s="1"/>
  <c r="F1440" i="5"/>
  <c r="G1440" i="5" s="1"/>
  <c r="F1441" i="5"/>
  <c r="G1441" i="5" s="1"/>
  <c r="F1442" i="5"/>
  <c r="G1442" i="5" s="1"/>
  <c r="F1443" i="5"/>
  <c r="G1443" i="5" s="1"/>
  <c r="F1444" i="5"/>
  <c r="G1444" i="5" s="1"/>
  <c r="F1445" i="5"/>
  <c r="G1445" i="5" s="1"/>
  <c r="F1446" i="5"/>
  <c r="G1446" i="5" s="1"/>
  <c r="F1447" i="5"/>
  <c r="G1447" i="5" s="1"/>
  <c r="F1448" i="5"/>
  <c r="G1448" i="5" s="1"/>
  <c r="F1449" i="5"/>
  <c r="G1449" i="5" s="1"/>
  <c r="F1450" i="5"/>
  <c r="G1450" i="5" s="1"/>
  <c r="F1451" i="5"/>
  <c r="G1451" i="5" s="1"/>
  <c r="F1452" i="5"/>
  <c r="G1452" i="5" s="1"/>
  <c r="F1453" i="5"/>
  <c r="G1453" i="5" s="1"/>
  <c r="F1454" i="5"/>
  <c r="G1454" i="5" s="1"/>
  <c r="F1455" i="5"/>
  <c r="G1455" i="5" s="1"/>
  <c r="F1456" i="5"/>
  <c r="G1456" i="5" s="1"/>
  <c r="F1457" i="5"/>
  <c r="G1457" i="5" s="1"/>
  <c r="F1458" i="5"/>
  <c r="G1458" i="5" s="1"/>
  <c r="F1459" i="5"/>
  <c r="G1459" i="5" s="1"/>
  <c r="F1460" i="5"/>
  <c r="G1460" i="5" s="1"/>
  <c r="F1461" i="5"/>
  <c r="G1461" i="5" s="1"/>
  <c r="F1462" i="5"/>
  <c r="G1462" i="5" s="1"/>
  <c r="F1463" i="5"/>
  <c r="G1463" i="5" s="1"/>
  <c r="F1464" i="5"/>
  <c r="G1464" i="5" s="1"/>
  <c r="F1465" i="5"/>
  <c r="G1465" i="5" s="1"/>
  <c r="F1466" i="5"/>
  <c r="G1466" i="5" s="1"/>
  <c r="F1467" i="5"/>
  <c r="G1467" i="5" s="1"/>
  <c r="F1468" i="5"/>
  <c r="G1468" i="5" s="1"/>
  <c r="F1469" i="5"/>
  <c r="G1469" i="5" s="1"/>
  <c r="F1470" i="5"/>
  <c r="G1470" i="5" s="1"/>
  <c r="F1471" i="5"/>
  <c r="G1471" i="5" s="1"/>
  <c r="F1472" i="5"/>
  <c r="G1472" i="5" s="1"/>
  <c r="F1473" i="5"/>
  <c r="G1473" i="5" s="1"/>
  <c r="F1474" i="5"/>
  <c r="G1474" i="5" s="1"/>
  <c r="F1475" i="5"/>
  <c r="G1475" i="5" s="1"/>
  <c r="F1476" i="5"/>
  <c r="G1476" i="5" s="1"/>
  <c r="F1477" i="5"/>
  <c r="G1477" i="5" s="1"/>
  <c r="F1478" i="5"/>
  <c r="G1478" i="5" s="1"/>
  <c r="F1479" i="5"/>
  <c r="G1479" i="5" s="1"/>
  <c r="F1480" i="5"/>
  <c r="G1480" i="5" s="1"/>
  <c r="F1481" i="5"/>
  <c r="G1481" i="5" s="1"/>
  <c r="F1482" i="5"/>
  <c r="G1482" i="5" s="1"/>
  <c r="F1483" i="5"/>
  <c r="G1483" i="5" s="1"/>
  <c r="F1484" i="5"/>
  <c r="G1484" i="5" s="1"/>
  <c r="F1485" i="5"/>
  <c r="G1485" i="5" s="1"/>
  <c r="F1486" i="5"/>
  <c r="G1486" i="5" s="1"/>
  <c r="F1487" i="5"/>
  <c r="G1487" i="5" s="1"/>
  <c r="F1488" i="5"/>
  <c r="G1488" i="5" s="1"/>
  <c r="F1489" i="5"/>
  <c r="G1489" i="5" s="1"/>
  <c r="F1490" i="5"/>
  <c r="G1490" i="5" s="1"/>
  <c r="F1491" i="5"/>
  <c r="G1491" i="5" s="1"/>
  <c r="F1492" i="5"/>
  <c r="G1492" i="5" s="1"/>
  <c r="F1493" i="5"/>
  <c r="G1493" i="5" s="1"/>
  <c r="F1494" i="5"/>
  <c r="G1494" i="5" s="1"/>
  <c r="F1495" i="5"/>
  <c r="G1495" i="5" s="1"/>
  <c r="F1496" i="5"/>
  <c r="G1496" i="5" s="1"/>
  <c r="F1497" i="5"/>
  <c r="G1497" i="5" s="1"/>
  <c r="F1498" i="5"/>
  <c r="G1498" i="5" s="1"/>
  <c r="F1499" i="5"/>
  <c r="G1499" i="5" s="1"/>
  <c r="F1500" i="5"/>
  <c r="G1500" i="5" s="1"/>
  <c r="F1501" i="5"/>
  <c r="G1501" i="5" s="1"/>
  <c r="F1502" i="5"/>
  <c r="G1502" i="5" s="1"/>
  <c r="F1503" i="5"/>
  <c r="G1503" i="5" s="1"/>
  <c r="F1504" i="5"/>
  <c r="G1504" i="5" s="1"/>
  <c r="F1505" i="5"/>
  <c r="G1505" i="5" s="1"/>
  <c r="F1506" i="5"/>
  <c r="G1506" i="5" s="1"/>
  <c r="F1507" i="5"/>
  <c r="G1507" i="5" s="1"/>
  <c r="F1508" i="5"/>
  <c r="G1508" i="5" s="1"/>
  <c r="F1509" i="5"/>
  <c r="G1509" i="5" s="1"/>
  <c r="F1510" i="5"/>
  <c r="G1510" i="5" s="1"/>
  <c r="F1511" i="5"/>
  <c r="G1511" i="5" s="1"/>
  <c r="F1512" i="5"/>
  <c r="G1512" i="5" s="1"/>
  <c r="F1513" i="5"/>
  <c r="G1513" i="5" s="1"/>
  <c r="F1514" i="5"/>
  <c r="G1514" i="5" s="1"/>
  <c r="F1515" i="5"/>
  <c r="G1515" i="5" s="1"/>
  <c r="F1516" i="5"/>
  <c r="G1516" i="5" s="1"/>
  <c r="F1517" i="5"/>
  <c r="G1517" i="5" s="1"/>
  <c r="F1518" i="5"/>
  <c r="G1518" i="5" s="1"/>
  <c r="F1519" i="5"/>
  <c r="G1519" i="5" s="1"/>
  <c r="F1520" i="5"/>
  <c r="G1520" i="5" s="1"/>
  <c r="F1521" i="5"/>
  <c r="G1521" i="5" s="1"/>
  <c r="F1522" i="5"/>
  <c r="G1522" i="5" s="1"/>
  <c r="F1523" i="5"/>
  <c r="G1523" i="5" s="1"/>
  <c r="F1524" i="5"/>
  <c r="G1524" i="5" s="1"/>
  <c r="F1525" i="5"/>
  <c r="G1525" i="5" s="1"/>
  <c r="F1526" i="5"/>
  <c r="G1526" i="5" s="1"/>
  <c r="F1527" i="5"/>
  <c r="G1527" i="5" s="1"/>
  <c r="F1528" i="5"/>
  <c r="G1528" i="5" s="1"/>
  <c r="F1529" i="5"/>
  <c r="G1529" i="5" s="1"/>
  <c r="F1530" i="5"/>
  <c r="G1530" i="5" s="1"/>
  <c r="F1531" i="5"/>
  <c r="G1531" i="5" s="1"/>
  <c r="F1532" i="5"/>
  <c r="G1532" i="5" s="1"/>
  <c r="F1533" i="5"/>
  <c r="G1533" i="5" s="1"/>
  <c r="F1534" i="5"/>
  <c r="G1534" i="5" s="1"/>
  <c r="F1535" i="5"/>
  <c r="G1535" i="5" s="1"/>
  <c r="F1536" i="5"/>
  <c r="G1536" i="5" s="1"/>
  <c r="F1537" i="5"/>
  <c r="G1537" i="5" s="1"/>
  <c r="F1538" i="5"/>
  <c r="G1538" i="5" s="1"/>
  <c r="F1539" i="5"/>
  <c r="G1539" i="5" s="1"/>
  <c r="F1540" i="5"/>
  <c r="G1540" i="5" s="1"/>
  <c r="F1541" i="5"/>
  <c r="G1541" i="5" s="1"/>
  <c r="F1542" i="5"/>
  <c r="G1542" i="5" s="1"/>
  <c r="F1543" i="5"/>
  <c r="G1543" i="5" s="1"/>
  <c r="F1544" i="5"/>
  <c r="G1544" i="5" s="1"/>
  <c r="F1545" i="5"/>
  <c r="G1545" i="5" s="1"/>
  <c r="F1546" i="5"/>
  <c r="G1546" i="5" s="1"/>
  <c r="F1547" i="5"/>
  <c r="G1547" i="5" s="1"/>
  <c r="F1548" i="5"/>
  <c r="G1548" i="5" s="1"/>
  <c r="F1549" i="5"/>
  <c r="G1549" i="5" s="1"/>
  <c r="F1550" i="5"/>
  <c r="G1550" i="5" s="1"/>
  <c r="F1551" i="5"/>
  <c r="G1551" i="5" s="1"/>
  <c r="F1552" i="5"/>
  <c r="G1552" i="5" s="1"/>
  <c r="F1553" i="5"/>
  <c r="G1553" i="5" s="1"/>
  <c r="F1554" i="5"/>
  <c r="G1554" i="5" s="1"/>
  <c r="F1555" i="5"/>
  <c r="G1555" i="5" s="1"/>
  <c r="F1556" i="5"/>
  <c r="G1556" i="5" s="1"/>
  <c r="F1557" i="5"/>
  <c r="G1557" i="5" s="1"/>
  <c r="F1558" i="5"/>
  <c r="G1558" i="5" s="1"/>
  <c r="F1559" i="5"/>
  <c r="G1559" i="5" s="1"/>
  <c r="F1560" i="5"/>
  <c r="G1560" i="5" s="1"/>
  <c r="F1561" i="5"/>
  <c r="G1561" i="5" s="1"/>
  <c r="F1562" i="5"/>
  <c r="G1562" i="5" s="1"/>
  <c r="F1563" i="5"/>
  <c r="G1563" i="5" s="1"/>
  <c r="F1564" i="5"/>
  <c r="G1564" i="5" s="1"/>
  <c r="F1565" i="5"/>
  <c r="G1565" i="5" s="1"/>
  <c r="F1566" i="5"/>
  <c r="G1566" i="5" s="1"/>
  <c r="F1567" i="5"/>
  <c r="G1567" i="5" s="1"/>
  <c r="F1568" i="5"/>
  <c r="G1568" i="5" s="1"/>
  <c r="F1569" i="5"/>
  <c r="G1569" i="5" s="1"/>
  <c r="F1570" i="5"/>
  <c r="G1570" i="5" s="1"/>
  <c r="F1571" i="5"/>
  <c r="G1571" i="5" s="1"/>
  <c r="F1572" i="5"/>
  <c r="G1572" i="5" s="1"/>
  <c r="F1573" i="5"/>
  <c r="G1573" i="5" s="1"/>
  <c r="F1574" i="5"/>
  <c r="G1574" i="5" s="1"/>
  <c r="F1575" i="5"/>
  <c r="G1575" i="5" s="1"/>
  <c r="F1576" i="5"/>
  <c r="G1576" i="5" s="1"/>
  <c r="F1577" i="5"/>
  <c r="G1577" i="5" s="1"/>
  <c r="F1578" i="5"/>
  <c r="G1578" i="5" s="1"/>
  <c r="F1579" i="5"/>
  <c r="G1579" i="5" s="1"/>
  <c r="F1580" i="5"/>
  <c r="G1580" i="5" s="1"/>
  <c r="F1581" i="5"/>
  <c r="G1581" i="5" s="1"/>
  <c r="F1582" i="5"/>
  <c r="G1582" i="5" s="1"/>
  <c r="F1583" i="5"/>
  <c r="G1583" i="5" s="1"/>
  <c r="F1584" i="5"/>
  <c r="G1584" i="5" s="1"/>
  <c r="F1585" i="5"/>
  <c r="G1585" i="5" s="1"/>
  <c r="F1586" i="5"/>
  <c r="G1586" i="5" s="1"/>
  <c r="F1587" i="5"/>
  <c r="G1587" i="5" s="1"/>
  <c r="F1588" i="5"/>
  <c r="G1588" i="5" s="1"/>
  <c r="F1589" i="5"/>
  <c r="G1589" i="5" s="1"/>
  <c r="F1590" i="5"/>
  <c r="G1590" i="5" s="1"/>
  <c r="F1591" i="5"/>
  <c r="G1591" i="5" s="1"/>
  <c r="F1592" i="5"/>
  <c r="G1592" i="5" s="1"/>
  <c r="F1593" i="5"/>
  <c r="G1593" i="5" s="1"/>
  <c r="F1594" i="5"/>
  <c r="G1594" i="5" s="1"/>
  <c r="F1595" i="5"/>
  <c r="G1595" i="5" s="1"/>
  <c r="F1596" i="5"/>
  <c r="G1596" i="5" s="1"/>
  <c r="F1597" i="5"/>
  <c r="G1597" i="5" s="1"/>
  <c r="F1598" i="5"/>
  <c r="G1598" i="5" s="1"/>
  <c r="F1599" i="5"/>
  <c r="G1599" i="5" s="1"/>
  <c r="F1600" i="5"/>
  <c r="G1600" i="5" s="1"/>
  <c r="F1601" i="5"/>
  <c r="G1601" i="5" s="1"/>
  <c r="F1602" i="5"/>
  <c r="G1602" i="5" s="1"/>
  <c r="F1603" i="5"/>
  <c r="G1603" i="5" s="1"/>
  <c r="F1604" i="5"/>
  <c r="G1604" i="5" s="1"/>
  <c r="F1605" i="5"/>
  <c r="G1605" i="5" s="1"/>
  <c r="F1606" i="5"/>
  <c r="G1606" i="5" s="1"/>
  <c r="F1607" i="5"/>
  <c r="G1607" i="5" s="1"/>
  <c r="F1608" i="5"/>
  <c r="G1608" i="5" s="1"/>
  <c r="F1609" i="5"/>
  <c r="G1609" i="5" s="1"/>
  <c r="F1610" i="5"/>
  <c r="G1610" i="5" s="1"/>
  <c r="F1611" i="5"/>
  <c r="G1611" i="5" s="1"/>
  <c r="F1612" i="5"/>
  <c r="G1612" i="5" s="1"/>
  <c r="F1613" i="5"/>
  <c r="G1613" i="5" s="1"/>
  <c r="F1614" i="5"/>
  <c r="G1614" i="5" s="1"/>
  <c r="F1615" i="5"/>
  <c r="G1615" i="5" s="1"/>
  <c r="F1616" i="5"/>
  <c r="G1616" i="5" s="1"/>
  <c r="F1617" i="5"/>
  <c r="G1617" i="5" s="1"/>
  <c r="F1618" i="5"/>
  <c r="G1618" i="5" s="1"/>
  <c r="F1619" i="5"/>
  <c r="G1619" i="5" s="1"/>
  <c r="F1620" i="5"/>
  <c r="G1620" i="5" s="1"/>
  <c r="F1621" i="5"/>
  <c r="G1621" i="5" s="1"/>
  <c r="F1622" i="5"/>
  <c r="G1622" i="5" s="1"/>
  <c r="F1623" i="5"/>
  <c r="G1623" i="5" s="1"/>
  <c r="F1624" i="5"/>
  <c r="G1624" i="5" s="1"/>
  <c r="F1625" i="5"/>
  <c r="G1625" i="5" s="1"/>
  <c r="F1626" i="5"/>
  <c r="G1626" i="5" s="1"/>
  <c r="F1627" i="5"/>
  <c r="G1627" i="5" s="1"/>
  <c r="F1628" i="5"/>
  <c r="G1628" i="5" s="1"/>
  <c r="F1629" i="5"/>
  <c r="G1629" i="5" s="1"/>
  <c r="F1630" i="5"/>
  <c r="G1630" i="5" s="1"/>
  <c r="F1631" i="5"/>
  <c r="G1631" i="5" s="1"/>
  <c r="F1632" i="5"/>
  <c r="G1632" i="5" s="1"/>
  <c r="F1633" i="5"/>
  <c r="G1633" i="5" s="1"/>
  <c r="F1634" i="5"/>
  <c r="G1634" i="5" s="1"/>
  <c r="F1635" i="5"/>
  <c r="G1635" i="5" s="1"/>
  <c r="F1636" i="5"/>
  <c r="G1636" i="5" s="1"/>
  <c r="F1637" i="5"/>
  <c r="G1637" i="5" s="1"/>
  <c r="F1638" i="5"/>
  <c r="G1638" i="5" s="1"/>
  <c r="F1639" i="5"/>
  <c r="G1639" i="5" s="1"/>
  <c r="F1640" i="5"/>
  <c r="G1640" i="5" s="1"/>
  <c r="F1641" i="5"/>
  <c r="G1641" i="5" s="1"/>
  <c r="F1642" i="5"/>
  <c r="G1642" i="5" s="1"/>
  <c r="F1643" i="5"/>
  <c r="G1643" i="5" s="1"/>
  <c r="F1644" i="5"/>
  <c r="G1644" i="5" s="1"/>
  <c r="F1645" i="5"/>
  <c r="G1645" i="5" s="1"/>
  <c r="F1646" i="5"/>
  <c r="G1646" i="5" s="1"/>
  <c r="F1647" i="5"/>
  <c r="G1647" i="5" s="1"/>
  <c r="F1648" i="5"/>
  <c r="G1648" i="5" s="1"/>
  <c r="F1649" i="5"/>
  <c r="G1649" i="5" s="1"/>
  <c r="F1650" i="5"/>
  <c r="G1650" i="5" s="1"/>
  <c r="F1651" i="5"/>
  <c r="G1651" i="5" s="1"/>
  <c r="F1652" i="5"/>
  <c r="G1652" i="5" s="1"/>
  <c r="F1653" i="5"/>
  <c r="G1653" i="5" s="1"/>
  <c r="F1654" i="5"/>
  <c r="G1654" i="5" s="1"/>
  <c r="F1655" i="5"/>
  <c r="G1655" i="5" s="1"/>
  <c r="F1656" i="5"/>
  <c r="G1656" i="5" s="1"/>
  <c r="F1657" i="5"/>
  <c r="G1657" i="5" s="1"/>
  <c r="F1658" i="5"/>
  <c r="G1658" i="5" s="1"/>
  <c r="F1659" i="5"/>
  <c r="G1659" i="5" s="1"/>
  <c r="F1660" i="5"/>
  <c r="G1660" i="5" s="1"/>
  <c r="F1661" i="5"/>
  <c r="G1661" i="5" s="1"/>
  <c r="F1662" i="5"/>
  <c r="G1662" i="5" s="1"/>
  <c r="F1663" i="5"/>
  <c r="G1663" i="5" s="1"/>
  <c r="F1664" i="5"/>
  <c r="G1664" i="5" s="1"/>
  <c r="F1665" i="5"/>
  <c r="G1665" i="5" s="1"/>
  <c r="F1666" i="5"/>
  <c r="G1666" i="5" s="1"/>
  <c r="F1667" i="5"/>
  <c r="G1667" i="5" s="1"/>
  <c r="F1668" i="5"/>
  <c r="G1668" i="5" s="1"/>
  <c r="F1669" i="5"/>
  <c r="G1669" i="5" s="1"/>
  <c r="F1670" i="5"/>
  <c r="G1670" i="5" s="1"/>
  <c r="F1671" i="5"/>
  <c r="G1671" i="5" s="1"/>
  <c r="F1672" i="5"/>
  <c r="G1672" i="5" s="1"/>
  <c r="F1673" i="5"/>
  <c r="G1673" i="5" s="1"/>
  <c r="F1674" i="5"/>
  <c r="G1674" i="5" s="1"/>
  <c r="F1675" i="5"/>
  <c r="G1675" i="5" s="1"/>
  <c r="F1676" i="5"/>
  <c r="G1676" i="5" s="1"/>
  <c r="F1677" i="5"/>
  <c r="G1677" i="5" s="1"/>
  <c r="F1678" i="5"/>
  <c r="G1678" i="5" s="1"/>
  <c r="F1679" i="5"/>
  <c r="G1679" i="5" s="1"/>
  <c r="F1680" i="5"/>
  <c r="G1680" i="5" s="1"/>
  <c r="F1681" i="5"/>
  <c r="G1681" i="5" s="1"/>
  <c r="F1682" i="5"/>
  <c r="G1682" i="5" s="1"/>
  <c r="F1683" i="5"/>
  <c r="G1683" i="5" s="1"/>
  <c r="F1684" i="5"/>
  <c r="G1684" i="5" s="1"/>
  <c r="F1685" i="5"/>
  <c r="G1685" i="5" s="1"/>
  <c r="F1686" i="5"/>
  <c r="G1686" i="5" s="1"/>
  <c r="F1687" i="5"/>
  <c r="G1687" i="5" s="1"/>
  <c r="F1688" i="5"/>
  <c r="G1688" i="5" s="1"/>
  <c r="F1689" i="5"/>
  <c r="G1689" i="5" s="1"/>
  <c r="F1690" i="5"/>
  <c r="G1690" i="5" s="1"/>
  <c r="F1691" i="5"/>
  <c r="G1691" i="5" s="1"/>
  <c r="F1692" i="5"/>
  <c r="G1692" i="5" s="1"/>
  <c r="F1693" i="5"/>
  <c r="G1693" i="5" s="1"/>
  <c r="F1694" i="5"/>
  <c r="G1694" i="5" s="1"/>
  <c r="F1695" i="5"/>
  <c r="G1695" i="5" s="1"/>
  <c r="F1696" i="5"/>
  <c r="G1696" i="5" s="1"/>
  <c r="F1697" i="5"/>
  <c r="G1697" i="5" s="1"/>
  <c r="F1698" i="5"/>
  <c r="G1698" i="5" s="1"/>
  <c r="F1699" i="5"/>
  <c r="G1699" i="5" s="1"/>
  <c r="F1700" i="5"/>
  <c r="G1700" i="5" s="1"/>
  <c r="F1701" i="5"/>
  <c r="G1701" i="5" s="1"/>
  <c r="F1702" i="5"/>
  <c r="G1702" i="5" s="1"/>
  <c r="F1703" i="5"/>
  <c r="G1703" i="5" s="1"/>
  <c r="F1704" i="5"/>
  <c r="G1704" i="5" s="1"/>
  <c r="F1705" i="5"/>
  <c r="G1705" i="5" s="1"/>
  <c r="F1706" i="5"/>
  <c r="G1706" i="5" s="1"/>
  <c r="F1707" i="5"/>
  <c r="G1707" i="5" s="1"/>
  <c r="F1708" i="5"/>
  <c r="G1708" i="5" s="1"/>
  <c r="F1709" i="5"/>
  <c r="G1709" i="5" s="1"/>
  <c r="F1710" i="5"/>
  <c r="G1710" i="5" s="1"/>
  <c r="F1711" i="5"/>
  <c r="G1711" i="5" s="1"/>
  <c r="F1712" i="5"/>
  <c r="G1712" i="5" s="1"/>
  <c r="F1713" i="5"/>
  <c r="G1713" i="5" s="1"/>
  <c r="F1714" i="5"/>
  <c r="G1714" i="5" s="1"/>
  <c r="F1715" i="5"/>
  <c r="G1715" i="5" s="1"/>
  <c r="F1716" i="5"/>
  <c r="G1716" i="5" s="1"/>
  <c r="F1717" i="5"/>
  <c r="G1717" i="5" s="1"/>
  <c r="F1718" i="5"/>
  <c r="G1718" i="5" s="1"/>
  <c r="F1719" i="5"/>
  <c r="G1719" i="5" s="1"/>
  <c r="F1720" i="5"/>
  <c r="G1720" i="5" s="1"/>
  <c r="F1721" i="5"/>
  <c r="G1721" i="5" s="1"/>
  <c r="F1722" i="5"/>
  <c r="G1722" i="5" s="1"/>
  <c r="F1723" i="5"/>
  <c r="G1723" i="5" s="1"/>
  <c r="F1724" i="5"/>
  <c r="G1724" i="5" s="1"/>
  <c r="F1725" i="5"/>
  <c r="G1725" i="5" s="1"/>
  <c r="F1726" i="5"/>
  <c r="G1726" i="5" s="1"/>
  <c r="F1727" i="5"/>
  <c r="G1727" i="5" s="1"/>
  <c r="F1728" i="5"/>
  <c r="G1728" i="5" s="1"/>
  <c r="F1729" i="5"/>
  <c r="G1729" i="5" s="1"/>
  <c r="F1730" i="5"/>
  <c r="G1730" i="5" s="1"/>
  <c r="F1731" i="5"/>
  <c r="G1731" i="5" s="1"/>
  <c r="F1732" i="5"/>
  <c r="G1732" i="5" s="1"/>
  <c r="F1733" i="5"/>
  <c r="G1733" i="5" s="1"/>
  <c r="F1734" i="5"/>
  <c r="G1734" i="5" s="1"/>
  <c r="F1735" i="5"/>
  <c r="G1735" i="5" s="1"/>
  <c r="F1736" i="5"/>
  <c r="G1736" i="5" s="1"/>
  <c r="F1737" i="5"/>
  <c r="G1737" i="5" s="1"/>
  <c r="F1738" i="5"/>
  <c r="G1738" i="5" s="1"/>
  <c r="F1739" i="5"/>
  <c r="G1739" i="5" s="1"/>
  <c r="F1740" i="5"/>
  <c r="G1740" i="5" s="1"/>
  <c r="F1741" i="5"/>
  <c r="G1741" i="5" s="1"/>
  <c r="F1742" i="5"/>
  <c r="G1742" i="5" s="1"/>
  <c r="F1743" i="5"/>
  <c r="G1743" i="5" s="1"/>
  <c r="F1744" i="5"/>
  <c r="G1744" i="5" s="1"/>
  <c r="F1745" i="5"/>
  <c r="G1745" i="5" s="1"/>
  <c r="F1746" i="5"/>
  <c r="G1746" i="5" s="1"/>
  <c r="F1747" i="5"/>
  <c r="G1747" i="5" s="1"/>
  <c r="F1748" i="5"/>
  <c r="G1748" i="5" s="1"/>
  <c r="F1749" i="5"/>
  <c r="G1749" i="5" s="1"/>
  <c r="F1750" i="5"/>
  <c r="G1750" i="5" s="1"/>
  <c r="F1751" i="5"/>
  <c r="G1751" i="5" s="1"/>
  <c r="F1752" i="5"/>
  <c r="G1752" i="5" s="1"/>
  <c r="F1753" i="5"/>
  <c r="G1753" i="5" s="1"/>
  <c r="F1754" i="5"/>
  <c r="G1754" i="5" s="1"/>
  <c r="F1755" i="5"/>
  <c r="G1755" i="5" s="1"/>
  <c r="F1756" i="5"/>
  <c r="G1756" i="5" s="1"/>
  <c r="F1757" i="5"/>
  <c r="G1757" i="5" s="1"/>
  <c r="F1758" i="5"/>
  <c r="G1758" i="5" s="1"/>
  <c r="F1759" i="5"/>
  <c r="G1759" i="5" s="1"/>
  <c r="F1760" i="5"/>
  <c r="G1760" i="5" s="1"/>
  <c r="F1761" i="5"/>
  <c r="G1761" i="5" s="1"/>
  <c r="F1762" i="5"/>
  <c r="G1762" i="5" s="1"/>
  <c r="F1763" i="5"/>
  <c r="G1763" i="5" s="1"/>
  <c r="F1764" i="5"/>
  <c r="G1764" i="5" s="1"/>
  <c r="F1765" i="5"/>
  <c r="G1765" i="5" s="1"/>
  <c r="F1766" i="5"/>
  <c r="G1766" i="5" s="1"/>
  <c r="F1767" i="5"/>
  <c r="G1767" i="5" s="1"/>
  <c r="F1768" i="5"/>
  <c r="G1768" i="5" s="1"/>
  <c r="F1769" i="5"/>
  <c r="G1769" i="5" s="1"/>
  <c r="F1770" i="5"/>
  <c r="G1770" i="5" s="1"/>
  <c r="F1771" i="5"/>
  <c r="G1771" i="5" s="1"/>
  <c r="F1772" i="5"/>
  <c r="G1772" i="5" s="1"/>
  <c r="F1773" i="5"/>
  <c r="G1773" i="5" s="1"/>
  <c r="F1774" i="5"/>
  <c r="G1774" i="5" s="1"/>
  <c r="F1775" i="5"/>
  <c r="G1775" i="5" s="1"/>
  <c r="F1776" i="5"/>
  <c r="G1776" i="5" s="1"/>
  <c r="F1777" i="5"/>
  <c r="G1777" i="5" s="1"/>
  <c r="F1778" i="5"/>
  <c r="G1778" i="5" s="1"/>
  <c r="F1779" i="5"/>
  <c r="G1779" i="5" s="1"/>
  <c r="F1780" i="5"/>
  <c r="G1780" i="5" s="1"/>
  <c r="F1781" i="5"/>
  <c r="G1781" i="5" s="1"/>
  <c r="F1782" i="5"/>
  <c r="G1782" i="5" s="1"/>
  <c r="F1783" i="5"/>
  <c r="G1783" i="5" s="1"/>
  <c r="F1784" i="5"/>
  <c r="G1784" i="5" s="1"/>
  <c r="F1785" i="5"/>
  <c r="G1785" i="5" s="1"/>
  <c r="F1786" i="5"/>
  <c r="G1786" i="5" s="1"/>
  <c r="F1787" i="5"/>
  <c r="G1787" i="5" s="1"/>
  <c r="F1788" i="5"/>
  <c r="G1788" i="5" s="1"/>
  <c r="F1789" i="5"/>
  <c r="G1789" i="5" s="1"/>
  <c r="F1790" i="5"/>
  <c r="G1790" i="5" s="1"/>
  <c r="F1791" i="5"/>
  <c r="G1791" i="5" s="1"/>
  <c r="F1792" i="5"/>
  <c r="G1792" i="5" s="1"/>
  <c r="F1793" i="5"/>
  <c r="G1793" i="5" s="1"/>
  <c r="F1794" i="5"/>
  <c r="G1794" i="5" s="1"/>
  <c r="F1795" i="5"/>
  <c r="G1795" i="5" s="1"/>
  <c r="F1796" i="5"/>
  <c r="G1796" i="5" s="1"/>
  <c r="F1797" i="5"/>
  <c r="G1797" i="5" s="1"/>
  <c r="F1798" i="5"/>
  <c r="G1798" i="5" s="1"/>
  <c r="F1799" i="5"/>
  <c r="G1799" i="5" s="1"/>
  <c r="F1800" i="5"/>
  <c r="G1800" i="5" s="1"/>
  <c r="F1801" i="5"/>
  <c r="G1801" i="5" s="1"/>
  <c r="F1802" i="5"/>
  <c r="G1802" i="5" s="1"/>
  <c r="F1803" i="5"/>
  <c r="G1803" i="5" s="1"/>
  <c r="F1804" i="5"/>
  <c r="G1804" i="5" s="1"/>
  <c r="F1805" i="5"/>
  <c r="G1805" i="5" s="1"/>
  <c r="F1806" i="5"/>
  <c r="G1806" i="5" s="1"/>
  <c r="F1807" i="5"/>
  <c r="G1807" i="5" s="1"/>
  <c r="F1808" i="5"/>
  <c r="G1808" i="5" s="1"/>
  <c r="F1809" i="5"/>
  <c r="G1809" i="5" s="1"/>
  <c r="F1810" i="5"/>
  <c r="G1810" i="5" s="1"/>
  <c r="F1811" i="5"/>
  <c r="G1811" i="5" s="1"/>
  <c r="F1812" i="5"/>
  <c r="G1812" i="5" s="1"/>
  <c r="F1813" i="5"/>
  <c r="G1813" i="5" s="1"/>
  <c r="F1814" i="5"/>
  <c r="G1814" i="5" s="1"/>
  <c r="F1815" i="5"/>
  <c r="G1815" i="5" s="1"/>
  <c r="F1816" i="5"/>
  <c r="G1816" i="5" s="1"/>
  <c r="F1817" i="5"/>
  <c r="G1817" i="5" s="1"/>
  <c r="F1818" i="5"/>
  <c r="G1818" i="5" s="1"/>
  <c r="F1819" i="5"/>
  <c r="G1819" i="5" s="1"/>
  <c r="F1820" i="5"/>
  <c r="G1820" i="5" s="1"/>
  <c r="F1821" i="5"/>
  <c r="G1821" i="5" s="1"/>
  <c r="F1822" i="5"/>
  <c r="G1822" i="5" s="1"/>
  <c r="F1823" i="5"/>
  <c r="G1823" i="5" s="1"/>
  <c r="F1824" i="5"/>
  <c r="G1824" i="5" s="1"/>
  <c r="F1825" i="5"/>
  <c r="G1825" i="5" s="1"/>
  <c r="F1826" i="5"/>
  <c r="G1826" i="5" s="1"/>
  <c r="F1827" i="5"/>
  <c r="G1827" i="5" s="1"/>
  <c r="F1828" i="5"/>
  <c r="G1828" i="5" s="1"/>
  <c r="F1829" i="5"/>
  <c r="G1829" i="5" s="1"/>
  <c r="F1830" i="5"/>
  <c r="G1830" i="5" s="1"/>
  <c r="F1831" i="5"/>
  <c r="G1831" i="5" s="1"/>
  <c r="F1832" i="5"/>
  <c r="G1832" i="5" s="1"/>
  <c r="F1833" i="5"/>
  <c r="G1833" i="5" s="1"/>
  <c r="F1834" i="5"/>
  <c r="G1834" i="5" s="1"/>
  <c r="F1835" i="5"/>
  <c r="G1835" i="5" s="1"/>
  <c r="F1836" i="5"/>
  <c r="G1836" i="5" s="1"/>
  <c r="F1837" i="5"/>
  <c r="G1837" i="5" s="1"/>
  <c r="F1838" i="5"/>
  <c r="G1838" i="5" s="1"/>
  <c r="F1839" i="5"/>
  <c r="G1839" i="5" s="1"/>
  <c r="F1840" i="5"/>
  <c r="G1840" i="5" s="1"/>
  <c r="F1841" i="5"/>
  <c r="G1841" i="5" s="1"/>
  <c r="F1842" i="5"/>
  <c r="G1842" i="5" s="1"/>
  <c r="F1843" i="5"/>
  <c r="G1843" i="5" s="1"/>
  <c r="F1844" i="5"/>
  <c r="G1844" i="5" s="1"/>
  <c r="F1845" i="5"/>
  <c r="G1845" i="5" s="1"/>
  <c r="F1846" i="5"/>
  <c r="G1846" i="5" s="1"/>
  <c r="F1847" i="5"/>
  <c r="G1847" i="5" s="1"/>
  <c r="F1848" i="5"/>
  <c r="G1848" i="5" s="1"/>
  <c r="F1849" i="5"/>
  <c r="G1849" i="5" s="1"/>
  <c r="F1850" i="5"/>
  <c r="G1850" i="5" s="1"/>
  <c r="F1851" i="5"/>
  <c r="G1851" i="5" s="1"/>
  <c r="F1852" i="5"/>
  <c r="G1852" i="5" s="1"/>
  <c r="F1853" i="5"/>
  <c r="G1853" i="5" s="1"/>
  <c r="F1854" i="5"/>
  <c r="G1854" i="5" s="1"/>
  <c r="F1855" i="5"/>
  <c r="G1855" i="5" s="1"/>
  <c r="F1856" i="5"/>
  <c r="G1856" i="5" s="1"/>
  <c r="F1857" i="5"/>
  <c r="G1857" i="5" s="1"/>
  <c r="F1858" i="5"/>
  <c r="G1858" i="5" s="1"/>
  <c r="F1859" i="5"/>
  <c r="G1859" i="5" s="1"/>
  <c r="F1860" i="5"/>
  <c r="G1860" i="5" s="1"/>
  <c r="F1861" i="5"/>
  <c r="G1861" i="5" s="1"/>
  <c r="F1862" i="5"/>
  <c r="G1862" i="5" s="1"/>
  <c r="F1863" i="5"/>
  <c r="G1863" i="5" s="1"/>
  <c r="F1864" i="5"/>
  <c r="G1864" i="5" s="1"/>
  <c r="F1865" i="5"/>
  <c r="G1865" i="5" s="1"/>
  <c r="F1866" i="5"/>
  <c r="G1866" i="5" s="1"/>
  <c r="F1867" i="5"/>
  <c r="G1867" i="5" s="1"/>
  <c r="F1868" i="5"/>
  <c r="G1868" i="5" s="1"/>
  <c r="F1869" i="5"/>
  <c r="G1869" i="5" s="1"/>
  <c r="F1870" i="5"/>
  <c r="G1870" i="5" s="1"/>
  <c r="F1871" i="5"/>
  <c r="G1871" i="5" s="1"/>
  <c r="F1872" i="5"/>
  <c r="G1872" i="5" s="1"/>
  <c r="F1873" i="5"/>
  <c r="G1873" i="5" s="1"/>
  <c r="F1874" i="5"/>
  <c r="G1874" i="5" s="1"/>
  <c r="F1875" i="5"/>
  <c r="G1875" i="5" s="1"/>
  <c r="F1876" i="5"/>
  <c r="G1876" i="5" s="1"/>
  <c r="F1877" i="5"/>
  <c r="G1877" i="5" s="1"/>
  <c r="F1878" i="5"/>
  <c r="G1878" i="5" s="1"/>
  <c r="F1879" i="5"/>
  <c r="G1879" i="5" s="1"/>
  <c r="F1880" i="5"/>
  <c r="G1880" i="5" s="1"/>
  <c r="F1881" i="5"/>
  <c r="G1881" i="5" s="1"/>
  <c r="F1882" i="5"/>
  <c r="G1882" i="5" s="1"/>
  <c r="F1883" i="5"/>
  <c r="G1883" i="5" s="1"/>
  <c r="F1884" i="5"/>
  <c r="G1884" i="5" s="1"/>
  <c r="F1885" i="5"/>
  <c r="G1885" i="5" s="1"/>
  <c r="F1886" i="5"/>
  <c r="G1886" i="5" s="1"/>
  <c r="F1887" i="5"/>
  <c r="G1887" i="5" s="1"/>
  <c r="F1888" i="5"/>
  <c r="G1888" i="5" s="1"/>
  <c r="F1889" i="5"/>
  <c r="G1889" i="5" s="1"/>
  <c r="F1890" i="5"/>
  <c r="G1890" i="5" s="1"/>
  <c r="F1891" i="5"/>
  <c r="G1891" i="5" s="1"/>
  <c r="F1892" i="5"/>
  <c r="G1892" i="5" s="1"/>
  <c r="F1893" i="5"/>
  <c r="G1893" i="5" s="1"/>
  <c r="F1894" i="5"/>
  <c r="G1894" i="5" s="1"/>
  <c r="F1895" i="5"/>
  <c r="G1895" i="5" s="1"/>
  <c r="F1896" i="5"/>
  <c r="G1896" i="5" s="1"/>
  <c r="F1897" i="5"/>
  <c r="G1897" i="5" s="1"/>
  <c r="F1898" i="5"/>
  <c r="G1898" i="5" s="1"/>
  <c r="F1899" i="5"/>
  <c r="G1899" i="5" s="1"/>
  <c r="F1900" i="5"/>
  <c r="G1900" i="5" s="1"/>
  <c r="F1901" i="5"/>
  <c r="G1901" i="5" s="1"/>
  <c r="F1902" i="5"/>
  <c r="G1902" i="5" s="1"/>
  <c r="F1903" i="5"/>
  <c r="G1903" i="5" s="1"/>
  <c r="F1904" i="5"/>
  <c r="G1904" i="5" s="1"/>
  <c r="F1905" i="5"/>
  <c r="G1905" i="5" s="1"/>
  <c r="F1906" i="5"/>
  <c r="G1906" i="5" s="1"/>
  <c r="F1907" i="5"/>
  <c r="G1907" i="5" s="1"/>
  <c r="F1908" i="5"/>
  <c r="G1908" i="5" s="1"/>
  <c r="F1909" i="5"/>
  <c r="G1909" i="5" s="1"/>
  <c r="F1910" i="5"/>
  <c r="G1910" i="5" s="1"/>
  <c r="F1911" i="5"/>
  <c r="G1911" i="5" s="1"/>
  <c r="F1912" i="5"/>
  <c r="G1912" i="5" s="1"/>
  <c r="F1913" i="5"/>
  <c r="G1913" i="5" s="1"/>
  <c r="F1914" i="5"/>
  <c r="G1914" i="5" s="1"/>
  <c r="F1915" i="5"/>
  <c r="G1915" i="5" s="1"/>
  <c r="F1916" i="5"/>
  <c r="G1916" i="5" s="1"/>
  <c r="F1917" i="5"/>
  <c r="G1917" i="5" s="1"/>
  <c r="F1918" i="5"/>
  <c r="G1918" i="5" s="1"/>
  <c r="F1919" i="5"/>
  <c r="G1919" i="5" s="1"/>
  <c r="F1920" i="5"/>
  <c r="G1920" i="5" s="1"/>
  <c r="F1921" i="5"/>
  <c r="G1921" i="5" s="1"/>
  <c r="F1922" i="5"/>
  <c r="G1922" i="5" s="1"/>
  <c r="F1923" i="5"/>
  <c r="G1923" i="5" s="1"/>
  <c r="F1924" i="5"/>
  <c r="G1924" i="5" s="1"/>
  <c r="F1925" i="5"/>
  <c r="G1925" i="5" s="1"/>
  <c r="F1926" i="5"/>
  <c r="G1926" i="5" s="1"/>
  <c r="F1927" i="5"/>
  <c r="G1927" i="5" s="1"/>
  <c r="F1928" i="5"/>
  <c r="G1928" i="5" s="1"/>
  <c r="F1929" i="5"/>
  <c r="G1929" i="5" s="1"/>
  <c r="F1930" i="5"/>
  <c r="G1930" i="5" s="1"/>
  <c r="F1931" i="5"/>
  <c r="G1931" i="5" s="1"/>
  <c r="F1932" i="5"/>
  <c r="G1932" i="5" s="1"/>
  <c r="F1933" i="5"/>
  <c r="G1933" i="5" s="1"/>
  <c r="F1934" i="5"/>
  <c r="G1934" i="5" s="1"/>
  <c r="F1935" i="5"/>
  <c r="G1935" i="5" s="1"/>
  <c r="F1936" i="5"/>
  <c r="G1936" i="5" s="1"/>
  <c r="F1937" i="5"/>
  <c r="G1937" i="5" s="1"/>
  <c r="F1938" i="5"/>
  <c r="G1938" i="5" s="1"/>
  <c r="F1939" i="5"/>
  <c r="G1939" i="5" s="1"/>
  <c r="F1940" i="5"/>
  <c r="G1940" i="5" s="1"/>
  <c r="F1941" i="5"/>
  <c r="G1941" i="5" s="1"/>
  <c r="F1942" i="5"/>
  <c r="G1942" i="5" s="1"/>
  <c r="F1943" i="5"/>
  <c r="G1943" i="5" s="1"/>
  <c r="F1944" i="5"/>
  <c r="G1944" i="5" s="1"/>
  <c r="F1945" i="5"/>
  <c r="G1945" i="5" s="1"/>
  <c r="F1946" i="5"/>
  <c r="G1946" i="5" s="1"/>
  <c r="F1947" i="5"/>
  <c r="G1947" i="5" s="1"/>
  <c r="F1948" i="5"/>
  <c r="G1948" i="5" s="1"/>
  <c r="F1949" i="5"/>
  <c r="G1949" i="5" s="1"/>
  <c r="F1950" i="5"/>
  <c r="G1950" i="5" s="1"/>
  <c r="F1951" i="5"/>
  <c r="G1951" i="5" s="1"/>
  <c r="F1952" i="5"/>
  <c r="G1952" i="5" s="1"/>
  <c r="F1953" i="5"/>
  <c r="G1953" i="5" s="1"/>
  <c r="F1954" i="5"/>
  <c r="G1954" i="5" s="1"/>
  <c r="F1955" i="5"/>
  <c r="G1955" i="5" s="1"/>
  <c r="F1956" i="5"/>
  <c r="G1956" i="5" s="1"/>
  <c r="F1957" i="5"/>
  <c r="G1957" i="5" s="1"/>
  <c r="F1958" i="5"/>
  <c r="G1958" i="5" s="1"/>
  <c r="F1959" i="5"/>
  <c r="G1959" i="5" s="1"/>
  <c r="F1960" i="5"/>
  <c r="G1960" i="5" s="1"/>
  <c r="F1961" i="5"/>
  <c r="G1961" i="5" s="1"/>
  <c r="F1962" i="5"/>
  <c r="G1962" i="5" s="1"/>
  <c r="F1963" i="5"/>
  <c r="G1963" i="5" s="1"/>
  <c r="F1964" i="5"/>
  <c r="G1964" i="5" s="1"/>
  <c r="F1965" i="5"/>
  <c r="G1965" i="5" s="1"/>
  <c r="F1966" i="5"/>
  <c r="G1966" i="5" s="1"/>
  <c r="F1967" i="5"/>
  <c r="G1967" i="5" s="1"/>
  <c r="F1968" i="5"/>
  <c r="G1968" i="5" s="1"/>
  <c r="F1969" i="5"/>
  <c r="G1969" i="5" s="1"/>
  <c r="F1970" i="5"/>
  <c r="G1970" i="5" s="1"/>
  <c r="F1971" i="5"/>
  <c r="G1971" i="5" s="1"/>
  <c r="F1972" i="5"/>
  <c r="G1972" i="5" s="1"/>
  <c r="F1973" i="5"/>
  <c r="G1973" i="5" s="1"/>
  <c r="F1974" i="5"/>
  <c r="G1974" i="5" s="1"/>
  <c r="F1975" i="5"/>
  <c r="G1975" i="5" s="1"/>
  <c r="F1976" i="5"/>
  <c r="G1976" i="5" s="1"/>
  <c r="F1977" i="5"/>
  <c r="G1977" i="5" s="1"/>
  <c r="F1978" i="5"/>
  <c r="G1978" i="5" s="1"/>
  <c r="F1979" i="5"/>
  <c r="G1979" i="5" s="1"/>
  <c r="F1980" i="5"/>
  <c r="G1980" i="5" s="1"/>
  <c r="F1981" i="5"/>
  <c r="G1981" i="5" s="1"/>
  <c r="F1982" i="5"/>
  <c r="G1982" i="5" s="1"/>
  <c r="F1983" i="5"/>
  <c r="G1983" i="5" s="1"/>
  <c r="F1984" i="5"/>
  <c r="G1984" i="5" s="1"/>
  <c r="F1985" i="5"/>
  <c r="G1985" i="5" s="1"/>
  <c r="F1986" i="5"/>
  <c r="G1986" i="5" s="1"/>
  <c r="F1987" i="5"/>
  <c r="G1987" i="5" s="1"/>
  <c r="F1988" i="5"/>
  <c r="G1988" i="5" s="1"/>
  <c r="F1989" i="5"/>
  <c r="G1989" i="5" s="1"/>
  <c r="F1990" i="5"/>
  <c r="G1990" i="5" s="1"/>
  <c r="F1991" i="5"/>
  <c r="G1991" i="5" s="1"/>
  <c r="F1992" i="5"/>
  <c r="G1992" i="5" s="1"/>
  <c r="F1993" i="5"/>
  <c r="G1993" i="5" s="1"/>
  <c r="F1994" i="5"/>
  <c r="G1994" i="5" s="1"/>
  <c r="F1995" i="5"/>
  <c r="G1995" i="5" s="1"/>
  <c r="F1996" i="5"/>
  <c r="G1996" i="5" s="1"/>
  <c r="F1997" i="5"/>
  <c r="G1997" i="5" s="1"/>
  <c r="F1998" i="5"/>
  <c r="G1998" i="5" s="1"/>
  <c r="F1999" i="5"/>
  <c r="G1999" i="5" s="1"/>
  <c r="F2000" i="5"/>
  <c r="G2000" i="5" s="1"/>
  <c r="F2001" i="5"/>
  <c r="G2001" i="5" s="1"/>
  <c r="F2002" i="5"/>
  <c r="G2002" i="5" s="1"/>
  <c r="F2003" i="5"/>
  <c r="G2003" i="5" s="1"/>
  <c r="F2004" i="5"/>
  <c r="G2004" i="5" s="1"/>
  <c r="F2005" i="5"/>
  <c r="G2005" i="5" s="1"/>
  <c r="F2006" i="5"/>
  <c r="G2006" i="5" s="1"/>
  <c r="F2007" i="5"/>
  <c r="G2007" i="5" s="1"/>
  <c r="F2008" i="5"/>
  <c r="G2008" i="5" s="1"/>
  <c r="F2009" i="5"/>
  <c r="G2009" i="5" s="1"/>
  <c r="F2010" i="5"/>
  <c r="G2010" i="5" s="1"/>
  <c r="F2011" i="5"/>
  <c r="G2011" i="5" s="1"/>
  <c r="F2012" i="5"/>
  <c r="G2012" i="5" s="1"/>
  <c r="F2013" i="5"/>
  <c r="G2013" i="5" s="1"/>
  <c r="F2014" i="5"/>
  <c r="G2014" i="5" s="1"/>
  <c r="F2015" i="5"/>
  <c r="G2015" i="5" s="1"/>
  <c r="F2016" i="5"/>
  <c r="G2016" i="5" s="1"/>
  <c r="F2017" i="5"/>
  <c r="G2017" i="5" s="1"/>
  <c r="F2018" i="5"/>
  <c r="G2018" i="5" s="1"/>
  <c r="F2019" i="5"/>
  <c r="G2019" i="5" s="1"/>
  <c r="F2020" i="5"/>
  <c r="G2020" i="5" s="1"/>
  <c r="F2021" i="5"/>
  <c r="G2021" i="5" s="1"/>
  <c r="F2022" i="5"/>
  <c r="G2022" i="5" s="1"/>
  <c r="F2023" i="5"/>
  <c r="G2023" i="5" s="1"/>
  <c r="F2024" i="5"/>
  <c r="G2024" i="5" s="1"/>
  <c r="F2025" i="5"/>
  <c r="G2025" i="5" s="1"/>
  <c r="F2026" i="5"/>
  <c r="G2026" i="5" s="1"/>
  <c r="F2027" i="5"/>
  <c r="G2027" i="5" s="1"/>
  <c r="F2028" i="5"/>
  <c r="G2028" i="5" s="1"/>
  <c r="F2029" i="5"/>
  <c r="G2029" i="5" s="1"/>
  <c r="F2030" i="5"/>
  <c r="G2030" i="5" s="1"/>
  <c r="F2031" i="5"/>
  <c r="G2031" i="5" s="1"/>
  <c r="F2032" i="5"/>
  <c r="G2032" i="5" s="1"/>
  <c r="F2033" i="5"/>
  <c r="G2033" i="5" s="1"/>
  <c r="F2034" i="5"/>
  <c r="G2034" i="5" s="1"/>
  <c r="F2035" i="5"/>
  <c r="G2035" i="5" s="1"/>
  <c r="F2036" i="5"/>
  <c r="G2036" i="5" s="1"/>
  <c r="F2037" i="5"/>
  <c r="G2037" i="5" s="1"/>
  <c r="F2038" i="5"/>
  <c r="G2038" i="5" s="1"/>
  <c r="F2039" i="5"/>
  <c r="G2039" i="5" s="1"/>
  <c r="F2040" i="5"/>
  <c r="G2040" i="5" s="1"/>
  <c r="F2041" i="5"/>
  <c r="G2041" i="5" s="1"/>
  <c r="F2042" i="5"/>
  <c r="G2042" i="5" s="1"/>
  <c r="F2043" i="5"/>
  <c r="G2043" i="5" s="1"/>
  <c r="F2044" i="5"/>
  <c r="G2044" i="5" s="1"/>
  <c r="F2045" i="5"/>
  <c r="G2045" i="5" s="1"/>
  <c r="F2046" i="5"/>
  <c r="G2046" i="5" s="1"/>
  <c r="F2047" i="5"/>
  <c r="G2047" i="5" s="1"/>
  <c r="F2048" i="5"/>
  <c r="G2048" i="5" s="1"/>
  <c r="F2049" i="5"/>
  <c r="G2049" i="5" s="1"/>
  <c r="F2050" i="5"/>
  <c r="G2050" i="5" s="1"/>
  <c r="F2051" i="5"/>
  <c r="G2051" i="5" s="1"/>
  <c r="F2052" i="5"/>
  <c r="G2052" i="5" s="1"/>
  <c r="F2053" i="5"/>
  <c r="G2053" i="5" s="1"/>
  <c r="F2054" i="5"/>
  <c r="G2054" i="5" s="1"/>
  <c r="F2055" i="5"/>
  <c r="G2055" i="5" s="1"/>
  <c r="F2056" i="5"/>
  <c r="G2056" i="5" s="1"/>
  <c r="F2057" i="5"/>
  <c r="G2057" i="5" s="1"/>
  <c r="F2058" i="5"/>
  <c r="G2058" i="5" s="1"/>
  <c r="F2059" i="5"/>
  <c r="G2059" i="5" s="1"/>
  <c r="F2060" i="5"/>
  <c r="G2060" i="5" s="1"/>
  <c r="F2061" i="5"/>
  <c r="G2061" i="5" s="1"/>
  <c r="F2062" i="5"/>
  <c r="G2062" i="5" s="1"/>
  <c r="F2063" i="5"/>
  <c r="G2063" i="5" s="1"/>
  <c r="F2064" i="5"/>
  <c r="G2064" i="5" s="1"/>
  <c r="F2065" i="5"/>
  <c r="G2065" i="5" s="1"/>
  <c r="F2066" i="5"/>
  <c r="G2066" i="5" s="1"/>
  <c r="F2067" i="5"/>
  <c r="G2067" i="5" s="1"/>
  <c r="F2068" i="5"/>
  <c r="G2068" i="5" s="1"/>
  <c r="F2069" i="5"/>
  <c r="G2069" i="5" s="1"/>
  <c r="F2070" i="5"/>
  <c r="G2070" i="5" s="1"/>
  <c r="F2071" i="5"/>
  <c r="G2071" i="5" s="1"/>
  <c r="F2072" i="5"/>
  <c r="G2072" i="5" s="1"/>
  <c r="F2073" i="5"/>
  <c r="G2073" i="5" s="1"/>
  <c r="F2074" i="5"/>
  <c r="G2074" i="5" s="1"/>
  <c r="F2075" i="5"/>
  <c r="G2075" i="5" s="1"/>
  <c r="F2076" i="5"/>
  <c r="G2076" i="5" s="1"/>
  <c r="F2077" i="5"/>
  <c r="G2077" i="5" s="1"/>
  <c r="F2078" i="5"/>
  <c r="G2078" i="5" s="1"/>
  <c r="F2079" i="5"/>
  <c r="G2079" i="5" s="1"/>
  <c r="F2080" i="5"/>
  <c r="G2080" i="5" s="1"/>
  <c r="F2081" i="5"/>
  <c r="G2081" i="5" s="1"/>
  <c r="F2082" i="5"/>
  <c r="G2082" i="5" s="1"/>
  <c r="F2083" i="5"/>
  <c r="G2083" i="5" s="1"/>
  <c r="F2084" i="5"/>
  <c r="G2084" i="5" s="1"/>
  <c r="F2085" i="5"/>
  <c r="G2085" i="5" s="1"/>
  <c r="F2086" i="5"/>
  <c r="G2086" i="5" s="1"/>
  <c r="F2087" i="5"/>
  <c r="G2087" i="5" s="1"/>
  <c r="F2088" i="5"/>
  <c r="G2088" i="5" s="1"/>
  <c r="F2089" i="5"/>
  <c r="G2089" i="5" s="1"/>
  <c r="F2090" i="5"/>
  <c r="G2090" i="5" s="1"/>
  <c r="F2091" i="5"/>
  <c r="G2091" i="5" s="1"/>
  <c r="F2092" i="5"/>
  <c r="G2092" i="5" s="1"/>
  <c r="F2093" i="5"/>
  <c r="G2093" i="5" s="1"/>
  <c r="F2094" i="5"/>
  <c r="G2094" i="5" s="1"/>
  <c r="F2095" i="5"/>
  <c r="G2095" i="5" s="1"/>
  <c r="F2096" i="5"/>
  <c r="G2096" i="5" s="1"/>
  <c r="F2097" i="5"/>
  <c r="G2097" i="5" s="1"/>
  <c r="F2098" i="5"/>
  <c r="G2098" i="5" s="1"/>
  <c r="F2099" i="5"/>
  <c r="G2099" i="5" s="1"/>
  <c r="F2100" i="5"/>
  <c r="G2100" i="5" s="1"/>
  <c r="F2101" i="5"/>
  <c r="G2101" i="5" s="1"/>
  <c r="F2102" i="5"/>
  <c r="G2102" i="5" s="1"/>
  <c r="F2103" i="5"/>
  <c r="G2103" i="5" s="1"/>
  <c r="F2104" i="5"/>
  <c r="G2104" i="5" s="1"/>
  <c r="F2105" i="5"/>
  <c r="G2105" i="5" s="1"/>
  <c r="F2106" i="5"/>
  <c r="G2106" i="5" s="1"/>
  <c r="F2107" i="5"/>
  <c r="G2107" i="5" s="1"/>
  <c r="F2108" i="5"/>
  <c r="G2108" i="5" s="1"/>
  <c r="F2109" i="5"/>
  <c r="G2109" i="5" s="1"/>
  <c r="F2110" i="5"/>
  <c r="G2110" i="5" s="1"/>
  <c r="F2111" i="5"/>
  <c r="G2111" i="5" s="1"/>
  <c r="F2112" i="5"/>
  <c r="G2112" i="5" s="1"/>
  <c r="F2113" i="5"/>
  <c r="G2113" i="5" s="1"/>
  <c r="F2114" i="5"/>
  <c r="G2114" i="5" s="1"/>
  <c r="F2115" i="5"/>
  <c r="G2115" i="5" s="1"/>
  <c r="F2116" i="5"/>
  <c r="G2116" i="5" s="1"/>
  <c r="F2117" i="5"/>
  <c r="G2117" i="5" s="1"/>
  <c r="F2118" i="5"/>
  <c r="G2118" i="5" s="1"/>
  <c r="F2119" i="5"/>
  <c r="G2119" i="5" s="1"/>
  <c r="F2120" i="5"/>
  <c r="G2120" i="5" s="1"/>
  <c r="F2121" i="5"/>
  <c r="G2121" i="5" s="1"/>
  <c r="F2122" i="5"/>
  <c r="G2122" i="5" s="1"/>
  <c r="F2123" i="5"/>
  <c r="G2123" i="5" s="1"/>
  <c r="F2124" i="5"/>
  <c r="G2124" i="5" s="1"/>
  <c r="F2125" i="5"/>
  <c r="G2125" i="5" s="1"/>
  <c r="F2126" i="5"/>
  <c r="G2126" i="5" s="1"/>
  <c r="F2127" i="5"/>
  <c r="G2127" i="5" s="1"/>
  <c r="F2128" i="5"/>
  <c r="G2128" i="5" s="1"/>
  <c r="F2129" i="5"/>
  <c r="G2129" i="5" s="1"/>
  <c r="F2130" i="5"/>
  <c r="G2130" i="5" s="1"/>
  <c r="F2131" i="5"/>
  <c r="G2131" i="5" s="1"/>
  <c r="F2132" i="5"/>
  <c r="G2132" i="5" s="1"/>
  <c r="F2133" i="5"/>
  <c r="G2133" i="5" s="1"/>
  <c r="F2134" i="5"/>
  <c r="G2134" i="5" s="1"/>
  <c r="F2135" i="5"/>
  <c r="G2135" i="5" s="1"/>
  <c r="F2136" i="5"/>
  <c r="G2136" i="5" s="1"/>
  <c r="F2137" i="5"/>
  <c r="G2137" i="5" s="1"/>
  <c r="F2138" i="5"/>
  <c r="G2138" i="5" s="1"/>
  <c r="F2139" i="5"/>
  <c r="G2139" i="5" s="1"/>
  <c r="F2140" i="5"/>
  <c r="G2140" i="5" s="1"/>
  <c r="F2141" i="5"/>
  <c r="G2141" i="5" s="1"/>
  <c r="F2142" i="5"/>
  <c r="G2142" i="5" s="1"/>
  <c r="F2143" i="5"/>
  <c r="G2143" i="5" s="1"/>
  <c r="F2144" i="5"/>
  <c r="G2144" i="5" s="1"/>
  <c r="F2145" i="5"/>
  <c r="G2145" i="5" s="1"/>
  <c r="F2146" i="5"/>
  <c r="G2146" i="5" s="1"/>
  <c r="F2147" i="5"/>
  <c r="G2147" i="5" s="1"/>
  <c r="F2148" i="5"/>
  <c r="G2148" i="5" s="1"/>
  <c r="F2149" i="5"/>
  <c r="G2149" i="5" s="1"/>
  <c r="F2150" i="5"/>
  <c r="G2150" i="5" s="1"/>
  <c r="F2151" i="5"/>
  <c r="G2151" i="5" s="1"/>
  <c r="F2152" i="5"/>
  <c r="G2152" i="5" s="1"/>
  <c r="F2153" i="5"/>
  <c r="G2153" i="5" s="1"/>
  <c r="F2154" i="5"/>
  <c r="G2154" i="5" s="1"/>
  <c r="F2155" i="5"/>
  <c r="G2155" i="5" s="1"/>
  <c r="F2156" i="5"/>
  <c r="G2156" i="5" s="1"/>
  <c r="F2157" i="5"/>
  <c r="G2157" i="5" s="1"/>
  <c r="F2158" i="5"/>
  <c r="G2158" i="5" s="1"/>
  <c r="F2159" i="5"/>
  <c r="G2159" i="5" s="1"/>
  <c r="F2160" i="5"/>
  <c r="G2160" i="5" s="1"/>
  <c r="F2161" i="5"/>
  <c r="G2161" i="5" s="1"/>
  <c r="F2162" i="5"/>
  <c r="G2162" i="5" s="1"/>
  <c r="F2163" i="5"/>
  <c r="G2163" i="5" s="1"/>
  <c r="F2164" i="5"/>
  <c r="G2164" i="5" s="1"/>
  <c r="F2165" i="5"/>
  <c r="G2165" i="5" s="1"/>
  <c r="F2166" i="5"/>
  <c r="G2166" i="5" s="1"/>
  <c r="F2167" i="5"/>
  <c r="G2167" i="5" s="1"/>
  <c r="F2168" i="5"/>
  <c r="G2168" i="5" s="1"/>
  <c r="F2169" i="5"/>
  <c r="G2169" i="5" s="1"/>
  <c r="F2170" i="5"/>
  <c r="G2170" i="5" s="1"/>
  <c r="F2171" i="5"/>
  <c r="G2171" i="5" s="1"/>
  <c r="F2172" i="5"/>
  <c r="G2172" i="5" s="1"/>
  <c r="F2173" i="5"/>
  <c r="G2173" i="5" s="1"/>
  <c r="F2174" i="5"/>
  <c r="G2174" i="5" s="1"/>
  <c r="F2175" i="5"/>
  <c r="G2175" i="5" s="1"/>
  <c r="F2176" i="5"/>
  <c r="G2176" i="5" s="1"/>
  <c r="F2177" i="5"/>
  <c r="G2177" i="5" s="1"/>
  <c r="F2178" i="5"/>
  <c r="G2178" i="5" s="1"/>
  <c r="F2179" i="5"/>
  <c r="G2179" i="5" s="1"/>
  <c r="F2180" i="5"/>
  <c r="G2180" i="5" s="1"/>
  <c r="F2181" i="5"/>
  <c r="G2181" i="5" s="1"/>
  <c r="F2182" i="5"/>
  <c r="G2182" i="5" s="1"/>
  <c r="F2183" i="5"/>
  <c r="G2183" i="5" s="1"/>
  <c r="F2184" i="5"/>
  <c r="G2184" i="5" s="1"/>
  <c r="F2185" i="5"/>
  <c r="G2185" i="5" s="1"/>
  <c r="F2186" i="5"/>
  <c r="G2186" i="5" s="1"/>
  <c r="F2187" i="5"/>
  <c r="G2187" i="5" s="1"/>
  <c r="F2188" i="5"/>
  <c r="G2188" i="5" s="1"/>
  <c r="F2189" i="5"/>
  <c r="G2189" i="5" s="1"/>
  <c r="F2190" i="5"/>
  <c r="G2190" i="5" s="1"/>
  <c r="F2191" i="5"/>
  <c r="G2191" i="5" s="1"/>
  <c r="F2192" i="5"/>
  <c r="G2192" i="5" s="1"/>
  <c r="F2193" i="5"/>
  <c r="G2193" i="5" s="1"/>
  <c r="F2194" i="5"/>
  <c r="G2194" i="5" s="1"/>
  <c r="F2195" i="5"/>
  <c r="G2195" i="5" s="1"/>
  <c r="F2196" i="5"/>
  <c r="G2196" i="5" s="1"/>
  <c r="F2197" i="5"/>
  <c r="G2197" i="5" s="1"/>
  <c r="F2198" i="5"/>
  <c r="G2198" i="5" s="1"/>
  <c r="F2199" i="5"/>
  <c r="G2199" i="5" s="1"/>
  <c r="F2200" i="5"/>
  <c r="G2200" i="5" s="1"/>
  <c r="F2201" i="5"/>
  <c r="G2201" i="5" s="1"/>
  <c r="F2202" i="5"/>
  <c r="G2202" i="5" s="1"/>
  <c r="F2203" i="5"/>
  <c r="G2203" i="5" s="1"/>
  <c r="F2204" i="5"/>
  <c r="G2204" i="5" s="1"/>
  <c r="F2205" i="5"/>
  <c r="G2205" i="5" s="1"/>
  <c r="F2206" i="5"/>
  <c r="G2206" i="5" s="1"/>
  <c r="F2207" i="5"/>
  <c r="G2207" i="5" s="1"/>
  <c r="F2208" i="5"/>
  <c r="G2208" i="5" s="1"/>
  <c r="F2209" i="5"/>
  <c r="G2209" i="5" s="1"/>
  <c r="F2210" i="5"/>
  <c r="G2210" i="5" s="1"/>
  <c r="F2211" i="5"/>
  <c r="G2211" i="5" s="1"/>
  <c r="F2212" i="5"/>
  <c r="G2212" i="5" s="1"/>
  <c r="F2213" i="5"/>
  <c r="G2213" i="5" s="1"/>
  <c r="F2214" i="5"/>
  <c r="G2214" i="5" s="1"/>
  <c r="F2215" i="5"/>
  <c r="G2215" i="5" s="1"/>
  <c r="F2216" i="5"/>
  <c r="G2216" i="5" s="1"/>
  <c r="F2217" i="5"/>
  <c r="G2217" i="5" s="1"/>
  <c r="F2218" i="5"/>
  <c r="G2218" i="5" s="1"/>
  <c r="F2219" i="5"/>
  <c r="G2219" i="5" s="1"/>
  <c r="F2220" i="5"/>
  <c r="G2220" i="5" s="1"/>
  <c r="F2221" i="5"/>
  <c r="G2221" i="5" s="1"/>
  <c r="F2222" i="5"/>
  <c r="G2222" i="5" s="1"/>
  <c r="F2223" i="5"/>
  <c r="G2223" i="5" s="1"/>
  <c r="F2224" i="5"/>
  <c r="G2224" i="5" s="1"/>
  <c r="F2225" i="5"/>
  <c r="G2225" i="5" s="1"/>
  <c r="F2226" i="5"/>
  <c r="G2226" i="5" s="1"/>
  <c r="F2227" i="5"/>
  <c r="G2227" i="5" s="1"/>
  <c r="F2228" i="5"/>
  <c r="G2228" i="5" s="1"/>
  <c r="F2229" i="5"/>
  <c r="G2229" i="5" s="1"/>
  <c r="F2230" i="5"/>
  <c r="G2230" i="5" s="1"/>
  <c r="F2231" i="5"/>
  <c r="G2231" i="5" s="1"/>
  <c r="F2232" i="5"/>
  <c r="G2232" i="5" s="1"/>
  <c r="F2233" i="5"/>
  <c r="G2233" i="5" s="1"/>
  <c r="F2234" i="5"/>
  <c r="G2234" i="5" s="1"/>
  <c r="F2235" i="5"/>
  <c r="G2235" i="5" s="1"/>
  <c r="F2236" i="5"/>
  <c r="G2236" i="5" s="1"/>
  <c r="F2237" i="5"/>
  <c r="G2237" i="5" s="1"/>
  <c r="F2238" i="5"/>
  <c r="G2238" i="5" s="1"/>
  <c r="F2239" i="5"/>
  <c r="G2239" i="5" s="1"/>
  <c r="F2240" i="5"/>
  <c r="G2240" i="5" s="1"/>
  <c r="F2241" i="5"/>
  <c r="G2241" i="5" s="1"/>
  <c r="F2242" i="5"/>
  <c r="G2242" i="5" s="1"/>
  <c r="F2243" i="5"/>
  <c r="G2243" i="5" s="1"/>
  <c r="F2244" i="5"/>
  <c r="G2244" i="5" s="1"/>
  <c r="F2245" i="5"/>
  <c r="G2245" i="5" s="1"/>
  <c r="F2246" i="5"/>
  <c r="G2246" i="5" s="1"/>
  <c r="F2247" i="5"/>
  <c r="G2247" i="5" s="1"/>
  <c r="F2248" i="5"/>
  <c r="G2248" i="5" s="1"/>
  <c r="F2249" i="5"/>
  <c r="G2249" i="5" s="1"/>
  <c r="F2250" i="5"/>
  <c r="G2250" i="5" s="1"/>
  <c r="F2251" i="5"/>
  <c r="G2251" i="5" s="1"/>
  <c r="F2252" i="5"/>
  <c r="G2252" i="5" s="1"/>
  <c r="F2253" i="5"/>
  <c r="G2253" i="5" s="1"/>
  <c r="F2254" i="5"/>
  <c r="G2254" i="5" s="1"/>
  <c r="F2255" i="5"/>
  <c r="G2255" i="5" s="1"/>
  <c r="F2256" i="5"/>
  <c r="G2256" i="5" s="1"/>
  <c r="F2257" i="5"/>
  <c r="G2257" i="5" s="1"/>
  <c r="F2258" i="5"/>
  <c r="G2258" i="5" s="1"/>
  <c r="F2259" i="5"/>
  <c r="G2259" i="5" s="1"/>
  <c r="F2260" i="5"/>
  <c r="G2260" i="5" s="1"/>
  <c r="F2261" i="5"/>
  <c r="G2261" i="5" s="1"/>
  <c r="F2262" i="5"/>
  <c r="G2262" i="5" s="1"/>
  <c r="F2263" i="5"/>
  <c r="G2263" i="5" s="1"/>
  <c r="F2264" i="5"/>
  <c r="G2264" i="5" s="1"/>
  <c r="F2265" i="5"/>
  <c r="G2265" i="5" s="1"/>
  <c r="F2266" i="5"/>
  <c r="G2266" i="5" s="1"/>
  <c r="F2267" i="5"/>
  <c r="G2267" i="5" s="1"/>
  <c r="F2268" i="5"/>
  <c r="G2268" i="5" s="1"/>
  <c r="F2269" i="5"/>
  <c r="G2269" i="5" s="1"/>
  <c r="F2270" i="5"/>
  <c r="G2270" i="5" s="1"/>
  <c r="F2271" i="5"/>
  <c r="G2271" i="5" s="1"/>
  <c r="F2272" i="5"/>
  <c r="G2272" i="5" s="1"/>
  <c r="F2273" i="5"/>
  <c r="G2273" i="5" s="1"/>
  <c r="F2274" i="5"/>
  <c r="G2274" i="5" s="1"/>
  <c r="F2275" i="5"/>
  <c r="G2275" i="5" s="1"/>
  <c r="F2276" i="5"/>
  <c r="G2276" i="5" s="1"/>
  <c r="F2277" i="5"/>
  <c r="G2277" i="5" s="1"/>
  <c r="F2278" i="5"/>
  <c r="G2278" i="5" s="1"/>
  <c r="F2279" i="5"/>
  <c r="G2279" i="5" s="1"/>
  <c r="F2280" i="5"/>
  <c r="G2280" i="5" s="1"/>
  <c r="F2281" i="5"/>
  <c r="G2281" i="5" s="1"/>
  <c r="F2282" i="5"/>
  <c r="G2282" i="5" s="1"/>
  <c r="F2283" i="5"/>
  <c r="G2283" i="5" s="1"/>
  <c r="F2284" i="5"/>
  <c r="G2284" i="5" s="1"/>
  <c r="F2285" i="5"/>
  <c r="G2285" i="5" s="1"/>
  <c r="F2286" i="5"/>
  <c r="G2286" i="5" s="1"/>
  <c r="F2287" i="5"/>
  <c r="G2287" i="5" s="1"/>
  <c r="F2288" i="5"/>
  <c r="G2288" i="5" s="1"/>
  <c r="F2289" i="5"/>
  <c r="G2289" i="5" s="1"/>
  <c r="F2290" i="5"/>
  <c r="G2290" i="5" s="1"/>
  <c r="F2291" i="5"/>
  <c r="G2291" i="5" s="1"/>
  <c r="F2292" i="5"/>
  <c r="G2292" i="5" s="1"/>
  <c r="F2293" i="5"/>
  <c r="G2293" i="5" s="1"/>
  <c r="F2294" i="5"/>
  <c r="G2294" i="5" s="1"/>
  <c r="F2295" i="5"/>
  <c r="G2295" i="5" s="1"/>
  <c r="F2296" i="5"/>
  <c r="G2296" i="5" s="1"/>
  <c r="F2297" i="5"/>
  <c r="G2297" i="5" s="1"/>
  <c r="F2298" i="5"/>
  <c r="G2298" i="5" s="1"/>
  <c r="F2299" i="5"/>
  <c r="G2299" i="5" s="1"/>
  <c r="F2300" i="5"/>
  <c r="G2300" i="5" s="1"/>
  <c r="F2301" i="5"/>
  <c r="G2301" i="5" s="1"/>
  <c r="F2302" i="5"/>
  <c r="G2302" i="5" s="1"/>
  <c r="F2303" i="5"/>
  <c r="G2303" i="5" s="1"/>
  <c r="F2304" i="5"/>
  <c r="G2304" i="5" s="1"/>
  <c r="F2305" i="5"/>
  <c r="G2305" i="5" s="1"/>
  <c r="F2306" i="5"/>
  <c r="G2306" i="5" s="1"/>
  <c r="F2307" i="5"/>
  <c r="G2307" i="5" s="1"/>
  <c r="F2308" i="5"/>
  <c r="G2308" i="5" s="1"/>
  <c r="F2309" i="5"/>
  <c r="G2309" i="5" s="1"/>
  <c r="F2310" i="5"/>
  <c r="G2310" i="5" s="1"/>
  <c r="F2311" i="5"/>
  <c r="G2311" i="5" s="1"/>
  <c r="F2312" i="5"/>
  <c r="G2312" i="5" s="1"/>
  <c r="F2313" i="5"/>
  <c r="G2313" i="5" s="1"/>
  <c r="F2314" i="5"/>
  <c r="G2314" i="5" s="1"/>
  <c r="F2315" i="5"/>
  <c r="G2315" i="5" s="1"/>
  <c r="F2316" i="5"/>
  <c r="G2316" i="5" s="1"/>
  <c r="F2317" i="5"/>
  <c r="G2317" i="5" s="1"/>
  <c r="F2318" i="5"/>
  <c r="G2318" i="5" s="1"/>
  <c r="F2319" i="5"/>
  <c r="G2319" i="5" s="1"/>
  <c r="F2320" i="5"/>
  <c r="G2320" i="5" s="1"/>
  <c r="F2321" i="5"/>
  <c r="G2321" i="5" s="1"/>
  <c r="F2322" i="5"/>
  <c r="G2322" i="5" s="1"/>
  <c r="F2323" i="5"/>
  <c r="G2323" i="5" s="1"/>
  <c r="F2324" i="5"/>
  <c r="G2324" i="5" s="1"/>
  <c r="F2325" i="5"/>
  <c r="G2325" i="5" s="1"/>
  <c r="F2326" i="5"/>
  <c r="G2326" i="5" s="1"/>
  <c r="F2327" i="5"/>
  <c r="G2327" i="5" s="1"/>
  <c r="F2328" i="5"/>
  <c r="G2328" i="5" s="1"/>
  <c r="F2329" i="5"/>
  <c r="G2329" i="5" s="1"/>
  <c r="F2330" i="5"/>
  <c r="G2330" i="5" s="1"/>
  <c r="F2331" i="5"/>
  <c r="G2331" i="5" s="1"/>
  <c r="F2332" i="5"/>
  <c r="G2332" i="5" s="1"/>
  <c r="F2333" i="5"/>
  <c r="G2333" i="5" s="1"/>
  <c r="F2334" i="5"/>
  <c r="G2334" i="5" s="1"/>
  <c r="F2335" i="5"/>
  <c r="G2335" i="5" s="1"/>
  <c r="F2336" i="5"/>
  <c r="G2336" i="5" s="1"/>
  <c r="F2337" i="5"/>
  <c r="G2337" i="5" s="1"/>
  <c r="F2338" i="5"/>
  <c r="G2338" i="5" s="1"/>
  <c r="F2339" i="5"/>
  <c r="G2339" i="5" s="1"/>
  <c r="F2340" i="5"/>
  <c r="G2340" i="5" s="1"/>
  <c r="F2341" i="5"/>
  <c r="G2341" i="5" s="1"/>
  <c r="F2342" i="5"/>
  <c r="G2342" i="5" s="1"/>
  <c r="F2343" i="5"/>
  <c r="G2343" i="5" s="1"/>
  <c r="F2344" i="5"/>
  <c r="G2344" i="5" s="1"/>
  <c r="F2345" i="5"/>
  <c r="G2345" i="5" s="1"/>
  <c r="F2346" i="5"/>
  <c r="G2346" i="5" s="1"/>
  <c r="F2347" i="5"/>
  <c r="G2347" i="5" s="1"/>
  <c r="F2348" i="5"/>
  <c r="G2348" i="5" s="1"/>
  <c r="F2349" i="5"/>
  <c r="G2349" i="5" s="1"/>
  <c r="F2350" i="5"/>
  <c r="G2350" i="5" s="1"/>
  <c r="F2351" i="5"/>
  <c r="G2351" i="5" s="1"/>
  <c r="F2352" i="5"/>
  <c r="G2352" i="5" s="1"/>
  <c r="F2353" i="5"/>
  <c r="G2353" i="5" s="1"/>
  <c r="F2354" i="5"/>
  <c r="G2354" i="5" s="1"/>
  <c r="F2355" i="5"/>
  <c r="G2355" i="5" s="1"/>
  <c r="F2356" i="5"/>
  <c r="G2356" i="5" s="1"/>
  <c r="F2357" i="5"/>
  <c r="G2357" i="5" s="1"/>
  <c r="F2358" i="5"/>
  <c r="G2358" i="5" s="1"/>
  <c r="F2359" i="5"/>
  <c r="G2359" i="5" s="1"/>
  <c r="F2360" i="5"/>
  <c r="G2360" i="5" s="1"/>
  <c r="F2361" i="5"/>
  <c r="G2361" i="5" s="1"/>
  <c r="F2362" i="5"/>
  <c r="G2362" i="5" s="1"/>
  <c r="F2363" i="5"/>
  <c r="G2363" i="5" s="1"/>
  <c r="F2364" i="5"/>
  <c r="G2364" i="5" s="1"/>
  <c r="F2365" i="5"/>
  <c r="G2365" i="5" s="1"/>
  <c r="F2366" i="5"/>
  <c r="G2366" i="5" s="1"/>
  <c r="F2367" i="5"/>
  <c r="G2367" i="5" s="1"/>
  <c r="F2368" i="5"/>
  <c r="G2368" i="5" s="1"/>
  <c r="F2369" i="5"/>
  <c r="G2369" i="5" s="1"/>
  <c r="F2370" i="5"/>
  <c r="G2370" i="5" s="1"/>
  <c r="F2371" i="5"/>
  <c r="G2371" i="5" s="1"/>
  <c r="F2372" i="5"/>
  <c r="G2372" i="5" s="1"/>
  <c r="F2373" i="5"/>
  <c r="G2373" i="5" s="1"/>
  <c r="F2374" i="5"/>
  <c r="G2374" i="5" s="1"/>
  <c r="F2375" i="5"/>
  <c r="G2375" i="5" s="1"/>
  <c r="F2376" i="5"/>
  <c r="G2376" i="5" s="1"/>
  <c r="F2377" i="5"/>
  <c r="G2377" i="5" s="1"/>
  <c r="F2378" i="5"/>
  <c r="G2378" i="5" s="1"/>
  <c r="F2379" i="5"/>
  <c r="G2379" i="5" s="1"/>
  <c r="F2380" i="5"/>
  <c r="G2380" i="5" s="1"/>
  <c r="F2381" i="5"/>
  <c r="G2381" i="5" s="1"/>
  <c r="F2382" i="5"/>
  <c r="G2382" i="5" s="1"/>
  <c r="F2383" i="5"/>
  <c r="G2383" i="5" s="1"/>
  <c r="F2384" i="5"/>
  <c r="G2384" i="5" s="1"/>
  <c r="F2385" i="5"/>
  <c r="G2385" i="5" s="1"/>
  <c r="F2386" i="5"/>
  <c r="G2386" i="5" s="1"/>
  <c r="F2387" i="5"/>
  <c r="G2387" i="5" s="1"/>
  <c r="F2388" i="5"/>
  <c r="G2388" i="5" s="1"/>
  <c r="F2389" i="5"/>
  <c r="G2389" i="5" s="1"/>
  <c r="F2390" i="5"/>
  <c r="G2390" i="5" s="1"/>
  <c r="F2391" i="5"/>
  <c r="G2391" i="5" s="1"/>
  <c r="F2392" i="5"/>
  <c r="G2392" i="5" s="1"/>
  <c r="F2393" i="5"/>
  <c r="G2393" i="5" s="1"/>
  <c r="F2394" i="5"/>
  <c r="G2394" i="5" s="1"/>
  <c r="F2395" i="5"/>
  <c r="G2395" i="5" s="1"/>
  <c r="F2396" i="5"/>
  <c r="G2396" i="5" s="1"/>
  <c r="F2397" i="5"/>
  <c r="G2397" i="5" s="1"/>
  <c r="F2398" i="5"/>
  <c r="G2398" i="5" s="1"/>
  <c r="F2399" i="5"/>
  <c r="G2399" i="5" s="1"/>
  <c r="F2400" i="5"/>
  <c r="G2400" i="5" s="1"/>
  <c r="F2401" i="5"/>
  <c r="G2401" i="5" s="1"/>
  <c r="F2402" i="5"/>
  <c r="G2402" i="5" s="1"/>
  <c r="F2403" i="5"/>
  <c r="G2403" i="5" s="1"/>
  <c r="F2404" i="5"/>
  <c r="G2404" i="5" s="1"/>
  <c r="F2405" i="5"/>
  <c r="G2405" i="5" s="1"/>
  <c r="F2406" i="5"/>
  <c r="G2406" i="5" s="1"/>
  <c r="F2407" i="5"/>
  <c r="G2407" i="5" s="1"/>
  <c r="F2408" i="5"/>
  <c r="G2408" i="5" s="1"/>
  <c r="F2409" i="5"/>
  <c r="G2409" i="5" s="1"/>
  <c r="F2410" i="5"/>
  <c r="G2410" i="5" s="1"/>
  <c r="F2411" i="5"/>
  <c r="G2411" i="5" s="1"/>
  <c r="F2412" i="5"/>
  <c r="G2412" i="5" s="1"/>
  <c r="F2413" i="5"/>
  <c r="G2413" i="5" s="1"/>
  <c r="F2414" i="5"/>
  <c r="G2414" i="5" s="1"/>
  <c r="F2415" i="5"/>
  <c r="G2415" i="5" s="1"/>
  <c r="F2416" i="5"/>
  <c r="G2416" i="5" s="1"/>
  <c r="F2417" i="5"/>
  <c r="G2417" i="5" s="1"/>
  <c r="F2418" i="5"/>
  <c r="G2418" i="5" s="1"/>
  <c r="F2419" i="5"/>
  <c r="G2419" i="5" s="1"/>
  <c r="F2420" i="5"/>
  <c r="G2420" i="5" s="1"/>
  <c r="F2421" i="5"/>
  <c r="G2421" i="5" s="1"/>
  <c r="F2422" i="5"/>
  <c r="G2422" i="5" s="1"/>
  <c r="F2423" i="5"/>
  <c r="G2423" i="5" s="1"/>
  <c r="F2424" i="5"/>
  <c r="G2424" i="5" s="1"/>
  <c r="F2425" i="5"/>
  <c r="G2425" i="5" s="1"/>
  <c r="F2426" i="5"/>
  <c r="G2426" i="5" s="1"/>
  <c r="F2427" i="5"/>
  <c r="G2427" i="5" s="1"/>
  <c r="F2428" i="5"/>
  <c r="G2428" i="5" s="1"/>
  <c r="F2429" i="5"/>
  <c r="G2429" i="5" s="1"/>
  <c r="F2430" i="5"/>
  <c r="G2430" i="5" s="1"/>
  <c r="F2431" i="5"/>
  <c r="G2431" i="5" s="1"/>
  <c r="F2432" i="5"/>
  <c r="G2432" i="5" s="1"/>
  <c r="F2433" i="5"/>
  <c r="G2433" i="5" s="1"/>
  <c r="F2434" i="5"/>
  <c r="G2434" i="5" s="1"/>
  <c r="F2435" i="5"/>
  <c r="G2435" i="5" s="1"/>
  <c r="F2436" i="5"/>
  <c r="G2436" i="5" s="1"/>
  <c r="F2437" i="5"/>
  <c r="G2437" i="5" s="1"/>
  <c r="F2438" i="5"/>
  <c r="G2438" i="5" s="1"/>
  <c r="F2439" i="5"/>
  <c r="G2439" i="5" s="1"/>
  <c r="F2440" i="5"/>
  <c r="G2440" i="5" s="1"/>
  <c r="F2441" i="5"/>
  <c r="G2441" i="5" s="1"/>
  <c r="F2442" i="5"/>
  <c r="G2442" i="5" s="1"/>
  <c r="F2443" i="5"/>
  <c r="G2443" i="5" s="1"/>
  <c r="F2444" i="5"/>
  <c r="G2444" i="5" s="1"/>
  <c r="F2445" i="5"/>
  <c r="G2445" i="5" s="1"/>
  <c r="F2446" i="5"/>
  <c r="G2446" i="5" s="1"/>
  <c r="F2447" i="5"/>
  <c r="G2447" i="5" s="1"/>
  <c r="F2448" i="5"/>
  <c r="G2448" i="5" s="1"/>
  <c r="F2449" i="5"/>
  <c r="G2449" i="5" s="1"/>
  <c r="F2450" i="5"/>
  <c r="G2450" i="5" s="1"/>
  <c r="F2451" i="5"/>
  <c r="G2451" i="5" s="1"/>
  <c r="F2452" i="5"/>
  <c r="G2452" i="5" s="1"/>
  <c r="F2453" i="5"/>
  <c r="G2453" i="5" s="1"/>
  <c r="F2454" i="5"/>
  <c r="G2454" i="5" s="1"/>
  <c r="F2455" i="5"/>
  <c r="G2455" i="5" s="1"/>
  <c r="F2456" i="5"/>
  <c r="G2456" i="5" s="1"/>
  <c r="F2457" i="5"/>
  <c r="G2457" i="5" s="1"/>
  <c r="F2458" i="5"/>
  <c r="G2458" i="5" s="1"/>
  <c r="F2459" i="5"/>
  <c r="G2459" i="5" s="1"/>
  <c r="F2460" i="5"/>
  <c r="G2460" i="5" s="1"/>
  <c r="F2461" i="5"/>
  <c r="G2461" i="5" s="1"/>
  <c r="F2462" i="5"/>
  <c r="G2462" i="5" s="1"/>
  <c r="F2463" i="5"/>
  <c r="G2463" i="5" s="1"/>
  <c r="F2464" i="5"/>
  <c r="G2464" i="5" s="1"/>
  <c r="F2465" i="5"/>
  <c r="G2465" i="5" s="1"/>
  <c r="F2466" i="5"/>
  <c r="G2466" i="5" s="1"/>
  <c r="F2467" i="5"/>
  <c r="G2467" i="5" s="1"/>
  <c r="F2468" i="5"/>
  <c r="G2468" i="5" s="1"/>
  <c r="F2469" i="5"/>
  <c r="G2469" i="5" s="1"/>
  <c r="F2470" i="5"/>
  <c r="G2470" i="5" s="1"/>
  <c r="F2471" i="5"/>
  <c r="G2471" i="5" s="1"/>
  <c r="F2472" i="5"/>
  <c r="G2472" i="5" s="1"/>
  <c r="F2473" i="5"/>
  <c r="G2473" i="5" s="1"/>
  <c r="F2474" i="5"/>
  <c r="G2474" i="5" s="1"/>
  <c r="F2475" i="5"/>
  <c r="G2475" i="5" s="1"/>
  <c r="F2476" i="5"/>
  <c r="G2476" i="5" s="1"/>
  <c r="F2477" i="5"/>
  <c r="G2477" i="5" s="1"/>
  <c r="F2478" i="5"/>
  <c r="G2478" i="5" s="1"/>
  <c r="F2479" i="5"/>
  <c r="G2479" i="5" s="1"/>
  <c r="F2480" i="5"/>
  <c r="G2480" i="5" s="1"/>
  <c r="F2481" i="5"/>
  <c r="G2481" i="5" s="1"/>
  <c r="F2482" i="5"/>
  <c r="G2482" i="5" s="1"/>
  <c r="F2483" i="5"/>
  <c r="G2483" i="5" s="1"/>
  <c r="F2484" i="5"/>
  <c r="G2484" i="5" s="1"/>
  <c r="F2485" i="5"/>
  <c r="G2485" i="5" s="1"/>
  <c r="F2486" i="5"/>
  <c r="G2486" i="5" s="1"/>
  <c r="F2487" i="5"/>
  <c r="G2487" i="5" s="1"/>
  <c r="F2488" i="5"/>
  <c r="G2488" i="5" s="1"/>
  <c r="F2489" i="5"/>
  <c r="G2489" i="5" s="1"/>
  <c r="F2490" i="5"/>
  <c r="G2490" i="5" s="1"/>
  <c r="F2491" i="5"/>
  <c r="G2491" i="5" s="1"/>
  <c r="F2492" i="5"/>
  <c r="G2492" i="5" s="1"/>
  <c r="F2493" i="5"/>
  <c r="G2493" i="5" s="1"/>
  <c r="F2494" i="5"/>
  <c r="G2494" i="5" s="1"/>
  <c r="F2495" i="5"/>
  <c r="G2495" i="5" s="1"/>
  <c r="F2496" i="5"/>
  <c r="G2496" i="5" s="1"/>
  <c r="F2497" i="5"/>
  <c r="G2497" i="5" s="1"/>
  <c r="F2498" i="5"/>
  <c r="G2498" i="5" s="1"/>
  <c r="F2499" i="5"/>
  <c r="G2499" i="5" s="1"/>
  <c r="F2500" i="5"/>
  <c r="G2500" i="5" s="1"/>
  <c r="F2501" i="5"/>
  <c r="G2501" i="5" s="1"/>
  <c r="F2502" i="5"/>
  <c r="G2502" i="5" s="1"/>
  <c r="F2503" i="5"/>
  <c r="G2503" i="5" s="1"/>
  <c r="F2504" i="5"/>
  <c r="G2504" i="5" s="1"/>
  <c r="F2505" i="5"/>
  <c r="G2505" i="5" s="1"/>
  <c r="F2506" i="5"/>
  <c r="G2506" i="5" s="1"/>
  <c r="F2507" i="5"/>
  <c r="G2507" i="5" s="1"/>
  <c r="F2508" i="5"/>
  <c r="G2508" i="5" s="1"/>
  <c r="F2509" i="5"/>
  <c r="G2509" i="5" s="1"/>
  <c r="F2510" i="5"/>
  <c r="G2510" i="5" s="1"/>
  <c r="F2511" i="5"/>
  <c r="G2511" i="5" s="1"/>
  <c r="F2512" i="5"/>
  <c r="G2512" i="5" s="1"/>
  <c r="F2513" i="5"/>
  <c r="G2513" i="5" s="1"/>
  <c r="F2514" i="5"/>
  <c r="G2514" i="5" s="1"/>
  <c r="F2515" i="5"/>
  <c r="G2515" i="5" s="1"/>
  <c r="F2516" i="5"/>
  <c r="G2516" i="5" s="1"/>
  <c r="F2517" i="5"/>
  <c r="G2517" i="5" s="1"/>
  <c r="F2518" i="5"/>
  <c r="G2518" i="5" s="1"/>
  <c r="F2519" i="5"/>
  <c r="G2519" i="5" s="1"/>
  <c r="F2520" i="5"/>
  <c r="G2520" i="5" s="1"/>
  <c r="F2521" i="5"/>
  <c r="G2521" i="5" s="1"/>
  <c r="F2522" i="5"/>
  <c r="G2522" i="5" s="1"/>
  <c r="F2523" i="5"/>
  <c r="G2523" i="5" s="1"/>
  <c r="F2524" i="5"/>
  <c r="G2524" i="5" s="1"/>
  <c r="F2525" i="5"/>
  <c r="G2525" i="5" s="1"/>
  <c r="F2526" i="5"/>
  <c r="G2526" i="5" s="1"/>
  <c r="F2527" i="5"/>
  <c r="G2527" i="5" s="1"/>
  <c r="F2528" i="5"/>
  <c r="G2528" i="5" s="1"/>
  <c r="F2529" i="5"/>
  <c r="G2529" i="5" s="1"/>
  <c r="F2530" i="5"/>
  <c r="G2530" i="5" s="1"/>
  <c r="F2531" i="5"/>
  <c r="G2531" i="5" s="1"/>
  <c r="F2532" i="5"/>
  <c r="G2532" i="5" s="1"/>
  <c r="F2533" i="5"/>
  <c r="G2533" i="5" s="1"/>
  <c r="F2534" i="5"/>
  <c r="G2534" i="5" s="1"/>
  <c r="F2535" i="5"/>
  <c r="G2535" i="5" s="1"/>
  <c r="F2536" i="5"/>
  <c r="G2536" i="5" s="1"/>
  <c r="F2537" i="5"/>
  <c r="G2537" i="5" s="1"/>
  <c r="F2538" i="5"/>
  <c r="G2538" i="5" s="1"/>
  <c r="F2539" i="5"/>
  <c r="G2539" i="5" s="1"/>
  <c r="F2540" i="5"/>
  <c r="G2540" i="5" s="1"/>
  <c r="F2541" i="5"/>
  <c r="G2541" i="5" s="1"/>
  <c r="F2542" i="5"/>
  <c r="G2542" i="5" s="1"/>
  <c r="F2543" i="5"/>
  <c r="G2543" i="5" s="1"/>
  <c r="F2544" i="5"/>
  <c r="G2544" i="5" s="1"/>
  <c r="F2545" i="5"/>
  <c r="G2545" i="5" s="1"/>
  <c r="F2546" i="5"/>
  <c r="G2546" i="5" s="1"/>
  <c r="F2547" i="5"/>
  <c r="G2547" i="5" s="1"/>
  <c r="F2548" i="5"/>
  <c r="G2548" i="5" s="1"/>
  <c r="F2549" i="5"/>
  <c r="G2549" i="5" s="1"/>
  <c r="F2550" i="5"/>
  <c r="G2550" i="5" s="1"/>
  <c r="F2551" i="5"/>
  <c r="G2551" i="5" s="1"/>
  <c r="F2552" i="5"/>
  <c r="G2552" i="5" s="1"/>
  <c r="F2553" i="5"/>
  <c r="G2553" i="5" s="1"/>
  <c r="F2554" i="5"/>
  <c r="G2554" i="5" s="1"/>
  <c r="F2555" i="5"/>
  <c r="G2555" i="5" s="1"/>
  <c r="F2556" i="5"/>
  <c r="G2556" i="5" s="1"/>
  <c r="F2557" i="5"/>
  <c r="G2557" i="5" s="1"/>
  <c r="F2558" i="5"/>
  <c r="G2558" i="5" s="1"/>
  <c r="F2559" i="5"/>
  <c r="G2559" i="5" s="1"/>
  <c r="F2560" i="5"/>
  <c r="G2560" i="5" s="1"/>
  <c r="F2561" i="5"/>
  <c r="G2561" i="5" s="1"/>
  <c r="F2562" i="5"/>
  <c r="G2562" i="5" s="1"/>
  <c r="F2563" i="5"/>
  <c r="G2563" i="5" s="1"/>
  <c r="F2564" i="5"/>
  <c r="G2564" i="5" s="1"/>
  <c r="F2565" i="5"/>
  <c r="G2565" i="5" s="1"/>
  <c r="F2566" i="5"/>
  <c r="G2566" i="5" s="1"/>
  <c r="F2567" i="5"/>
  <c r="G2567" i="5" s="1"/>
  <c r="F2568" i="5"/>
  <c r="G2568" i="5" s="1"/>
  <c r="F2569" i="5"/>
  <c r="G2569" i="5" s="1"/>
  <c r="F2570" i="5"/>
  <c r="G2570" i="5" s="1"/>
  <c r="F2571" i="5"/>
  <c r="G2571" i="5" s="1"/>
  <c r="F2572" i="5"/>
  <c r="G2572" i="5" s="1"/>
  <c r="F2573" i="5"/>
  <c r="G2573" i="5" s="1"/>
  <c r="F2574" i="5"/>
  <c r="G2574" i="5" s="1"/>
  <c r="F2575" i="5"/>
  <c r="G2575" i="5" s="1"/>
  <c r="F2576" i="5"/>
  <c r="G2576" i="5" s="1"/>
  <c r="F2577" i="5"/>
  <c r="G2577" i="5" s="1"/>
  <c r="F2578" i="5"/>
  <c r="G2578" i="5" s="1"/>
  <c r="F2579" i="5"/>
  <c r="G2579" i="5" s="1"/>
  <c r="F2580" i="5"/>
  <c r="G2580" i="5" s="1"/>
  <c r="F2581" i="5"/>
  <c r="G2581" i="5" s="1"/>
  <c r="F2582" i="5"/>
  <c r="G2582" i="5" s="1"/>
  <c r="F2583" i="5"/>
  <c r="G2583" i="5" s="1"/>
  <c r="F2584" i="5"/>
  <c r="G2584" i="5" s="1"/>
  <c r="F2585" i="5"/>
  <c r="G2585" i="5" s="1"/>
  <c r="F2586" i="5"/>
  <c r="G2586" i="5" s="1"/>
  <c r="F2587" i="5"/>
  <c r="G2587" i="5" s="1"/>
  <c r="F2588" i="5"/>
  <c r="G2588" i="5" s="1"/>
  <c r="F2589" i="5"/>
  <c r="G2589" i="5" s="1"/>
  <c r="F2590" i="5"/>
  <c r="G2590" i="5" s="1"/>
  <c r="F2591" i="5"/>
  <c r="G2591" i="5" s="1"/>
  <c r="F2592" i="5"/>
  <c r="G2592" i="5" s="1"/>
  <c r="F2593" i="5"/>
  <c r="G2593" i="5" s="1"/>
  <c r="F2594" i="5"/>
  <c r="G2594" i="5" s="1"/>
  <c r="F2595" i="5"/>
  <c r="G2595" i="5" s="1"/>
  <c r="F2596" i="5"/>
  <c r="G2596" i="5" s="1"/>
  <c r="F2597" i="5"/>
  <c r="G2597" i="5" s="1"/>
  <c r="F2598" i="5"/>
  <c r="G2598" i="5" s="1"/>
  <c r="F2599" i="5"/>
  <c r="G2599" i="5" s="1"/>
  <c r="F2600" i="5"/>
  <c r="G2600" i="5" s="1"/>
  <c r="F2601" i="5"/>
  <c r="G2601" i="5" s="1"/>
  <c r="F2602" i="5"/>
  <c r="G2602" i="5" s="1"/>
  <c r="F2603" i="5"/>
  <c r="G2603" i="5" s="1"/>
  <c r="F2604" i="5"/>
  <c r="G2604" i="5" s="1"/>
  <c r="F2605" i="5"/>
  <c r="G2605" i="5" s="1"/>
  <c r="F2606" i="5"/>
  <c r="G2606" i="5" s="1"/>
  <c r="F2607" i="5"/>
  <c r="G2607" i="5" s="1"/>
  <c r="F2608" i="5"/>
  <c r="G2608" i="5" s="1"/>
  <c r="F2609" i="5"/>
  <c r="G2609" i="5" s="1"/>
  <c r="F2610" i="5"/>
  <c r="G2610" i="5" s="1"/>
  <c r="F2611" i="5"/>
  <c r="G2611" i="5" s="1"/>
  <c r="F2612" i="5"/>
  <c r="G2612" i="5" s="1"/>
  <c r="F2613" i="5"/>
  <c r="G2613" i="5" s="1"/>
  <c r="F2614" i="5"/>
  <c r="G2614" i="5" s="1"/>
  <c r="F2615" i="5"/>
  <c r="G2615" i="5" s="1"/>
  <c r="F2616" i="5"/>
  <c r="G2616" i="5" s="1"/>
  <c r="F2617" i="5"/>
  <c r="G2617" i="5" s="1"/>
  <c r="F2618" i="5"/>
  <c r="G2618" i="5" s="1"/>
  <c r="F2619" i="5"/>
  <c r="G2619" i="5" s="1"/>
  <c r="F2620" i="5"/>
  <c r="G2620" i="5" s="1"/>
  <c r="F2621" i="5"/>
  <c r="G2621" i="5" s="1"/>
  <c r="F2622" i="5"/>
  <c r="G2622" i="5" s="1"/>
  <c r="F2623" i="5"/>
  <c r="G2623" i="5" s="1"/>
  <c r="F2624" i="5"/>
  <c r="G2624" i="5" s="1"/>
  <c r="F2625" i="5"/>
  <c r="G2625" i="5" s="1"/>
  <c r="F2626" i="5"/>
  <c r="G2626" i="5" s="1"/>
  <c r="F2627" i="5"/>
  <c r="G2627" i="5" s="1"/>
  <c r="F2628" i="5"/>
  <c r="G2628" i="5" s="1"/>
  <c r="F2629" i="5"/>
  <c r="G2629" i="5" s="1"/>
  <c r="F2630" i="5"/>
  <c r="G2630" i="5" s="1"/>
  <c r="F2631" i="5"/>
  <c r="G2631" i="5" s="1"/>
  <c r="F2632" i="5"/>
  <c r="G2632" i="5" s="1"/>
  <c r="F2633" i="5"/>
  <c r="G2633" i="5" s="1"/>
  <c r="F2634" i="5"/>
  <c r="G2634" i="5" s="1"/>
  <c r="F2635" i="5"/>
  <c r="G2635" i="5" s="1"/>
  <c r="F2636" i="5"/>
  <c r="G2636" i="5" s="1"/>
  <c r="F2637" i="5"/>
  <c r="G2637" i="5" s="1"/>
  <c r="F2638" i="5"/>
  <c r="G2638" i="5" s="1"/>
  <c r="F2639" i="5"/>
  <c r="G2639" i="5" s="1"/>
  <c r="F2640" i="5"/>
  <c r="G2640" i="5" s="1"/>
  <c r="F2641" i="5"/>
  <c r="G2641" i="5" s="1"/>
  <c r="F2642" i="5"/>
  <c r="G2642" i="5" s="1"/>
  <c r="F2643" i="5"/>
  <c r="G2643" i="5" s="1"/>
  <c r="F2644" i="5"/>
  <c r="G2644" i="5" s="1"/>
  <c r="F2645" i="5"/>
  <c r="G2645" i="5" s="1"/>
  <c r="F2646" i="5"/>
  <c r="G2646" i="5" s="1"/>
  <c r="F2647" i="5"/>
  <c r="G2647" i="5" s="1"/>
  <c r="F2648" i="5"/>
  <c r="G2648" i="5" s="1"/>
  <c r="F2649" i="5"/>
  <c r="G2649" i="5" s="1"/>
  <c r="F2650" i="5"/>
  <c r="G2650" i="5" s="1"/>
  <c r="F2651" i="5"/>
  <c r="G2651" i="5" s="1"/>
  <c r="F2652" i="5"/>
  <c r="G2652" i="5" s="1"/>
  <c r="F2653" i="5"/>
  <c r="G2653" i="5" s="1"/>
  <c r="F2654" i="5"/>
  <c r="G2654" i="5" s="1"/>
  <c r="F2655" i="5"/>
  <c r="G2655" i="5" s="1"/>
  <c r="F2656" i="5"/>
  <c r="G2656" i="5" s="1"/>
  <c r="F2657" i="5"/>
  <c r="G2657" i="5" s="1"/>
  <c r="F2658" i="5"/>
  <c r="G2658" i="5" s="1"/>
  <c r="F2659" i="5"/>
  <c r="G2659" i="5" s="1"/>
  <c r="F2660" i="5"/>
  <c r="G2660" i="5" s="1"/>
  <c r="F2661" i="5"/>
  <c r="G2661" i="5" s="1"/>
  <c r="F2662" i="5"/>
  <c r="G2662" i="5" s="1"/>
  <c r="F2663" i="5"/>
  <c r="G2663" i="5" s="1"/>
  <c r="F2664" i="5"/>
  <c r="G2664" i="5" s="1"/>
  <c r="F2665" i="5"/>
  <c r="G2665" i="5" s="1"/>
  <c r="F2666" i="5"/>
  <c r="G2666" i="5" s="1"/>
  <c r="F2667" i="5"/>
  <c r="G2667" i="5" s="1"/>
  <c r="F2668" i="5"/>
  <c r="G2668" i="5" s="1"/>
  <c r="F2669" i="5"/>
  <c r="G2669" i="5" s="1"/>
  <c r="F2670" i="5"/>
  <c r="G2670" i="5" s="1"/>
  <c r="F2671" i="5"/>
  <c r="G2671" i="5" s="1"/>
  <c r="F2672" i="5"/>
  <c r="G2672" i="5" s="1"/>
  <c r="F2673" i="5"/>
  <c r="G2673" i="5" s="1"/>
  <c r="F2674" i="5"/>
  <c r="G2674" i="5" s="1"/>
  <c r="F2675" i="5"/>
  <c r="G2675" i="5" s="1"/>
  <c r="F2676" i="5"/>
  <c r="G2676" i="5" s="1"/>
  <c r="F2677" i="5"/>
  <c r="G2677" i="5" s="1"/>
  <c r="F2678" i="5"/>
  <c r="G2678" i="5" s="1"/>
  <c r="F2679" i="5"/>
  <c r="G2679" i="5" s="1"/>
  <c r="F2680" i="5"/>
  <c r="G2680" i="5" s="1"/>
  <c r="F2681" i="5"/>
  <c r="G2681" i="5" s="1"/>
  <c r="F2682" i="5"/>
  <c r="G2682" i="5" s="1"/>
  <c r="F2683" i="5"/>
  <c r="G2683" i="5" s="1"/>
  <c r="F2684" i="5"/>
  <c r="G2684" i="5" s="1"/>
  <c r="F2685" i="5"/>
  <c r="G2685" i="5" s="1"/>
  <c r="F2686" i="5"/>
  <c r="G2686" i="5" s="1"/>
  <c r="F2687" i="5"/>
  <c r="G2687" i="5" s="1"/>
  <c r="F2688" i="5"/>
  <c r="G2688" i="5" s="1"/>
  <c r="F2689" i="5"/>
  <c r="G2689" i="5" s="1"/>
  <c r="F2690" i="5"/>
  <c r="G2690" i="5" s="1"/>
  <c r="F2691" i="5"/>
  <c r="G2691" i="5" s="1"/>
  <c r="F2692" i="5"/>
  <c r="G2692" i="5" s="1"/>
  <c r="F2693" i="5"/>
  <c r="G2693" i="5" s="1"/>
  <c r="F2694" i="5"/>
  <c r="G2694" i="5" s="1"/>
  <c r="F2695" i="5"/>
  <c r="G2695" i="5" s="1"/>
  <c r="F2696" i="5"/>
  <c r="G2696" i="5" s="1"/>
  <c r="F2697" i="5"/>
  <c r="G2697" i="5" s="1"/>
  <c r="F2698" i="5"/>
  <c r="G2698" i="5" s="1"/>
  <c r="F2699" i="5"/>
  <c r="G2699" i="5" s="1"/>
  <c r="F2700" i="5"/>
  <c r="G2700" i="5" s="1"/>
  <c r="F2701" i="5"/>
  <c r="G2701" i="5" s="1"/>
  <c r="F2702" i="5"/>
  <c r="G2702" i="5" s="1"/>
  <c r="F2703" i="5"/>
  <c r="G2703" i="5" s="1"/>
  <c r="F2704" i="5"/>
  <c r="G2704" i="5" s="1"/>
  <c r="F2705" i="5"/>
  <c r="G2705" i="5" s="1"/>
  <c r="F2706" i="5"/>
  <c r="G2706" i="5" s="1"/>
  <c r="F2707" i="5"/>
  <c r="G2707" i="5" s="1"/>
  <c r="F2708" i="5"/>
  <c r="G2708" i="5" s="1"/>
  <c r="F2709" i="5"/>
  <c r="G2709" i="5" s="1"/>
  <c r="F2710" i="5"/>
  <c r="G2710" i="5" s="1"/>
  <c r="F2711" i="5"/>
  <c r="G2711" i="5" s="1"/>
  <c r="F2712" i="5"/>
  <c r="G2712" i="5" s="1"/>
  <c r="F2713" i="5"/>
  <c r="G2713" i="5" s="1"/>
  <c r="F2714" i="5"/>
  <c r="G2714" i="5" s="1"/>
  <c r="F2715" i="5"/>
  <c r="G2715" i="5" s="1"/>
  <c r="F2716" i="5"/>
  <c r="G2716" i="5" s="1"/>
  <c r="F2717" i="5"/>
  <c r="G2717" i="5" s="1"/>
  <c r="F2718" i="5"/>
  <c r="G2718" i="5" s="1"/>
  <c r="F2719" i="5"/>
  <c r="G2719" i="5" s="1"/>
  <c r="F2720" i="5"/>
  <c r="G2720" i="5" s="1"/>
  <c r="F2721" i="5"/>
  <c r="G2721" i="5" s="1"/>
  <c r="F2722" i="5"/>
  <c r="G2722" i="5" s="1"/>
  <c r="F2723" i="5"/>
  <c r="G2723" i="5" s="1"/>
  <c r="F2724" i="5"/>
  <c r="G2724" i="5" s="1"/>
  <c r="F2725" i="5"/>
  <c r="G2725" i="5" s="1"/>
  <c r="F2726" i="5"/>
  <c r="G2726" i="5" s="1"/>
  <c r="F2727" i="5"/>
  <c r="G2727" i="5" s="1"/>
  <c r="F2728" i="5"/>
  <c r="G2728" i="5" s="1"/>
  <c r="F2729" i="5"/>
  <c r="G2729" i="5" s="1"/>
  <c r="F2730" i="5"/>
  <c r="G2730" i="5" s="1"/>
  <c r="F2731" i="5"/>
  <c r="G2731" i="5" s="1"/>
  <c r="F2732" i="5"/>
  <c r="G2732" i="5" s="1"/>
  <c r="F2733" i="5"/>
  <c r="G2733" i="5" s="1"/>
  <c r="F2734" i="5"/>
  <c r="G2734" i="5" s="1"/>
  <c r="F2735" i="5"/>
  <c r="G2735" i="5" s="1"/>
  <c r="F2736" i="5"/>
  <c r="G2736" i="5" s="1"/>
  <c r="F2737" i="5"/>
  <c r="G2737" i="5" s="1"/>
  <c r="F2738" i="5"/>
  <c r="G2738" i="5" s="1"/>
  <c r="F2739" i="5"/>
  <c r="G2739" i="5" s="1"/>
  <c r="F2740" i="5"/>
  <c r="G2740" i="5" s="1"/>
  <c r="F2741" i="5"/>
  <c r="G2741" i="5" s="1"/>
  <c r="F2742" i="5"/>
  <c r="G2742" i="5" s="1"/>
  <c r="F2743" i="5"/>
  <c r="G2743" i="5" s="1"/>
  <c r="F2744" i="5"/>
  <c r="G2744" i="5" s="1"/>
  <c r="F2745" i="5"/>
  <c r="G2745" i="5" s="1"/>
  <c r="F2746" i="5"/>
  <c r="G2746" i="5" s="1"/>
  <c r="F2747" i="5"/>
  <c r="G2747" i="5" s="1"/>
  <c r="F2748" i="5"/>
  <c r="G2748" i="5" s="1"/>
  <c r="F2749" i="5"/>
  <c r="G2749" i="5" s="1"/>
  <c r="F2750" i="5"/>
  <c r="G2750" i="5" s="1"/>
  <c r="F2751" i="5"/>
  <c r="G2751" i="5" s="1"/>
  <c r="F2752" i="5"/>
  <c r="G2752" i="5" s="1"/>
  <c r="F2753" i="5"/>
  <c r="G2753" i="5" s="1"/>
  <c r="F2754" i="5"/>
  <c r="G2754" i="5" s="1"/>
  <c r="F2755" i="5"/>
  <c r="G2755" i="5" s="1"/>
  <c r="F2756" i="5"/>
  <c r="G2756" i="5" s="1"/>
  <c r="F2757" i="5"/>
  <c r="G2757" i="5" s="1"/>
  <c r="F2758" i="5"/>
  <c r="G2758" i="5" s="1"/>
  <c r="F2759" i="5"/>
  <c r="G2759" i="5" s="1"/>
  <c r="F2760" i="5"/>
  <c r="G2760" i="5" s="1"/>
  <c r="F2761" i="5"/>
  <c r="G2761" i="5" s="1"/>
  <c r="F2762" i="5"/>
  <c r="G2762" i="5" s="1"/>
  <c r="F2763" i="5"/>
  <c r="G2763" i="5" s="1"/>
  <c r="F2764" i="5"/>
  <c r="G2764" i="5" s="1"/>
  <c r="F2765" i="5"/>
  <c r="G2765" i="5" s="1"/>
  <c r="F2766" i="5"/>
  <c r="G2766" i="5" s="1"/>
  <c r="F2767" i="5"/>
  <c r="G2767" i="5" s="1"/>
  <c r="F2768" i="5"/>
  <c r="G2768" i="5" s="1"/>
  <c r="F2769" i="5"/>
  <c r="G2769" i="5" s="1"/>
  <c r="F2770" i="5"/>
  <c r="G2770" i="5" s="1"/>
  <c r="F2771" i="5"/>
  <c r="G2771" i="5" s="1"/>
  <c r="F2772" i="5"/>
  <c r="G2772" i="5" s="1"/>
  <c r="F2773" i="5"/>
  <c r="G2773" i="5" s="1"/>
  <c r="F2774" i="5"/>
  <c r="G2774" i="5" s="1"/>
  <c r="F2775" i="5"/>
  <c r="G2775" i="5" s="1"/>
  <c r="F2776" i="5"/>
  <c r="G2776" i="5" s="1"/>
  <c r="F2777" i="5"/>
  <c r="G2777" i="5" s="1"/>
  <c r="F2778" i="5"/>
  <c r="G2778" i="5" s="1"/>
  <c r="F2779" i="5"/>
  <c r="G2779" i="5" s="1"/>
  <c r="F2780" i="5"/>
  <c r="G2780" i="5" s="1"/>
  <c r="F2781" i="5"/>
  <c r="G2781" i="5" s="1"/>
  <c r="F2782" i="5"/>
  <c r="G2782" i="5" s="1"/>
  <c r="F2783" i="5"/>
  <c r="G2783" i="5" s="1"/>
  <c r="F2784" i="5"/>
  <c r="G2784" i="5" s="1"/>
  <c r="F2785" i="5"/>
  <c r="G2785" i="5" s="1"/>
  <c r="F2786" i="5"/>
  <c r="G2786" i="5" s="1"/>
  <c r="F2787" i="5"/>
  <c r="G2787" i="5" s="1"/>
  <c r="F2788" i="5"/>
  <c r="G2788" i="5" s="1"/>
  <c r="F2789" i="5"/>
  <c r="G2789" i="5" s="1"/>
  <c r="F2790" i="5"/>
  <c r="G2790" i="5" s="1"/>
  <c r="F2791" i="5"/>
  <c r="G2791" i="5" s="1"/>
  <c r="F2792" i="5"/>
  <c r="G2792" i="5" s="1"/>
  <c r="F2793" i="5"/>
  <c r="G2793" i="5" s="1"/>
  <c r="F2794" i="5"/>
  <c r="G2794" i="5" s="1"/>
  <c r="F2795" i="5"/>
  <c r="G2795" i="5" s="1"/>
  <c r="F2796" i="5"/>
  <c r="G2796" i="5" s="1"/>
  <c r="F2797" i="5"/>
  <c r="G2797" i="5" s="1"/>
  <c r="F2" i="5"/>
  <c r="G2" i="5" s="1"/>
  <c r="B3" i="2" l="1"/>
  <c r="I3" i="1" s="1"/>
  <c r="B4" i="2"/>
  <c r="I13" i="1" s="1"/>
  <c r="B5" i="2"/>
  <c r="I18" i="1" s="1"/>
  <c r="B6" i="2"/>
  <c r="I17" i="1" s="1"/>
  <c r="B7" i="2"/>
  <c r="I5" i="1" s="1"/>
  <c r="B8" i="2"/>
  <c r="I7" i="1" s="1"/>
  <c r="B9" i="2"/>
  <c r="I11" i="1" s="1"/>
  <c r="B10" i="2"/>
  <c r="I6" i="1" s="1"/>
  <c r="B11" i="2"/>
  <c r="I20" i="1" s="1"/>
  <c r="B12" i="2"/>
  <c r="I9" i="1" s="1"/>
  <c r="B13" i="2"/>
  <c r="I26" i="1" s="1"/>
  <c r="B14" i="2"/>
  <c r="I19" i="1" s="1"/>
  <c r="B15" i="2"/>
  <c r="I12" i="1" s="1"/>
  <c r="B16" i="2"/>
  <c r="I8" i="1" s="1"/>
  <c r="B19" i="2"/>
  <c r="I21" i="1" s="1"/>
  <c r="B20" i="2"/>
  <c r="I22" i="1" s="1"/>
  <c r="B21" i="2"/>
  <c r="I14" i="1" s="1"/>
  <c r="B22" i="2"/>
  <c r="I28" i="1" s="1"/>
  <c r="B23" i="2"/>
  <c r="I16" i="1" s="1"/>
  <c r="B24" i="2"/>
  <c r="I34" i="1" s="1"/>
  <c r="B26" i="2"/>
  <c r="I32" i="1" s="1"/>
  <c r="B28" i="2"/>
  <c r="I41" i="1" s="1"/>
  <c r="B29" i="2"/>
  <c r="I30" i="1" s="1"/>
  <c r="B30" i="2"/>
  <c r="I36" i="1" s="1"/>
  <c r="B31" i="2"/>
  <c r="I55" i="1" s="1"/>
  <c r="B34" i="2"/>
  <c r="I57" i="1" s="1"/>
  <c r="B35" i="2"/>
  <c r="I62" i="1" s="1"/>
  <c r="B36" i="2"/>
  <c r="I45" i="1" s="1"/>
  <c r="B37" i="2"/>
  <c r="I61" i="1" s="1"/>
  <c r="B40" i="2"/>
  <c r="I31" i="1" s="1"/>
  <c r="B42" i="2"/>
  <c r="I68" i="1" s="1"/>
  <c r="B43" i="2"/>
  <c r="I38" i="1" s="1"/>
  <c r="B45" i="2"/>
  <c r="I51" i="1" s="1"/>
  <c r="B48" i="2"/>
  <c r="I74" i="1" s="1"/>
  <c r="B53" i="2"/>
  <c r="I58" i="1" s="1"/>
  <c r="B54" i="2"/>
  <c r="I47" i="1" s="1"/>
  <c r="B55" i="2"/>
  <c r="I37" i="1" s="1"/>
  <c r="B56" i="2"/>
  <c r="I29" i="1" s="1"/>
  <c r="B57" i="2"/>
  <c r="I42" i="1" s="1"/>
  <c r="B58" i="2"/>
  <c r="I46" i="1" s="1"/>
  <c r="B59" i="2"/>
  <c r="I4" i="1" s="1"/>
  <c r="B61" i="2"/>
  <c r="I24" i="1" s="1"/>
  <c r="B62" i="2"/>
  <c r="I33" i="1" s="1"/>
  <c r="B63" i="2"/>
  <c r="I72" i="1" s="1"/>
  <c r="B65" i="2"/>
  <c r="I44" i="1" s="1"/>
  <c r="B67" i="2"/>
  <c r="I60" i="1" s="1"/>
  <c r="B2" i="2"/>
  <c r="I2" i="1" l="1"/>
</calcChain>
</file>

<file path=xl/sharedStrings.xml><?xml version="1.0" encoding="utf-8"?>
<sst xmlns="http://schemas.openxmlformats.org/spreadsheetml/2006/main" count="23236" uniqueCount="251">
  <si>
    <t>Name</t>
  </si>
  <si>
    <t>Kudos</t>
  </si>
  <si>
    <t>12 Month Commits</t>
  </si>
  <si>
    <t>All Time Commits</t>
  </si>
  <si>
    <t>5 Year Trend</t>
  </si>
  <si>
    <t>Primary Language</t>
  </si>
  <si>
    <t>First Commit</t>
  </si>
  <si>
    <t>Last Commit</t>
  </si>
  <si>
    <t>Martyn Gigg</t>
  </si>
  <si>
    <t>C++</t>
  </si>
  <si>
    <t>over 5 years ago</t>
  </si>
  <si>
    <t>Russell Taylor</t>
  </si>
  <si>
    <t>over 6 years ago</t>
  </si>
  <si>
    <t>9 days ago</t>
  </si>
  <si>
    <t>Samuel Jackson</t>
  </si>
  <si>
    <t>10 months ago</t>
  </si>
  <si>
    <t>14 days ago</t>
  </si>
  <si>
    <t>Jay Rainey</t>
  </si>
  <si>
    <t>Arturs Bekasovs</t>
  </si>
  <si>
    <t>Owen Arnold</t>
  </si>
  <si>
    <t>Peter Peterson</t>
  </si>
  <si>
    <t>Wenduo Zhou</t>
  </si>
  <si>
    <t>about 3 years ago</t>
  </si>
  <si>
    <t>Alex Buts</t>
  </si>
  <si>
    <t>Gesner Passos</t>
  </si>
  <si>
    <t>over 1 year ago</t>
  </si>
  <si>
    <t>about 1 month ago</t>
  </si>
  <si>
    <t>Michael Reuter</t>
  </si>
  <si>
    <t>8 days ago</t>
  </si>
  <si>
    <t>Keith Brown</t>
  </si>
  <si>
    <t>Karl Palmen</t>
  </si>
  <si>
    <t>over 2 years ago</t>
  </si>
  <si>
    <t>Vickie Lynch</t>
  </si>
  <si>
    <t>over 3 years ago</t>
  </si>
  <si>
    <t>Roman Tolchenov</t>
  </si>
  <si>
    <t>Python</t>
  </si>
  <si>
    <t>Andrei Savici</t>
  </si>
  <si>
    <t>Peter Parker</t>
  </si>
  <si>
    <t>Stuart Campbell</t>
  </si>
  <si>
    <t>ISIS</t>
  </si>
  <si>
    <t>SNS</t>
  </si>
  <si>
    <t>njd(Project Manager)</t>
  </si>
  <si>
    <t>Mathieu Doucet(Computing Scientist)</t>
  </si>
  <si>
    <t>Jose Borreguero</t>
  </si>
  <si>
    <t>Anders Markvardsen</t>
  </si>
  <si>
    <t>Ross Miller</t>
  </si>
  <si>
    <t>about 2 years ago</t>
  </si>
  <si>
    <t>MichaelWedel</t>
  </si>
  <si>
    <t>3 months ago</t>
  </si>
  <si>
    <t>Dennis Mikkelson</t>
  </si>
  <si>
    <t>Ricardo Leal</t>
  </si>
  <si>
    <t>Dereck Kachere</t>
  </si>
  <si>
    <t>Jean Bilheux</t>
  </si>
  <si>
    <t>8 months ago</t>
  </si>
  <si>
    <t>Ruth Mikkelson</t>
  </si>
  <si>
    <t>Mike Thomas</t>
  </si>
  <si>
    <t>XML</t>
  </si>
  <si>
    <t>7 months ago</t>
  </si>
  <si>
    <t>JeanBilheux</t>
  </si>
  <si>
    <t>Pete Peterson</t>
  </si>
  <si>
    <t>CMake</t>
  </si>
  <si>
    <t>Mark Koennecke</t>
  </si>
  <si>
    <t>9 months ago</t>
  </si>
  <si>
    <t>Christophe Le Bourlot</t>
  </si>
  <si>
    <t>Shelly Ren</t>
  </si>
  <si>
    <t>T Nielsen</t>
  </si>
  <si>
    <t>about 1 year ago</t>
  </si>
  <si>
    <t>Bilheux</t>
  </si>
  <si>
    <t>Ricardo Ferraz Leal</t>
  </si>
  <si>
    <t>Michael Wedel</t>
  </si>
  <si>
    <t>Anders-Markvardsen</t>
  </si>
  <si>
    <t>Facility</t>
  </si>
  <si>
    <t>PSI</t>
  </si>
  <si>
    <t>ILL</t>
  </si>
  <si>
    <t>?</t>
  </si>
  <si>
    <t>ESS</t>
  </si>
  <si>
    <t>unknown</t>
  </si>
  <si>
    <t>Freddie Akeroyd</t>
  </si>
  <si>
    <t>about 7 years ago</t>
  </si>
  <si>
    <t>mathieu</t>
  </si>
  <si>
    <t>Ross Whitfield</t>
  </si>
  <si>
    <t>Stuart I. Campbell</t>
  </si>
  <si>
    <t>Miller R G</t>
  </si>
  <si>
    <t>Robert Dalgliesh</t>
  </si>
  <si>
    <t>VickieLynch</t>
  </si>
  <si>
    <t>AndreiSavici</t>
  </si>
  <si>
    <t>almost 2 years ago</t>
  </si>
  <si>
    <t>mdoucet</t>
  </si>
  <si>
    <t>Doucet, Mathieu</t>
  </si>
  <si>
    <t>Marie Yao</t>
  </si>
  <si>
    <t>Stuart Ansell</t>
  </si>
  <si>
    <t>Laurent Chapon</t>
  </si>
  <si>
    <t>about 4 years ago</t>
  </si>
  <si>
    <t>Matt Clarke</t>
  </si>
  <si>
    <t>over 4 years ago</t>
  </si>
  <si>
    <t>Sri Nagella</t>
  </si>
  <si>
    <t>about 6 years ago</t>
  </si>
  <si>
    <t>about 5 years ago</t>
  </si>
  <si>
    <t>Dickon Champion</t>
  </si>
  <si>
    <t>Janik Zikovsky</t>
  </si>
  <si>
    <t>owen</t>
  </si>
  <si>
    <t>Steve Williams</t>
  </si>
  <si>
    <t>Sofia Antony</t>
  </si>
  <si>
    <t>Pascal Manuel</t>
  </si>
  <si>
    <t>Ronald Fowler</t>
  </si>
  <si>
    <t>Lakshmi Sastry</t>
  </si>
  <si>
    <t>76df301a3d8da0a4f08f02c1b0994fb6?&amp;s=32&amp;rating=pg&amp;d=http%3a%2f%2fwwwmjwhitty(Inactive)</t>
  </si>
  <si>
    <t>Fc6b163eab9f4df5b4b8c91c3a0f00ec?&amp;s=32&amp;rating=pg&amp;d=http%3a%2f%2fwwwRobert Whitley(Software Developer)</t>
  </si>
  <si>
    <t>Contract</t>
  </si>
  <si>
    <t>Tessella</t>
  </si>
  <si>
    <t>Common Name</t>
  </si>
  <si>
    <t>Mathieu Doucet</t>
  </si>
  <si>
    <t>Nick Draper</t>
  </si>
  <si>
    <t>Original Name</t>
  </si>
  <si>
    <t>Row Labels</t>
  </si>
  <si>
    <t>Grand Total</t>
  </si>
  <si>
    <t>Sum of 12 Month Commits</t>
  </si>
  <si>
    <t>Sum of All Time Commits</t>
  </si>
  <si>
    <t>Release 3.2</t>
  </si>
  <si>
    <t>Release 3.1</t>
  </si>
  <si>
    <t>Release 3.0</t>
  </si>
  <si>
    <t>Release 2.6</t>
  </si>
  <si>
    <t>Release 2.5</t>
  </si>
  <si>
    <t>Release 2.4</t>
  </si>
  <si>
    <t>Anyone</t>
  </si>
  <si>
    <t>Release 2.3</t>
  </si>
  <si>
    <t>Release 2.2</t>
  </si>
  <si>
    <t>Release 2.1</t>
  </si>
  <si>
    <t>Release 2.0</t>
  </si>
  <si>
    <t>Iteration 30</t>
  </si>
  <si>
    <t>Iteration 29</t>
  </si>
  <si>
    <t>Michael Whitty</t>
  </si>
  <si>
    <t>Iteration 28</t>
  </si>
  <si>
    <t>Iteration 27</t>
  </si>
  <si>
    <t>Iteration 25</t>
  </si>
  <si>
    <t>Iteration 22</t>
  </si>
  <si>
    <t>Iteration 24</t>
  </si>
  <si>
    <t>Iteration 23</t>
  </si>
  <si>
    <t>Iteration 20</t>
  </si>
  <si>
    <t>Pilot</t>
  </si>
  <si>
    <t>Iteration 26</t>
  </si>
  <si>
    <t>Iteration 4</t>
  </si>
  <si>
    <t>Release 2.5.3</t>
  </si>
  <si>
    <t>Robert Whitley</t>
  </si>
  <si>
    <t>Brett Tully</t>
  </si>
  <si>
    <t>Iteration 21</t>
  </si>
  <si>
    <t>Iteration 19</t>
  </si>
  <si>
    <t>Iteration 18</t>
  </si>
  <si>
    <t>Iteration 17</t>
  </si>
  <si>
    <t>Iteration 16</t>
  </si>
  <si>
    <t>Iteration 15</t>
  </si>
  <si>
    <t>Iteration 14</t>
  </si>
  <si>
    <t>Iteration 13</t>
  </si>
  <si>
    <t>Iteration 11</t>
  </si>
  <si>
    <t>Iteration 10</t>
  </si>
  <si>
    <t>Iteration 12</t>
  </si>
  <si>
    <t>Iteration 9</t>
  </si>
  <si>
    <t>Iteration 8</t>
  </si>
  <si>
    <t>Iteration 7</t>
  </si>
  <si>
    <t>Iteration 6</t>
  </si>
  <si>
    <t>Iteration 5</t>
  </si>
  <si>
    <t>Iteration 2</t>
  </si>
  <si>
    <t>Iteration 1</t>
  </si>
  <si>
    <t>Backlog</t>
  </si>
  <si>
    <t>Release 3.1.1</t>
  </si>
  <si>
    <t>Release 2.3.2</t>
  </si>
  <si>
    <t>Release 2.3.1</t>
  </si>
  <si>
    <t>Release 2.1.1</t>
  </si>
  <si>
    <t>Release 2.0.2</t>
  </si>
  <si>
    <t>Iteration 3</t>
  </si>
  <si>
    <t>Release 2.6.1</t>
  </si>
  <si>
    <t>tester</t>
  </si>
  <si>
    <t>changetime</t>
  </si>
  <si>
    <t>milestone</t>
  </si>
  <si>
    <t>owner</t>
  </si>
  <si>
    <t>id</t>
  </si>
  <si>
    <t>http://trac.mantidproject.org/mantid/query?status=closed&amp;resolution=fixed&amp;col=id&amp;col=owner&amp;col=milestone&amp;col=changetime&amp;col=tester&amp;order=priority</t>
  </si>
  <si>
    <t>YearsAgo</t>
  </si>
  <si>
    <t>within 12 Months</t>
  </si>
  <si>
    <t>(blank)</t>
  </si>
  <si>
    <t>Total</t>
  </si>
  <si>
    <t>12 Months</t>
  </si>
  <si>
    <t>Tickets Fixed-12 months</t>
  </si>
  <si>
    <t>Tickets Fixed-Total</t>
  </si>
  <si>
    <t>Tickets Tested-12 months</t>
  </si>
  <si>
    <t>Tickets Tested-Total</t>
  </si>
  <si>
    <t>Commits-12 months</t>
  </si>
  <si>
    <t>Commits-Total</t>
  </si>
  <si>
    <t>Sum of Tickets Fixed-12 months</t>
  </si>
  <si>
    <t>Sum of Tickets Tested-12 months</t>
  </si>
  <si>
    <t>Sum of Commits-12 months</t>
  </si>
  <si>
    <t>Last 12 Months</t>
  </si>
  <si>
    <t>All Time</t>
  </si>
  <si>
    <t>Sum of Tickets Fixed-Total</t>
  </si>
  <si>
    <t>Sum of Tickets Tested-Total</t>
  </si>
  <si>
    <t>Sum of Commits-Total</t>
  </si>
  <si>
    <t>Use this query and extract to csv for the Tickets data</t>
  </si>
  <si>
    <t>Follow these steps to update</t>
  </si>
  <si>
    <t>Use this URL to get the commits data</t>
  </si>
  <si>
    <t>http://www.ohloh.net/p/Mantid/contributors?query=&amp;sort=commits</t>
  </si>
  <si>
    <t>Refresh the pivot table in Commits Summary</t>
  </si>
  <si>
    <t>Refresh the Pivot Table in Tickets fixed and Tickets Tested</t>
  </si>
  <si>
    <t>In the amalgamated sheet click the button</t>
  </si>
  <si>
    <t>Refresh the pivot tables in Results all time and 12 months</t>
  </si>
  <si>
    <t>27 days ago</t>
  </si>
  <si>
    <t>2 months ago</t>
  </si>
  <si>
    <t>mjwhitty(Inactive)</t>
  </si>
  <si>
    <t>Robert Whitley(Software Developer)</t>
  </si>
  <si>
    <t>Yannick Raoul</t>
  </si>
  <si>
    <t>Release 3.3</t>
  </si>
  <si>
    <t>Release 3.2.1</t>
  </si>
  <si>
    <t>Dan Nixon</t>
  </si>
  <si>
    <t>MarcusNoble</t>
  </si>
  <si>
    <t>Federico M Pouzols</t>
  </si>
  <si>
    <t>John Hill</t>
  </si>
  <si>
    <t>Harry Jeffery</t>
  </si>
  <si>
    <t>mareuter</t>
  </si>
  <si>
    <t>Steven Hahn</t>
  </si>
  <si>
    <t>Release 3.4</t>
  </si>
  <si>
    <t>Lottie Greenwood</t>
  </si>
  <si>
    <t>Raquel Alvarez Banos</t>
  </si>
  <si>
    <t>Ian Bush</t>
  </si>
  <si>
    <t>Steve Miller</t>
  </si>
  <si>
    <t>15 days ago</t>
  </si>
  <si>
    <t>5 months ago</t>
  </si>
  <si>
    <t>25 days ago</t>
  </si>
  <si>
    <t>10 days ago</t>
  </si>
  <si>
    <t>16 days ago</t>
  </si>
  <si>
    <t>11 days ago</t>
  </si>
  <si>
    <t>4 months ago</t>
  </si>
  <si>
    <t>21 days ago</t>
  </si>
  <si>
    <t>over 7 years ago</t>
  </si>
  <si>
    <t>Federico Montesino P...</t>
  </si>
  <si>
    <t>18 days ago</t>
  </si>
  <si>
    <t>22 days ago</t>
  </si>
  <si>
    <t>David Mannicke</t>
  </si>
  <si>
    <t>NickDraper</t>
  </si>
  <si>
    <t>Diego Monserrat</t>
  </si>
  <si>
    <t>FedeMPouzols</t>
  </si>
  <si>
    <t>DiegoMonserrat</t>
  </si>
  <si>
    <t>abuts</t>
  </si>
  <si>
    <t>Joachim Wuttke (o)</t>
  </si>
  <si>
    <t>ANSTO</t>
  </si>
  <si>
    <t>Joachim Wuttke</t>
  </si>
  <si>
    <t>Juelich</t>
  </si>
  <si>
    <t>Polytechnic University of Catalonia</t>
  </si>
  <si>
    <t>Marcus Noble</t>
  </si>
  <si>
    <t>Supplier</t>
  </si>
  <si>
    <t>Average of Commits-12 months</t>
  </si>
  <si>
    <t>Average of Tickets Tested-12 months</t>
  </si>
  <si>
    <t>Average of Tickets Fixed-12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</si>
</sst>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b/>
      <sz val="10"/>
      <color rgb="FF000000"/>
      <name val="Open Sans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000000"/>
      <name val="Calibri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DDDDDD"/>
      </top>
      <bottom style="medium">
        <color rgb="FFDDDDDD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0" fillId="0" borderId="0" xfId="0" applyFill="1"/>
    <xf numFmtId="0" fontId="1" fillId="2" borderId="0" xfId="0" applyFont="1" applyFill="1" applyBorder="1" applyAlignment="1">
      <alignment horizontal="left" wrapText="1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2" fontId="0" fillId="0" borderId="0" xfId="0" applyNumberFormat="1"/>
    <xf numFmtId="0" fontId="3" fillId="0" borderId="0" xfId="1"/>
    <xf numFmtId="0" fontId="2" fillId="0" borderId="0" xfId="0" applyFont="1"/>
    <xf numFmtId="0" fontId="0" fillId="0" borderId="0" xfId="0" applyAlignment="1">
      <alignment wrapText="1"/>
    </xf>
    <xf numFmtId="49" fontId="2" fillId="0" borderId="0" xfId="0" applyNumberFormat="1" applyFont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Contributions.xlsm]Results Last 12 Months!PivotTable4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 Last 12 Months'!$B$22</c:f>
              <c:strCache>
                <c:ptCount val="1"/>
                <c:pt idx="0">
                  <c:v>Sum of Tickets Fixed-12 months</c:v>
                </c:pt>
              </c:strCache>
            </c:strRef>
          </c:tx>
          <c:invertIfNegative val="0"/>
          <c:cat>
            <c:strRef>
              <c:f>'Results Last 12 Months'!$A$23:$A$31</c:f>
              <c:strCache>
                <c:ptCount val="8"/>
                <c:pt idx="0">
                  <c:v>ISIS</c:v>
                </c:pt>
                <c:pt idx="1">
                  <c:v>SNS</c:v>
                </c:pt>
                <c:pt idx="2">
                  <c:v>PSI</c:v>
                </c:pt>
                <c:pt idx="3">
                  <c:v>ILL</c:v>
                </c:pt>
                <c:pt idx="4">
                  <c:v>Juelich</c:v>
                </c:pt>
                <c:pt idx="5">
                  <c:v>Polytechnic University of Catalonia</c:v>
                </c:pt>
                <c:pt idx="6">
                  <c:v>ESS</c:v>
                </c:pt>
                <c:pt idx="7">
                  <c:v>ANSTO</c:v>
                </c:pt>
              </c:strCache>
            </c:strRef>
          </c:cat>
          <c:val>
            <c:numRef>
              <c:f>'Results Last 12 Months'!$B$23:$B$31</c:f>
              <c:numCache>
                <c:formatCode>General</c:formatCode>
                <c:ptCount val="8"/>
                <c:pt idx="0">
                  <c:v>1000</c:v>
                </c:pt>
                <c:pt idx="1">
                  <c:v>432</c:v>
                </c:pt>
                <c:pt idx="2">
                  <c:v>21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'Results Last 12 Months'!$C$22</c:f>
              <c:strCache>
                <c:ptCount val="1"/>
                <c:pt idx="0">
                  <c:v>Sum of Tickets Tested-12 months</c:v>
                </c:pt>
              </c:strCache>
            </c:strRef>
          </c:tx>
          <c:invertIfNegative val="0"/>
          <c:cat>
            <c:strRef>
              <c:f>'Results Last 12 Months'!$A$23:$A$31</c:f>
              <c:strCache>
                <c:ptCount val="8"/>
                <c:pt idx="0">
                  <c:v>ISIS</c:v>
                </c:pt>
                <c:pt idx="1">
                  <c:v>SNS</c:v>
                </c:pt>
                <c:pt idx="2">
                  <c:v>PSI</c:v>
                </c:pt>
                <c:pt idx="3">
                  <c:v>ILL</c:v>
                </c:pt>
                <c:pt idx="4">
                  <c:v>Juelich</c:v>
                </c:pt>
                <c:pt idx="5">
                  <c:v>Polytechnic University of Catalonia</c:v>
                </c:pt>
                <c:pt idx="6">
                  <c:v>ESS</c:v>
                </c:pt>
                <c:pt idx="7">
                  <c:v>ANSTO</c:v>
                </c:pt>
              </c:strCache>
            </c:strRef>
          </c:cat>
          <c:val>
            <c:numRef>
              <c:f>'Results Last 12 Months'!$C$23:$C$31</c:f>
              <c:numCache>
                <c:formatCode>General</c:formatCode>
                <c:ptCount val="8"/>
                <c:pt idx="0">
                  <c:v>960</c:v>
                </c:pt>
                <c:pt idx="1">
                  <c:v>451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'Results Last 12 Months'!$D$22</c:f>
              <c:strCache>
                <c:ptCount val="1"/>
                <c:pt idx="0">
                  <c:v>Sum of Commits-12 months</c:v>
                </c:pt>
              </c:strCache>
            </c:strRef>
          </c:tx>
          <c:invertIfNegative val="0"/>
          <c:cat>
            <c:strRef>
              <c:f>'Results Last 12 Months'!$A$23:$A$31</c:f>
              <c:strCache>
                <c:ptCount val="8"/>
                <c:pt idx="0">
                  <c:v>ISIS</c:v>
                </c:pt>
                <c:pt idx="1">
                  <c:v>SNS</c:v>
                </c:pt>
                <c:pt idx="2">
                  <c:v>PSI</c:v>
                </c:pt>
                <c:pt idx="3">
                  <c:v>ILL</c:v>
                </c:pt>
                <c:pt idx="4">
                  <c:v>Juelich</c:v>
                </c:pt>
                <c:pt idx="5">
                  <c:v>Polytechnic University of Catalonia</c:v>
                </c:pt>
                <c:pt idx="6">
                  <c:v>ESS</c:v>
                </c:pt>
                <c:pt idx="7">
                  <c:v>ANSTO</c:v>
                </c:pt>
              </c:strCache>
            </c:strRef>
          </c:cat>
          <c:val>
            <c:numRef>
              <c:f>'Results Last 12 Months'!$D$23:$D$31</c:f>
              <c:numCache>
                <c:formatCode>General</c:formatCode>
                <c:ptCount val="8"/>
                <c:pt idx="0">
                  <c:v>6317</c:v>
                </c:pt>
                <c:pt idx="1">
                  <c:v>2265</c:v>
                </c:pt>
                <c:pt idx="2">
                  <c:v>355</c:v>
                </c:pt>
                <c:pt idx="3">
                  <c:v>162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492928"/>
        <c:axId val="256498808"/>
      </c:barChart>
      <c:catAx>
        <c:axId val="256492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6498808"/>
        <c:crosses val="autoZero"/>
        <c:auto val="1"/>
        <c:lblAlgn val="ctr"/>
        <c:lblOffset val="100"/>
        <c:noMultiLvlLbl val="0"/>
      </c:catAx>
      <c:valAx>
        <c:axId val="25649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92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Contributions.xlsm]Results All Time!PivotTable5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 All Time'!$B$25</c:f>
              <c:strCache>
                <c:ptCount val="1"/>
                <c:pt idx="0">
                  <c:v>Sum of Tickets Fixed-Total</c:v>
                </c:pt>
              </c:strCache>
            </c:strRef>
          </c:tx>
          <c:invertIfNegative val="0"/>
          <c:cat>
            <c:strRef>
              <c:f>'Results All Time'!$A$26:$A$31</c:f>
              <c:strCache>
                <c:ptCount val="5"/>
                <c:pt idx="0">
                  <c:v>ISIS</c:v>
                </c:pt>
                <c:pt idx="1">
                  <c:v>SNS</c:v>
                </c:pt>
                <c:pt idx="2">
                  <c:v>ILL</c:v>
                </c:pt>
                <c:pt idx="3">
                  <c:v>PSI</c:v>
                </c:pt>
                <c:pt idx="4">
                  <c:v>ESS</c:v>
                </c:pt>
              </c:strCache>
            </c:strRef>
          </c:cat>
          <c:val>
            <c:numRef>
              <c:f>'Results All Time'!$B$26:$B$31</c:f>
              <c:numCache>
                <c:formatCode>General</c:formatCode>
                <c:ptCount val="5"/>
                <c:pt idx="0">
                  <c:v>4441</c:v>
                </c:pt>
                <c:pt idx="1">
                  <c:v>3241</c:v>
                </c:pt>
                <c:pt idx="2">
                  <c:v>23</c:v>
                </c:pt>
                <c:pt idx="3">
                  <c:v>21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'Results All Time'!$C$25</c:f>
              <c:strCache>
                <c:ptCount val="1"/>
                <c:pt idx="0">
                  <c:v>Sum of Tickets Tested-Total</c:v>
                </c:pt>
              </c:strCache>
            </c:strRef>
          </c:tx>
          <c:invertIfNegative val="0"/>
          <c:cat>
            <c:strRef>
              <c:f>'Results All Time'!$A$26:$A$31</c:f>
              <c:strCache>
                <c:ptCount val="5"/>
                <c:pt idx="0">
                  <c:v>ISIS</c:v>
                </c:pt>
                <c:pt idx="1">
                  <c:v>SNS</c:v>
                </c:pt>
                <c:pt idx="2">
                  <c:v>ILL</c:v>
                </c:pt>
                <c:pt idx="3">
                  <c:v>PSI</c:v>
                </c:pt>
                <c:pt idx="4">
                  <c:v>ESS</c:v>
                </c:pt>
              </c:strCache>
            </c:strRef>
          </c:cat>
          <c:val>
            <c:numRef>
              <c:f>'Results All Time'!$C$26:$C$31</c:f>
              <c:numCache>
                <c:formatCode>General</c:formatCode>
                <c:ptCount val="5"/>
                <c:pt idx="0">
                  <c:v>3443</c:v>
                </c:pt>
                <c:pt idx="1">
                  <c:v>3255</c:v>
                </c:pt>
                <c:pt idx="2">
                  <c:v>0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'Results All Time'!$D$25</c:f>
              <c:strCache>
                <c:ptCount val="1"/>
                <c:pt idx="0">
                  <c:v>Sum of Commits-Total</c:v>
                </c:pt>
              </c:strCache>
            </c:strRef>
          </c:tx>
          <c:invertIfNegative val="0"/>
          <c:cat>
            <c:strRef>
              <c:f>'Results All Time'!$A$26:$A$31</c:f>
              <c:strCache>
                <c:ptCount val="5"/>
                <c:pt idx="0">
                  <c:v>ISIS</c:v>
                </c:pt>
                <c:pt idx="1">
                  <c:v>SNS</c:v>
                </c:pt>
                <c:pt idx="2">
                  <c:v>ILL</c:v>
                </c:pt>
                <c:pt idx="3">
                  <c:v>PSI</c:v>
                </c:pt>
                <c:pt idx="4">
                  <c:v>ESS</c:v>
                </c:pt>
              </c:strCache>
            </c:strRef>
          </c:cat>
          <c:val>
            <c:numRef>
              <c:f>'Results All Time'!$D$26:$D$31</c:f>
              <c:numCache>
                <c:formatCode>General</c:formatCode>
                <c:ptCount val="5"/>
                <c:pt idx="0">
                  <c:v>20757</c:v>
                </c:pt>
                <c:pt idx="1">
                  <c:v>16866</c:v>
                </c:pt>
                <c:pt idx="2">
                  <c:v>217</c:v>
                </c:pt>
                <c:pt idx="3">
                  <c:v>368</c:v>
                </c:pt>
                <c:pt idx="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494104"/>
        <c:axId val="256497632"/>
      </c:barChart>
      <c:catAx>
        <c:axId val="256494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6497632"/>
        <c:crosses val="autoZero"/>
        <c:auto val="1"/>
        <c:lblAlgn val="ctr"/>
        <c:lblOffset val="100"/>
        <c:noMultiLvlLbl val="0"/>
      </c:catAx>
      <c:valAx>
        <c:axId val="25649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94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Average of Tickets Fixed-12 months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3"/>
                <c:pt idx="0">
                  <c:v>ISIS</c:v>
                </c:pt>
                <c:pt idx="1">
                  <c:v>SNS</c:v>
                </c:pt>
                <c:pt idx="2">
                  <c:v>Tessella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3"/>
                <c:pt idx="0">
                  <c:v>20.65625</c:v>
                </c:pt>
                <c:pt idx="1">
                  <c:v>20.166666666666668</c:v>
                </c:pt>
                <c:pt idx="2">
                  <c:v>58.285714285714285</c:v>
                </c:pt>
              </c:numCache>
            </c:numRef>
          </c:val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Average of Tickets Tested-12 months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3"/>
                <c:pt idx="0">
                  <c:v>ISIS</c:v>
                </c:pt>
                <c:pt idx="1">
                  <c:v>SNS</c:v>
                </c:pt>
                <c:pt idx="2">
                  <c:v>Tessella</c:v>
                </c:pt>
              </c:strCache>
            </c:strRef>
          </c:cat>
          <c:val>
            <c:numRef>
              <c:f>Sheet1!$C$4:$C$7</c:f>
              <c:numCache>
                <c:formatCode>General</c:formatCode>
                <c:ptCount val="3"/>
                <c:pt idx="0">
                  <c:v>17.75</c:v>
                </c:pt>
                <c:pt idx="1">
                  <c:v>22.111111111111111</c:v>
                </c:pt>
                <c:pt idx="2">
                  <c:v>63.571428571428569</c:v>
                </c:pt>
              </c:numCache>
            </c:numRef>
          </c:val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Average of Commits-12 months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3"/>
                <c:pt idx="0">
                  <c:v>ISIS</c:v>
                </c:pt>
                <c:pt idx="1">
                  <c:v>SNS</c:v>
                </c:pt>
                <c:pt idx="2">
                  <c:v>Tessella</c:v>
                </c:pt>
              </c:strCache>
            </c:strRef>
          </c:cat>
          <c:val>
            <c:numRef>
              <c:f>Sheet1!$D$4:$D$7</c:f>
              <c:numCache>
                <c:formatCode>General</c:formatCode>
                <c:ptCount val="3"/>
                <c:pt idx="0">
                  <c:v>130.71875</c:v>
                </c:pt>
                <c:pt idx="1">
                  <c:v>106.44444444444444</c:v>
                </c:pt>
                <c:pt idx="2">
                  <c:v>354.71428571428572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6148840"/>
        <c:axId val="316146880"/>
      </c:barChart>
      <c:catAx>
        <c:axId val="31614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46880"/>
        <c:crosses val="autoZero"/>
        <c:auto val="1"/>
        <c:lblAlgn val="ctr"/>
        <c:lblOffset val="100"/>
        <c:noMultiLvlLbl val="0"/>
      </c:catAx>
      <c:valAx>
        <c:axId val="31614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4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Contributions.xlsm]Tickets Fixed!PivotTable2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'Tickets Fixed'!$B$1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'Tickets Fixed'!$A$2:$A$61</c:f>
              <c:strCache>
                <c:ptCount val="59"/>
                <c:pt idx="0">
                  <c:v>Martyn Gigg</c:v>
                </c:pt>
                <c:pt idx="1">
                  <c:v>Owen Arnold</c:v>
                </c:pt>
                <c:pt idx="2">
                  <c:v>Samuel Jackson</c:v>
                </c:pt>
                <c:pt idx="3">
                  <c:v>Harry Jeffery</c:v>
                </c:pt>
                <c:pt idx="4">
                  <c:v>Dan Nixon</c:v>
                </c:pt>
                <c:pt idx="5">
                  <c:v>Peter Peterson</c:v>
                </c:pt>
                <c:pt idx="6">
                  <c:v>Russell Taylor</c:v>
                </c:pt>
                <c:pt idx="7">
                  <c:v>Wenduo Zhou</c:v>
                </c:pt>
                <c:pt idx="8">
                  <c:v>Vickie Lynch</c:v>
                </c:pt>
                <c:pt idx="9">
                  <c:v>Jay Rainey</c:v>
                </c:pt>
                <c:pt idx="10">
                  <c:v>Nick Draper</c:v>
                </c:pt>
                <c:pt idx="11">
                  <c:v>Arturs Bekasovs</c:v>
                </c:pt>
                <c:pt idx="12">
                  <c:v>Anders Markvardsen</c:v>
                </c:pt>
                <c:pt idx="13">
                  <c:v>Roman Tolchenov</c:v>
                </c:pt>
                <c:pt idx="14">
                  <c:v>Alex Buts</c:v>
                </c:pt>
                <c:pt idx="15">
                  <c:v>Keith Brown</c:v>
                </c:pt>
                <c:pt idx="16">
                  <c:v>Peter Parker</c:v>
                </c:pt>
                <c:pt idx="17">
                  <c:v>Karl Palmen</c:v>
                </c:pt>
                <c:pt idx="18">
                  <c:v>MarcusNoble</c:v>
                </c:pt>
                <c:pt idx="19">
                  <c:v>Jose Borreguero</c:v>
                </c:pt>
                <c:pt idx="20">
                  <c:v>Andrei Savici</c:v>
                </c:pt>
                <c:pt idx="21">
                  <c:v>Michael Reuter</c:v>
                </c:pt>
                <c:pt idx="22">
                  <c:v>Gesner Passos</c:v>
                </c:pt>
                <c:pt idx="23">
                  <c:v>Michael Wedel</c:v>
                </c:pt>
                <c:pt idx="24">
                  <c:v>Mathieu Doucet</c:v>
                </c:pt>
                <c:pt idx="25">
                  <c:v>Stuart Campbell</c:v>
                </c:pt>
                <c:pt idx="26">
                  <c:v>Federico M Pouzols</c:v>
                </c:pt>
                <c:pt idx="27">
                  <c:v>Ricardo Leal</c:v>
                </c:pt>
                <c:pt idx="28">
                  <c:v>Ross Miller</c:v>
                </c:pt>
                <c:pt idx="29">
                  <c:v>Steven Hahn</c:v>
                </c:pt>
                <c:pt idx="30">
                  <c:v>Raquel Alvarez Banos</c:v>
                </c:pt>
                <c:pt idx="31">
                  <c:v>John Hill</c:v>
                </c:pt>
                <c:pt idx="32">
                  <c:v>Jean Bilheux</c:v>
                </c:pt>
                <c:pt idx="33">
                  <c:v>Ross Whitfield</c:v>
                </c:pt>
                <c:pt idx="34">
                  <c:v>Ian Bush</c:v>
                </c:pt>
                <c:pt idx="35">
                  <c:v>Lottie Greenwood</c:v>
                </c:pt>
                <c:pt idx="36">
                  <c:v>Janik Zikovsky</c:v>
                </c:pt>
                <c:pt idx="37">
                  <c:v>(blank)</c:v>
                </c:pt>
                <c:pt idx="38">
                  <c:v>Sofia Antony</c:v>
                </c:pt>
                <c:pt idx="39">
                  <c:v>Steve Williams</c:v>
                </c:pt>
                <c:pt idx="40">
                  <c:v>Steve Miller</c:v>
                </c:pt>
                <c:pt idx="41">
                  <c:v>Shelly Ren</c:v>
                </c:pt>
                <c:pt idx="42">
                  <c:v>Yannick Raoul</c:v>
                </c:pt>
                <c:pt idx="43">
                  <c:v>Dickon Champion</c:v>
                </c:pt>
                <c:pt idx="44">
                  <c:v>Lakshmi Sastry</c:v>
                </c:pt>
                <c:pt idx="45">
                  <c:v>Ronald Fowler</c:v>
                </c:pt>
                <c:pt idx="46">
                  <c:v>Michael Whitty</c:v>
                </c:pt>
                <c:pt idx="47">
                  <c:v>Anyone</c:v>
                </c:pt>
                <c:pt idx="48">
                  <c:v>Ruth Mikkelson</c:v>
                </c:pt>
                <c:pt idx="49">
                  <c:v>Laurent Chapon</c:v>
                </c:pt>
                <c:pt idx="50">
                  <c:v>Mike Thomas</c:v>
                </c:pt>
                <c:pt idx="51">
                  <c:v>Sri Nagella</c:v>
                </c:pt>
                <c:pt idx="52">
                  <c:v>Robert Whitley</c:v>
                </c:pt>
                <c:pt idx="53">
                  <c:v>Stuart Ansell</c:v>
                </c:pt>
                <c:pt idx="54">
                  <c:v>Dereck Kachere</c:v>
                </c:pt>
                <c:pt idx="55">
                  <c:v>Freddie Akeroyd</c:v>
                </c:pt>
                <c:pt idx="56">
                  <c:v>Pascal Manuel</c:v>
                </c:pt>
                <c:pt idx="57">
                  <c:v>Matt Clarke</c:v>
                </c:pt>
                <c:pt idx="58">
                  <c:v>Dennis Mikkelson</c:v>
                </c:pt>
              </c:strCache>
            </c:strRef>
          </c:cat>
          <c:val>
            <c:numRef>
              <c:f>'Tickets Fixed'!$B$2:$B$61</c:f>
              <c:numCache>
                <c:formatCode>General</c:formatCode>
                <c:ptCount val="59"/>
                <c:pt idx="0">
                  <c:v>954</c:v>
                </c:pt>
                <c:pt idx="1">
                  <c:v>522</c:v>
                </c:pt>
                <c:pt idx="2">
                  <c:v>184</c:v>
                </c:pt>
                <c:pt idx="3">
                  <c:v>85</c:v>
                </c:pt>
                <c:pt idx="4">
                  <c:v>81</c:v>
                </c:pt>
                <c:pt idx="5">
                  <c:v>372</c:v>
                </c:pt>
                <c:pt idx="6">
                  <c:v>606</c:v>
                </c:pt>
                <c:pt idx="7">
                  <c:v>216</c:v>
                </c:pt>
                <c:pt idx="8">
                  <c:v>283</c:v>
                </c:pt>
                <c:pt idx="9">
                  <c:v>97</c:v>
                </c:pt>
                <c:pt idx="10">
                  <c:v>266</c:v>
                </c:pt>
                <c:pt idx="11">
                  <c:v>102</c:v>
                </c:pt>
                <c:pt idx="12">
                  <c:v>326</c:v>
                </c:pt>
                <c:pt idx="13">
                  <c:v>543</c:v>
                </c:pt>
                <c:pt idx="14">
                  <c:v>151</c:v>
                </c:pt>
                <c:pt idx="15">
                  <c:v>58</c:v>
                </c:pt>
                <c:pt idx="16">
                  <c:v>126</c:v>
                </c:pt>
                <c:pt idx="17">
                  <c:v>146</c:v>
                </c:pt>
                <c:pt idx="18">
                  <c:v>37</c:v>
                </c:pt>
                <c:pt idx="19">
                  <c:v>84</c:v>
                </c:pt>
                <c:pt idx="20">
                  <c:v>149</c:v>
                </c:pt>
                <c:pt idx="21">
                  <c:v>252</c:v>
                </c:pt>
                <c:pt idx="22">
                  <c:v>138</c:v>
                </c:pt>
                <c:pt idx="23">
                  <c:v>21</c:v>
                </c:pt>
                <c:pt idx="24">
                  <c:v>278</c:v>
                </c:pt>
                <c:pt idx="25">
                  <c:v>185</c:v>
                </c:pt>
                <c:pt idx="26">
                  <c:v>12</c:v>
                </c:pt>
                <c:pt idx="27">
                  <c:v>22</c:v>
                </c:pt>
                <c:pt idx="28">
                  <c:v>45</c:v>
                </c:pt>
                <c:pt idx="29">
                  <c:v>8</c:v>
                </c:pt>
                <c:pt idx="30">
                  <c:v>7</c:v>
                </c:pt>
                <c:pt idx="31">
                  <c:v>6</c:v>
                </c:pt>
                <c:pt idx="32">
                  <c:v>29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647</c:v>
                </c:pt>
                <c:pt idx="37">
                  <c:v>79</c:v>
                </c:pt>
                <c:pt idx="38">
                  <c:v>83</c:v>
                </c:pt>
                <c:pt idx="39">
                  <c:v>129</c:v>
                </c:pt>
                <c:pt idx="40">
                  <c:v>1</c:v>
                </c:pt>
                <c:pt idx="41">
                  <c:v>5</c:v>
                </c:pt>
                <c:pt idx="42">
                  <c:v>1</c:v>
                </c:pt>
                <c:pt idx="43">
                  <c:v>11</c:v>
                </c:pt>
                <c:pt idx="44">
                  <c:v>1</c:v>
                </c:pt>
                <c:pt idx="45">
                  <c:v>15</c:v>
                </c:pt>
                <c:pt idx="46">
                  <c:v>122</c:v>
                </c:pt>
                <c:pt idx="47">
                  <c:v>2</c:v>
                </c:pt>
                <c:pt idx="48">
                  <c:v>33</c:v>
                </c:pt>
                <c:pt idx="49">
                  <c:v>46</c:v>
                </c:pt>
                <c:pt idx="50">
                  <c:v>17</c:v>
                </c:pt>
                <c:pt idx="51">
                  <c:v>20</c:v>
                </c:pt>
                <c:pt idx="52">
                  <c:v>102</c:v>
                </c:pt>
                <c:pt idx="53">
                  <c:v>1</c:v>
                </c:pt>
                <c:pt idx="54">
                  <c:v>27</c:v>
                </c:pt>
                <c:pt idx="55">
                  <c:v>42</c:v>
                </c:pt>
                <c:pt idx="56">
                  <c:v>3</c:v>
                </c:pt>
                <c:pt idx="57">
                  <c:v>26</c:v>
                </c:pt>
                <c:pt idx="58">
                  <c:v>46</c:v>
                </c:pt>
              </c:numCache>
            </c:numRef>
          </c:val>
        </c:ser>
        <c:ser>
          <c:idx val="1"/>
          <c:order val="1"/>
          <c:tx>
            <c:strRef>
              <c:f>'Tickets Fixed'!$C$1</c:f>
              <c:strCache>
                <c:ptCount val="1"/>
                <c:pt idx="0">
                  <c:v>12 Months</c:v>
                </c:pt>
              </c:strCache>
            </c:strRef>
          </c:tx>
          <c:invertIfNegative val="0"/>
          <c:cat>
            <c:strRef>
              <c:f>'Tickets Fixed'!$A$2:$A$61</c:f>
              <c:strCache>
                <c:ptCount val="59"/>
                <c:pt idx="0">
                  <c:v>Martyn Gigg</c:v>
                </c:pt>
                <c:pt idx="1">
                  <c:v>Owen Arnold</c:v>
                </c:pt>
                <c:pt idx="2">
                  <c:v>Samuel Jackson</c:v>
                </c:pt>
                <c:pt idx="3">
                  <c:v>Harry Jeffery</c:v>
                </c:pt>
                <c:pt idx="4">
                  <c:v>Dan Nixon</c:v>
                </c:pt>
                <c:pt idx="5">
                  <c:v>Peter Peterson</c:v>
                </c:pt>
                <c:pt idx="6">
                  <c:v>Russell Taylor</c:v>
                </c:pt>
                <c:pt idx="7">
                  <c:v>Wenduo Zhou</c:v>
                </c:pt>
                <c:pt idx="8">
                  <c:v>Vickie Lynch</c:v>
                </c:pt>
                <c:pt idx="9">
                  <c:v>Jay Rainey</c:v>
                </c:pt>
                <c:pt idx="10">
                  <c:v>Nick Draper</c:v>
                </c:pt>
                <c:pt idx="11">
                  <c:v>Arturs Bekasovs</c:v>
                </c:pt>
                <c:pt idx="12">
                  <c:v>Anders Markvardsen</c:v>
                </c:pt>
                <c:pt idx="13">
                  <c:v>Roman Tolchenov</c:v>
                </c:pt>
                <c:pt idx="14">
                  <c:v>Alex Buts</c:v>
                </c:pt>
                <c:pt idx="15">
                  <c:v>Keith Brown</c:v>
                </c:pt>
                <c:pt idx="16">
                  <c:v>Peter Parker</c:v>
                </c:pt>
                <c:pt idx="17">
                  <c:v>Karl Palmen</c:v>
                </c:pt>
                <c:pt idx="18">
                  <c:v>MarcusNoble</c:v>
                </c:pt>
                <c:pt idx="19">
                  <c:v>Jose Borreguero</c:v>
                </c:pt>
                <c:pt idx="20">
                  <c:v>Andrei Savici</c:v>
                </c:pt>
                <c:pt idx="21">
                  <c:v>Michael Reuter</c:v>
                </c:pt>
                <c:pt idx="22">
                  <c:v>Gesner Passos</c:v>
                </c:pt>
                <c:pt idx="23">
                  <c:v>Michael Wedel</c:v>
                </c:pt>
                <c:pt idx="24">
                  <c:v>Mathieu Doucet</c:v>
                </c:pt>
                <c:pt idx="25">
                  <c:v>Stuart Campbell</c:v>
                </c:pt>
                <c:pt idx="26">
                  <c:v>Federico M Pouzols</c:v>
                </c:pt>
                <c:pt idx="27">
                  <c:v>Ricardo Leal</c:v>
                </c:pt>
                <c:pt idx="28">
                  <c:v>Ross Miller</c:v>
                </c:pt>
                <c:pt idx="29">
                  <c:v>Steven Hahn</c:v>
                </c:pt>
                <c:pt idx="30">
                  <c:v>Raquel Alvarez Banos</c:v>
                </c:pt>
                <c:pt idx="31">
                  <c:v>John Hill</c:v>
                </c:pt>
                <c:pt idx="32">
                  <c:v>Jean Bilheux</c:v>
                </c:pt>
                <c:pt idx="33">
                  <c:v>Ross Whitfield</c:v>
                </c:pt>
                <c:pt idx="34">
                  <c:v>Ian Bush</c:v>
                </c:pt>
                <c:pt idx="35">
                  <c:v>Lottie Greenwood</c:v>
                </c:pt>
                <c:pt idx="36">
                  <c:v>Janik Zikovsky</c:v>
                </c:pt>
                <c:pt idx="37">
                  <c:v>(blank)</c:v>
                </c:pt>
                <c:pt idx="38">
                  <c:v>Sofia Antony</c:v>
                </c:pt>
                <c:pt idx="39">
                  <c:v>Steve Williams</c:v>
                </c:pt>
                <c:pt idx="40">
                  <c:v>Steve Miller</c:v>
                </c:pt>
                <c:pt idx="41">
                  <c:v>Shelly Ren</c:v>
                </c:pt>
                <c:pt idx="42">
                  <c:v>Yannick Raoul</c:v>
                </c:pt>
                <c:pt idx="43">
                  <c:v>Dickon Champion</c:v>
                </c:pt>
                <c:pt idx="44">
                  <c:v>Lakshmi Sastry</c:v>
                </c:pt>
                <c:pt idx="45">
                  <c:v>Ronald Fowler</c:v>
                </c:pt>
                <c:pt idx="46">
                  <c:v>Michael Whitty</c:v>
                </c:pt>
                <c:pt idx="47">
                  <c:v>Anyone</c:v>
                </c:pt>
                <c:pt idx="48">
                  <c:v>Ruth Mikkelson</c:v>
                </c:pt>
                <c:pt idx="49">
                  <c:v>Laurent Chapon</c:v>
                </c:pt>
                <c:pt idx="50">
                  <c:v>Mike Thomas</c:v>
                </c:pt>
                <c:pt idx="51">
                  <c:v>Sri Nagella</c:v>
                </c:pt>
                <c:pt idx="52">
                  <c:v>Robert Whitley</c:v>
                </c:pt>
                <c:pt idx="53">
                  <c:v>Stuart Ansell</c:v>
                </c:pt>
                <c:pt idx="54">
                  <c:v>Dereck Kachere</c:v>
                </c:pt>
                <c:pt idx="55">
                  <c:v>Freddie Akeroyd</c:v>
                </c:pt>
                <c:pt idx="56">
                  <c:v>Pascal Manuel</c:v>
                </c:pt>
                <c:pt idx="57">
                  <c:v>Matt Clarke</c:v>
                </c:pt>
                <c:pt idx="58">
                  <c:v>Dennis Mikkelson</c:v>
                </c:pt>
              </c:strCache>
            </c:strRef>
          </c:cat>
          <c:val>
            <c:numRef>
              <c:f>'Tickets Fixed'!$C$2:$C$61</c:f>
              <c:numCache>
                <c:formatCode>General</c:formatCode>
                <c:ptCount val="59"/>
                <c:pt idx="0">
                  <c:v>118</c:v>
                </c:pt>
                <c:pt idx="1">
                  <c:v>104</c:v>
                </c:pt>
                <c:pt idx="2">
                  <c:v>100</c:v>
                </c:pt>
                <c:pt idx="3">
                  <c:v>85</c:v>
                </c:pt>
                <c:pt idx="4">
                  <c:v>81</c:v>
                </c:pt>
                <c:pt idx="5">
                  <c:v>80</c:v>
                </c:pt>
                <c:pt idx="6">
                  <c:v>69</c:v>
                </c:pt>
                <c:pt idx="7">
                  <c:v>68</c:v>
                </c:pt>
                <c:pt idx="8">
                  <c:v>62</c:v>
                </c:pt>
                <c:pt idx="9">
                  <c:v>61</c:v>
                </c:pt>
                <c:pt idx="10">
                  <c:v>61</c:v>
                </c:pt>
                <c:pt idx="11">
                  <c:v>58</c:v>
                </c:pt>
                <c:pt idx="12">
                  <c:v>58</c:v>
                </c:pt>
                <c:pt idx="13">
                  <c:v>54</c:v>
                </c:pt>
                <c:pt idx="14">
                  <c:v>47</c:v>
                </c:pt>
                <c:pt idx="15">
                  <c:v>46</c:v>
                </c:pt>
                <c:pt idx="16">
                  <c:v>45</c:v>
                </c:pt>
                <c:pt idx="17">
                  <c:v>39</c:v>
                </c:pt>
                <c:pt idx="18">
                  <c:v>37</c:v>
                </c:pt>
                <c:pt idx="19">
                  <c:v>34</c:v>
                </c:pt>
                <c:pt idx="20">
                  <c:v>32</c:v>
                </c:pt>
                <c:pt idx="21">
                  <c:v>29</c:v>
                </c:pt>
                <c:pt idx="22">
                  <c:v>24</c:v>
                </c:pt>
                <c:pt idx="23">
                  <c:v>21</c:v>
                </c:pt>
                <c:pt idx="24">
                  <c:v>15</c:v>
                </c:pt>
                <c:pt idx="25">
                  <c:v>13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8</c:v>
                </c:pt>
                <c:pt idx="30">
                  <c:v>7</c:v>
                </c:pt>
                <c:pt idx="31">
                  <c:v>6</c:v>
                </c:pt>
                <c:pt idx="32">
                  <c:v>5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64240"/>
        <c:axId val="257560712"/>
      </c:barChart>
      <c:catAx>
        <c:axId val="257564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560712"/>
        <c:crosses val="autoZero"/>
        <c:auto val="1"/>
        <c:lblAlgn val="ctr"/>
        <c:lblOffset val="100"/>
        <c:noMultiLvlLbl val="0"/>
      </c:catAx>
      <c:valAx>
        <c:axId val="257560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64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Contributions.xlsm]Tickets Tested!PivotTable3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'Tickets Tested'!$B$1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'Tickets Tested'!$A$2:$A$49</c:f>
              <c:strCache>
                <c:ptCount val="47"/>
                <c:pt idx="0">
                  <c:v>Martyn Gigg</c:v>
                </c:pt>
                <c:pt idx="1">
                  <c:v>Owen Arnold</c:v>
                </c:pt>
                <c:pt idx="2">
                  <c:v>Anders Markvardsen</c:v>
                </c:pt>
                <c:pt idx="3">
                  <c:v>Michael Reuter</c:v>
                </c:pt>
                <c:pt idx="4">
                  <c:v>Nick Draper</c:v>
                </c:pt>
                <c:pt idx="5">
                  <c:v>Peter Parker</c:v>
                </c:pt>
                <c:pt idx="6">
                  <c:v>Roman Tolchenov</c:v>
                </c:pt>
                <c:pt idx="7">
                  <c:v>Peter Peterson</c:v>
                </c:pt>
                <c:pt idx="8">
                  <c:v>Andrei Savici</c:v>
                </c:pt>
                <c:pt idx="9">
                  <c:v>Karl Palmen</c:v>
                </c:pt>
                <c:pt idx="10">
                  <c:v>Samuel Jackson</c:v>
                </c:pt>
                <c:pt idx="11">
                  <c:v>Wenduo Zhou</c:v>
                </c:pt>
                <c:pt idx="12">
                  <c:v>(blank)</c:v>
                </c:pt>
                <c:pt idx="13">
                  <c:v>Vickie Lynch</c:v>
                </c:pt>
                <c:pt idx="14">
                  <c:v>Jay Rainey</c:v>
                </c:pt>
                <c:pt idx="15">
                  <c:v>Russell Taylor</c:v>
                </c:pt>
                <c:pt idx="16">
                  <c:v>Harry Jeffery</c:v>
                </c:pt>
                <c:pt idx="17">
                  <c:v>Dan Nixon</c:v>
                </c:pt>
                <c:pt idx="18">
                  <c:v>Alex Buts</c:v>
                </c:pt>
                <c:pt idx="19">
                  <c:v>Federico M Pouzols</c:v>
                </c:pt>
                <c:pt idx="20">
                  <c:v>Arturs Bekasovs</c:v>
                </c:pt>
                <c:pt idx="21">
                  <c:v>Keith Brown</c:v>
                </c:pt>
                <c:pt idx="22">
                  <c:v>Stuart Campbell</c:v>
                </c:pt>
                <c:pt idx="23">
                  <c:v>John Hill</c:v>
                </c:pt>
                <c:pt idx="24">
                  <c:v>Gesner Passos</c:v>
                </c:pt>
                <c:pt idx="25">
                  <c:v>Jose Borreguero</c:v>
                </c:pt>
                <c:pt idx="26">
                  <c:v>Michael Wedel</c:v>
                </c:pt>
                <c:pt idx="27">
                  <c:v>Pete Peterson</c:v>
                </c:pt>
                <c:pt idx="28">
                  <c:v>Raquel Alvarez Banos</c:v>
                </c:pt>
                <c:pt idx="29">
                  <c:v>Ross Whitfield</c:v>
                </c:pt>
                <c:pt idx="30">
                  <c:v>Mathieu Doucet</c:v>
                </c:pt>
                <c:pt idx="31">
                  <c:v>Steven Hahn</c:v>
                </c:pt>
                <c:pt idx="32">
                  <c:v>mareuter</c:v>
                </c:pt>
                <c:pt idx="33">
                  <c:v>Ross Miller</c:v>
                </c:pt>
                <c:pt idx="34">
                  <c:v>Lottie Greenwood</c:v>
                </c:pt>
                <c:pt idx="35">
                  <c:v>Brett Tully</c:v>
                </c:pt>
                <c:pt idx="36">
                  <c:v>Michael Whitty</c:v>
                </c:pt>
                <c:pt idx="37">
                  <c:v>Jean Bilheux</c:v>
                </c:pt>
                <c:pt idx="38">
                  <c:v>Dereck Kachere</c:v>
                </c:pt>
                <c:pt idx="39">
                  <c:v>Robert Whitley</c:v>
                </c:pt>
                <c:pt idx="40">
                  <c:v>Ruth Mikkelson</c:v>
                </c:pt>
                <c:pt idx="41">
                  <c:v>Ronald Fowler</c:v>
                </c:pt>
                <c:pt idx="42">
                  <c:v>Janik Zikovsky</c:v>
                </c:pt>
                <c:pt idx="43">
                  <c:v>Dennis Mikkelson</c:v>
                </c:pt>
                <c:pt idx="44">
                  <c:v>Shelly Ren</c:v>
                </c:pt>
                <c:pt idx="45">
                  <c:v>Sofia Antony</c:v>
                </c:pt>
                <c:pt idx="46">
                  <c:v>Steve Williams</c:v>
                </c:pt>
              </c:strCache>
            </c:strRef>
          </c:cat>
          <c:val>
            <c:numRef>
              <c:f>'Tickets Tested'!$B$2:$B$49</c:f>
              <c:numCache>
                <c:formatCode>General</c:formatCode>
                <c:ptCount val="47"/>
                <c:pt idx="0">
                  <c:v>524</c:v>
                </c:pt>
                <c:pt idx="1">
                  <c:v>499</c:v>
                </c:pt>
                <c:pt idx="2">
                  <c:v>342</c:v>
                </c:pt>
                <c:pt idx="3">
                  <c:v>625</c:v>
                </c:pt>
                <c:pt idx="4">
                  <c:v>373</c:v>
                </c:pt>
                <c:pt idx="5">
                  <c:v>156</c:v>
                </c:pt>
                <c:pt idx="6">
                  <c:v>311</c:v>
                </c:pt>
                <c:pt idx="7">
                  <c:v>302</c:v>
                </c:pt>
                <c:pt idx="8">
                  <c:v>423</c:v>
                </c:pt>
                <c:pt idx="9">
                  <c:v>192</c:v>
                </c:pt>
                <c:pt idx="10">
                  <c:v>100</c:v>
                </c:pt>
                <c:pt idx="11">
                  <c:v>244</c:v>
                </c:pt>
                <c:pt idx="12">
                  <c:v>1113</c:v>
                </c:pt>
                <c:pt idx="13">
                  <c:v>368</c:v>
                </c:pt>
                <c:pt idx="14">
                  <c:v>118</c:v>
                </c:pt>
                <c:pt idx="15">
                  <c:v>368</c:v>
                </c:pt>
                <c:pt idx="16">
                  <c:v>49</c:v>
                </c:pt>
                <c:pt idx="17">
                  <c:v>35</c:v>
                </c:pt>
                <c:pt idx="18">
                  <c:v>98</c:v>
                </c:pt>
                <c:pt idx="19">
                  <c:v>23</c:v>
                </c:pt>
                <c:pt idx="20">
                  <c:v>43</c:v>
                </c:pt>
                <c:pt idx="21">
                  <c:v>36</c:v>
                </c:pt>
                <c:pt idx="22">
                  <c:v>350</c:v>
                </c:pt>
                <c:pt idx="23">
                  <c:v>14</c:v>
                </c:pt>
                <c:pt idx="24">
                  <c:v>108</c:v>
                </c:pt>
                <c:pt idx="25">
                  <c:v>138</c:v>
                </c:pt>
                <c:pt idx="26">
                  <c:v>12</c:v>
                </c:pt>
                <c:pt idx="27">
                  <c:v>9</c:v>
                </c:pt>
                <c:pt idx="28">
                  <c:v>8</c:v>
                </c:pt>
                <c:pt idx="29">
                  <c:v>7</c:v>
                </c:pt>
                <c:pt idx="30">
                  <c:v>88</c:v>
                </c:pt>
                <c:pt idx="31">
                  <c:v>3</c:v>
                </c:pt>
                <c:pt idx="32">
                  <c:v>2</c:v>
                </c:pt>
                <c:pt idx="33">
                  <c:v>5</c:v>
                </c:pt>
                <c:pt idx="34">
                  <c:v>2</c:v>
                </c:pt>
                <c:pt idx="35">
                  <c:v>23</c:v>
                </c:pt>
                <c:pt idx="36">
                  <c:v>285</c:v>
                </c:pt>
                <c:pt idx="37">
                  <c:v>37</c:v>
                </c:pt>
                <c:pt idx="38">
                  <c:v>27</c:v>
                </c:pt>
                <c:pt idx="39">
                  <c:v>46</c:v>
                </c:pt>
                <c:pt idx="40">
                  <c:v>1</c:v>
                </c:pt>
                <c:pt idx="41">
                  <c:v>13</c:v>
                </c:pt>
                <c:pt idx="42">
                  <c:v>268</c:v>
                </c:pt>
                <c:pt idx="43">
                  <c:v>11</c:v>
                </c:pt>
                <c:pt idx="44">
                  <c:v>17</c:v>
                </c:pt>
                <c:pt idx="45">
                  <c:v>13</c:v>
                </c:pt>
                <c:pt idx="46">
                  <c:v>28</c:v>
                </c:pt>
              </c:numCache>
            </c:numRef>
          </c:val>
        </c:ser>
        <c:ser>
          <c:idx val="1"/>
          <c:order val="1"/>
          <c:tx>
            <c:strRef>
              <c:f>'Tickets Tested'!$C$1</c:f>
              <c:strCache>
                <c:ptCount val="1"/>
                <c:pt idx="0">
                  <c:v>12 Months</c:v>
                </c:pt>
              </c:strCache>
            </c:strRef>
          </c:tx>
          <c:invertIfNegative val="0"/>
          <c:cat>
            <c:strRef>
              <c:f>'Tickets Tested'!$A$2:$A$49</c:f>
              <c:strCache>
                <c:ptCount val="47"/>
                <c:pt idx="0">
                  <c:v>Martyn Gigg</c:v>
                </c:pt>
                <c:pt idx="1">
                  <c:v>Owen Arnold</c:v>
                </c:pt>
                <c:pt idx="2">
                  <c:v>Anders Markvardsen</c:v>
                </c:pt>
                <c:pt idx="3">
                  <c:v>Michael Reuter</c:v>
                </c:pt>
                <c:pt idx="4">
                  <c:v>Nick Draper</c:v>
                </c:pt>
                <c:pt idx="5">
                  <c:v>Peter Parker</c:v>
                </c:pt>
                <c:pt idx="6">
                  <c:v>Roman Tolchenov</c:v>
                </c:pt>
                <c:pt idx="7">
                  <c:v>Peter Peterson</c:v>
                </c:pt>
                <c:pt idx="8">
                  <c:v>Andrei Savici</c:v>
                </c:pt>
                <c:pt idx="9">
                  <c:v>Karl Palmen</c:v>
                </c:pt>
                <c:pt idx="10">
                  <c:v>Samuel Jackson</c:v>
                </c:pt>
                <c:pt idx="11">
                  <c:v>Wenduo Zhou</c:v>
                </c:pt>
                <c:pt idx="12">
                  <c:v>(blank)</c:v>
                </c:pt>
                <c:pt idx="13">
                  <c:v>Vickie Lynch</c:v>
                </c:pt>
                <c:pt idx="14">
                  <c:v>Jay Rainey</c:v>
                </c:pt>
                <c:pt idx="15">
                  <c:v>Russell Taylor</c:v>
                </c:pt>
                <c:pt idx="16">
                  <c:v>Harry Jeffery</c:v>
                </c:pt>
                <c:pt idx="17">
                  <c:v>Dan Nixon</c:v>
                </c:pt>
                <c:pt idx="18">
                  <c:v>Alex Buts</c:v>
                </c:pt>
                <c:pt idx="19">
                  <c:v>Federico M Pouzols</c:v>
                </c:pt>
                <c:pt idx="20">
                  <c:v>Arturs Bekasovs</c:v>
                </c:pt>
                <c:pt idx="21">
                  <c:v>Keith Brown</c:v>
                </c:pt>
                <c:pt idx="22">
                  <c:v>Stuart Campbell</c:v>
                </c:pt>
                <c:pt idx="23">
                  <c:v>John Hill</c:v>
                </c:pt>
                <c:pt idx="24">
                  <c:v>Gesner Passos</c:v>
                </c:pt>
                <c:pt idx="25">
                  <c:v>Jose Borreguero</c:v>
                </c:pt>
                <c:pt idx="26">
                  <c:v>Michael Wedel</c:v>
                </c:pt>
                <c:pt idx="27">
                  <c:v>Pete Peterson</c:v>
                </c:pt>
                <c:pt idx="28">
                  <c:v>Raquel Alvarez Banos</c:v>
                </c:pt>
                <c:pt idx="29">
                  <c:v>Ross Whitfield</c:v>
                </c:pt>
                <c:pt idx="30">
                  <c:v>Mathieu Doucet</c:v>
                </c:pt>
                <c:pt idx="31">
                  <c:v>Steven Hahn</c:v>
                </c:pt>
                <c:pt idx="32">
                  <c:v>mareuter</c:v>
                </c:pt>
                <c:pt idx="33">
                  <c:v>Ross Miller</c:v>
                </c:pt>
                <c:pt idx="34">
                  <c:v>Lottie Greenwood</c:v>
                </c:pt>
                <c:pt idx="35">
                  <c:v>Brett Tully</c:v>
                </c:pt>
                <c:pt idx="36">
                  <c:v>Michael Whitty</c:v>
                </c:pt>
                <c:pt idx="37">
                  <c:v>Jean Bilheux</c:v>
                </c:pt>
                <c:pt idx="38">
                  <c:v>Dereck Kachere</c:v>
                </c:pt>
                <c:pt idx="39">
                  <c:v>Robert Whitley</c:v>
                </c:pt>
                <c:pt idx="40">
                  <c:v>Ruth Mikkelson</c:v>
                </c:pt>
                <c:pt idx="41">
                  <c:v>Ronald Fowler</c:v>
                </c:pt>
                <c:pt idx="42">
                  <c:v>Janik Zikovsky</c:v>
                </c:pt>
                <c:pt idx="43">
                  <c:v>Dennis Mikkelson</c:v>
                </c:pt>
                <c:pt idx="44">
                  <c:v>Shelly Ren</c:v>
                </c:pt>
                <c:pt idx="45">
                  <c:v>Sofia Antony</c:v>
                </c:pt>
                <c:pt idx="46">
                  <c:v>Steve Williams</c:v>
                </c:pt>
              </c:strCache>
            </c:strRef>
          </c:cat>
          <c:val>
            <c:numRef>
              <c:f>'Tickets Tested'!$C$2:$C$49</c:f>
              <c:numCache>
                <c:formatCode>General</c:formatCode>
                <c:ptCount val="47"/>
                <c:pt idx="0">
                  <c:v>120</c:v>
                </c:pt>
                <c:pt idx="1">
                  <c:v>111</c:v>
                </c:pt>
                <c:pt idx="2">
                  <c:v>110</c:v>
                </c:pt>
                <c:pt idx="3">
                  <c:v>92</c:v>
                </c:pt>
                <c:pt idx="4">
                  <c:v>84</c:v>
                </c:pt>
                <c:pt idx="5">
                  <c:v>79</c:v>
                </c:pt>
                <c:pt idx="6">
                  <c:v>77</c:v>
                </c:pt>
                <c:pt idx="7">
                  <c:v>74</c:v>
                </c:pt>
                <c:pt idx="8">
                  <c:v>69</c:v>
                </c:pt>
                <c:pt idx="9">
                  <c:v>67</c:v>
                </c:pt>
                <c:pt idx="10">
                  <c:v>62</c:v>
                </c:pt>
                <c:pt idx="11">
                  <c:v>62</c:v>
                </c:pt>
                <c:pt idx="12">
                  <c:v>60</c:v>
                </c:pt>
                <c:pt idx="13">
                  <c:v>59</c:v>
                </c:pt>
                <c:pt idx="14">
                  <c:v>56</c:v>
                </c:pt>
                <c:pt idx="15">
                  <c:v>53</c:v>
                </c:pt>
                <c:pt idx="16">
                  <c:v>49</c:v>
                </c:pt>
                <c:pt idx="17">
                  <c:v>35</c:v>
                </c:pt>
                <c:pt idx="18">
                  <c:v>32</c:v>
                </c:pt>
                <c:pt idx="19">
                  <c:v>23</c:v>
                </c:pt>
                <c:pt idx="20">
                  <c:v>21</c:v>
                </c:pt>
                <c:pt idx="21">
                  <c:v>20</c:v>
                </c:pt>
                <c:pt idx="22">
                  <c:v>14</c:v>
                </c:pt>
                <c:pt idx="23">
                  <c:v>14</c:v>
                </c:pt>
                <c:pt idx="24">
                  <c:v>13</c:v>
                </c:pt>
                <c:pt idx="25">
                  <c:v>12</c:v>
                </c:pt>
                <c:pt idx="26">
                  <c:v>12</c:v>
                </c:pt>
                <c:pt idx="27">
                  <c:v>9</c:v>
                </c:pt>
                <c:pt idx="28">
                  <c:v>8</c:v>
                </c:pt>
                <c:pt idx="29">
                  <c:v>7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62280"/>
        <c:axId val="257565808"/>
      </c:barChart>
      <c:catAx>
        <c:axId val="257562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565808"/>
        <c:crosses val="autoZero"/>
        <c:auto val="1"/>
        <c:lblAlgn val="ctr"/>
        <c:lblOffset val="100"/>
        <c:noMultiLvlLbl val="0"/>
      </c:catAx>
      <c:valAx>
        <c:axId val="25756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62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[Facility Contributions.xlsm]Commits Summary!PivotTable1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'Commits Summary'!$B$1</c:f>
              <c:strCache>
                <c:ptCount val="1"/>
                <c:pt idx="0">
                  <c:v>Sum of All Time Commits</c:v>
                </c:pt>
              </c:strCache>
            </c:strRef>
          </c:tx>
          <c:invertIfNegative val="0"/>
          <c:cat>
            <c:strRef>
              <c:f>'Commits Summary'!$A$2:$A$68</c:f>
              <c:strCache>
                <c:ptCount val="66"/>
                <c:pt idx="0">
                  <c:v>Martyn Gigg</c:v>
                </c:pt>
                <c:pt idx="1">
                  <c:v>Samuel Jackson</c:v>
                </c:pt>
                <c:pt idx="2">
                  <c:v>Owen Arnold</c:v>
                </c:pt>
                <c:pt idx="3">
                  <c:v>Dan Nixon</c:v>
                </c:pt>
                <c:pt idx="4">
                  <c:v>Arturs Bekasovs</c:v>
                </c:pt>
                <c:pt idx="5">
                  <c:v>Jay Rainey</c:v>
                </c:pt>
                <c:pt idx="6">
                  <c:v>Alex Buts</c:v>
                </c:pt>
                <c:pt idx="7">
                  <c:v>Harry Jeffery</c:v>
                </c:pt>
                <c:pt idx="8">
                  <c:v>Peter Peterson</c:v>
                </c:pt>
                <c:pt idx="9">
                  <c:v>Wenduo Zhou</c:v>
                </c:pt>
                <c:pt idx="10">
                  <c:v>Michael Wedel</c:v>
                </c:pt>
                <c:pt idx="11">
                  <c:v>Russell Taylor</c:v>
                </c:pt>
                <c:pt idx="12">
                  <c:v>Roman Tolchenov</c:v>
                </c:pt>
                <c:pt idx="13">
                  <c:v>Nick Draper</c:v>
                </c:pt>
                <c:pt idx="14">
                  <c:v>Keith Brown</c:v>
                </c:pt>
                <c:pt idx="15">
                  <c:v>Vickie Lynch</c:v>
                </c:pt>
                <c:pt idx="16">
                  <c:v>Karl Palmen</c:v>
                </c:pt>
                <c:pt idx="17">
                  <c:v>Andrei Savici</c:v>
                </c:pt>
                <c:pt idx="18">
                  <c:v>Anders Markvardsen</c:v>
                </c:pt>
                <c:pt idx="19">
                  <c:v>Peter Parker</c:v>
                </c:pt>
                <c:pt idx="20">
                  <c:v>Michael Reuter</c:v>
                </c:pt>
                <c:pt idx="21">
                  <c:v>Ricardo Leal</c:v>
                </c:pt>
                <c:pt idx="22">
                  <c:v>Jose Borreguero</c:v>
                </c:pt>
                <c:pt idx="23">
                  <c:v>Gesner Passos</c:v>
                </c:pt>
                <c:pt idx="24">
                  <c:v>Stuart Campbell</c:v>
                </c:pt>
                <c:pt idx="25">
                  <c:v>Mathieu Doucet</c:v>
                </c:pt>
                <c:pt idx="26">
                  <c:v>Federico Montesino P...</c:v>
                </c:pt>
                <c:pt idx="27">
                  <c:v>Steven Hahn</c:v>
                </c:pt>
                <c:pt idx="28">
                  <c:v>John Hill</c:v>
                </c:pt>
                <c:pt idx="29">
                  <c:v>Ross Whitfield</c:v>
                </c:pt>
                <c:pt idx="30">
                  <c:v>Raquel Alvarez Banos</c:v>
                </c:pt>
                <c:pt idx="31">
                  <c:v>Ross Miller</c:v>
                </c:pt>
                <c:pt idx="32">
                  <c:v>Yannick Raoul</c:v>
                </c:pt>
                <c:pt idx="33">
                  <c:v>Lottie Greenwood</c:v>
                </c:pt>
                <c:pt idx="34">
                  <c:v>Ian Bush</c:v>
                </c:pt>
                <c:pt idx="35">
                  <c:v>Jean Bilheux</c:v>
                </c:pt>
                <c:pt idx="36">
                  <c:v>David Mannicke</c:v>
                </c:pt>
                <c:pt idx="37">
                  <c:v>Diego Monserrat</c:v>
                </c:pt>
                <c:pt idx="38">
                  <c:v>Shelly Ren</c:v>
                </c:pt>
                <c:pt idx="39">
                  <c:v>abuts</c:v>
                </c:pt>
                <c:pt idx="40">
                  <c:v>Joachim Wuttke</c:v>
                </c:pt>
                <c:pt idx="41">
                  <c:v>Robert Dalgliesh</c:v>
                </c:pt>
                <c:pt idx="42">
                  <c:v>Sri Nagella</c:v>
                </c:pt>
                <c:pt idx="43">
                  <c:v>Matt Clarke</c:v>
                </c:pt>
                <c:pt idx="44">
                  <c:v>Steve Williams</c:v>
                </c:pt>
                <c:pt idx="45">
                  <c:v>Lakshmi Sastry</c:v>
                </c:pt>
                <c:pt idx="46">
                  <c:v>Stuart Ansell</c:v>
                </c:pt>
                <c:pt idx="47">
                  <c:v>Ronald Fowler</c:v>
                </c:pt>
                <c:pt idx="48">
                  <c:v>Mike Thomas</c:v>
                </c:pt>
                <c:pt idx="49">
                  <c:v>Ruth Mikkelson</c:v>
                </c:pt>
                <c:pt idx="50">
                  <c:v>T Nielsen</c:v>
                </c:pt>
                <c:pt idx="51">
                  <c:v>Pascal Manuel</c:v>
                </c:pt>
                <c:pt idx="52">
                  <c:v>unknown</c:v>
                </c:pt>
                <c:pt idx="53">
                  <c:v>Dereck Kachere</c:v>
                </c:pt>
                <c:pt idx="54">
                  <c:v>Mark Koennecke</c:v>
                </c:pt>
                <c:pt idx="55">
                  <c:v>Dickon Champion</c:v>
                </c:pt>
                <c:pt idx="56">
                  <c:v>Janik Zikovsky</c:v>
                </c:pt>
                <c:pt idx="57">
                  <c:v>Laurent Chapon</c:v>
                </c:pt>
                <c:pt idx="58">
                  <c:v>(blank)</c:v>
                </c:pt>
                <c:pt idx="59">
                  <c:v>Freddie Akeroyd</c:v>
                </c:pt>
                <c:pt idx="60">
                  <c:v>Michael Whitty</c:v>
                </c:pt>
                <c:pt idx="61">
                  <c:v>Marie Yao</c:v>
                </c:pt>
                <c:pt idx="62">
                  <c:v>Sofia Antony</c:v>
                </c:pt>
                <c:pt idx="63">
                  <c:v>Christophe Le Bourlot</c:v>
                </c:pt>
                <c:pt idx="64">
                  <c:v>Robert Whitley</c:v>
                </c:pt>
                <c:pt idx="65">
                  <c:v>Dennis Mikkelson</c:v>
                </c:pt>
              </c:strCache>
            </c:strRef>
          </c:cat>
          <c:val>
            <c:numRef>
              <c:f>'Commits Summary'!$B$2:$B$68</c:f>
              <c:numCache>
                <c:formatCode>General</c:formatCode>
                <c:ptCount val="66"/>
                <c:pt idx="0">
                  <c:v>4182</c:v>
                </c:pt>
                <c:pt idx="1">
                  <c:v>1068</c:v>
                </c:pt>
                <c:pt idx="2">
                  <c:v>2435</c:v>
                </c:pt>
                <c:pt idx="3">
                  <c:v>516</c:v>
                </c:pt>
                <c:pt idx="4">
                  <c:v>762</c:v>
                </c:pt>
                <c:pt idx="5">
                  <c:v>759</c:v>
                </c:pt>
                <c:pt idx="6">
                  <c:v>1991</c:v>
                </c:pt>
                <c:pt idx="7">
                  <c:v>437</c:v>
                </c:pt>
                <c:pt idx="8">
                  <c:v>1973</c:v>
                </c:pt>
                <c:pt idx="9">
                  <c:v>1349</c:v>
                </c:pt>
                <c:pt idx="10">
                  <c:v>355</c:v>
                </c:pt>
                <c:pt idx="11">
                  <c:v>3100</c:v>
                </c:pt>
                <c:pt idx="12">
                  <c:v>1744</c:v>
                </c:pt>
                <c:pt idx="13">
                  <c:v>1048</c:v>
                </c:pt>
                <c:pt idx="14">
                  <c:v>389</c:v>
                </c:pt>
                <c:pt idx="15">
                  <c:v>1211</c:v>
                </c:pt>
                <c:pt idx="16">
                  <c:v>689</c:v>
                </c:pt>
                <c:pt idx="17">
                  <c:v>544</c:v>
                </c:pt>
                <c:pt idx="18">
                  <c:v>1007</c:v>
                </c:pt>
                <c:pt idx="19">
                  <c:v>526</c:v>
                </c:pt>
                <c:pt idx="20">
                  <c:v>1634</c:v>
                </c:pt>
                <c:pt idx="21">
                  <c:v>193</c:v>
                </c:pt>
                <c:pt idx="22">
                  <c:v>351</c:v>
                </c:pt>
                <c:pt idx="23">
                  <c:v>664</c:v>
                </c:pt>
                <c:pt idx="24">
                  <c:v>1047</c:v>
                </c:pt>
                <c:pt idx="25">
                  <c:v>1602</c:v>
                </c:pt>
                <c:pt idx="26">
                  <c:v>50</c:v>
                </c:pt>
                <c:pt idx="27">
                  <c:v>45</c:v>
                </c:pt>
                <c:pt idx="28">
                  <c:v>44</c:v>
                </c:pt>
                <c:pt idx="29">
                  <c:v>34</c:v>
                </c:pt>
                <c:pt idx="30">
                  <c:v>28</c:v>
                </c:pt>
                <c:pt idx="31">
                  <c:v>226</c:v>
                </c:pt>
                <c:pt idx="32">
                  <c:v>24</c:v>
                </c:pt>
                <c:pt idx="33">
                  <c:v>14</c:v>
                </c:pt>
                <c:pt idx="34">
                  <c:v>7</c:v>
                </c:pt>
                <c:pt idx="35">
                  <c:v>317</c:v>
                </c:pt>
                <c:pt idx="36">
                  <c:v>4</c:v>
                </c:pt>
                <c:pt idx="37">
                  <c:v>3</c:v>
                </c:pt>
                <c:pt idx="38">
                  <c:v>81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93</c:v>
                </c:pt>
                <c:pt idx="43">
                  <c:v>346</c:v>
                </c:pt>
                <c:pt idx="44">
                  <c:v>480</c:v>
                </c:pt>
                <c:pt idx="45">
                  <c:v>7</c:v>
                </c:pt>
                <c:pt idx="46">
                  <c:v>66</c:v>
                </c:pt>
                <c:pt idx="47">
                  <c:v>86</c:v>
                </c:pt>
                <c:pt idx="48">
                  <c:v>18</c:v>
                </c:pt>
                <c:pt idx="49">
                  <c:v>208</c:v>
                </c:pt>
                <c:pt idx="50">
                  <c:v>6</c:v>
                </c:pt>
                <c:pt idx="51">
                  <c:v>1</c:v>
                </c:pt>
                <c:pt idx="52">
                  <c:v>2</c:v>
                </c:pt>
                <c:pt idx="53">
                  <c:v>95</c:v>
                </c:pt>
                <c:pt idx="54">
                  <c:v>13</c:v>
                </c:pt>
                <c:pt idx="55">
                  <c:v>75</c:v>
                </c:pt>
                <c:pt idx="56">
                  <c:v>2892</c:v>
                </c:pt>
                <c:pt idx="57">
                  <c:v>150</c:v>
                </c:pt>
                <c:pt idx="59">
                  <c:v>140</c:v>
                </c:pt>
                <c:pt idx="60">
                  <c:v>382</c:v>
                </c:pt>
                <c:pt idx="61">
                  <c:v>7</c:v>
                </c:pt>
                <c:pt idx="62">
                  <c:v>234</c:v>
                </c:pt>
                <c:pt idx="63">
                  <c:v>5</c:v>
                </c:pt>
                <c:pt idx="64">
                  <c:v>222</c:v>
                </c:pt>
                <c:pt idx="65">
                  <c:v>245</c:v>
                </c:pt>
              </c:numCache>
            </c:numRef>
          </c:val>
        </c:ser>
        <c:ser>
          <c:idx val="1"/>
          <c:order val="1"/>
          <c:tx>
            <c:strRef>
              <c:f>'Commits Summary'!$C$1</c:f>
              <c:strCache>
                <c:ptCount val="1"/>
                <c:pt idx="0">
                  <c:v>Sum of 12 Month Commits</c:v>
                </c:pt>
              </c:strCache>
            </c:strRef>
          </c:tx>
          <c:invertIfNegative val="0"/>
          <c:cat>
            <c:strRef>
              <c:f>'Commits Summary'!$A$2:$A$68</c:f>
              <c:strCache>
                <c:ptCount val="66"/>
                <c:pt idx="0">
                  <c:v>Martyn Gigg</c:v>
                </c:pt>
                <c:pt idx="1">
                  <c:v>Samuel Jackson</c:v>
                </c:pt>
                <c:pt idx="2">
                  <c:v>Owen Arnold</c:v>
                </c:pt>
                <c:pt idx="3">
                  <c:v>Dan Nixon</c:v>
                </c:pt>
                <c:pt idx="4">
                  <c:v>Arturs Bekasovs</c:v>
                </c:pt>
                <c:pt idx="5">
                  <c:v>Jay Rainey</c:v>
                </c:pt>
                <c:pt idx="6">
                  <c:v>Alex Buts</c:v>
                </c:pt>
                <c:pt idx="7">
                  <c:v>Harry Jeffery</c:v>
                </c:pt>
                <c:pt idx="8">
                  <c:v>Peter Peterson</c:v>
                </c:pt>
                <c:pt idx="9">
                  <c:v>Wenduo Zhou</c:v>
                </c:pt>
                <c:pt idx="10">
                  <c:v>Michael Wedel</c:v>
                </c:pt>
                <c:pt idx="11">
                  <c:v>Russell Taylor</c:v>
                </c:pt>
                <c:pt idx="12">
                  <c:v>Roman Tolchenov</c:v>
                </c:pt>
                <c:pt idx="13">
                  <c:v>Nick Draper</c:v>
                </c:pt>
                <c:pt idx="14">
                  <c:v>Keith Brown</c:v>
                </c:pt>
                <c:pt idx="15">
                  <c:v>Vickie Lynch</c:v>
                </c:pt>
                <c:pt idx="16">
                  <c:v>Karl Palmen</c:v>
                </c:pt>
                <c:pt idx="17">
                  <c:v>Andrei Savici</c:v>
                </c:pt>
                <c:pt idx="18">
                  <c:v>Anders Markvardsen</c:v>
                </c:pt>
                <c:pt idx="19">
                  <c:v>Peter Parker</c:v>
                </c:pt>
                <c:pt idx="20">
                  <c:v>Michael Reuter</c:v>
                </c:pt>
                <c:pt idx="21">
                  <c:v>Ricardo Leal</c:v>
                </c:pt>
                <c:pt idx="22">
                  <c:v>Jose Borreguero</c:v>
                </c:pt>
                <c:pt idx="23">
                  <c:v>Gesner Passos</c:v>
                </c:pt>
                <c:pt idx="24">
                  <c:v>Stuart Campbell</c:v>
                </c:pt>
                <c:pt idx="25">
                  <c:v>Mathieu Doucet</c:v>
                </c:pt>
                <c:pt idx="26">
                  <c:v>Federico Montesino P...</c:v>
                </c:pt>
                <c:pt idx="27">
                  <c:v>Steven Hahn</c:v>
                </c:pt>
                <c:pt idx="28">
                  <c:v>John Hill</c:v>
                </c:pt>
                <c:pt idx="29">
                  <c:v>Ross Whitfield</c:v>
                </c:pt>
                <c:pt idx="30">
                  <c:v>Raquel Alvarez Banos</c:v>
                </c:pt>
                <c:pt idx="31">
                  <c:v>Ross Miller</c:v>
                </c:pt>
                <c:pt idx="32">
                  <c:v>Yannick Raoul</c:v>
                </c:pt>
                <c:pt idx="33">
                  <c:v>Lottie Greenwood</c:v>
                </c:pt>
                <c:pt idx="34">
                  <c:v>Ian Bush</c:v>
                </c:pt>
                <c:pt idx="35">
                  <c:v>Jean Bilheux</c:v>
                </c:pt>
                <c:pt idx="36">
                  <c:v>David Mannicke</c:v>
                </c:pt>
                <c:pt idx="37">
                  <c:v>Diego Monserrat</c:v>
                </c:pt>
                <c:pt idx="38">
                  <c:v>Shelly Ren</c:v>
                </c:pt>
                <c:pt idx="39">
                  <c:v>abuts</c:v>
                </c:pt>
                <c:pt idx="40">
                  <c:v>Joachim Wuttke</c:v>
                </c:pt>
                <c:pt idx="41">
                  <c:v>Robert Dalgliesh</c:v>
                </c:pt>
                <c:pt idx="42">
                  <c:v>Sri Nagella</c:v>
                </c:pt>
                <c:pt idx="43">
                  <c:v>Matt Clarke</c:v>
                </c:pt>
                <c:pt idx="44">
                  <c:v>Steve Williams</c:v>
                </c:pt>
                <c:pt idx="45">
                  <c:v>Lakshmi Sastry</c:v>
                </c:pt>
                <c:pt idx="46">
                  <c:v>Stuart Ansell</c:v>
                </c:pt>
                <c:pt idx="47">
                  <c:v>Ronald Fowler</c:v>
                </c:pt>
                <c:pt idx="48">
                  <c:v>Mike Thomas</c:v>
                </c:pt>
                <c:pt idx="49">
                  <c:v>Ruth Mikkelson</c:v>
                </c:pt>
                <c:pt idx="50">
                  <c:v>T Nielsen</c:v>
                </c:pt>
                <c:pt idx="51">
                  <c:v>Pascal Manuel</c:v>
                </c:pt>
                <c:pt idx="52">
                  <c:v>unknown</c:v>
                </c:pt>
                <c:pt idx="53">
                  <c:v>Dereck Kachere</c:v>
                </c:pt>
                <c:pt idx="54">
                  <c:v>Mark Koennecke</c:v>
                </c:pt>
                <c:pt idx="55">
                  <c:v>Dickon Champion</c:v>
                </c:pt>
                <c:pt idx="56">
                  <c:v>Janik Zikovsky</c:v>
                </c:pt>
                <c:pt idx="57">
                  <c:v>Laurent Chapon</c:v>
                </c:pt>
                <c:pt idx="58">
                  <c:v>(blank)</c:v>
                </c:pt>
                <c:pt idx="59">
                  <c:v>Freddie Akeroyd</c:v>
                </c:pt>
                <c:pt idx="60">
                  <c:v>Michael Whitty</c:v>
                </c:pt>
                <c:pt idx="61">
                  <c:v>Marie Yao</c:v>
                </c:pt>
                <c:pt idx="62">
                  <c:v>Sofia Antony</c:v>
                </c:pt>
                <c:pt idx="63">
                  <c:v>Christophe Le Bourlot</c:v>
                </c:pt>
                <c:pt idx="64">
                  <c:v>Robert Whitley</c:v>
                </c:pt>
                <c:pt idx="65">
                  <c:v>Dennis Mikkelson</c:v>
                </c:pt>
              </c:strCache>
            </c:strRef>
          </c:cat>
          <c:val>
            <c:numRef>
              <c:f>'Commits Summary'!$C$2:$C$68</c:f>
              <c:numCache>
                <c:formatCode>General</c:formatCode>
                <c:ptCount val="66"/>
                <c:pt idx="0">
                  <c:v>903</c:v>
                </c:pt>
                <c:pt idx="1">
                  <c:v>655</c:v>
                </c:pt>
                <c:pt idx="2">
                  <c:v>613</c:v>
                </c:pt>
                <c:pt idx="3">
                  <c:v>516</c:v>
                </c:pt>
                <c:pt idx="4">
                  <c:v>515</c:v>
                </c:pt>
                <c:pt idx="5">
                  <c:v>468</c:v>
                </c:pt>
                <c:pt idx="6">
                  <c:v>466</c:v>
                </c:pt>
                <c:pt idx="7">
                  <c:v>437</c:v>
                </c:pt>
                <c:pt idx="8">
                  <c:v>425</c:v>
                </c:pt>
                <c:pt idx="9">
                  <c:v>424</c:v>
                </c:pt>
                <c:pt idx="10">
                  <c:v>355</c:v>
                </c:pt>
                <c:pt idx="11">
                  <c:v>349</c:v>
                </c:pt>
                <c:pt idx="12">
                  <c:v>321</c:v>
                </c:pt>
                <c:pt idx="13">
                  <c:v>290</c:v>
                </c:pt>
                <c:pt idx="14">
                  <c:v>269</c:v>
                </c:pt>
                <c:pt idx="15">
                  <c:v>248</c:v>
                </c:pt>
                <c:pt idx="16">
                  <c:v>220</c:v>
                </c:pt>
                <c:pt idx="17">
                  <c:v>213</c:v>
                </c:pt>
                <c:pt idx="18">
                  <c:v>194</c:v>
                </c:pt>
                <c:pt idx="19">
                  <c:v>192</c:v>
                </c:pt>
                <c:pt idx="20">
                  <c:v>191</c:v>
                </c:pt>
                <c:pt idx="21">
                  <c:v>138</c:v>
                </c:pt>
                <c:pt idx="22">
                  <c:v>122</c:v>
                </c:pt>
                <c:pt idx="23">
                  <c:v>114</c:v>
                </c:pt>
                <c:pt idx="24">
                  <c:v>99</c:v>
                </c:pt>
                <c:pt idx="25">
                  <c:v>81</c:v>
                </c:pt>
                <c:pt idx="26">
                  <c:v>50</c:v>
                </c:pt>
                <c:pt idx="27">
                  <c:v>45</c:v>
                </c:pt>
                <c:pt idx="28">
                  <c:v>44</c:v>
                </c:pt>
                <c:pt idx="29">
                  <c:v>34</c:v>
                </c:pt>
                <c:pt idx="30">
                  <c:v>28</c:v>
                </c:pt>
                <c:pt idx="31">
                  <c:v>27</c:v>
                </c:pt>
                <c:pt idx="32">
                  <c:v>24</c:v>
                </c:pt>
                <c:pt idx="33">
                  <c:v>14</c:v>
                </c:pt>
                <c:pt idx="34">
                  <c:v>7</c:v>
                </c:pt>
                <c:pt idx="35">
                  <c:v>4</c:v>
                </c:pt>
                <c:pt idx="36">
                  <c:v>4</c:v>
                </c:pt>
                <c:pt idx="37">
                  <c:v>3</c:v>
                </c:pt>
                <c:pt idx="38">
                  <c:v>3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62672"/>
        <c:axId val="257560320"/>
      </c:barChart>
      <c:catAx>
        <c:axId val="257562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560320"/>
        <c:crosses val="autoZero"/>
        <c:auto val="1"/>
        <c:lblAlgn val="ctr"/>
        <c:lblOffset val="100"/>
        <c:noMultiLvlLbl val="0"/>
      </c:catAx>
      <c:valAx>
        <c:axId val="25756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62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</xdr:row>
      <xdr:rowOff>19049</xdr:rowOff>
    </xdr:from>
    <xdr:to>
      <xdr:col>7</xdr:col>
      <xdr:colOff>561974</xdr:colOff>
      <xdr:row>20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180975</xdr:rowOff>
    </xdr:from>
    <xdr:to>
      <xdr:col>9</xdr:col>
      <xdr:colOff>9525</xdr:colOff>
      <xdr:row>23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190499</xdr:rowOff>
    </xdr:from>
    <xdr:to>
      <xdr:col>5</xdr:col>
      <xdr:colOff>500063</xdr:colOff>
      <xdr:row>26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171450</xdr:rowOff>
        </xdr:from>
        <xdr:to>
          <xdr:col>20</xdr:col>
          <xdr:colOff>419100</xdr:colOff>
          <xdr:row>7</xdr:row>
          <xdr:rowOff>180975</xdr:rowOff>
        </xdr:to>
        <xdr:sp macro="" textlink="">
          <xdr:nvSpPr>
            <xdr:cNvPr id="9217" name="Button 1" descr="Refresh From Raw Data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</a:rPr>
                <a:t>Refresh From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123824</xdr:rowOff>
    </xdr:from>
    <xdr:to>
      <xdr:col>19</xdr:col>
      <xdr:colOff>228600</xdr:colOff>
      <xdr:row>35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590549</xdr:colOff>
      <xdr:row>0</xdr:row>
      <xdr:rowOff>28575</xdr:rowOff>
    </xdr:from>
    <xdr:to>
      <xdr:col>20</xdr:col>
      <xdr:colOff>371474</xdr:colOff>
      <xdr:row>29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85725</xdr:rowOff>
    </xdr:from>
    <xdr:to>
      <xdr:col>43</xdr:col>
      <xdr:colOff>438150</xdr:colOff>
      <xdr:row>39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aper, Nick (-,RAL,ISIS)" refreshedDate="41964.471542824074" createdVersion="4" refreshedVersion="4" minRefreshableVersion="3" recordCount="78">
  <cacheSource type="worksheet">
    <worksheetSource ref="A1:K1048576" sheet="Commits"/>
  </cacheSource>
  <cacheFields count="11">
    <cacheField name="Original Name" numFmtId="0">
      <sharedItems containsBlank="1"/>
    </cacheField>
    <cacheField name="Kudos" numFmtId="0">
      <sharedItems containsString="0" containsBlank="1" containsNumber="1" containsInteger="1" minValue="0" maxValue="0"/>
    </cacheField>
    <cacheField name="12 Month Commits" numFmtId="0">
      <sharedItems containsString="0" containsBlank="1" containsNumber="1" containsInteger="1" minValue="0" maxValue="903"/>
    </cacheField>
    <cacheField name="All Time Commits" numFmtId="0">
      <sharedItems containsString="0" containsBlank="1" containsNumber="1" containsInteger="1" minValue="1" maxValue="4182"/>
    </cacheField>
    <cacheField name="5 Year Trend" numFmtId="0">
      <sharedItems containsString="0" containsBlank="1" containsNumber="1" containsInteger="1" minValue="0" maxValue="0"/>
    </cacheField>
    <cacheField name="Primary Language" numFmtId="0">
      <sharedItems containsBlank="1" containsMixedTypes="1" containsNumber="1" containsInteger="1" minValue="0" maxValue="0"/>
    </cacheField>
    <cacheField name="First Commit" numFmtId="0">
      <sharedItems containsBlank="1"/>
    </cacheField>
    <cacheField name="Last Commit" numFmtId="0">
      <sharedItems containsBlank="1"/>
    </cacheField>
    <cacheField name="Name" numFmtId="0">
      <sharedItems containsBlank="1" count="73">
        <s v="Martyn Gigg"/>
        <s v="Russell Taylor"/>
        <s v="Janik Zikovsky"/>
        <s v="Owen Arnold"/>
        <s v="Alex Buts"/>
        <s v="Peter Peterson"/>
        <s v="Roman Tolchenov"/>
        <s v="Michael Reuter"/>
        <s v="Mathieu Doucet"/>
        <s v="Wenduo Zhou"/>
        <s v="Vickie Lynch"/>
        <s v="Samuel Jackson"/>
        <s v="Stuart Campbell"/>
        <s v="Nick Draper"/>
        <s v="Anders Markvardsen"/>
        <s v="Arturs Bekasovs"/>
        <s v="Jay Rainey"/>
        <s v="Karl Palmen"/>
        <s v="Gesner Passos"/>
        <s v="Andrei Savici"/>
        <s v="Peter Parker"/>
        <s v="Dan Nixon"/>
        <s v="Steve Williams"/>
        <s v="Harry Jeffery"/>
        <s v="Keith Brown"/>
        <s v="Michael Whitty"/>
        <s v="Jose Borreguero"/>
        <s v="Matt Clarke"/>
        <s v="Jean Bilheux"/>
        <s v="Michael Wedel"/>
        <s v="Dennis Mikkelson"/>
        <s v="Sofia Antony"/>
        <s v="Ross Miller"/>
        <s v="Robert Whitley"/>
        <s v="Ruth Mikkelson"/>
        <s v="Laurent Chapon"/>
        <s v="Freddie Akeroyd"/>
        <s v="Ricardo Leal"/>
        <s v="Dereck Kachere"/>
        <s v="Sri Nagella"/>
        <s v="Ronald Fowler"/>
        <s v="Shelly Ren"/>
        <s v="Dickon Champion"/>
        <s v="Stuart Ansell"/>
        <s v="Federico Montesino P..."/>
        <s v="Steven Hahn"/>
        <s v="John Hill"/>
        <s v="Ross Whitfield"/>
        <s v="Raquel Alvarez Banos"/>
        <s v="Yannick Raoul"/>
        <s v="Mike Thomas"/>
        <s v="Lottie Greenwood"/>
        <s v="Mark Koennecke"/>
        <s v="Marie Yao"/>
        <s v="Ian Bush"/>
        <s v="Lakshmi Sastry"/>
        <s v="T Nielsen"/>
        <s v="Christophe Le Bourlot"/>
        <s v="David Mannicke"/>
        <s v="unknown"/>
        <s v="Diego Monserrat"/>
        <s v="Pascal Manuel"/>
        <s v="Robert Dalgliesh"/>
        <s v="abuts"/>
        <s v="Joachim Wuttke"/>
        <m/>
        <s v="Pete Peterson" u="1"/>
        <s v="Miller R G" u="1"/>
        <s v="AndreiSavici" u="1"/>
        <s v="Ricardo Ferraz Leal" u="1"/>
        <s v="mathieu" u="1"/>
        <s v="VickieLynch" u="1"/>
        <s v="Stuart I. Campbell" u="1"/>
      </sharedItems>
    </cacheField>
    <cacheField name="Facility" numFmtId="0">
      <sharedItems containsBlank="1"/>
    </cacheField>
    <cacheField name="Contract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raper, Nick (-,RAL,ISIS)" refreshedDate="41964.471639004631" createdVersion="4" refreshedVersion="4" minRefreshableVersion="3" recordCount="7858">
  <cacheSource type="worksheet">
    <worksheetSource ref="A1:G1048576" sheet="Tickets"/>
  </cacheSource>
  <cacheFields count="7">
    <cacheField name="id" numFmtId="0">
      <sharedItems containsString="0" containsBlank="1" containsNumber="1" containsInteger="1" minValue="1" maxValue="10599"/>
    </cacheField>
    <cacheField name="owner" numFmtId="0">
      <sharedItems containsBlank="1" count="59">
        <s v="Russell Taylor"/>
        <s v="Laurent Chapon"/>
        <s v="Nick Draper"/>
        <s v="Martyn Gigg"/>
        <s v="Roman Tolchenov"/>
        <s v="Sofia Antony"/>
        <s v="Anders Markvardsen"/>
        <s v="Steve Williams"/>
        <s v="Michael Reuter"/>
        <s v="Michael Whitty"/>
        <s v="Stuart Campbell"/>
        <s v="Peter Peterson"/>
        <s v="Janik Zikovsky"/>
        <s v="Robert Whitley"/>
        <s v="Andrei Savici"/>
        <s v="Mathieu Doucet"/>
        <s v="Owen Arnold"/>
        <s v="Karl Palmen"/>
        <s v="Alex Buts"/>
        <s v="Peter Parker"/>
        <s v="Dereck Kachere"/>
        <s v="Vickie Lynch"/>
        <s v="Gesner Passos"/>
        <s v="Wenduo Zhou"/>
        <s v="Jay Rainey"/>
        <s v="Anyone"/>
        <s v="Jean Bilheux"/>
        <s v="Dennis Mikkelson"/>
        <s v="Samuel Jackson"/>
        <s v="Arturs Bekasovs"/>
        <s v="Keith Brown"/>
        <s v="Shelly Ren"/>
        <s v="Ross Miller"/>
        <s v="MarcusNoble"/>
        <s v="Dan Nixon"/>
        <s v="Harry Jeffery"/>
        <s v="Freddie Akeroyd"/>
        <s v="Dickon Champion"/>
        <s v="Sri Nagella"/>
        <s v="Matt Clarke"/>
        <s v="Ronald Fowler"/>
        <s v="Mike Thomas"/>
        <s v="Jose Borreguero"/>
        <s v="Ricardo Leal"/>
        <s v="Federico M Pouzols"/>
        <s v="Michael Wedel"/>
        <s v="Steven Hahn"/>
        <s v="Stuart Ansell"/>
        <m/>
        <s v="Lakshmi Sastry"/>
        <s v="Pascal Manuel"/>
        <s v="Ruth Mikkelson"/>
        <s v="Lottie Greenwood"/>
        <s v="Raquel Alvarez Banos"/>
        <s v="John Hill"/>
        <s v="Ian Bush"/>
        <s v="Steve Miller"/>
        <s v="Ross Whitfield"/>
        <s v="Yannick Raoul"/>
      </sharedItems>
    </cacheField>
    <cacheField name="milestone" numFmtId="0">
      <sharedItems containsBlank="1"/>
    </cacheField>
    <cacheField name="changetime" numFmtId="0">
      <sharedItems containsNonDate="0" containsDate="1" containsString="0" containsBlank="1" minDate="2007-08-03T09:27:46" maxDate="2014-11-21T10:56:59"/>
    </cacheField>
    <cacheField name="tester" numFmtId="0">
      <sharedItems containsBlank="1" count="47">
        <m/>
        <s v="Roman Tolchenov"/>
        <s v="Owen Arnold"/>
        <s v="Peter Peterson"/>
        <s v="Martyn Gigg"/>
        <s v="Michael Reuter"/>
        <s v="Michael Whitty"/>
        <s v="Russell Taylor"/>
        <s v="Stuart Campbell"/>
        <s v="Andrei Savici"/>
        <s v="Vickie Lynch"/>
        <s v="Nick Draper"/>
        <s v="Gesner Passos"/>
        <s v="Anders Markvardsen"/>
        <s v="Steve Williams"/>
        <s v="Peter Parker"/>
        <s v="Wenduo Zhou"/>
        <s v="Ronald Fowler"/>
        <s v="Karl Palmen"/>
        <s v="Janik Zikovsky"/>
        <s v="Robert Whitley"/>
        <s v="Alex Buts"/>
        <s v="Dereck Kachere"/>
        <s v="Mathieu Doucet"/>
        <s v="Shelly Ren"/>
        <s v="Jay Rainey"/>
        <s v="Samuel Jackson"/>
        <s v="Arturs Bekasovs"/>
        <s v="Keith Brown"/>
        <s v="Dan Nixon"/>
        <s v="Federico M Pouzols"/>
        <s v="Pete Peterson"/>
        <s v="John Hill"/>
        <s v="Sofia Antony"/>
        <s v="Brett Tully"/>
        <s v="Jose Borreguero"/>
        <s v="Jean Bilheux"/>
        <s v="Ross Miller"/>
        <s v="Michael Wedel"/>
        <s v="mareuter"/>
        <s v="Ross Whitfield"/>
        <s v="Harry Jeffery"/>
        <s v="Steven Hahn"/>
        <s v="Raquel Alvarez Banos"/>
        <s v="Ruth Mikkelson"/>
        <s v="Dennis Mikkelson"/>
        <s v="Lottie Greenwood"/>
      </sharedItems>
    </cacheField>
    <cacheField name="YearsAgo" numFmtId="0">
      <sharedItems containsString="0" containsBlank="1" containsNumber="1" minValue="0" maxValue="7.3"/>
    </cacheField>
    <cacheField name="within 12 Months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raper, Nick (-,RAL,ISIS)" refreshedDate="41964.472007175929" createdVersion="4" refreshedVersion="4" minRefreshableVersion="3" recordCount="74">
  <cacheSource type="worksheet">
    <worksheetSource ref="A1:I1048576" sheet="Amalgamated"/>
  </cacheSource>
  <cacheFields count="9">
    <cacheField name="Name" numFmtId="0">
      <sharedItems containsBlank="1"/>
    </cacheField>
    <cacheField name="Facility" numFmtId="0">
      <sharedItems containsBlank="1" count="11">
        <s v="ISIS"/>
        <s v="SNS"/>
        <e v="#N/A"/>
        <s v="PSI"/>
        <s v="ILL"/>
        <s v="ANSTO"/>
        <s v="Polytechnic University of Catalonia"/>
        <s v="Juelich"/>
        <s v="ESS"/>
        <s v="?"/>
        <m/>
      </sharedItems>
    </cacheField>
    <cacheField name="Contract" numFmtId="0">
      <sharedItems containsBlank="1" containsMixedTypes="1" containsNumber="1" containsInteger="1" minValue="0" maxValue="0"/>
    </cacheField>
    <cacheField name="Tickets Fixed-12 months" numFmtId="0">
      <sharedItems containsString="0" containsBlank="1" containsNumber="1" containsInteger="1" minValue="0" maxValue="118"/>
    </cacheField>
    <cacheField name="Tickets Fixed-Total" numFmtId="0">
      <sharedItems containsString="0" containsBlank="1" containsNumber="1" containsInteger="1" minValue="0" maxValue="954"/>
    </cacheField>
    <cacheField name="Tickets Tested-12 months" numFmtId="0">
      <sharedItems containsString="0" containsBlank="1" containsNumber="1" containsInteger="1" minValue="0" maxValue="120"/>
    </cacheField>
    <cacheField name="Tickets Tested-Total" numFmtId="0">
      <sharedItems containsString="0" containsBlank="1" containsNumber="1" containsInteger="1" minValue="0" maxValue="1113"/>
    </cacheField>
    <cacheField name="Commits-12 months" numFmtId="0">
      <sharedItems containsString="0" containsBlank="1" containsNumber="1" containsInteger="1" minValue="0" maxValue="903"/>
    </cacheField>
    <cacheField name="Commits-Total" numFmtId="0">
      <sharedItems containsString="0" containsBlank="1" containsNumber="1" containsInteger="1" minValue="0" maxValue="41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raper, Nick (-,RAL,ISIS)" refreshedDate="42033.472146759261" createdVersion="5" refreshedVersion="5" minRefreshableVersion="3" recordCount="73">
  <cacheSource type="worksheet">
    <worksheetSource ref="A1:J74" sheet="Amalgamated"/>
  </cacheSource>
  <cacheFields count="10">
    <cacheField name="Name" numFmtId="0">
      <sharedItems/>
    </cacheField>
    <cacheField name="Facility" numFmtId="0">
      <sharedItems/>
    </cacheField>
    <cacheField name="Contract" numFmtId="0">
      <sharedItems containsMixedTypes="1" containsNumber="1" containsInteger="1" minValue="0" maxValue="0"/>
    </cacheField>
    <cacheField name="Tickets Fixed-12 months" numFmtId="0">
      <sharedItems containsSemiMixedTypes="0" containsString="0" containsNumber="1" containsInteger="1" minValue="0" maxValue="118"/>
    </cacheField>
    <cacheField name="Tickets Fixed-Total" numFmtId="0">
      <sharedItems containsSemiMixedTypes="0" containsString="0" containsNumber="1" containsInteger="1" minValue="0" maxValue="954"/>
    </cacheField>
    <cacheField name="Tickets Tested-12 months" numFmtId="0">
      <sharedItems containsSemiMixedTypes="0" containsString="0" containsNumber="1" containsInteger="1" minValue="0" maxValue="120"/>
    </cacheField>
    <cacheField name="Tickets Tested-Total" numFmtId="0">
      <sharedItems containsSemiMixedTypes="0" containsString="0" containsNumber="1" containsInteger="1" minValue="0" maxValue="1113"/>
    </cacheField>
    <cacheField name="Commits-12 months" numFmtId="0">
      <sharedItems containsString="0" containsBlank="1" containsNumber="1" containsInteger="1" minValue="0" maxValue="903"/>
    </cacheField>
    <cacheField name="Commits-Total" numFmtId="0">
      <sharedItems containsString="0" containsBlank="1" containsNumber="1" containsInteger="1" minValue="0" maxValue="4182"/>
    </cacheField>
    <cacheField name="Supplier" numFmtId="0">
      <sharedItems count="11">
        <s v="Tessella"/>
        <s v="ISIS"/>
        <s v="SNS"/>
        <e v="#N/A"/>
        <s v="PSI"/>
        <s v="ILL"/>
        <s v="ANSTO"/>
        <s v="Polytechnic University of Catalonia"/>
        <s v="Juelich"/>
        <s v="ESS"/>
        <s v="?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">
  <r>
    <s v="Martyn Gigg"/>
    <n v="0"/>
    <n v="903"/>
    <n v="4182"/>
    <n v="0"/>
    <s v="C++"/>
    <s v="about 6 years ago"/>
    <s v="15 days ago"/>
    <x v="0"/>
    <s v="ISIS"/>
    <s v="Tessella"/>
  </r>
  <r>
    <s v="Russell Taylor"/>
    <n v="0"/>
    <n v="349"/>
    <n v="3100"/>
    <n v="0"/>
    <s v="C++"/>
    <s v="about 7 years ago"/>
    <s v="5 months ago"/>
    <x v="1"/>
    <s v="SNS"/>
    <s v="Tessella"/>
  </r>
  <r>
    <s v="Janik Zikovsky"/>
    <n v="0"/>
    <n v="0"/>
    <n v="2892"/>
    <n v="0"/>
    <s v="C++"/>
    <s v="over 4 years ago"/>
    <s v="over 2 years ago"/>
    <x v="2"/>
    <s v="SNS"/>
    <n v="0"/>
  </r>
  <r>
    <s v="Owen Arnold"/>
    <n v="0"/>
    <n v="613"/>
    <n v="2433"/>
    <n v="0"/>
    <s v="C++"/>
    <s v="over 4 years ago"/>
    <s v="9 days ago"/>
    <x v="3"/>
    <s v="ISIS"/>
    <s v="Tessella"/>
  </r>
  <r>
    <s v="Alex Buts"/>
    <n v="0"/>
    <n v="466"/>
    <n v="1991"/>
    <n v="0"/>
    <s v="C++"/>
    <s v="over 4 years ago"/>
    <s v="25 days ago"/>
    <x v="4"/>
    <s v="ISIS"/>
    <n v="0"/>
  </r>
  <r>
    <s v="Peter Peterson"/>
    <n v="0"/>
    <n v="425"/>
    <n v="1973"/>
    <n v="0"/>
    <s v="C++"/>
    <s v="over 4 years ago"/>
    <s v="9 days ago"/>
    <x v="5"/>
    <s v="SNS"/>
    <n v="0"/>
  </r>
  <r>
    <s v="Roman Tolchenov"/>
    <n v="0"/>
    <n v="321"/>
    <n v="1744"/>
    <n v="0"/>
    <s v="C++"/>
    <s v="over 6 years ago"/>
    <s v="10 days ago"/>
    <x v="6"/>
    <s v="ISIS"/>
    <s v="Tessella"/>
  </r>
  <r>
    <s v="Michael Reuter"/>
    <n v="0"/>
    <n v="191"/>
    <n v="1634"/>
    <n v="0"/>
    <s v="C++"/>
    <s v="over 4 years ago"/>
    <s v="about 1 month ago"/>
    <x v="7"/>
    <s v="SNS"/>
    <n v="0"/>
  </r>
  <r>
    <s v="Mathieu Doucet(Computing Scientist)"/>
    <n v="0"/>
    <n v="81"/>
    <n v="1568"/>
    <n v="0"/>
    <s v="Python"/>
    <s v="over 4 years ago"/>
    <s v="25 days ago"/>
    <x v="8"/>
    <s v="SNS"/>
    <n v="0"/>
  </r>
  <r>
    <s v="Wenduo Zhou"/>
    <n v="0"/>
    <n v="424"/>
    <n v="1349"/>
    <n v="0"/>
    <s v="C++"/>
    <s v="over 3 years ago"/>
    <s v="16 days ago"/>
    <x v="9"/>
    <s v="SNS"/>
    <n v="0"/>
  </r>
  <r>
    <s v="Vickie Lynch"/>
    <n v="0"/>
    <n v="248"/>
    <n v="1211"/>
    <n v="0"/>
    <s v="C++"/>
    <s v="over 4 years ago"/>
    <s v="about 1 month ago"/>
    <x v="10"/>
    <s v="SNS"/>
    <n v="0"/>
  </r>
  <r>
    <s v="Samuel Jackson"/>
    <n v="0"/>
    <n v="655"/>
    <n v="1068"/>
    <n v="0"/>
    <s v="C++"/>
    <s v="over 1 year ago"/>
    <s v="3 months ago"/>
    <x v="11"/>
    <s v="ISIS"/>
    <n v="0"/>
  </r>
  <r>
    <s v="Stuart Campbell"/>
    <n v="0"/>
    <n v="98"/>
    <n v="1046"/>
    <n v="0"/>
    <s v="C++"/>
    <s v="over 4 years ago"/>
    <s v="16 days ago"/>
    <x v="12"/>
    <s v="SNS"/>
    <n v="0"/>
  </r>
  <r>
    <s v="njd(Project Manager)"/>
    <n v="0"/>
    <n v="288"/>
    <n v="1046"/>
    <n v="0"/>
    <s v="C++"/>
    <s v="about 7 years ago"/>
    <s v="15 days ago"/>
    <x v="13"/>
    <s v="ISIS"/>
    <s v="Tessella"/>
  </r>
  <r>
    <s v="Anders Markvardsen"/>
    <n v="0"/>
    <n v="194"/>
    <n v="1007"/>
    <n v="0"/>
    <s v="C++"/>
    <s v="about 7 years ago"/>
    <s v="11 days ago"/>
    <x v="14"/>
    <s v="ISIS"/>
    <n v="0"/>
  </r>
  <r>
    <s v="Arturs Bekasovs"/>
    <n v="0"/>
    <n v="515"/>
    <n v="762"/>
    <n v="0"/>
    <s v="C++"/>
    <s v="over 1 year ago"/>
    <s v="5 months ago"/>
    <x v="15"/>
    <s v="ISIS"/>
    <n v="0"/>
  </r>
  <r>
    <s v="Jay Rainey"/>
    <n v="0"/>
    <n v="468"/>
    <n v="759"/>
    <n v="0"/>
    <s v="C++"/>
    <s v="over 1 year ago"/>
    <s v="5 months ago"/>
    <x v="16"/>
    <s v="ISIS"/>
    <n v="0"/>
  </r>
  <r>
    <s v="Karl Palmen"/>
    <n v="0"/>
    <n v="220"/>
    <n v="689"/>
    <n v="0"/>
    <s v="C++"/>
    <s v="about 3 years ago"/>
    <s v="about 1 month ago"/>
    <x v="17"/>
    <s v="ISIS"/>
    <n v="0"/>
  </r>
  <r>
    <s v="Gesner Passos"/>
    <n v="0"/>
    <n v="114"/>
    <n v="664"/>
    <n v="0"/>
    <s v="C++"/>
    <s v="about 2 years ago"/>
    <s v="9 months ago"/>
    <x v="18"/>
    <s v="ISIS"/>
    <n v="0"/>
  </r>
  <r>
    <s v="Andrei Savici"/>
    <n v="0"/>
    <n v="213"/>
    <n v="544"/>
    <n v="0"/>
    <s v="C++"/>
    <s v="about 4 years ago"/>
    <s v="9 days ago"/>
    <x v="19"/>
    <s v="SNS"/>
    <n v="0"/>
  </r>
  <r>
    <s v="Peter Parker"/>
    <n v="0"/>
    <n v="192"/>
    <n v="526"/>
    <n v="0"/>
    <s v="C++"/>
    <s v="about 3 years ago"/>
    <s v="4 months ago"/>
    <x v="20"/>
    <s v="ISIS"/>
    <n v="0"/>
  </r>
  <r>
    <s v="Dan Nixon"/>
    <n v="0"/>
    <n v="516"/>
    <n v="516"/>
    <n v="0"/>
    <s v="C++"/>
    <s v="4 months ago"/>
    <s v="9 days ago"/>
    <x v="21"/>
    <s v="ISIS"/>
    <n v="0"/>
  </r>
  <r>
    <s v="Steve Williams"/>
    <n v="0"/>
    <n v="0"/>
    <n v="480"/>
    <n v="0"/>
    <s v="C++"/>
    <s v="over 5 years ago"/>
    <s v="over 3 years ago"/>
    <x v="22"/>
    <s v="ISIS"/>
    <n v="0"/>
  </r>
  <r>
    <s v="Harry Jeffery"/>
    <n v="0"/>
    <n v="437"/>
    <n v="437"/>
    <n v="0"/>
    <s v="C++"/>
    <s v="4 months ago"/>
    <s v="8 days ago"/>
    <x v="23"/>
    <s v="ISIS"/>
    <n v="0"/>
  </r>
  <r>
    <s v="Keith Brown"/>
    <n v="0"/>
    <n v="269"/>
    <n v="389"/>
    <n v="0"/>
    <s v="C++"/>
    <s v="over 1 year ago"/>
    <s v="5 months ago"/>
    <x v="24"/>
    <s v="ISIS"/>
    <n v="0"/>
  </r>
  <r>
    <s v="mjwhitty(Inactive)"/>
    <n v="0"/>
    <n v="0"/>
    <n v="382"/>
    <n v="0"/>
    <s v="C++"/>
    <s v="over 4 years ago"/>
    <s v="over 3 years ago"/>
    <x v="25"/>
    <s v="ISIS"/>
    <n v="0"/>
  </r>
  <r>
    <s v="Jose Borreguero"/>
    <n v="0"/>
    <n v="122"/>
    <n v="351"/>
    <n v="0"/>
    <s v="C++"/>
    <s v="about 3 years ago"/>
    <s v="21 days ago"/>
    <x v="26"/>
    <s v="SNS"/>
    <n v="0"/>
  </r>
  <r>
    <s v="Matt Clarke"/>
    <n v="0"/>
    <n v="0"/>
    <n v="346"/>
    <n v="0"/>
    <s v="C++"/>
    <s v="about 7 years ago"/>
    <s v="about 5 years ago"/>
    <x v="27"/>
    <s v="ISIS"/>
    <n v="0"/>
  </r>
  <r>
    <s v="Jean Bilheux"/>
    <n v="0"/>
    <n v="4"/>
    <n v="314"/>
    <n v="0"/>
    <s v="Python"/>
    <s v="over 4 years ago"/>
    <s v="27 days ago"/>
    <x v="28"/>
    <s v="SNS"/>
    <n v="0"/>
  </r>
  <r>
    <s v="Michael Wedel"/>
    <n v="0"/>
    <n v="253"/>
    <n v="253"/>
    <n v="0"/>
    <s v="C++"/>
    <s v="10 months ago"/>
    <s v="10 days ago"/>
    <x v="29"/>
    <s v="PSI"/>
    <n v="0"/>
  </r>
  <r>
    <s v="Dennis Mikkelson"/>
    <n v="0"/>
    <n v="0"/>
    <n v="245"/>
    <n v="0"/>
    <s v="C++"/>
    <s v="over 4 years ago"/>
    <s v="over 1 year ago"/>
    <x v="30"/>
    <s v="SNS"/>
    <n v="0"/>
  </r>
  <r>
    <s v="Sofia Antony"/>
    <n v="0"/>
    <n v="0"/>
    <n v="234"/>
    <n v="0"/>
    <s v="C++"/>
    <s v="over 5 years ago"/>
    <s v="over 3 years ago"/>
    <x v="31"/>
    <s v="ISIS"/>
    <n v="0"/>
  </r>
  <r>
    <s v="Ross Miller"/>
    <n v="0"/>
    <n v="27"/>
    <n v="225"/>
    <n v="0"/>
    <s v="C++"/>
    <s v="over 2 years ago"/>
    <s v="4 months ago"/>
    <x v="32"/>
    <s v="SNS"/>
    <n v="0"/>
  </r>
  <r>
    <s v="Robert Whitley(Software Developer)"/>
    <n v="0"/>
    <n v="0"/>
    <n v="222"/>
    <n v="0"/>
    <s v="C++"/>
    <s v="over 3 years ago"/>
    <s v="over 2 years ago"/>
    <x v="33"/>
    <s v="ISIS"/>
    <n v="0"/>
  </r>
  <r>
    <s v="Ruth Mikkelson"/>
    <n v="0"/>
    <n v="0"/>
    <n v="208"/>
    <n v="0"/>
    <s v="C++"/>
    <s v="over 3 years ago"/>
    <s v="over 1 year ago"/>
    <x v="34"/>
    <s v="SNS"/>
    <n v="0"/>
  </r>
  <r>
    <s v="Laurent Chapon"/>
    <n v="0"/>
    <n v="0"/>
    <n v="150"/>
    <n v="0"/>
    <s v="C++"/>
    <s v="about 7 years ago"/>
    <s v="over 4 years ago"/>
    <x v="35"/>
    <s v="ISIS"/>
    <n v="0"/>
  </r>
  <r>
    <s v="Freddie Akeroyd"/>
    <n v="0"/>
    <n v="0"/>
    <n v="140"/>
    <n v="0"/>
    <s v="C++"/>
    <s v="over 7 years ago"/>
    <s v="about 1 year ago"/>
    <x v="36"/>
    <s v="ISIS"/>
    <n v="0"/>
  </r>
  <r>
    <s v="Ricardo Leal"/>
    <n v="0"/>
    <n v="49"/>
    <n v="104"/>
    <n v="0"/>
    <s v="C++"/>
    <s v="almost 2 years ago"/>
    <s v="10 months ago"/>
    <x v="37"/>
    <s v="ILL"/>
    <n v="0"/>
  </r>
  <r>
    <s v="MichaelWedel"/>
    <n v="0"/>
    <n v="102"/>
    <n v="102"/>
    <n v="0"/>
    <s v="C++"/>
    <s v="10 months ago"/>
    <s v="7 months ago"/>
    <x v="29"/>
    <s v="PSI"/>
    <n v="0"/>
  </r>
  <r>
    <s v="Dereck Kachere"/>
    <n v="0"/>
    <n v="0"/>
    <n v="95"/>
    <n v="0"/>
    <s v="C++"/>
    <s v="about 2 years ago"/>
    <s v="over 1 year ago"/>
    <x v="38"/>
    <s v="ISIS"/>
    <n v="0"/>
  </r>
  <r>
    <s v="Sri Nagella"/>
    <n v="0"/>
    <n v="0"/>
    <n v="93"/>
    <n v="0"/>
    <s v="C++"/>
    <s v="over 6 years ago"/>
    <s v="over 5 years ago"/>
    <x v="39"/>
    <s v="ISIS"/>
    <n v="0"/>
  </r>
  <r>
    <s v="Ricardo Ferraz Leal"/>
    <n v="0"/>
    <n v="89"/>
    <n v="89"/>
    <n v="0"/>
    <s v="C++"/>
    <s v="8 months ago"/>
    <s v="3 months ago"/>
    <x v="37"/>
    <s v="ILL"/>
    <n v="0"/>
  </r>
  <r>
    <s v="Ronald Fowler"/>
    <n v="0"/>
    <n v="0"/>
    <n v="86"/>
    <n v="0"/>
    <s v="C++"/>
    <s v="over 6 years ago"/>
    <s v="over 2 years ago"/>
    <x v="40"/>
    <s v="ISIS"/>
    <n v="0"/>
  </r>
  <r>
    <s v="Shelly Ren"/>
    <n v="0"/>
    <n v="3"/>
    <n v="81"/>
    <n v="0"/>
    <s v="Python"/>
    <s v="about 3 years ago"/>
    <s v="10 months ago"/>
    <x v="41"/>
    <s v="SNS"/>
    <n v="0"/>
  </r>
  <r>
    <s v="Dickon Champion"/>
    <n v="0"/>
    <n v="0"/>
    <n v="75"/>
    <n v="0"/>
    <s v="C++"/>
    <s v="about 7 years ago"/>
    <s v="over 6 years ago"/>
    <x v="42"/>
    <s v="ISIS"/>
    <n v="0"/>
  </r>
  <r>
    <s v="Stuart Ansell"/>
    <n v="0"/>
    <n v="0"/>
    <n v="66"/>
    <n v="0"/>
    <s v="C++"/>
    <s v="about 7 years ago"/>
    <s v="over 6 years ago"/>
    <x v="43"/>
    <s v="ISIS"/>
    <n v="0"/>
  </r>
  <r>
    <s v="Federico Montesino P..."/>
    <n v="0"/>
    <n v="48"/>
    <n v="48"/>
    <n v="0"/>
    <s v="C++"/>
    <s v="about 1 month ago"/>
    <s v="18 days ago"/>
    <x v="44"/>
    <s v="ISIS"/>
    <n v="0"/>
  </r>
  <r>
    <s v="Steven Hahn"/>
    <n v="0"/>
    <n v="45"/>
    <n v="45"/>
    <n v="0"/>
    <s v="C++"/>
    <s v="2 months ago"/>
    <s v="15 days ago"/>
    <x v="45"/>
    <s v="SNS"/>
    <n v="0"/>
  </r>
  <r>
    <s v="John Hill"/>
    <n v="0"/>
    <n v="44"/>
    <n v="44"/>
    <n v="0"/>
    <s v="C++"/>
    <s v="4 months ago"/>
    <s v="14 days ago"/>
    <x v="46"/>
    <s v="ISIS"/>
    <n v="0"/>
  </r>
  <r>
    <s v="Ross Whitfield"/>
    <n v="0"/>
    <n v="34"/>
    <n v="34"/>
    <n v="0"/>
    <s v="C++"/>
    <s v="7 months ago"/>
    <s v="10 days ago"/>
    <x v="47"/>
    <s v="SNS"/>
    <n v="0"/>
  </r>
  <r>
    <s v="mathieu"/>
    <n v="0"/>
    <n v="0"/>
    <n v="30"/>
    <n v="0"/>
    <s v="C++"/>
    <s v="about 3 years ago"/>
    <s v="over 1 year ago"/>
    <x v="8"/>
    <s v="SNS"/>
    <n v="0"/>
  </r>
  <r>
    <s v="Raquel Alvarez Banos"/>
    <n v="0"/>
    <n v="28"/>
    <n v="28"/>
    <n v="0"/>
    <s v="C++"/>
    <s v="about 1 month ago"/>
    <s v="11 days ago"/>
    <x v="48"/>
    <s v="ISIS"/>
    <n v="0"/>
  </r>
  <r>
    <s v="Yannick Raoul"/>
    <n v="0"/>
    <n v="24"/>
    <n v="24"/>
    <n v="0"/>
    <s v="C++"/>
    <s v="8 months ago"/>
    <s v="22 days ago"/>
    <x v="49"/>
    <s v="ILL"/>
    <n v="0"/>
  </r>
  <r>
    <s v="Mike Thomas"/>
    <n v="0"/>
    <n v="0"/>
    <n v="18"/>
    <n v="0"/>
    <s v="XML"/>
    <s v="over 1 year ago"/>
    <s v="about 1 year ago"/>
    <x v="50"/>
    <s v="ISIS"/>
    <n v="0"/>
  </r>
  <r>
    <s v="Lottie Greenwood"/>
    <n v="0"/>
    <n v="14"/>
    <n v="14"/>
    <n v="0"/>
    <s v="C++"/>
    <s v="about 1 month ago"/>
    <s v="14 days ago"/>
    <x v="51"/>
    <s v="ISIS"/>
    <n v="0"/>
  </r>
  <r>
    <s v="Mark Koennecke"/>
    <n v="0"/>
    <n v="0"/>
    <n v="13"/>
    <n v="0"/>
    <s v="C++"/>
    <s v="over 1 year ago"/>
    <s v="about 1 year ago"/>
    <x v="52"/>
    <s v="PSI"/>
    <n v="0"/>
  </r>
  <r>
    <s v="Marie Yao"/>
    <n v="0"/>
    <n v="0"/>
    <n v="7"/>
    <n v="0"/>
    <s v="C++"/>
    <s v="about 2 years ago"/>
    <s v="about 2 years ago"/>
    <x v="53"/>
    <s v="SNS"/>
    <n v="0"/>
  </r>
  <r>
    <s v="Ian Bush"/>
    <n v="0"/>
    <n v="7"/>
    <n v="7"/>
    <n v="0"/>
    <s v="C++"/>
    <s v="about 1 month ago"/>
    <s v="about 1 month ago"/>
    <x v="54"/>
    <s v="ISIS"/>
    <s v="Tessella"/>
  </r>
  <r>
    <s v="Lakshmi Sastry"/>
    <n v="0"/>
    <n v="0"/>
    <n v="7"/>
    <n v="0"/>
    <s v="C++"/>
    <s v="over 6 years ago"/>
    <s v="over 6 years ago"/>
    <x v="55"/>
    <s v="ISIS"/>
    <n v="0"/>
  </r>
  <r>
    <s v="T Nielsen"/>
    <n v="0"/>
    <n v="0"/>
    <n v="6"/>
    <n v="0"/>
    <s v="C++"/>
    <s v="almost 2 years ago"/>
    <s v="over 1 year ago"/>
    <x v="56"/>
    <s v="ESS"/>
    <n v="0"/>
  </r>
  <r>
    <s v="Christophe Le Bourlot"/>
    <n v="0"/>
    <n v="0"/>
    <n v="5"/>
    <n v="0"/>
    <s v="Python"/>
    <s v="over 1 year ago"/>
    <s v="over 1 year ago"/>
    <x v="57"/>
    <s v="?"/>
    <n v="0"/>
  </r>
  <r>
    <s v="David Mannicke"/>
    <n v="0"/>
    <n v="4"/>
    <n v="4"/>
    <n v="0"/>
    <s v="C++"/>
    <s v="3 months ago"/>
    <s v="3 months ago"/>
    <x v="58"/>
    <s v="ANSTO"/>
    <n v="0"/>
  </r>
  <r>
    <s v="Bilheux"/>
    <n v="0"/>
    <n v="0"/>
    <n v="3"/>
    <n v="0"/>
    <s v="Python"/>
    <s v="about 1 year ago"/>
    <s v="about 1 year ago"/>
    <x v="28"/>
    <s v="SNS"/>
    <n v="0"/>
  </r>
  <r>
    <s v="Doucet, Mathieu"/>
    <n v="0"/>
    <n v="0"/>
    <n v="3"/>
    <n v="0"/>
    <s v="Python"/>
    <s v="over 2 years ago"/>
    <s v="about 2 years ago"/>
    <x v="8"/>
    <s v="SNS"/>
    <n v="0"/>
  </r>
  <r>
    <s v="owen"/>
    <n v="0"/>
    <n v="0"/>
    <n v="2"/>
    <n v="0"/>
    <s v="CMake"/>
    <s v="over 2 years ago"/>
    <s v="over 2 years ago"/>
    <x v="3"/>
    <s v="ISIS"/>
    <s v="Tessella"/>
  </r>
  <r>
    <s v="NickDraper"/>
    <n v="0"/>
    <n v="2"/>
    <n v="2"/>
    <n v="0"/>
    <n v="0"/>
    <s v="5 months ago"/>
    <s v="5 months ago"/>
    <x v="13"/>
    <s v="ISIS"/>
    <s v="Tessella"/>
  </r>
  <r>
    <s v="unknown"/>
    <n v="0"/>
    <n v="0"/>
    <n v="2"/>
    <n v="0"/>
    <s v="C++"/>
    <s v="about 3 years ago"/>
    <s v="over 1 year ago"/>
    <x v="59"/>
    <s v="?"/>
    <n v="0"/>
  </r>
  <r>
    <s v="Diego Monserrat"/>
    <n v="0"/>
    <n v="2"/>
    <n v="2"/>
    <n v="0"/>
    <s v="C++"/>
    <s v="4 months ago"/>
    <s v="4 months ago"/>
    <x v="60"/>
    <s v="Polytechnic University of Catalonia"/>
    <n v="0"/>
  </r>
  <r>
    <s v="FedeMPouzols"/>
    <n v="0"/>
    <n v="2"/>
    <n v="2"/>
    <n v="0"/>
    <s v="C++"/>
    <s v="14 days ago"/>
    <s v="14 days ago"/>
    <x v="44"/>
    <s v="ISIS"/>
    <n v="0"/>
  </r>
  <r>
    <s v="DiegoMonserrat"/>
    <n v="0"/>
    <n v="1"/>
    <n v="1"/>
    <n v="0"/>
    <s v="C++"/>
    <s v="4 months ago"/>
    <s v="4 months ago"/>
    <x v="60"/>
    <s v="Polytechnic University of Catalonia"/>
    <n v="0"/>
  </r>
  <r>
    <s v="Pascal Manuel"/>
    <n v="0"/>
    <n v="0"/>
    <n v="1"/>
    <n v="0"/>
    <s v="XML"/>
    <s v="over 3 years ago"/>
    <s v="over 3 years ago"/>
    <x v="61"/>
    <s v="ISIS"/>
    <n v="0"/>
  </r>
  <r>
    <s v="Miller R G"/>
    <n v="0"/>
    <n v="0"/>
    <n v="1"/>
    <n v="0"/>
    <s v="C++"/>
    <s v="over 1 year ago"/>
    <s v="over 1 year ago"/>
    <x v="32"/>
    <s v="SNS"/>
    <n v="0"/>
  </r>
  <r>
    <s v="Robert Dalgliesh"/>
    <n v="0"/>
    <n v="0"/>
    <n v="1"/>
    <n v="0"/>
    <n v="0"/>
    <s v="over 3 years ago"/>
    <s v="over 3 years ago"/>
    <x v="62"/>
    <s v="ISIS"/>
    <n v="0"/>
  </r>
  <r>
    <s v="Stuart I. Campbell"/>
    <n v="0"/>
    <n v="1"/>
    <n v="1"/>
    <n v="0"/>
    <s v="CMake"/>
    <s v="7 months ago"/>
    <s v="7 months ago"/>
    <x v="12"/>
    <s v="SNS"/>
    <n v="0"/>
  </r>
  <r>
    <s v="abuts"/>
    <n v="0"/>
    <n v="1"/>
    <n v="1"/>
    <n v="0"/>
    <s v="C++"/>
    <s v="10 days ago"/>
    <s v="10 days ago"/>
    <x v="63"/>
    <s v="ISIS"/>
    <n v="0"/>
  </r>
  <r>
    <s v="mdoucet"/>
    <n v="0"/>
    <n v="0"/>
    <n v="1"/>
    <n v="0"/>
    <s v="Python"/>
    <s v="over 2 years ago"/>
    <s v="over 2 years ago"/>
    <x v="8"/>
    <s v="SNS"/>
    <n v="0"/>
  </r>
  <r>
    <s v="Joachim Wuttke (o)"/>
    <n v="0"/>
    <n v="1"/>
    <n v="1"/>
    <n v="0"/>
    <s v="CMake"/>
    <s v="5 months ago"/>
    <s v="5 months ago"/>
    <x v="64"/>
    <s v="Juelich"/>
    <n v="0"/>
  </r>
  <r>
    <m/>
    <m/>
    <m/>
    <m/>
    <m/>
    <m/>
    <m/>
    <m/>
    <x v="65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858">
  <r>
    <n v="45"/>
    <x v="0"/>
    <s v="Iteration 3"/>
    <d v="2007-11-06T16:23:36"/>
    <x v="0"/>
    <n v="7.041666666666667"/>
    <n v="0"/>
  </r>
  <r>
    <n v="53"/>
    <x v="1"/>
    <s v="Iteration 9"/>
    <d v="2008-06-09T17:05:56"/>
    <x v="0"/>
    <n v="6.45"/>
    <n v="0"/>
  </r>
  <r>
    <n v="62"/>
    <x v="2"/>
    <s v="Iteration 3"/>
    <d v="2007-11-26T14:37:15"/>
    <x v="0"/>
    <n v="6.9861111111111107"/>
    <n v="0"/>
  </r>
  <r>
    <n v="64"/>
    <x v="0"/>
    <s v="Iteration 10"/>
    <d v="2008-07-15T09:34:07"/>
    <x v="0"/>
    <n v="6.35"/>
    <n v="0"/>
  </r>
  <r>
    <n v="130"/>
    <x v="1"/>
    <s v="Iteration 9"/>
    <d v="2008-06-09T17:06:52"/>
    <x v="0"/>
    <n v="6.45"/>
    <n v="0"/>
  </r>
  <r>
    <n v="377"/>
    <x v="3"/>
    <s v="Iteration 15"/>
    <d v="2009-01-30T13:43:59"/>
    <x v="0"/>
    <n v="5.8083333333333336"/>
    <n v="0"/>
  </r>
  <r>
    <n v="508"/>
    <x v="0"/>
    <s v="Iteration 17"/>
    <d v="2009-05-22T10:43:19"/>
    <x v="0"/>
    <n v="5.4972222222222218"/>
    <n v="0"/>
  </r>
  <r>
    <n v="519"/>
    <x v="3"/>
    <s v="Iteration 16"/>
    <d v="2009-03-23T11:03:57"/>
    <x v="0"/>
    <n v="5.6611111111111114"/>
    <n v="0"/>
  </r>
  <r>
    <n v="547"/>
    <x v="4"/>
    <s v="Iteration 17"/>
    <d v="2009-04-20T15:38:36"/>
    <x v="0"/>
    <n v="5.5861111111111112"/>
    <n v="0"/>
  </r>
  <r>
    <n v="571"/>
    <x v="3"/>
    <s v="Iteration 17"/>
    <d v="2009-04-27T09:49:44"/>
    <x v="0"/>
    <n v="5.5666666666666664"/>
    <n v="0"/>
  </r>
  <r>
    <n v="577"/>
    <x v="4"/>
    <s v="Iteration 18"/>
    <d v="2009-06-12T08:35:19"/>
    <x v="0"/>
    <n v="5.4416666666666664"/>
    <n v="0"/>
  </r>
  <r>
    <n v="615"/>
    <x v="4"/>
    <s v="Iteration 18"/>
    <d v="2009-06-12T08:35:49"/>
    <x v="0"/>
    <n v="5.4416666666666664"/>
    <n v="0"/>
  </r>
  <r>
    <n v="627"/>
    <x v="3"/>
    <s v="Iteration 18"/>
    <d v="2009-06-16T09:41:41"/>
    <x v="0"/>
    <n v="5.4305555555555554"/>
    <n v="0"/>
  </r>
  <r>
    <n v="634"/>
    <x v="0"/>
    <s v="Iteration 18"/>
    <d v="2009-06-10T15:46:16"/>
    <x v="0"/>
    <n v="5.447222222222222"/>
    <n v="0"/>
  </r>
  <r>
    <n v="719"/>
    <x v="5"/>
    <s v="Iteration 18"/>
    <d v="2009-07-02T12:57:24"/>
    <x v="0"/>
    <n v="5.3861111111111111"/>
    <n v="0"/>
  </r>
  <r>
    <n v="959"/>
    <x v="4"/>
    <s v="Iteration 20"/>
    <d v="2009-11-06T14:22:36"/>
    <x v="0"/>
    <n v="5.041666666666667"/>
    <n v="0"/>
  </r>
  <r>
    <n v="963"/>
    <x v="6"/>
    <s v="Iteration 21"/>
    <d v="2009-12-01T13:51:21"/>
    <x v="0"/>
    <n v="4.9722222222222223"/>
    <n v="0"/>
  </r>
  <r>
    <n v="970"/>
    <x v="3"/>
    <s v="Release 2.5"/>
    <d v="2013-05-22T11:45:35"/>
    <x v="1"/>
    <n v="1.4972222222222222"/>
    <n v="0"/>
  </r>
  <r>
    <n v="977"/>
    <x v="3"/>
    <s v="Iteration 20"/>
    <d v="2014-07-07T13:27:59"/>
    <x v="0"/>
    <n v="0.37222222222222223"/>
    <n v="1"/>
  </r>
  <r>
    <n v="1009"/>
    <x v="4"/>
    <s v="Iteration 21"/>
    <d v="2010-02-04T17:06:50"/>
    <x v="0"/>
    <n v="4.7972222222222225"/>
    <n v="0"/>
  </r>
  <r>
    <n v="1010"/>
    <x v="4"/>
    <s v="Iteration 20"/>
    <d v="2009-11-25T10:32:27"/>
    <x v="0"/>
    <n v="4.9888888888888889"/>
    <n v="0"/>
  </r>
  <r>
    <n v="1015"/>
    <x v="0"/>
    <s v="Iteration 20"/>
    <d v="2009-11-25T13:50:00"/>
    <x v="0"/>
    <n v="4.9888888888888889"/>
    <n v="0"/>
  </r>
  <r>
    <n v="1022"/>
    <x v="0"/>
    <s v="Iteration 20"/>
    <d v="2009-11-26T13:14:30"/>
    <x v="0"/>
    <n v="4.9861111111111107"/>
    <n v="0"/>
  </r>
  <r>
    <n v="1081"/>
    <x v="0"/>
    <s v="Iteration 21"/>
    <d v="2010-02-04T14:59:09"/>
    <x v="0"/>
    <n v="4.7972222222222225"/>
    <n v="0"/>
  </r>
  <r>
    <n v="1086"/>
    <x v="0"/>
    <s v="Iteration 21"/>
    <d v="2010-02-08T16:33:38"/>
    <x v="0"/>
    <n v="4.7861111111111114"/>
    <n v="0"/>
  </r>
  <r>
    <n v="1105"/>
    <x v="4"/>
    <s v="Iteration 21"/>
    <d v="2010-02-09T10:07:43"/>
    <x v="0"/>
    <n v="4.7833333333333332"/>
    <n v="0"/>
  </r>
  <r>
    <n v="1106"/>
    <x v="0"/>
    <s v="Iteration 21"/>
    <d v="2010-02-08T16:30:25"/>
    <x v="0"/>
    <n v="4.7861111111111114"/>
    <n v="0"/>
  </r>
  <r>
    <n v="1145"/>
    <x v="4"/>
    <s v="Iteration 22"/>
    <d v="2010-04-01T10:56:26"/>
    <x v="0"/>
    <n v="4.6388888888888893"/>
    <n v="0"/>
  </r>
  <r>
    <n v="1187"/>
    <x v="4"/>
    <s v="Iteration 23"/>
    <d v="2010-06-09T12:52:24"/>
    <x v="0"/>
    <n v="4.45"/>
    <n v="0"/>
  </r>
  <r>
    <n v="1217"/>
    <x v="3"/>
    <s v="Iteration 23"/>
    <d v="2010-06-11T11:41:45"/>
    <x v="0"/>
    <n v="4.4444444444444446"/>
    <n v="0"/>
  </r>
  <r>
    <n v="1285"/>
    <x v="4"/>
    <s v="Iteration 23"/>
    <d v="2010-06-10T16:54:21"/>
    <x v="0"/>
    <n v="4.447222222222222"/>
    <n v="0"/>
  </r>
  <r>
    <n v="1298"/>
    <x v="3"/>
    <s v="Iteration 28"/>
    <d v="2011-04-26T11:12:33"/>
    <x v="2"/>
    <n v="3.5694444444444446"/>
    <n v="0"/>
  </r>
  <r>
    <n v="1310"/>
    <x v="3"/>
    <s v="Iteration 23"/>
    <d v="2010-06-14T16:00:04"/>
    <x v="0"/>
    <n v="4.4361111111111109"/>
    <n v="0"/>
  </r>
  <r>
    <n v="1332"/>
    <x v="3"/>
    <s v="Release 2.0"/>
    <d v="2012-01-09T14:27:47"/>
    <x v="2"/>
    <n v="2.8666666666666667"/>
    <n v="0"/>
  </r>
  <r>
    <n v="1354"/>
    <x v="7"/>
    <s v="Iteration 24"/>
    <d v="2010-08-26T18:17:37"/>
    <x v="3"/>
    <n v="4.2361111111111107"/>
    <n v="0"/>
  </r>
  <r>
    <n v="1356"/>
    <x v="0"/>
    <s v="Iteration 24"/>
    <d v="2010-08-24T10:18:21"/>
    <x v="4"/>
    <n v="4.2416666666666663"/>
    <n v="0"/>
  </r>
  <r>
    <n v="1422"/>
    <x v="4"/>
    <s v="Iteration 24"/>
    <d v="2010-08-24T13:08:10"/>
    <x v="4"/>
    <n v="4.2416666666666663"/>
    <n v="0"/>
  </r>
  <r>
    <n v="1533"/>
    <x v="3"/>
    <s v="Iteration 24"/>
    <d v="2010-08-25T18:44:26"/>
    <x v="5"/>
    <n v="4.2388888888888889"/>
    <n v="0"/>
  </r>
  <r>
    <n v="1534"/>
    <x v="3"/>
    <s v="Iteration 24"/>
    <d v="2010-08-25T18:52:05"/>
    <x v="5"/>
    <n v="4.2388888888888889"/>
    <n v="0"/>
  </r>
  <r>
    <n v="1536"/>
    <x v="4"/>
    <s v="Iteration 24"/>
    <d v="2010-08-27T14:29:00"/>
    <x v="6"/>
    <n v="4.2333333333333334"/>
    <n v="0"/>
  </r>
  <r>
    <n v="1579"/>
    <x v="8"/>
    <s v="Release 2.6"/>
    <d v="2013-07-22T14:05:03"/>
    <x v="3"/>
    <n v="1.3305555555555555"/>
    <n v="0"/>
  </r>
  <r>
    <n v="1675"/>
    <x v="7"/>
    <s v="Iteration 25"/>
    <d v="2010-11-05T11:42:00"/>
    <x v="6"/>
    <n v="4.0444444444444443"/>
    <n v="0"/>
  </r>
  <r>
    <n v="1691"/>
    <x v="9"/>
    <s v="Iteration 25"/>
    <d v="2010-11-03T19:03:02"/>
    <x v="7"/>
    <n v="4.05"/>
    <n v="0"/>
  </r>
  <r>
    <n v="1881"/>
    <x v="0"/>
    <s v="Iteration 27"/>
    <d v="2011-02-14T22:14:04"/>
    <x v="8"/>
    <n v="3.7694444444444444"/>
    <n v="0"/>
  </r>
  <r>
    <n v="1980"/>
    <x v="4"/>
    <s v="Iteration 26"/>
    <d v="2010-12-17T08:29:52"/>
    <x v="4"/>
    <n v="3.9277777777777776"/>
    <n v="0"/>
  </r>
  <r>
    <n v="2048"/>
    <x v="10"/>
    <s v="Iteration 26"/>
    <d v="2010-12-17T19:19:19"/>
    <x v="9"/>
    <n v="3.9277777777777776"/>
    <n v="0"/>
  </r>
  <r>
    <n v="2096"/>
    <x v="10"/>
    <s v="Iteration 26"/>
    <d v="2010-12-17T18:38:13"/>
    <x v="9"/>
    <n v="3.9277777777777776"/>
    <n v="0"/>
  </r>
  <r>
    <n v="2099"/>
    <x v="11"/>
    <s v="Iteration 26"/>
    <d v="2010-12-17T16:13:19"/>
    <x v="10"/>
    <n v="3.9277777777777776"/>
    <n v="0"/>
  </r>
  <r>
    <n v="2100"/>
    <x v="10"/>
    <s v="Iteration 26"/>
    <d v="2010-12-17T18:37:52"/>
    <x v="9"/>
    <n v="3.9277777777777776"/>
    <n v="0"/>
  </r>
  <r>
    <n v="2169"/>
    <x v="3"/>
    <s v="Iteration 27"/>
    <d v="2011-02-15T16:08:32"/>
    <x v="2"/>
    <n v="3.7666666666666666"/>
    <n v="0"/>
  </r>
  <r>
    <n v="2189"/>
    <x v="3"/>
    <s v="Iteration 27"/>
    <d v="2011-02-14T17:09:13"/>
    <x v="2"/>
    <n v="3.7694444444444444"/>
    <n v="0"/>
  </r>
  <r>
    <n v="2224"/>
    <x v="11"/>
    <s v="Iteration 27"/>
    <d v="2011-02-14T14:19:16"/>
    <x v="2"/>
    <n v="3.7694444444444444"/>
    <n v="0"/>
  </r>
  <r>
    <n v="2225"/>
    <x v="11"/>
    <s v="Iteration 28"/>
    <d v="2011-05-04T18:55:52"/>
    <x v="10"/>
    <n v="3.5472222222222221"/>
    <n v="0"/>
  </r>
  <r>
    <n v="2240"/>
    <x v="5"/>
    <s v="Iteration 27"/>
    <d v="2011-02-14T17:03:23"/>
    <x v="11"/>
    <n v="3.7694444444444444"/>
    <n v="0"/>
  </r>
  <r>
    <n v="2278"/>
    <x v="10"/>
    <s v="Iteration 27"/>
    <d v="2011-02-14T16:50:02"/>
    <x v="9"/>
    <n v="3.7694444444444444"/>
    <n v="0"/>
  </r>
  <r>
    <n v="2412"/>
    <x v="4"/>
    <s v="Iteration 28"/>
    <d v="2011-05-03T16:56:48"/>
    <x v="4"/>
    <n v="3.55"/>
    <n v="0"/>
  </r>
  <r>
    <n v="2416"/>
    <x v="0"/>
    <s v="Iteration 27"/>
    <d v="2011-02-15T15:10:05"/>
    <x v="4"/>
    <n v="3.7666666666666666"/>
    <n v="0"/>
  </r>
  <r>
    <n v="2458"/>
    <x v="3"/>
    <s v="Iteration 27"/>
    <d v="2011-02-17T11:11:26"/>
    <x v="2"/>
    <n v="3.7611111111111111"/>
    <n v="0"/>
  </r>
  <r>
    <n v="2462"/>
    <x v="3"/>
    <s v="Iteration 27"/>
    <d v="2011-02-17T17:06:56"/>
    <x v="2"/>
    <n v="3.7611111111111111"/>
    <n v="0"/>
  </r>
  <r>
    <n v="2580"/>
    <x v="10"/>
    <s v="Iteration 28"/>
    <d v="2011-04-27T18:58:56"/>
    <x v="9"/>
    <n v="3.5666666666666669"/>
    <n v="0"/>
  </r>
  <r>
    <n v="2661"/>
    <x v="3"/>
    <s v="Release 2.5"/>
    <d v="2013-04-05T12:48:01"/>
    <x v="12"/>
    <n v="1.6277777777777778"/>
    <n v="0"/>
  </r>
  <r>
    <n v="2755"/>
    <x v="3"/>
    <s v="Iteration 28"/>
    <d v="2011-04-26T14:02:15"/>
    <x v="6"/>
    <n v="3.5694444444444446"/>
    <n v="0"/>
  </r>
  <r>
    <n v="2829"/>
    <x v="12"/>
    <s v="Iteration 28"/>
    <d v="2011-04-26T10:40:56"/>
    <x v="2"/>
    <n v="3.5694444444444446"/>
    <n v="0"/>
  </r>
  <r>
    <n v="2837"/>
    <x v="3"/>
    <s v="Iteration 28"/>
    <d v="2011-04-26T11:26:14"/>
    <x v="1"/>
    <n v="3.5694444444444446"/>
    <n v="0"/>
  </r>
  <r>
    <n v="2845"/>
    <x v="3"/>
    <s v="Iteration 28"/>
    <d v="2011-04-26T09:33:15"/>
    <x v="13"/>
    <n v="3.5694444444444446"/>
    <n v="0"/>
  </r>
  <r>
    <n v="2850"/>
    <x v="3"/>
    <s v="Iteration 28"/>
    <d v="2011-05-03T21:26:19"/>
    <x v="5"/>
    <n v="3.55"/>
    <n v="0"/>
  </r>
  <r>
    <n v="2854"/>
    <x v="2"/>
    <s v="Iteration 28"/>
    <d v="2011-05-04T16:13:56"/>
    <x v="13"/>
    <n v="3.5472222222222221"/>
    <n v="0"/>
  </r>
  <r>
    <n v="2861"/>
    <x v="4"/>
    <s v="Iteration 28"/>
    <d v="2011-05-04T19:34:05"/>
    <x v="14"/>
    <n v="3.5472222222222221"/>
    <n v="0"/>
  </r>
  <r>
    <n v="2865"/>
    <x v="12"/>
    <s v="Iteration 28"/>
    <d v="2011-05-03T16:25:17"/>
    <x v="5"/>
    <n v="3.55"/>
    <n v="0"/>
  </r>
  <r>
    <n v="2890"/>
    <x v="3"/>
    <s v="Iteration 28"/>
    <d v="2011-05-04T16:34:57"/>
    <x v="5"/>
    <n v="3.5472222222222221"/>
    <n v="0"/>
  </r>
  <r>
    <n v="2895"/>
    <x v="10"/>
    <s v="Iteration 28"/>
    <d v="2011-05-04T22:25:09"/>
    <x v="5"/>
    <n v="3.5472222222222221"/>
    <n v="0"/>
  </r>
  <r>
    <n v="2896"/>
    <x v="8"/>
    <s v="Iteration 28"/>
    <d v="2011-05-04T22:28:04"/>
    <x v="8"/>
    <n v="3.5472222222222221"/>
    <n v="0"/>
  </r>
  <r>
    <n v="2899"/>
    <x v="3"/>
    <s v="Iteration 28"/>
    <d v="2011-05-05T10:52:57"/>
    <x v="1"/>
    <n v="3.5444444444444443"/>
    <n v="0"/>
  </r>
  <r>
    <n v="2903"/>
    <x v="6"/>
    <s v="Iteration 28"/>
    <d v="2011-05-05T11:01:00"/>
    <x v="1"/>
    <n v="3.5444444444444443"/>
    <n v="0"/>
  </r>
  <r>
    <n v="2912"/>
    <x v="3"/>
    <s v="Iteration 28"/>
    <d v="2011-05-05T16:34:40"/>
    <x v="7"/>
    <n v="3.5444444444444443"/>
    <n v="0"/>
  </r>
  <r>
    <n v="3003"/>
    <x v="12"/>
    <s v="Iteration 29"/>
    <d v="2011-06-27T14:02:55"/>
    <x v="4"/>
    <n v="3.4"/>
    <n v="0"/>
  </r>
  <r>
    <n v="3064"/>
    <x v="10"/>
    <s v="Iteration 29"/>
    <d v="2011-06-26T21:01:59"/>
    <x v="9"/>
    <n v="3.4027777777777777"/>
    <n v="0"/>
  </r>
  <r>
    <n v="3094"/>
    <x v="2"/>
    <s v="Iteration 29"/>
    <d v="2011-06-27T04:45:32"/>
    <x v="8"/>
    <n v="3.4"/>
    <n v="0"/>
  </r>
  <r>
    <n v="3116"/>
    <x v="12"/>
    <s v="Iteration 29"/>
    <d v="2011-06-27T16:24:11"/>
    <x v="9"/>
    <n v="3.4"/>
    <n v="0"/>
  </r>
  <r>
    <n v="3173"/>
    <x v="4"/>
    <s v="Iteration 29"/>
    <d v="2011-06-29T13:48:27"/>
    <x v="10"/>
    <n v="3.3944444444444444"/>
    <n v="0"/>
  </r>
  <r>
    <n v="3207"/>
    <x v="2"/>
    <s v="Iteration 29"/>
    <d v="2011-06-28T11:08:05"/>
    <x v="13"/>
    <n v="3.3972222222222221"/>
    <n v="0"/>
  </r>
  <r>
    <n v="3211"/>
    <x v="12"/>
    <s v="Iteration 29"/>
    <d v="2011-06-27T08:35:51"/>
    <x v="2"/>
    <n v="3.4"/>
    <n v="0"/>
  </r>
  <r>
    <n v="3214"/>
    <x v="4"/>
    <s v="Iteration 29"/>
    <d v="2011-06-27T10:27:25"/>
    <x v="11"/>
    <n v="3.4"/>
    <n v="0"/>
  </r>
  <r>
    <n v="3226"/>
    <x v="13"/>
    <s v="Iteration 30"/>
    <d v="2011-09-22T07:16:45"/>
    <x v="13"/>
    <n v="3.1638888888888888"/>
    <n v="0"/>
  </r>
  <r>
    <n v="3239"/>
    <x v="3"/>
    <s v="Iteration 29"/>
    <d v="2011-06-28T10:59:29"/>
    <x v="2"/>
    <n v="3.3972222222222221"/>
    <n v="0"/>
  </r>
  <r>
    <n v="3281"/>
    <x v="14"/>
    <s v="Iteration 29"/>
    <d v="2011-06-29T19:31:34"/>
    <x v="10"/>
    <n v="3.3944444444444444"/>
    <n v="0"/>
  </r>
  <r>
    <n v="3295"/>
    <x v="15"/>
    <s v="Iteration 29"/>
    <d v="2011-06-30T22:56:07"/>
    <x v="5"/>
    <n v="3.3916666666666666"/>
    <n v="0"/>
  </r>
  <r>
    <n v="3297"/>
    <x v="10"/>
    <s v="Iteration 29"/>
    <d v="2011-06-30T22:52:27"/>
    <x v="5"/>
    <n v="3.3916666666666666"/>
    <n v="0"/>
  </r>
  <r>
    <n v="3314"/>
    <x v="16"/>
    <s v="Iteration 30"/>
    <d v="2011-09-19T15:25:40"/>
    <x v="15"/>
    <n v="3.1722222222222221"/>
    <n v="0"/>
  </r>
  <r>
    <n v="3316"/>
    <x v="12"/>
    <s v="Iteration 30"/>
    <d v="2011-09-19T10:43:42"/>
    <x v="2"/>
    <n v="3.1722222222222221"/>
    <n v="0"/>
  </r>
  <r>
    <n v="3389"/>
    <x v="10"/>
    <s v="Iteration 30"/>
    <d v="2011-09-19T14:40:40"/>
    <x v="5"/>
    <n v="3.1722222222222221"/>
    <n v="0"/>
  </r>
  <r>
    <n v="3392"/>
    <x v="12"/>
    <s v="Iteration 30"/>
    <d v="2011-09-19T10:38:11"/>
    <x v="2"/>
    <n v="3.1722222222222221"/>
    <n v="0"/>
  </r>
  <r>
    <n v="3400"/>
    <x v="0"/>
    <s v="Iteration 30"/>
    <d v="2011-09-19T15:29:37"/>
    <x v="4"/>
    <n v="3.1722222222222221"/>
    <n v="0"/>
  </r>
  <r>
    <n v="3430"/>
    <x v="3"/>
    <s v="Iteration 30"/>
    <d v="2011-09-19T11:39:15"/>
    <x v="1"/>
    <n v="3.1722222222222221"/>
    <n v="0"/>
  </r>
  <r>
    <n v="3432"/>
    <x v="6"/>
    <s v="Release 2.0"/>
    <d v="2012-01-09T10:48:16"/>
    <x v="4"/>
    <n v="2.8666666666666667"/>
    <n v="0"/>
  </r>
  <r>
    <n v="3442"/>
    <x v="13"/>
    <s v="Release 2.0"/>
    <d v="2012-01-09T15:34:47"/>
    <x v="13"/>
    <n v="2.8666666666666667"/>
    <n v="0"/>
  </r>
  <r>
    <n v="3606"/>
    <x v="12"/>
    <s v="Iteration 30"/>
    <d v="2011-09-19T09:52:28"/>
    <x v="4"/>
    <n v="3.1722222222222221"/>
    <n v="0"/>
  </r>
  <r>
    <n v="3660"/>
    <x v="11"/>
    <s v="Iteration 30"/>
    <d v="2011-09-20T14:00:18"/>
    <x v="7"/>
    <n v="3.1694444444444443"/>
    <n v="0"/>
  </r>
  <r>
    <n v="3718"/>
    <x v="16"/>
    <s v="Release 2.0"/>
    <d v="2012-01-09T15:33:18"/>
    <x v="11"/>
    <n v="2.8666666666666667"/>
    <n v="0"/>
  </r>
  <r>
    <n v="3731"/>
    <x v="3"/>
    <s v="Iteration 30"/>
    <d v="2011-09-19T18:56:09"/>
    <x v="7"/>
    <n v="3.1722222222222221"/>
    <n v="0"/>
  </r>
  <r>
    <n v="3732"/>
    <x v="3"/>
    <s v="Iteration 30"/>
    <d v="2011-09-20T14:56:30"/>
    <x v="13"/>
    <n v="3.1694444444444443"/>
    <n v="0"/>
  </r>
  <r>
    <n v="3782"/>
    <x v="4"/>
    <s v="Iteration 30"/>
    <d v="2011-09-21T18:25:07"/>
    <x v="7"/>
    <n v="3.1666666666666665"/>
    <n v="0"/>
  </r>
  <r>
    <n v="3832"/>
    <x v="0"/>
    <s v="Iteration 30"/>
    <d v="2011-09-22T20:37:31"/>
    <x v="8"/>
    <n v="3.1638888888888888"/>
    <n v="0"/>
  </r>
  <r>
    <n v="3915"/>
    <x v="3"/>
    <s v="Release 2.0"/>
    <d v="2012-01-10T10:36:55"/>
    <x v="11"/>
    <n v="2.8638888888888889"/>
    <n v="0"/>
  </r>
  <r>
    <n v="3947"/>
    <x v="11"/>
    <s v="Release 2.0"/>
    <d v="2012-01-10T18:56:07"/>
    <x v="16"/>
    <n v="2.8638888888888889"/>
    <n v="0"/>
  </r>
  <r>
    <n v="3977"/>
    <x v="0"/>
    <s v="Release 2.0"/>
    <d v="2012-01-09T13:19:54"/>
    <x v="11"/>
    <n v="2.8666666666666667"/>
    <n v="0"/>
  </r>
  <r>
    <n v="4014"/>
    <x v="17"/>
    <s v="Release 2.0"/>
    <d v="2012-01-09T09:18:14"/>
    <x v="13"/>
    <n v="2.8666666666666667"/>
    <n v="0"/>
  </r>
  <r>
    <n v="4079"/>
    <x v="4"/>
    <s v="Release 2.0"/>
    <d v="2012-01-10T11:50:26"/>
    <x v="15"/>
    <n v="2.8638888888888889"/>
    <n v="0"/>
  </r>
  <r>
    <n v="4160"/>
    <x v="6"/>
    <s v="Release 2.0"/>
    <d v="2012-01-10T08:36:21"/>
    <x v="17"/>
    <n v="2.8638888888888889"/>
    <n v="0"/>
  </r>
  <r>
    <n v="4177"/>
    <x v="4"/>
    <s v="Release 2.0"/>
    <d v="2012-01-09T13:44:13"/>
    <x v="11"/>
    <n v="2.8666666666666667"/>
    <n v="0"/>
  </r>
  <r>
    <n v="4200"/>
    <x v="3"/>
    <s v="Release 2.0"/>
    <d v="2012-01-11T11:58:24"/>
    <x v="11"/>
    <n v="2.8611111111111112"/>
    <n v="0"/>
  </r>
  <r>
    <n v="4201"/>
    <x v="18"/>
    <s v="Release 2.0"/>
    <d v="2012-01-19T16:48:11"/>
    <x v="9"/>
    <n v="2.838888888888889"/>
    <n v="0"/>
  </r>
  <r>
    <n v="4204"/>
    <x v="3"/>
    <s v="Release 2.0"/>
    <d v="2012-01-11T16:21:57"/>
    <x v="11"/>
    <n v="2.8611111111111112"/>
    <n v="0"/>
  </r>
  <r>
    <n v="4224"/>
    <x v="16"/>
    <s v="Release 2.0"/>
    <d v="2012-01-09T13:52:49"/>
    <x v="18"/>
    <n v="2.8666666666666667"/>
    <n v="0"/>
  </r>
  <r>
    <n v="4246"/>
    <x v="3"/>
    <s v="Release 2.0"/>
    <d v="2012-01-09T20:37:42"/>
    <x v="9"/>
    <n v="2.8666666666666667"/>
    <n v="0"/>
  </r>
  <r>
    <n v="4249"/>
    <x v="3"/>
    <s v="Release 2.0"/>
    <d v="2012-01-11T10:00:36"/>
    <x v="11"/>
    <n v="2.8611111111111112"/>
    <n v="0"/>
  </r>
  <r>
    <n v="4287"/>
    <x v="10"/>
    <s v="Release 2.0"/>
    <d v="2012-01-09T15:51:48"/>
    <x v="9"/>
    <n v="2.8666666666666667"/>
    <n v="0"/>
  </r>
  <r>
    <n v="4333"/>
    <x v="3"/>
    <s v="Release 2.0"/>
    <d v="2012-01-13T13:58:58"/>
    <x v="3"/>
    <n v="2.8555555555555556"/>
    <n v="0"/>
  </r>
  <r>
    <n v="4343"/>
    <x v="3"/>
    <s v="Release 2.0"/>
    <d v="2012-01-09T15:24:01"/>
    <x v="11"/>
    <n v="2.8666666666666667"/>
    <n v="0"/>
  </r>
  <r>
    <n v="4417"/>
    <x v="3"/>
    <s v="Release 2.1"/>
    <d v="2012-04-30T10:49:04"/>
    <x v="18"/>
    <n v="2.5583333333333331"/>
    <n v="0"/>
  </r>
  <r>
    <n v="4420"/>
    <x v="13"/>
    <s v="Release 2.0"/>
    <d v="2012-01-10T11:51:17"/>
    <x v="17"/>
    <n v="2.8638888888888889"/>
    <n v="0"/>
  </r>
  <r>
    <n v="4423"/>
    <x v="3"/>
    <s v="Release 2.0"/>
    <d v="2012-01-12T19:45:52"/>
    <x v="11"/>
    <n v="2.8583333333333334"/>
    <n v="0"/>
  </r>
  <r>
    <n v="4431"/>
    <x v="4"/>
    <s v="Release 2.0"/>
    <d v="2012-01-10T18:08:17"/>
    <x v="7"/>
    <n v="2.8638888888888889"/>
    <n v="0"/>
  </r>
  <r>
    <n v="4433"/>
    <x v="4"/>
    <s v="Release 2.0"/>
    <d v="2012-01-12T16:39:50"/>
    <x v="11"/>
    <n v="2.8583333333333334"/>
    <n v="0"/>
  </r>
  <r>
    <n v="4447"/>
    <x v="4"/>
    <s v="Release 2.0"/>
    <d v="2012-01-18T16:34:38"/>
    <x v="17"/>
    <n v="2.8416666666666668"/>
    <n v="0"/>
  </r>
  <r>
    <n v="4460"/>
    <x v="12"/>
    <s v="Release 2.0"/>
    <d v="2012-01-11T22:43:02"/>
    <x v="16"/>
    <n v="2.8611111111111112"/>
    <n v="0"/>
  </r>
  <r>
    <n v="4467"/>
    <x v="11"/>
    <s v="Release 2.0"/>
    <d v="2012-01-13T15:52:27"/>
    <x v="10"/>
    <n v="2.8555555555555556"/>
    <n v="0"/>
  </r>
  <r>
    <n v="4476"/>
    <x v="15"/>
    <s v="Release 2.0"/>
    <d v="2012-01-13T10:51:04"/>
    <x v="11"/>
    <n v="2.8555555555555556"/>
    <n v="0"/>
  </r>
  <r>
    <n v="4480"/>
    <x v="18"/>
    <s v="Release 2.0"/>
    <d v="2012-01-19T11:41:41"/>
    <x v="17"/>
    <n v="2.838888888888889"/>
    <n v="0"/>
  </r>
  <r>
    <n v="4501"/>
    <x v="4"/>
    <s v="Release 2.0"/>
    <d v="2012-01-26T19:25:41"/>
    <x v="19"/>
    <n v="2.8194444444444446"/>
    <n v="0"/>
  </r>
  <r>
    <n v="4503"/>
    <x v="18"/>
    <s v="Release 2.0"/>
    <d v="2012-01-18T16:34:42"/>
    <x v="9"/>
    <n v="2.8416666666666668"/>
    <n v="0"/>
  </r>
  <r>
    <n v="4520"/>
    <x v="19"/>
    <s v="Release 2.0"/>
    <d v="2012-01-19T13:42:53"/>
    <x v="20"/>
    <n v="2.838888888888889"/>
    <n v="0"/>
  </r>
  <r>
    <n v="4549"/>
    <x v="16"/>
    <s v="Release 2.0"/>
    <d v="2012-02-03T11:51:04"/>
    <x v="4"/>
    <n v="2.8"/>
    <n v="0"/>
  </r>
  <r>
    <n v="4550"/>
    <x v="18"/>
    <s v="Release 2.0"/>
    <d v="2012-01-18T21:01:55"/>
    <x v="8"/>
    <n v="2.8416666666666668"/>
    <n v="0"/>
  </r>
  <r>
    <n v="4557"/>
    <x v="18"/>
    <s v="Release 2.0"/>
    <d v="2012-01-29T20:49:45"/>
    <x v="9"/>
    <n v="2.8111111111111109"/>
    <n v="0"/>
  </r>
  <r>
    <n v="4566"/>
    <x v="3"/>
    <s v="Release 2.0"/>
    <d v="2012-02-01T15:28:14"/>
    <x v="8"/>
    <n v="2.8055555555555554"/>
    <n v="0"/>
  </r>
  <r>
    <n v="4572"/>
    <x v="18"/>
    <s v="Release 2.0"/>
    <d v="2012-01-26T19:29:23"/>
    <x v="19"/>
    <n v="2.8194444444444446"/>
    <n v="0"/>
  </r>
  <r>
    <n v="4604"/>
    <x v="16"/>
    <s v="Release 2.0"/>
    <d v="2012-01-23T18:48:51"/>
    <x v="5"/>
    <n v="2.8277777777777779"/>
    <n v="0"/>
  </r>
  <r>
    <n v="4614"/>
    <x v="12"/>
    <s v="Release 2.0"/>
    <d v="2013-12-13T14:40:48"/>
    <x v="2"/>
    <n v="0.93888888888888888"/>
    <n v="1"/>
  </r>
  <r>
    <n v="4651"/>
    <x v="10"/>
    <s v="Release 2.0"/>
    <d v="2012-01-31T20:18:58"/>
    <x v="5"/>
    <n v="2.8083333333333331"/>
    <n v="0"/>
  </r>
  <r>
    <n v="4662"/>
    <x v="12"/>
    <s v="Release 2.0"/>
    <d v="2012-01-30T19:21:39"/>
    <x v="9"/>
    <n v="2.8083333333333331"/>
    <n v="0"/>
  </r>
  <r>
    <n v="4752"/>
    <x v="12"/>
    <s v="Release 2.1"/>
    <d v="2012-04-30T11:02:30"/>
    <x v="4"/>
    <n v="2.5583333333333331"/>
    <n v="0"/>
  </r>
  <r>
    <n v="4754"/>
    <x v="3"/>
    <s v="Release 2.1"/>
    <d v="2012-04-30T19:14:00"/>
    <x v="8"/>
    <n v="2.5583333333333331"/>
    <n v="0"/>
  </r>
  <r>
    <n v="4802"/>
    <x v="0"/>
    <s v="Release 2.1"/>
    <d v="2012-04-30T11:53:19"/>
    <x v="4"/>
    <n v="2.5583333333333331"/>
    <n v="0"/>
  </r>
  <r>
    <n v="4874"/>
    <x v="10"/>
    <s v="Release 2.1"/>
    <d v="2012-04-30T10:59:47"/>
    <x v="4"/>
    <n v="2.5583333333333331"/>
    <n v="0"/>
  </r>
  <r>
    <n v="4877"/>
    <x v="20"/>
    <s v="Release 2.5"/>
    <d v="2013-05-22T11:45:41"/>
    <x v="1"/>
    <n v="1.4972222222222222"/>
    <n v="0"/>
  </r>
  <r>
    <n v="4914"/>
    <x v="3"/>
    <s v="Release 2.1"/>
    <d v="2012-04-30T11:05:41"/>
    <x v="1"/>
    <n v="2.5583333333333331"/>
    <n v="0"/>
  </r>
  <r>
    <n v="4922"/>
    <x v="6"/>
    <s v="Release 2.1"/>
    <d v="2012-04-30T14:31:57"/>
    <x v="4"/>
    <n v="2.5583333333333331"/>
    <n v="0"/>
  </r>
  <r>
    <n v="4940"/>
    <x v="6"/>
    <s v="Release 2.1"/>
    <d v="2012-05-04T16:52:38"/>
    <x v="4"/>
    <n v="2.5472222222222221"/>
    <n v="0"/>
  </r>
  <r>
    <n v="4951"/>
    <x v="3"/>
    <s v="Release 2.0.2"/>
    <d v="2012-03-14T08:12:24"/>
    <x v="1"/>
    <n v="2.6861111111111109"/>
    <n v="0"/>
  </r>
  <r>
    <n v="4975"/>
    <x v="3"/>
    <s v="Release 2.1"/>
    <d v="2012-04-30T13:15:40"/>
    <x v="11"/>
    <n v="2.5583333333333331"/>
    <n v="0"/>
  </r>
  <r>
    <n v="4982"/>
    <x v="12"/>
    <s v="Release 2.1"/>
    <d v="2012-04-30T14:32:17"/>
    <x v="2"/>
    <n v="2.5583333333333331"/>
    <n v="0"/>
  </r>
  <r>
    <n v="5026"/>
    <x v="6"/>
    <s v="Release 2.1"/>
    <d v="2012-05-04T12:02:33"/>
    <x v="4"/>
    <n v="2.5472222222222221"/>
    <n v="0"/>
  </r>
  <r>
    <n v="5094"/>
    <x v="3"/>
    <s v="Release 2.1"/>
    <d v="2012-05-04T16:52:37"/>
    <x v="7"/>
    <n v="2.5472222222222221"/>
    <n v="0"/>
  </r>
  <r>
    <n v="5102"/>
    <x v="18"/>
    <s v="Release 2.6"/>
    <d v="2013-05-17T15:30:37"/>
    <x v="2"/>
    <n v="1.5111111111111111"/>
    <n v="0"/>
  </r>
  <r>
    <n v="5106"/>
    <x v="3"/>
    <s v="Release 2.1"/>
    <d v="2012-04-30T11:09:19"/>
    <x v="1"/>
    <n v="2.5583333333333331"/>
    <n v="0"/>
  </r>
  <r>
    <n v="5111"/>
    <x v="3"/>
    <s v="Release 2.1"/>
    <d v="2012-04-30T17:11:55"/>
    <x v="21"/>
    <n v="2.5583333333333331"/>
    <n v="0"/>
  </r>
  <r>
    <n v="5113"/>
    <x v="3"/>
    <s v="Release 2.1"/>
    <d v="2012-04-30T10:56:17"/>
    <x v="18"/>
    <n v="2.5583333333333331"/>
    <n v="0"/>
  </r>
  <r>
    <n v="5131"/>
    <x v="3"/>
    <s v="Release 2.1"/>
    <d v="2012-04-30T11:17:07"/>
    <x v="1"/>
    <n v="2.5583333333333331"/>
    <n v="0"/>
  </r>
  <r>
    <n v="5153"/>
    <x v="3"/>
    <s v="Release 2.1"/>
    <d v="2012-04-30T11:12:18"/>
    <x v="1"/>
    <n v="2.5583333333333331"/>
    <n v="0"/>
  </r>
  <r>
    <n v="5155"/>
    <x v="3"/>
    <s v="Release 2.1"/>
    <d v="2012-04-30T11:00:44"/>
    <x v="18"/>
    <n v="2.5583333333333331"/>
    <n v="0"/>
  </r>
  <r>
    <n v="5157"/>
    <x v="3"/>
    <s v="Release 3.2"/>
    <d v="2014-04-07T08:03:21"/>
    <x v="13"/>
    <n v="0.62222222222222223"/>
    <n v="1"/>
  </r>
  <r>
    <n v="5172"/>
    <x v="19"/>
    <s v="Release 2.1"/>
    <d v="2012-05-04T16:53:20"/>
    <x v="4"/>
    <n v="2.5472222222222221"/>
    <n v="0"/>
  </r>
  <r>
    <n v="5175"/>
    <x v="19"/>
    <s v="Release 2.1"/>
    <d v="2012-05-04T16:52:44"/>
    <x v="20"/>
    <n v="2.5472222222222221"/>
    <n v="0"/>
  </r>
  <r>
    <n v="5176"/>
    <x v="3"/>
    <s v="Release 2.1"/>
    <d v="2012-05-04T16:52:39"/>
    <x v="8"/>
    <n v="2.5472222222222221"/>
    <n v="0"/>
  </r>
  <r>
    <n v="5179"/>
    <x v="3"/>
    <s v="Release 2.1"/>
    <d v="2012-05-04T16:52:43"/>
    <x v="7"/>
    <n v="2.5472222222222221"/>
    <n v="0"/>
  </r>
  <r>
    <n v="5182"/>
    <x v="4"/>
    <s v="Release 2.1"/>
    <d v="2012-05-04T16:52:53"/>
    <x v="19"/>
    <n v="2.5472222222222221"/>
    <n v="0"/>
  </r>
  <r>
    <n v="5202"/>
    <x v="21"/>
    <s v="Release 2.1"/>
    <d v="2012-05-04T16:53:37"/>
    <x v="3"/>
    <n v="2.5472222222222221"/>
    <n v="0"/>
  </r>
  <r>
    <n v="5203"/>
    <x v="3"/>
    <s v="Release 2.1"/>
    <d v="2012-05-04T16:53:44"/>
    <x v="1"/>
    <n v="2.5472222222222221"/>
    <n v="0"/>
  </r>
  <r>
    <n v="5215"/>
    <x v="3"/>
    <s v="Release 2.1"/>
    <d v="2012-05-04T16:53:17"/>
    <x v="19"/>
    <n v="2.5472222222222221"/>
    <n v="0"/>
  </r>
  <r>
    <n v="5217"/>
    <x v="3"/>
    <s v="Release 2.1"/>
    <d v="2012-05-04T16:53:17"/>
    <x v="19"/>
    <n v="2.5472222222222221"/>
    <n v="0"/>
  </r>
  <r>
    <n v="5219"/>
    <x v="19"/>
    <s v="Release 2.1"/>
    <d v="2012-05-04T16:53:24"/>
    <x v="9"/>
    <n v="2.5472222222222221"/>
    <n v="0"/>
  </r>
  <r>
    <n v="5224"/>
    <x v="8"/>
    <s v="Release 2.1"/>
    <d v="2012-05-04T16:53:43"/>
    <x v="4"/>
    <n v="2.5472222222222221"/>
    <n v="0"/>
  </r>
  <r>
    <n v="5236"/>
    <x v="11"/>
    <s v="Release 2.1"/>
    <d v="2012-05-04T16:53:40"/>
    <x v="5"/>
    <n v="2.5472222222222221"/>
    <n v="0"/>
  </r>
  <r>
    <n v="5239"/>
    <x v="18"/>
    <s v="Release 2.1"/>
    <d v="2012-05-04T16:53:34"/>
    <x v="9"/>
    <n v="2.5472222222222221"/>
    <n v="0"/>
  </r>
  <r>
    <n v="5318"/>
    <x v="18"/>
    <s v="Release 2.2"/>
    <d v="2012-08-07T18:24:50"/>
    <x v="9"/>
    <n v="2.2888888888888888"/>
    <n v="0"/>
  </r>
  <r>
    <n v="5495"/>
    <x v="16"/>
    <s v="Release 2.2"/>
    <d v="2012-08-06T11:20:41"/>
    <x v="4"/>
    <n v="2.2916666666666665"/>
    <n v="0"/>
  </r>
  <r>
    <n v="5496"/>
    <x v="4"/>
    <s v="Release 2.2"/>
    <d v="2012-08-06T11:21:17"/>
    <x v="4"/>
    <n v="2.2916666666666665"/>
    <n v="0"/>
  </r>
  <r>
    <n v="5498"/>
    <x v="4"/>
    <s v="Release 2.2"/>
    <d v="2012-08-06T11:22:10"/>
    <x v="4"/>
    <n v="2.2916666666666665"/>
    <n v="0"/>
  </r>
  <r>
    <n v="5499"/>
    <x v="13"/>
    <s v="Release 2.2"/>
    <d v="2012-08-06T11:23:36"/>
    <x v="4"/>
    <n v="2.2916666666666665"/>
    <n v="0"/>
  </r>
  <r>
    <n v="5500"/>
    <x v="13"/>
    <s v="Release 2.2"/>
    <d v="2012-08-06T11:23:52"/>
    <x v="4"/>
    <n v="2.2916666666666665"/>
    <n v="0"/>
  </r>
  <r>
    <n v="5501"/>
    <x v="13"/>
    <s v="Release 2.2"/>
    <d v="2012-08-06T11:24:05"/>
    <x v="4"/>
    <n v="2.2916666666666665"/>
    <n v="0"/>
  </r>
  <r>
    <n v="5502"/>
    <x v="13"/>
    <s v="Release 2.2"/>
    <d v="2012-08-06T11:24:57"/>
    <x v="4"/>
    <n v="2.2916666666666665"/>
    <n v="0"/>
  </r>
  <r>
    <n v="5505"/>
    <x v="16"/>
    <s v="Release 2.2"/>
    <d v="2012-08-06T11:28:23"/>
    <x v="4"/>
    <n v="2.2916666666666665"/>
    <n v="0"/>
  </r>
  <r>
    <n v="5507"/>
    <x v="19"/>
    <s v="Release 2.2"/>
    <d v="2012-08-14T19:45:06"/>
    <x v="4"/>
    <n v="2.2694444444444444"/>
    <n v="0"/>
  </r>
  <r>
    <n v="5508"/>
    <x v="19"/>
    <s v="Release 2.2"/>
    <d v="2012-08-14T19:45:06"/>
    <x v="4"/>
    <n v="2.2694444444444444"/>
    <n v="0"/>
  </r>
  <r>
    <n v="5509"/>
    <x v="19"/>
    <s v="Release 2.2"/>
    <d v="2012-08-06T11:31:08"/>
    <x v="4"/>
    <n v="2.2916666666666665"/>
    <n v="0"/>
  </r>
  <r>
    <n v="5510"/>
    <x v="3"/>
    <s v="Release 2.2"/>
    <d v="2012-08-06T13:51:01"/>
    <x v="2"/>
    <n v="2.2916666666666665"/>
    <n v="0"/>
  </r>
  <r>
    <n v="5512"/>
    <x v="3"/>
    <s v="Release 2.2"/>
    <d v="2012-08-06T13:51:24"/>
    <x v="2"/>
    <n v="2.2916666666666665"/>
    <n v="0"/>
  </r>
  <r>
    <n v="5513"/>
    <x v="3"/>
    <s v="Release 2.4"/>
    <d v="2013-01-28T09:55:24"/>
    <x v="11"/>
    <n v="1.8138888888888889"/>
    <n v="0"/>
  </r>
  <r>
    <n v="5514"/>
    <x v="3"/>
    <s v="Release 2.2"/>
    <d v="2012-08-06T13:52:39"/>
    <x v="2"/>
    <n v="2.2916666666666665"/>
    <n v="0"/>
  </r>
  <r>
    <n v="5515"/>
    <x v="16"/>
    <s v="Release 2.2"/>
    <d v="2012-08-06T11:32:03"/>
    <x v="4"/>
    <n v="2.2916666666666665"/>
    <n v="0"/>
  </r>
  <r>
    <n v="5516"/>
    <x v="16"/>
    <s v="Release 2.2"/>
    <d v="2012-08-06T11:32:29"/>
    <x v="4"/>
    <n v="2.2916666666666665"/>
    <n v="0"/>
  </r>
  <r>
    <n v="5517"/>
    <x v="16"/>
    <s v="Release 2.2"/>
    <d v="2012-08-06T11:33:37"/>
    <x v="4"/>
    <n v="2.2916666666666665"/>
    <n v="0"/>
  </r>
  <r>
    <n v="5518"/>
    <x v="16"/>
    <s v="Release 2.2"/>
    <d v="2012-08-06T11:34:23"/>
    <x v="4"/>
    <n v="2.2916666666666665"/>
    <n v="0"/>
  </r>
  <r>
    <n v="5519"/>
    <x v="16"/>
    <s v="Release 2.2"/>
    <d v="2012-08-06T11:43:57"/>
    <x v="4"/>
    <n v="2.2916666666666665"/>
    <n v="0"/>
  </r>
  <r>
    <n v="5520"/>
    <x v="6"/>
    <s v="Release 2.3"/>
    <d v="2012-10-29T10:09:45"/>
    <x v="11"/>
    <n v="2.0611111111111109"/>
    <n v="0"/>
  </r>
  <r>
    <n v="5521"/>
    <x v="6"/>
    <s v="Release 2.3"/>
    <d v="2012-10-29T10:10:13"/>
    <x v="11"/>
    <n v="2.0611111111111109"/>
    <n v="0"/>
  </r>
  <r>
    <n v="5525"/>
    <x v="14"/>
    <s v="Release 2.5"/>
    <d v="2013-03-01T16:45:05"/>
    <x v="5"/>
    <n v="1.7222222222222223"/>
    <n v="0"/>
  </r>
  <r>
    <n v="5526"/>
    <x v="10"/>
    <s v="Release 2.4"/>
    <d v="2013-01-28T09:53:29"/>
    <x v="11"/>
    <n v="1.8138888888888889"/>
    <n v="0"/>
  </r>
  <r>
    <n v="5530"/>
    <x v="15"/>
    <s v="Release 2.2"/>
    <d v="2012-08-06T11:44:34"/>
    <x v="4"/>
    <n v="2.2916666666666665"/>
    <n v="0"/>
  </r>
  <r>
    <n v="5531"/>
    <x v="11"/>
    <s v="Release 2.3"/>
    <d v="2012-10-29T20:27:37"/>
    <x v="7"/>
    <n v="2.0611111111111109"/>
    <n v="0"/>
  </r>
  <r>
    <n v="5546"/>
    <x v="16"/>
    <s v="Release 2.2"/>
    <d v="2012-08-06T10:46:19"/>
    <x v="4"/>
    <n v="2.2916666666666665"/>
    <n v="0"/>
  </r>
  <r>
    <n v="5548"/>
    <x v="16"/>
    <s v="Release 2.2"/>
    <d v="2012-08-06T10:19:47"/>
    <x v="4"/>
    <n v="2.2916666666666665"/>
    <n v="0"/>
  </r>
  <r>
    <n v="5637"/>
    <x v="3"/>
    <s v="Release 2.2"/>
    <d v="2012-08-14T19:44:45"/>
    <x v="2"/>
    <n v="2.2694444444444444"/>
    <n v="0"/>
  </r>
  <r>
    <n v="5638"/>
    <x v="14"/>
    <s v="Release 2.2"/>
    <d v="2012-08-06T09:20:50"/>
    <x v="4"/>
    <n v="2.2916666666666665"/>
    <n v="0"/>
  </r>
  <r>
    <n v="5689"/>
    <x v="3"/>
    <s v="Release 2.2"/>
    <d v="2012-08-14T19:45:09"/>
    <x v="1"/>
    <n v="2.2694444444444444"/>
    <n v="0"/>
  </r>
  <r>
    <n v="5700"/>
    <x v="3"/>
    <s v="Release 2.2"/>
    <d v="2012-08-14T19:45:20"/>
    <x v="5"/>
    <n v="2.2694444444444444"/>
    <n v="0"/>
  </r>
  <r>
    <n v="5714"/>
    <x v="16"/>
    <s v="Release 2.2"/>
    <d v="2012-08-14T19:45:25"/>
    <x v="22"/>
    <n v="2.2694444444444444"/>
    <n v="0"/>
  </r>
  <r>
    <n v="5726"/>
    <x v="3"/>
    <s v="Release 2.2"/>
    <d v="2012-08-14T19:45:28"/>
    <x v="9"/>
    <n v="2.2694444444444444"/>
    <n v="0"/>
  </r>
  <r>
    <n v="5760"/>
    <x v="3"/>
    <s v="Release 2.3"/>
    <d v="2012-12-06T21:10:54"/>
    <x v="9"/>
    <n v="1.9583333333333333"/>
    <n v="0"/>
  </r>
  <r>
    <n v="5849"/>
    <x v="18"/>
    <s v="Release 2.4"/>
    <d v="2013-02-15T16:22:26"/>
    <x v="11"/>
    <n v="1.7666666666666666"/>
    <n v="0"/>
  </r>
  <r>
    <n v="5896"/>
    <x v="0"/>
    <s v="Release 2.6"/>
    <d v="2013-07-29T16:56:45"/>
    <x v="9"/>
    <n v="1.3111111111111111"/>
    <n v="0"/>
  </r>
  <r>
    <n v="5922"/>
    <x v="3"/>
    <s v="Release 2.3"/>
    <d v="2012-11-02T16:44:22"/>
    <x v="11"/>
    <n v="2.0527777777777776"/>
    <n v="0"/>
  </r>
  <r>
    <n v="5942"/>
    <x v="22"/>
    <s v="Release 2.5"/>
    <d v="2013-03-01T14:24:38"/>
    <x v="4"/>
    <n v="1.7222222222222223"/>
    <n v="0"/>
  </r>
  <r>
    <n v="5963"/>
    <x v="4"/>
    <s v="Release 2.4"/>
    <d v="2013-01-28T12:15:56"/>
    <x v="11"/>
    <n v="1.8138888888888889"/>
    <n v="0"/>
  </r>
  <r>
    <n v="5979"/>
    <x v="18"/>
    <s v="Release 2.3"/>
    <d v="2012-12-06T21:10:53"/>
    <x v="5"/>
    <n v="1.9583333333333333"/>
    <n v="0"/>
  </r>
  <r>
    <n v="5984"/>
    <x v="4"/>
    <s v="Release 2.3"/>
    <d v="2012-11-02T16:45:23"/>
    <x v="11"/>
    <n v="2.0527777777777776"/>
    <n v="0"/>
  </r>
  <r>
    <n v="5987"/>
    <x v="3"/>
    <s v="Release 2.3"/>
    <d v="2012-12-06T21:10:50"/>
    <x v="7"/>
    <n v="1.9583333333333333"/>
    <n v="0"/>
  </r>
  <r>
    <n v="5994"/>
    <x v="22"/>
    <s v="Release 2.3"/>
    <d v="2012-11-02T16:45:26"/>
    <x v="7"/>
    <n v="2.0527777777777776"/>
    <n v="0"/>
  </r>
  <r>
    <n v="5995"/>
    <x v="3"/>
    <s v="Release 2.3"/>
    <d v="2012-11-02T16:45:26"/>
    <x v="11"/>
    <n v="2.0527777777777776"/>
    <n v="0"/>
  </r>
  <r>
    <n v="6002"/>
    <x v="4"/>
    <s v="Release 2.3"/>
    <d v="2012-11-02T16:45:51"/>
    <x v="11"/>
    <n v="2.0527777777777776"/>
    <n v="0"/>
  </r>
  <r>
    <n v="6009"/>
    <x v="16"/>
    <s v="Release 2.5"/>
    <d v="2013-05-16T22:40:34"/>
    <x v="1"/>
    <n v="1.5138888888888888"/>
    <n v="0"/>
  </r>
  <r>
    <n v="6023"/>
    <x v="20"/>
    <s v="Release 2.3"/>
    <d v="2012-12-06T21:10:53"/>
    <x v="9"/>
    <n v="1.9583333333333333"/>
    <n v="0"/>
  </r>
  <r>
    <n v="6033"/>
    <x v="0"/>
    <s v="Release 2.3"/>
    <d v="2012-12-06T21:10:55"/>
    <x v="9"/>
    <n v="1.9583333333333333"/>
    <n v="0"/>
  </r>
  <r>
    <n v="6037"/>
    <x v="23"/>
    <s v="Release 2.3"/>
    <d v="2012-12-06T21:10:55"/>
    <x v="7"/>
    <n v="1.9583333333333333"/>
    <n v="0"/>
  </r>
  <r>
    <n v="6039"/>
    <x v="4"/>
    <s v="Release 2.3"/>
    <d v="2012-12-06T21:10:54"/>
    <x v="21"/>
    <n v="1.9583333333333333"/>
    <n v="0"/>
  </r>
  <r>
    <n v="6040"/>
    <x v="16"/>
    <s v="Release 2.3"/>
    <d v="2012-12-06T21:10:53"/>
    <x v="5"/>
    <n v="1.9583333333333333"/>
    <n v="0"/>
  </r>
  <r>
    <n v="6041"/>
    <x v="6"/>
    <s v="Release 2.3"/>
    <d v="2012-12-06T21:10:52"/>
    <x v="1"/>
    <n v="1.9583333333333333"/>
    <n v="0"/>
  </r>
  <r>
    <n v="6092"/>
    <x v="3"/>
    <s v="Release 2.3.1"/>
    <d v="2012-12-06T21:10:56"/>
    <x v="3"/>
    <n v="1.9583333333333333"/>
    <n v="0"/>
  </r>
  <r>
    <n v="6100"/>
    <x v="3"/>
    <s v="Release 2.4"/>
    <d v="2013-01-28T14:50:34"/>
    <x v="12"/>
    <n v="1.8138888888888889"/>
    <n v="0"/>
  </r>
  <r>
    <n v="6122"/>
    <x v="3"/>
    <s v="Release 2.3.1"/>
    <d v="2012-12-06T21:11:07"/>
    <x v="3"/>
    <n v="1.9583333333333333"/>
    <n v="0"/>
  </r>
  <r>
    <n v="6125"/>
    <x v="3"/>
    <s v="Release 2.3.1"/>
    <d v="2012-12-06T21:11:06"/>
    <x v="3"/>
    <n v="1.9583333333333333"/>
    <n v="0"/>
  </r>
  <r>
    <n v="6136"/>
    <x v="4"/>
    <s v="Release 2.5"/>
    <d v="2013-04-29T15:31:29"/>
    <x v="11"/>
    <n v="1.5611111111111111"/>
    <n v="0"/>
  </r>
  <r>
    <n v="6137"/>
    <x v="4"/>
    <s v="Release 2.5"/>
    <d v="2013-04-05T12:48:01"/>
    <x v="3"/>
    <n v="1.6277777777777778"/>
    <n v="0"/>
  </r>
  <r>
    <n v="6142"/>
    <x v="2"/>
    <s v="Release 2.5"/>
    <d v="2013-04-19T16:05:22"/>
    <x v="4"/>
    <n v="1.5888888888888888"/>
    <n v="0"/>
  </r>
  <r>
    <n v="6146"/>
    <x v="16"/>
    <s v="Release 2.5"/>
    <d v="2013-03-08T15:38:36"/>
    <x v="11"/>
    <n v="1.7027777777777777"/>
    <n v="0"/>
  </r>
  <r>
    <n v="6147"/>
    <x v="16"/>
    <s v="Release 2.5"/>
    <d v="2013-04-05T12:48:05"/>
    <x v="11"/>
    <n v="1.6277777777777778"/>
    <n v="0"/>
  </r>
  <r>
    <n v="6148"/>
    <x v="3"/>
    <s v="Release 2.5"/>
    <d v="2013-03-01T09:20:52"/>
    <x v="18"/>
    <n v="1.7222222222222223"/>
    <n v="0"/>
  </r>
  <r>
    <n v="6155"/>
    <x v="6"/>
    <s v="Release 2.6"/>
    <d v="2013-07-25T09:56:23"/>
    <x v="23"/>
    <n v="1.3222222222222222"/>
    <n v="0"/>
  </r>
  <r>
    <n v="6159"/>
    <x v="4"/>
    <s v="Release 2.4"/>
    <d v="2013-01-28T15:50:15"/>
    <x v="4"/>
    <n v="1.8138888888888889"/>
    <n v="0"/>
  </r>
  <r>
    <n v="6161"/>
    <x v="4"/>
    <s v="Release 2.3.2"/>
    <d v="2012-12-11T11:30:21"/>
    <x v="2"/>
    <n v="1.9444444444444444"/>
    <n v="0"/>
  </r>
  <r>
    <n v="6162"/>
    <x v="4"/>
    <s v="Release 2.4"/>
    <d v="2013-01-28T11:38:12"/>
    <x v="2"/>
    <n v="1.8138888888888889"/>
    <n v="0"/>
  </r>
  <r>
    <n v="6172"/>
    <x v="4"/>
    <s v="Release 2.5"/>
    <d v="2013-03-01T09:38:18"/>
    <x v="2"/>
    <n v="1.7222222222222223"/>
    <n v="0"/>
  </r>
  <r>
    <n v="6173"/>
    <x v="4"/>
    <s v="Release 2.5"/>
    <d v="2013-03-01T09:43:16"/>
    <x v="2"/>
    <n v="1.7222222222222223"/>
    <n v="0"/>
  </r>
  <r>
    <n v="6174"/>
    <x v="22"/>
    <s v="Release 2.5"/>
    <d v="2013-04-22T10:38:49"/>
    <x v="21"/>
    <n v="1.5805555555555555"/>
    <n v="0"/>
  </r>
  <r>
    <n v="6175"/>
    <x v="22"/>
    <s v="Release 2.5"/>
    <d v="2013-05-16T22:37:58"/>
    <x v="7"/>
    <n v="1.5138888888888888"/>
    <n v="0"/>
  </r>
  <r>
    <n v="6177"/>
    <x v="22"/>
    <s v="Release 2.5"/>
    <d v="2013-05-16T22:39:33"/>
    <x v="21"/>
    <n v="1.5138888888888888"/>
    <n v="0"/>
  </r>
  <r>
    <n v="6179"/>
    <x v="2"/>
    <s v="Release 2.5"/>
    <d v="2013-03-01T09:39:53"/>
    <x v="13"/>
    <n v="1.7222222222222223"/>
    <n v="0"/>
  </r>
  <r>
    <n v="6182"/>
    <x v="6"/>
    <s v="Release 2.5"/>
    <d v="2013-03-01T09:19:46"/>
    <x v="11"/>
    <n v="1.7222222222222223"/>
    <n v="0"/>
  </r>
  <r>
    <n v="6188"/>
    <x v="10"/>
    <s v="Release 2.5"/>
    <d v="2013-04-19T16:05:19"/>
    <x v="4"/>
    <n v="1.5888888888888888"/>
    <n v="0"/>
  </r>
  <r>
    <n v="6192"/>
    <x v="0"/>
    <s v="Release 2.5"/>
    <d v="2013-04-05T12:48:10"/>
    <x v="4"/>
    <n v="1.6277777777777778"/>
    <n v="0"/>
  </r>
  <r>
    <n v="6202"/>
    <x v="3"/>
    <s v="Release 2.5"/>
    <d v="2013-05-22T11:45:33"/>
    <x v="12"/>
    <n v="1.4972222222222222"/>
    <n v="0"/>
  </r>
  <r>
    <n v="6217"/>
    <x v="3"/>
    <s v="Release 2.4"/>
    <d v="2013-01-28T14:48:33"/>
    <x v="2"/>
    <n v="1.8138888888888889"/>
    <n v="0"/>
  </r>
  <r>
    <n v="6234"/>
    <x v="11"/>
    <s v="Release 2.3.2"/>
    <d v="2012-12-10T19:56:30"/>
    <x v="5"/>
    <n v="1.9472222222222222"/>
    <n v="0"/>
  </r>
  <r>
    <n v="6275"/>
    <x v="16"/>
    <s v="Release 2.4"/>
    <d v="2013-02-04T11:08:21"/>
    <x v="9"/>
    <n v="1.7972222222222223"/>
    <n v="0"/>
  </r>
  <r>
    <n v="6292"/>
    <x v="4"/>
    <s v="Release 2.3.2"/>
    <d v="2013-01-09T16:01:30"/>
    <x v="4"/>
    <n v="1.8666666666666667"/>
    <n v="0"/>
  </r>
  <r>
    <n v="6296"/>
    <x v="8"/>
    <s v="Release 2.3.2"/>
    <d v="2012-12-10T15:27:57"/>
    <x v="3"/>
    <n v="1.9472222222222222"/>
    <n v="0"/>
  </r>
  <r>
    <n v="6309"/>
    <x v="3"/>
    <s v="Release 2.4"/>
    <d v="2013-01-28T13:16:08"/>
    <x v="12"/>
    <n v="1.8138888888888889"/>
    <n v="0"/>
  </r>
  <r>
    <n v="6310"/>
    <x v="6"/>
    <s v="Release 2.4"/>
    <d v="2013-02-04T11:08:23"/>
    <x v="11"/>
    <n v="1.7972222222222223"/>
    <n v="0"/>
  </r>
  <r>
    <n v="6315"/>
    <x v="8"/>
    <s v="Release 2.5"/>
    <d v="2013-05-16T22:40:37"/>
    <x v="8"/>
    <n v="1.5138888888888888"/>
    <n v="0"/>
  </r>
  <r>
    <n v="6321"/>
    <x v="11"/>
    <s v="Release 2.3.2"/>
    <d v="2013-01-09T16:01:31"/>
    <x v="4"/>
    <n v="1.8666666666666667"/>
    <n v="0"/>
  </r>
  <r>
    <n v="6342"/>
    <x v="8"/>
    <s v="Release 2.5"/>
    <d v="2013-05-07T14:23:16"/>
    <x v="8"/>
    <n v="1.538888888888889"/>
    <n v="0"/>
  </r>
  <r>
    <n v="6347"/>
    <x v="8"/>
    <s v="Release 2.5"/>
    <d v="2013-05-07T14:21:27"/>
    <x v="8"/>
    <n v="1.538888888888889"/>
    <n v="0"/>
  </r>
  <r>
    <n v="6401"/>
    <x v="24"/>
    <s v="Release 3.1"/>
    <d v="2014-02-06T13:23:31"/>
    <x v="15"/>
    <n v="0.79166666666666663"/>
    <n v="1"/>
  </r>
  <r>
    <n v="6408"/>
    <x v="25"/>
    <s v="Release 2.6"/>
    <d v="2013-10-28T11:39:27"/>
    <x v="0"/>
    <n v="1.0638888888888889"/>
    <n v="0"/>
  </r>
  <r>
    <n v="6420"/>
    <x v="16"/>
    <s v="Release 2.4"/>
    <d v="2013-01-28T17:07:13"/>
    <x v="16"/>
    <n v="1.8138888888888889"/>
    <n v="0"/>
  </r>
  <r>
    <n v="6430"/>
    <x v="0"/>
    <s v="Release 2.4"/>
    <d v="2013-02-04T11:08:22"/>
    <x v="16"/>
    <n v="1.7972222222222223"/>
    <n v="0"/>
  </r>
  <r>
    <n v="6434"/>
    <x v="18"/>
    <s v="Release 2.4"/>
    <d v="2013-01-28T20:03:16"/>
    <x v="3"/>
    <n v="1.8138888888888889"/>
    <n v="0"/>
  </r>
  <r>
    <n v="6436"/>
    <x v="16"/>
    <s v="Release 2.4"/>
    <d v="2013-01-28T15:17:24"/>
    <x v="5"/>
    <n v="1.8138888888888889"/>
    <n v="0"/>
  </r>
  <r>
    <n v="6491"/>
    <x v="10"/>
    <s v="Release 2.4"/>
    <d v="2013-02-04T11:08:25"/>
    <x v="5"/>
    <n v="1.7972222222222223"/>
    <n v="0"/>
  </r>
  <r>
    <n v="6492"/>
    <x v="3"/>
    <s v="Release 2.4"/>
    <d v="2013-02-04T11:08:24"/>
    <x v="21"/>
    <n v="1.7972222222222223"/>
    <n v="0"/>
  </r>
  <r>
    <n v="6501"/>
    <x v="16"/>
    <s v="Release 2.5"/>
    <d v="2013-05-16T22:40:14"/>
    <x v="8"/>
    <n v="1.5138888888888888"/>
    <n v="0"/>
  </r>
  <r>
    <n v="6506"/>
    <x v="3"/>
    <s v="Release 2.4"/>
    <d v="2013-02-04T11:08:25"/>
    <x v="21"/>
    <n v="1.7972222222222223"/>
    <n v="0"/>
  </r>
  <r>
    <n v="6520"/>
    <x v="3"/>
    <s v="Release 2.4"/>
    <d v="2013-02-04T11:08:29"/>
    <x v="2"/>
    <n v="1.7972222222222223"/>
    <n v="0"/>
  </r>
  <r>
    <n v="6522"/>
    <x v="11"/>
    <s v="Release 2.4"/>
    <d v="2013-02-04T11:08:29"/>
    <x v="10"/>
    <n v="1.7972222222222223"/>
    <n v="0"/>
  </r>
  <r>
    <n v="6537"/>
    <x v="6"/>
    <s v="Release 2.5"/>
    <d v="2013-03-01T09:34:48"/>
    <x v="11"/>
    <n v="1.7222222222222223"/>
    <n v="0"/>
  </r>
  <r>
    <n v="6540"/>
    <x v="8"/>
    <s v="Release 2.5"/>
    <d v="2013-05-07T16:35:13"/>
    <x v="8"/>
    <n v="1.538888888888889"/>
    <n v="0"/>
  </r>
  <r>
    <n v="6541"/>
    <x v="8"/>
    <s v="Release 2.5"/>
    <d v="2013-05-07T14:29:10"/>
    <x v="8"/>
    <n v="1.538888888888889"/>
    <n v="0"/>
  </r>
  <r>
    <n v="6551"/>
    <x v="21"/>
    <s v="Release 2.5"/>
    <d v="2013-02-28T21:00:14"/>
    <x v="24"/>
    <n v="1.7250000000000001"/>
    <n v="0"/>
  </r>
  <r>
    <n v="6565"/>
    <x v="8"/>
    <s v="Release 2.5"/>
    <d v="2013-05-07T14:32:10"/>
    <x v="8"/>
    <n v="1.538888888888889"/>
    <n v="0"/>
  </r>
  <r>
    <n v="6575"/>
    <x v="3"/>
    <s v="Release 2.5"/>
    <d v="2013-03-01T10:24:43"/>
    <x v="12"/>
    <n v="1.7222222222222223"/>
    <n v="0"/>
  </r>
  <r>
    <n v="6576"/>
    <x v="16"/>
    <s v="Release 2.6"/>
    <d v="2013-07-25T09:56:39"/>
    <x v="11"/>
    <n v="1.3222222222222222"/>
    <n v="0"/>
  </r>
  <r>
    <n v="6577"/>
    <x v="26"/>
    <s v="Release 2.6"/>
    <d v="2013-07-30T08:37:44"/>
    <x v="7"/>
    <n v="1.3083333333333333"/>
    <n v="0"/>
  </r>
  <r>
    <n v="6578"/>
    <x v="22"/>
    <s v="Release 2.5"/>
    <d v="2013-04-05T12:47:35"/>
    <x v="21"/>
    <n v="1.6277777777777778"/>
    <n v="0"/>
  </r>
  <r>
    <n v="6585"/>
    <x v="6"/>
    <s v="Release 2.5"/>
    <d v="2013-03-01T10:28:44"/>
    <x v="1"/>
    <n v="1.7222222222222223"/>
    <n v="0"/>
  </r>
  <r>
    <n v="6595"/>
    <x v="4"/>
    <s v="Release 2.5"/>
    <d v="2013-03-01T09:27:25"/>
    <x v="12"/>
    <n v="1.7222222222222223"/>
    <n v="0"/>
  </r>
  <r>
    <n v="6610"/>
    <x v="3"/>
    <s v="Release 2.5"/>
    <d v="2013-03-01T09:48:07"/>
    <x v="11"/>
    <n v="1.7222222222222223"/>
    <n v="0"/>
  </r>
  <r>
    <n v="6611"/>
    <x v="3"/>
    <s v="Release 2.5"/>
    <d v="2013-04-18T15:26:17"/>
    <x v="2"/>
    <n v="1.5916666666666666"/>
    <n v="0"/>
  </r>
  <r>
    <n v="6613"/>
    <x v="6"/>
    <s v="Release 2.5"/>
    <d v="2013-04-05T12:47:51"/>
    <x v="18"/>
    <n v="1.6277777777777778"/>
    <n v="0"/>
  </r>
  <r>
    <n v="6629"/>
    <x v="3"/>
    <s v="Release 2.5"/>
    <d v="2013-03-01T09:57:05"/>
    <x v="2"/>
    <n v="1.7222222222222223"/>
    <n v="0"/>
  </r>
  <r>
    <n v="6639"/>
    <x v="3"/>
    <s v="Release 2.5"/>
    <d v="2013-04-18T15:26:17"/>
    <x v="5"/>
    <n v="1.5916666666666666"/>
    <n v="0"/>
  </r>
  <r>
    <n v="6658"/>
    <x v="8"/>
    <s v="Release 2.5"/>
    <d v="2013-05-07T14:22:15"/>
    <x v="8"/>
    <n v="1.538888888888889"/>
    <n v="0"/>
  </r>
  <r>
    <n v="6677"/>
    <x v="3"/>
    <s v="Release 2.5"/>
    <d v="2013-04-05T12:48:13"/>
    <x v="2"/>
    <n v="1.6277777777777778"/>
    <n v="0"/>
  </r>
  <r>
    <n v="6679"/>
    <x v="23"/>
    <s v="Release 2.5"/>
    <d v="2013-04-18T15:26:16"/>
    <x v="7"/>
    <n v="1.5916666666666666"/>
    <n v="0"/>
  </r>
  <r>
    <n v="6690"/>
    <x v="16"/>
    <s v="Release 2.5"/>
    <d v="2013-04-26T14:33:59"/>
    <x v="11"/>
    <n v="1.5694444444444444"/>
    <n v="0"/>
  </r>
  <r>
    <n v="6697"/>
    <x v="8"/>
    <s v="Release 2.5"/>
    <d v="2013-05-16T22:40:13"/>
    <x v="8"/>
    <n v="1.5138888888888888"/>
    <n v="0"/>
  </r>
  <r>
    <n v="6700"/>
    <x v="8"/>
    <s v="Release 2.5"/>
    <d v="2013-05-07T14:29:27"/>
    <x v="8"/>
    <n v="1.538888888888889"/>
    <n v="0"/>
  </r>
  <r>
    <n v="6709"/>
    <x v="16"/>
    <s v="Release 2.5"/>
    <d v="2013-04-19T16:05:10"/>
    <x v="4"/>
    <n v="1.5888888888888888"/>
    <n v="0"/>
  </r>
  <r>
    <n v="6710"/>
    <x v="3"/>
    <s v="Release 2.5"/>
    <d v="2013-04-05T12:48:09"/>
    <x v="2"/>
    <n v="1.6277777777777778"/>
    <n v="0"/>
  </r>
  <r>
    <n v="6724"/>
    <x v="6"/>
    <s v="Release 2.5"/>
    <d v="2013-04-19T16:05:06"/>
    <x v="4"/>
    <n v="1.5888888888888888"/>
    <n v="0"/>
  </r>
  <r>
    <n v="6760"/>
    <x v="10"/>
    <s v="Release 2.5"/>
    <d v="2013-04-19T16:05:23"/>
    <x v="9"/>
    <n v="1.5888888888888888"/>
    <n v="0"/>
  </r>
  <r>
    <n v="6777"/>
    <x v="8"/>
    <s v="Release 2.5"/>
    <d v="2013-05-16T22:38:15"/>
    <x v="8"/>
    <n v="1.5138888888888888"/>
    <n v="0"/>
  </r>
  <r>
    <n v="6780"/>
    <x v="6"/>
    <s v="Release 2.5"/>
    <d v="2013-04-19T16:05:28"/>
    <x v="12"/>
    <n v="1.5888888888888888"/>
    <n v="0"/>
  </r>
  <r>
    <n v="6788"/>
    <x v="3"/>
    <s v="Release 2.5"/>
    <d v="2013-05-16T22:40:09"/>
    <x v="1"/>
    <n v="1.5138888888888888"/>
    <n v="0"/>
  </r>
  <r>
    <n v="6791"/>
    <x v="3"/>
    <s v="Release 2.6"/>
    <d v="2013-07-29T09:12:15"/>
    <x v="25"/>
    <n v="1.3111111111111111"/>
    <n v="0"/>
  </r>
  <r>
    <n v="6794"/>
    <x v="8"/>
    <s v="Release 2.5"/>
    <d v="2013-05-07T14:40:45"/>
    <x v="8"/>
    <n v="1.538888888888889"/>
    <n v="0"/>
  </r>
  <r>
    <n v="6796"/>
    <x v="8"/>
    <s v="Release 2.5"/>
    <d v="2013-05-07T14:25:56"/>
    <x v="3"/>
    <n v="1.538888888888889"/>
    <n v="0"/>
  </r>
  <r>
    <n v="6812"/>
    <x v="3"/>
    <s v="Release 2.5"/>
    <d v="2013-04-19T16:05:36"/>
    <x v="7"/>
    <n v="1.5888888888888888"/>
    <n v="0"/>
  </r>
  <r>
    <n v="6816"/>
    <x v="21"/>
    <s v="Release 2.5"/>
    <d v="2013-05-22T11:45:34"/>
    <x v="16"/>
    <n v="1.4972222222222222"/>
    <n v="0"/>
  </r>
  <r>
    <n v="6818"/>
    <x v="8"/>
    <s v="Release 2.5"/>
    <d v="2013-05-16T22:37:55"/>
    <x v="3"/>
    <n v="1.5138888888888888"/>
    <n v="0"/>
  </r>
  <r>
    <n v="6825"/>
    <x v="6"/>
    <s v="Release 2.5"/>
    <d v="2013-05-16T22:40:00"/>
    <x v="1"/>
    <n v="1.5138888888888888"/>
    <n v="0"/>
  </r>
  <r>
    <n v="6836"/>
    <x v="14"/>
    <s v="Release 2.5"/>
    <d v="2013-05-08T14:44:09"/>
    <x v="11"/>
    <n v="1.5361111111111112"/>
    <n v="0"/>
  </r>
  <r>
    <n v="6839"/>
    <x v="22"/>
    <s v="Release 2.5"/>
    <d v="2013-06-25T09:30:54"/>
    <x v="13"/>
    <n v="1.4055555555555554"/>
    <n v="0"/>
  </r>
  <r>
    <n v="6842"/>
    <x v="8"/>
    <s v="Release 2.5"/>
    <d v="2013-05-16T22:38:14"/>
    <x v="8"/>
    <n v="1.5138888888888888"/>
    <n v="0"/>
  </r>
  <r>
    <n v="6845"/>
    <x v="23"/>
    <s v="Release 2.5"/>
    <d v="2013-05-16T22:39:04"/>
    <x v="10"/>
    <n v="1.5138888888888888"/>
    <n v="0"/>
  </r>
  <r>
    <n v="6855"/>
    <x v="18"/>
    <s v="Release 2.5"/>
    <d v="2013-05-22T11:45:38"/>
    <x v="9"/>
    <n v="1.4972222222222222"/>
    <n v="0"/>
  </r>
  <r>
    <n v="6868"/>
    <x v="16"/>
    <s v="Release 2.5"/>
    <d v="2013-04-22T18:42:33"/>
    <x v="5"/>
    <n v="1.5805555555555555"/>
    <n v="0"/>
  </r>
  <r>
    <n v="6874"/>
    <x v="3"/>
    <s v="Release 3.0"/>
    <d v="2013-09-23T22:54:00"/>
    <x v="7"/>
    <n v="1.1611111111111112"/>
    <n v="0"/>
  </r>
  <r>
    <n v="6875"/>
    <x v="3"/>
    <s v="Release 3.0"/>
    <d v="2013-09-24T15:51:30"/>
    <x v="7"/>
    <n v="1.1583333333333334"/>
    <n v="0"/>
  </r>
  <r>
    <n v="6877"/>
    <x v="8"/>
    <s v="Release 2.5"/>
    <d v="2013-05-16T22:40:35"/>
    <x v="3"/>
    <n v="1.5138888888888888"/>
    <n v="0"/>
  </r>
  <r>
    <n v="6894"/>
    <x v="22"/>
    <s v="Release 2.5"/>
    <d v="2013-05-16T22:40:19"/>
    <x v="11"/>
    <n v="1.5138888888888888"/>
    <n v="0"/>
  </r>
  <r>
    <n v="6897"/>
    <x v="11"/>
    <s v="Release 2.5"/>
    <d v="2013-05-16T22:40:31"/>
    <x v="9"/>
    <n v="1.5138888888888888"/>
    <n v="0"/>
  </r>
  <r>
    <n v="6905"/>
    <x v="22"/>
    <s v="Release 2.5"/>
    <d v="2013-05-16T22:40:00"/>
    <x v="4"/>
    <n v="1.5138888888888888"/>
    <n v="0"/>
  </r>
  <r>
    <n v="6907"/>
    <x v="11"/>
    <s v="Release 2.5"/>
    <d v="2013-05-16T22:40:35"/>
    <x v="5"/>
    <n v="1.5138888888888888"/>
    <n v="0"/>
  </r>
  <r>
    <n v="6913"/>
    <x v="10"/>
    <s v="Release 2.5"/>
    <d v="2013-05-16T22:40:20"/>
    <x v="5"/>
    <n v="1.5138888888888888"/>
    <n v="0"/>
  </r>
  <r>
    <n v="6914"/>
    <x v="8"/>
    <s v="Release 2.5"/>
    <d v="2013-05-07T14:16:48"/>
    <x v="4"/>
    <n v="1.538888888888889"/>
    <n v="0"/>
  </r>
  <r>
    <n v="6915"/>
    <x v="8"/>
    <s v="Release 2.5"/>
    <d v="2013-05-07T14:16:48"/>
    <x v="4"/>
    <n v="1.538888888888889"/>
    <n v="0"/>
  </r>
  <r>
    <n v="6917"/>
    <x v="10"/>
    <s v="Release 2.5"/>
    <d v="2013-04-29T22:45:23"/>
    <x v="5"/>
    <n v="1.5611111111111111"/>
    <n v="0"/>
  </r>
  <r>
    <n v="6927"/>
    <x v="8"/>
    <s v="Release 2.5"/>
    <d v="2013-05-16T22:40:14"/>
    <x v="8"/>
    <n v="1.5138888888888888"/>
    <n v="0"/>
  </r>
  <r>
    <n v="6953"/>
    <x v="22"/>
    <s v="Release 2.5"/>
    <d v="2013-05-16T22:40:33"/>
    <x v="18"/>
    <n v="1.5138888888888888"/>
    <n v="0"/>
  </r>
  <r>
    <n v="6955"/>
    <x v="3"/>
    <s v="Release 2.5"/>
    <d v="2013-05-16T22:40:25"/>
    <x v="7"/>
    <n v="1.5138888888888888"/>
    <n v="0"/>
  </r>
  <r>
    <n v="6957"/>
    <x v="21"/>
    <s v="Release 2.5"/>
    <d v="2013-05-16T22:40:25"/>
    <x v="3"/>
    <n v="1.5138888888888888"/>
    <n v="0"/>
  </r>
  <r>
    <n v="6961"/>
    <x v="22"/>
    <s v="Release 2.5"/>
    <d v="2013-05-16T22:40:26"/>
    <x v="13"/>
    <n v="1.5138888888888888"/>
    <n v="0"/>
  </r>
  <r>
    <n v="6965"/>
    <x v="14"/>
    <s v="Release 2.5"/>
    <d v="2013-05-16T22:40:37"/>
    <x v="3"/>
    <n v="1.5138888888888888"/>
    <n v="0"/>
  </r>
  <r>
    <n v="6966"/>
    <x v="11"/>
    <s v="Release 2.5"/>
    <d v="2013-05-22T11:45:46"/>
    <x v="8"/>
    <n v="1.4972222222222222"/>
    <n v="0"/>
  </r>
  <r>
    <n v="6973"/>
    <x v="10"/>
    <s v="Release 2.5"/>
    <d v="2013-05-16T22:40:33"/>
    <x v="5"/>
    <n v="1.5138888888888888"/>
    <n v="0"/>
  </r>
  <r>
    <n v="6978"/>
    <x v="6"/>
    <s v="Release 2.5"/>
    <d v="2013-05-16T22:40:34"/>
    <x v="12"/>
    <n v="1.5138888888888888"/>
    <n v="0"/>
  </r>
  <r>
    <n v="6981"/>
    <x v="22"/>
    <s v="Release 2.6"/>
    <d v="2013-07-25T09:57:58"/>
    <x v="23"/>
    <n v="1.3222222222222222"/>
    <n v="0"/>
  </r>
  <r>
    <n v="6986"/>
    <x v="22"/>
    <s v="Release 2.5"/>
    <d v="2013-07-22T13:52:37"/>
    <x v="22"/>
    <n v="1.3305555555555555"/>
    <n v="0"/>
  </r>
  <r>
    <n v="6998"/>
    <x v="3"/>
    <s v="Release 2.5"/>
    <d v="2013-05-16T22:40:46"/>
    <x v="11"/>
    <n v="1.5138888888888888"/>
    <n v="0"/>
  </r>
  <r>
    <n v="7000"/>
    <x v="3"/>
    <s v="Release 2.5"/>
    <d v="2013-05-16T22:40:36"/>
    <x v="12"/>
    <n v="1.5138888888888888"/>
    <n v="0"/>
  </r>
  <r>
    <n v="7004"/>
    <x v="3"/>
    <s v="Release 2.5"/>
    <d v="2013-05-16T22:40:36"/>
    <x v="12"/>
    <n v="1.5138888888888888"/>
    <n v="0"/>
  </r>
  <r>
    <n v="7011"/>
    <x v="27"/>
    <s v="Release 2.5"/>
    <d v="2013-05-16T22:40:38"/>
    <x v="9"/>
    <n v="1.5138888888888888"/>
    <n v="0"/>
  </r>
  <r>
    <n v="7016"/>
    <x v="15"/>
    <s v="Release 2.5"/>
    <d v="2013-05-22T11:45:46"/>
    <x v="9"/>
    <n v="1.4972222222222222"/>
    <n v="0"/>
  </r>
  <r>
    <n v="7017"/>
    <x v="8"/>
    <s v="Release 2.5"/>
    <d v="2013-05-16T22:40:40"/>
    <x v="8"/>
    <n v="1.5138888888888888"/>
    <n v="0"/>
  </r>
  <r>
    <n v="7024"/>
    <x v="11"/>
    <s v="Release 2.5"/>
    <d v="2013-05-16T22:40:43"/>
    <x v="5"/>
    <n v="1.5138888888888888"/>
    <n v="0"/>
  </r>
  <r>
    <n v="7027"/>
    <x v="11"/>
    <s v="Release 2.5"/>
    <d v="2013-05-22T11:45:47"/>
    <x v="7"/>
    <n v="1.4972222222222222"/>
    <n v="0"/>
  </r>
  <r>
    <n v="7028"/>
    <x v="14"/>
    <s v="Release 2.5"/>
    <d v="2013-05-16T22:40:44"/>
    <x v="5"/>
    <n v="1.5138888888888888"/>
    <n v="0"/>
  </r>
  <r>
    <n v="7029"/>
    <x v="22"/>
    <s v="Release 2.5"/>
    <d v="2013-05-08T15:12:32"/>
    <x v="11"/>
    <n v="1.5361111111111112"/>
    <n v="0"/>
  </r>
  <r>
    <n v="7032"/>
    <x v="2"/>
    <s v="Release 2.5"/>
    <d v="2013-05-10T15:11:54"/>
    <x v="2"/>
    <n v="1.5305555555555554"/>
    <n v="0"/>
  </r>
  <r>
    <n v="7051"/>
    <x v="10"/>
    <s v="Release 2.5"/>
    <d v="2013-05-16T22:40:50"/>
    <x v="4"/>
    <n v="1.5138888888888888"/>
    <n v="0"/>
  </r>
  <r>
    <n v="7054"/>
    <x v="22"/>
    <s v="Release 2.5"/>
    <d v="2013-05-10T15:23:41"/>
    <x v="2"/>
    <n v="1.5305555555555554"/>
    <n v="0"/>
  </r>
  <r>
    <n v="7060"/>
    <x v="16"/>
    <s v="Release 2.5"/>
    <d v="2013-05-16T22:40:50"/>
    <x v="4"/>
    <n v="1.5138888888888888"/>
    <n v="0"/>
  </r>
  <r>
    <n v="7088"/>
    <x v="3"/>
    <s v="Release 2.6"/>
    <d v="2013-07-25T09:58:12"/>
    <x v="18"/>
    <n v="1.3222222222222222"/>
    <n v="0"/>
  </r>
  <r>
    <n v="7101"/>
    <x v="3"/>
    <s v="Release 2.5.3"/>
    <d v="2013-05-29T09:03:48"/>
    <x v="2"/>
    <n v="1.4777777777777779"/>
    <n v="0"/>
  </r>
  <r>
    <n v="7154"/>
    <x v="17"/>
    <s v="Release 2.6"/>
    <d v="2013-07-05T15:09:07"/>
    <x v="21"/>
    <n v="1.3777777777777778"/>
    <n v="0"/>
  </r>
  <r>
    <n v="7212"/>
    <x v="8"/>
    <s v="Release 2.5.3"/>
    <d v="2013-05-31T14:16:54"/>
    <x v="2"/>
    <n v="1.4750000000000001"/>
    <n v="0"/>
  </r>
  <r>
    <n v="7359"/>
    <x v="11"/>
    <s v="Release 2.6"/>
    <d v="2013-06-27T21:27:47"/>
    <x v="5"/>
    <n v="1.4"/>
    <n v="0"/>
  </r>
  <r>
    <n v="7404"/>
    <x v="26"/>
    <s v="Release 3.0"/>
    <d v="2013-08-27T19:51:03"/>
    <x v="23"/>
    <n v="1.2333333333333334"/>
    <n v="0"/>
  </r>
  <r>
    <n v="7406"/>
    <x v="3"/>
    <s v="Release 2.6"/>
    <d v="2013-07-09T08:56:45"/>
    <x v="12"/>
    <n v="1.3666666666666667"/>
    <n v="0"/>
  </r>
  <r>
    <n v="7419"/>
    <x v="3"/>
    <s v="Release 2.6"/>
    <d v="2013-07-12T18:58:51"/>
    <x v="9"/>
    <n v="1.3583333333333334"/>
    <n v="0"/>
  </r>
  <r>
    <n v="7460"/>
    <x v="3"/>
    <s v="Release 2.6"/>
    <d v="2013-07-18T17:01:32"/>
    <x v="23"/>
    <n v="1.3416666666666666"/>
    <n v="0"/>
  </r>
  <r>
    <n v="7466"/>
    <x v="2"/>
    <s v="Release 2.6"/>
    <d v="2013-07-24T13:44:22"/>
    <x v="2"/>
    <n v="1.325"/>
    <n v="0"/>
  </r>
  <r>
    <n v="7468"/>
    <x v="3"/>
    <s v="Release 2.6"/>
    <d v="2013-07-24T15:54:58"/>
    <x v="23"/>
    <n v="1.325"/>
    <n v="0"/>
  </r>
  <r>
    <n v="7487"/>
    <x v="3"/>
    <s v="Release 2.6"/>
    <d v="2013-07-24T21:47:28"/>
    <x v="7"/>
    <n v="1.325"/>
    <n v="0"/>
  </r>
  <r>
    <n v="7492"/>
    <x v="3"/>
    <s v="Release 3.0"/>
    <d v="2013-10-21T11:05:56"/>
    <x v="12"/>
    <n v="1.0833333333333333"/>
    <n v="0"/>
  </r>
  <r>
    <n v="7506"/>
    <x v="23"/>
    <s v="Release 2.6"/>
    <d v="2013-07-30T16:12:13"/>
    <x v="7"/>
    <n v="1.3083333333333333"/>
    <n v="0"/>
  </r>
  <r>
    <n v="7514"/>
    <x v="3"/>
    <s v="Release 2.6"/>
    <d v="2013-07-25T19:10:45"/>
    <x v="23"/>
    <n v="1.3222222222222222"/>
    <n v="0"/>
  </r>
  <r>
    <n v="7522"/>
    <x v="3"/>
    <s v="Release 2.6"/>
    <d v="2013-07-29T09:21:08"/>
    <x v="26"/>
    <n v="1.3111111111111111"/>
    <n v="0"/>
  </r>
  <r>
    <n v="7524"/>
    <x v="0"/>
    <s v="Release 2.6"/>
    <d v="2013-07-26T22:28:31"/>
    <x v="9"/>
    <n v="1.3194444444444444"/>
    <n v="0"/>
  </r>
  <r>
    <n v="7533"/>
    <x v="3"/>
    <s v="Release 2.6"/>
    <d v="2013-07-26T16:24:30"/>
    <x v="11"/>
    <n v="1.3194444444444444"/>
    <n v="0"/>
  </r>
  <r>
    <n v="7545"/>
    <x v="3"/>
    <s v="Release 2.6"/>
    <d v="2013-07-29T13:36:25"/>
    <x v="27"/>
    <n v="1.3111111111111111"/>
    <n v="0"/>
  </r>
  <r>
    <n v="7558"/>
    <x v="2"/>
    <s v="Release 2.6"/>
    <d v="2013-07-29T16:49:40"/>
    <x v="2"/>
    <n v="1.3111111111111111"/>
    <n v="0"/>
  </r>
  <r>
    <n v="7561"/>
    <x v="18"/>
    <s v="Release 2.6"/>
    <d v="2013-07-31T20:30:59"/>
    <x v="4"/>
    <n v="1.3083333333333333"/>
    <n v="0"/>
  </r>
  <r>
    <n v="7571"/>
    <x v="22"/>
    <s v="Release 2.6"/>
    <d v="2013-07-30T11:25:59"/>
    <x v="26"/>
    <n v="1.3083333333333333"/>
    <n v="0"/>
  </r>
  <r>
    <n v="7578"/>
    <x v="16"/>
    <s v="Release 2.6"/>
    <d v="2013-07-30T13:01:01"/>
    <x v="26"/>
    <n v="1.3083333333333333"/>
    <n v="0"/>
  </r>
  <r>
    <n v="7583"/>
    <x v="3"/>
    <s v="Release 2.6"/>
    <d v="2013-07-30T23:09:57"/>
    <x v="7"/>
    <n v="1.3083333333333333"/>
    <n v="0"/>
  </r>
  <r>
    <n v="7598"/>
    <x v="28"/>
    <s v="Release 2.6"/>
    <d v="2013-08-01T10:37:28"/>
    <x v="4"/>
    <n v="1.3055555555555556"/>
    <n v="0"/>
  </r>
  <r>
    <n v="7600"/>
    <x v="22"/>
    <s v="Release 3.0"/>
    <d v="2013-08-12T20:17:07"/>
    <x v="26"/>
    <n v="1.2749999999999999"/>
    <n v="0"/>
  </r>
  <r>
    <n v="7605"/>
    <x v="3"/>
    <s v="Release 2.6"/>
    <d v="2013-08-01T10:28:57"/>
    <x v="12"/>
    <n v="1.3055555555555556"/>
    <n v="0"/>
  </r>
  <r>
    <n v="7607"/>
    <x v="3"/>
    <s v="Release 3.0"/>
    <d v="2013-09-20T15:12:26"/>
    <x v="3"/>
    <n v="1.1694444444444445"/>
    <n v="0"/>
  </r>
  <r>
    <n v="7615"/>
    <x v="3"/>
    <s v="Release 3.0"/>
    <d v="2013-09-17T20:21:38"/>
    <x v="9"/>
    <n v="1.1777777777777778"/>
    <n v="0"/>
  </r>
  <r>
    <n v="7627"/>
    <x v="23"/>
    <s v="Release 2.6"/>
    <d v="2013-08-01T19:04:55"/>
    <x v="9"/>
    <n v="1.3055555555555556"/>
    <n v="0"/>
  </r>
  <r>
    <n v="7634"/>
    <x v="3"/>
    <s v="Release 2.6"/>
    <d v="2013-08-02T09:00:20"/>
    <x v="11"/>
    <n v="1.3027777777777778"/>
    <n v="0"/>
  </r>
  <r>
    <n v="7642"/>
    <x v="2"/>
    <s v="Release 3.0"/>
    <d v="2013-10-18T16:20:54"/>
    <x v="11"/>
    <n v="1.0916666666666666"/>
    <n v="0"/>
  </r>
  <r>
    <n v="7644"/>
    <x v="17"/>
    <s v="Release 3.0"/>
    <d v="2013-08-09T14:25:03"/>
    <x v="7"/>
    <n v="1.2833333333333334"/>
    <n v="0"/>
  </r>
  <r>
    <n v="7677"/>
    <x v="3"/>
    <s v="Release 2.6.1"/>
    <d v="2013-08-14T15:42:56"/>
    <x v="16"/>
    <n v="1.2694444444444444"/>
    <n v="0"/>
  </r>
  <r>
    <n v="7733"/>
    <x v="22"/>
    <s v="Release 3.0"/>
    <d v="2013-08-21T16:08:03"/>
    <x v="13"/>
    <n v="1.25"/>
    <n v="0"/>
  </r>
  <r>
    <n v="7734"/>
    <x v="22"/>
    <s v="Release 3.0"/>
    <d v="2013-10-23T10:50:47"/>
    <x v="25"/>
    <n v="1.0777777777777777"/>
    <n v="0"/>
  </r>
  <r>
    <n v="7766"/>
    <x v="11"/>
    <s v="Release 2.6.1"/>
    <d v="2013-08-16T19:32:22"/>
    <x v="23"/>
    <n v="1.2638888888888888"/>
    <n v="0"/>
  </r>
  <r>
    <n v="7773"/>
    <x v="3"/>
    <m/>
    <d v="2013-09-13T15:50:49"/>
    <x v="21"/>
    <n v="1.1888888888888889"/>
    <n v="0"/>
  </r>
  <r>
    <n v="7833"/>
    <x v="11"/>
    <s v="Release 3.0"/>
    <d v="2013-08-28T20:40:34"/>
    <x v="10"/>
    <n v="1.2305555555555556"/>
    <n v="0"/>
  </r>
  <r>
    <n v="7855"/>
    <x v="15"/>
    <s v="Release 3.0"/>
    <d v="2013-10-23T11:30:49"/>
    <x v="5"/>
    <n v="1.0777777777777777"/>
    <n v="0"/>
  </r>
  <r>
    <n v="7867"/>
    <x v="3"/>
    <s v="Release 3.0"/>
    <d v="2013-10-09T10:17:33"/>
    <x v="27"/>
    <n v="1.1166666666666667"/>
    <n v="0"/>
  </r>
  <r>
    <n v="7873"/>
    <x v="16"/>
    <s v="Release 3.0"/>
    <d v="2013-09-26T20:05:27"/>
    <x v="3"/>
    <n v="1.1527777777777777"/>
    <n v="0"/>
  </r>
  <r>
    <n v="7925"/>
    <x v="28"/>
    <s v="Release 3.0"/>
    <d v="2013-10-25T10:54:32"/>
    <x v="11"/>
    <n v="1.0722222222222222"/>
    <n v="0"/>
  </r>
  <r>
    <n v="7950"/>
    <x v="0"/>
    <s v="Release 3.0"/>
    <d v="2013-10-14T15:22:25"/>
    <x v="5"/>
    <n v="1.1027777777777779"/>
    <n v="0"/>
  </r>
  <r>
    <n v="7981"/>
    <x v="3"/>
    <s v="Release 3.0"/>
    <d v="2013-11-04T11:17:44"/>
    <x v="27"/>
    <n v="1.0472222222222223"/>
    <n v="0"/>
  </r>
  <r>
    <n v="8039"/>
    <x v="3"/>
    <s v="Release 3.0"/>
    <d v="2013-10-23T11:39:14"/>
    <x v="2"/>
    <n v="1.0777777777777777"/>
    <n v="0"/>
  </r>
  <r>
    <n v="8080"/>
    <x v="3"/>
    <s v="Release 3.0"/>
    <d v="2013-10-04T17:13:36"/>
    <x v="21"/>
    <n v="1.1305555555555555"/>
    <n v="0"/>
  </r>
  <r>
    <n v="8081"/>
    <x v="29"/>
    <s v="Release 3.0"/>
    <d v="2013-10-10T22:03:33"/>
    <x v="5"/>
    <n v="1.1138888888888889"/>
    <n v="0"/>
  </r>
  <r>
    <n v="8097"/>
    <x v="3"/>
    <s v="Release 3.0"/>
    <d v="2013-10-11T13:15:34"/>
    <x v="3"/>
    <n v="1.1111111111111112"/>
    <n v="0"/>
  </r>
  <r>
    <n v="8104"/>
    <x v="16"/>
    <s v="Release 3.0"/>
    <d v="2013-10-11T15:03:42"/>
    <x v="5"/>
    <n v="1.1111111111111112"/>
    <n v="0"/>
  </r>
  <r>
    <n v="8122"/>
    <x v="28"/>
    <s v="Release 3.0"/>
    <d v="2013-10-14T09:49:16"/>
    <x v="4"/>
    <n v="1.1027777777777779"/>
    <n v="0"/>
  </r>
  <r>
    <n v="8126"/>
    <x v="24"/>
    <s v="Release 3.0"/>
    <d v="2013-10-28T15:46:55"/>
    <x v="2"/>
    <n v="1.0638888888888889"/>
    <n v="0"/>
  </r>
  <r>
    <n v="8133"/>
    <x v="22"/>
    <s v="Release 3.0"/>
    <d v="2013-10-15T15:34:22"/>
    <x v="13"/>
    <n v="1.1000000000000001"/>
    <n v="0"/>
  </r>
  <r>
    <n v="8138"/>
    <x v="3"/>
    <s v="Release 3.0"/>
    <d v="2013-10-18T16:13:54"/>
    <x v="2"/>
    <n v="1.0916666666666666"/>
    <n v="0"/>
  </r>
  <r>
    <n v="8156"/>
    <x v="22"/>
    <s v="Release 3.0"/>
    <d v="2013-10-25T11:13:02"/>
    <x v="11"/>
    <n v="1.0722222222222222"/>
    <n v="0"/>
  </r>
  <r>
    <n v="8179"/>
    <x v="3"/>
    <s v="Release 3.0"/>
    <d v="2013-10-23T09:12:17"/>
    <x v="28"/>
    <n v="1.0777777777777777"/>
    <n v="0"/>
  </r>
  <r>
    <n v="8180"/>
    <x v="3"/>
    <s v="Release 3.0"/>
    <d v="2013-10-24T14:46:57"/>
    <x v="11"/>
    <n v="1.075"/>
    <n v="0"/>
  </r>
  <r>
    <n v="8193"/>
    <x v="21"/>
    <s v="Release 3.0"/>
    <d v="2013-10-29T15:48:20"/>
    <x v="3"/>
    <n v="1.0611111111111111"/>
    <n v="0"/>
  </r>
  <r>
    <n v="8221"/>
    <x v="10"/>
    <s v="Release 3.0"/>
    <d v="2013-10-30T14:03:46"/>
    <x v="3"/>
    <n v="1.0583333333333333"/>
    <n v="0"/>
  </r>
  <r>
    <n v="8245"/>
    <x v="22"/>
    <s v="Release 3.0"/>
    <d v="2013-11-01T08:50:19"/>
    <x v="1"/>
    <n v="1.0555555555555556"/>
    <n v="0"/>
  </r>
  <r>
    <n v="8257"/>
    <x v="8"/>
    <s v="Release 3.0"/>
    <d v="2013-10-30T19:55:34"/>
    <x v="9"/>
    <n v="1.0583333333333333"/>
    <n v="0"/>
  </r>
  <r>
    <n v="8288"/>
    <x v="16"/>
    <s v="Release 3.0"/>
    <d v="2013-11-13T15:03:06"/>
    <x v="4"/>
    <n v="1.0222222222222221"/>
    <n v="0"/>
  </r>
  <r>
    <n v="8294"/>
    <x v="22"/>
    <s v="Release 3.0"/>
    <d v="2013-10-31T09:31:43"/>
    <x v="18"/>
    <n v="1.0583333333333333"/>
    <n v="0"/>
  </r>
  <r>
    <n v="8301"/>
    <x v="23"/>
    <s v="Release 3.1"/>
    <d v="2014-02-18T09:05:03"/>
    <x v="28"/>
    <n v="0.7583333333333333"/>
    <n v="1"/>
  </r>
  <r>
    <n v="8323"/>
    <x v="3"/>
    <s v="Release 3.0"/>
    <d v="2013-10-31T16:26:00"/>
    <x v="11"/>
    <n v="1.0583333333333333"/>
    <n v="0"/>
  </r>
  <r>
    <n v="8325"/>
    <x v="28"/>
    <s v="Release 3.0"/>
    <d v="2013-11-01T14:13:06"/>
    <x v="11"/>
    <n v="1.0555555555555556"/>
    <n v="0"/>
  </r>
  <r>
    <n v="8327"/>
    <x v="4"/>
    <s v="Release 3.1"/>
    <d v="2013-11-24T19:05:06"/>
    <x v="2"/>
    <n v="0.9916666666666667"/>
    <n v="1"/>
  </r>
  <r>
    <n v="8330"/>
    <x v="16"/>
    <s v="Release 3.0"/>
    <d v="2013-11-01T15:15:30"/>
    <x v="11"/>
    <n v="1.0555555555555556"/>
    <n v="0"/>
  </r>
  <r>
    <n v="8350"/>
    <x v="3"/>
    <s v="Release 3.0"/>
    <d v="2013-11-15T15:24:41"/>
    <x v="7"/>
    <n v="1.0166666666666666"/>
    <n v="0"/>
  </r>
  <r>
    <n v="8371"/>
    <x v="16"/>
    <s v="Release 3.1"/>
    <d v="2013-12-11T08:17:30"/>
    <x v="15"/>
    <n v="0.94444444444444442"/>
    <n v="1"/>
  </r>
  <r>
    <n v="8378"/>
    <x v="3"/>
    <s v="Release 3.1"/>
    <d v="2014-01-31T13:48:11"/>
    <x v="1"/>
    <n v="0.80833333333333335"/>
    <n v="1"/>
  </r>
  <r>
    <n v="8416"/>
    <x v="3"/>
    <s v="Release 3.1"/>
    <d v="2014-01-31T13:48:28"/>
    <x v="1"/>
    <n v="0.80833333333333335"/>
    <n v="1"/>
  </r>
  <r>
    <n v="8509"/>
    <x v="30"/>
    <s v="Release 3.1"/>
    <d v="2013-11-25T17:12:03"/>
    <x v="4"/>
    <n v="0.98888888888888893"/>
    <n v="1"/>
  </r>
  <r>
    <n v="8527"/>
    <x v="16"/>
    <s v="Release 3.1"/>
    <d v="2014-01-30T16:33:54"/>
    <x v="0"/>
    <n v="0.80833333333333335"/>
    <n v="1"/>
  </r>
  <r>
    <n v="8560"/>
    <x v="30"/>
    <s v="Release 3.1"/>
    <d v="2014-01-31T13:48:32"/>
    <x v="26"/>
    <n v="0.80833333333333335"/>
    <n v="1"/>
  </r>
  <r>
    <n v="8679"/>
    <x v="3"/>
    <s v="Release 3.1"/>
    <d v="2014-01-17T14:54:18"/>
    <x v="26"/>
    <n v="0.84444444444444444"/>
    <n v="1"/>
  </r>
  <r>
    <n v="8693"/>
    <x v="30"/>
    <s v="Release 3.1"/>
    <d v="2014-01-26T20:58:27"/>
    <x v="2"/>
    <n v="0.81944444444444442"/>
    <n v="1"/>
  </r>
  <r>
    <n v="8712"/>
    <x v="24"/>
    <s v="Release 3.1"/>
    <d v="2014-01-17T15:37:38"/>
    <x v="26"/>
    <n v="0.84444444444444444"/>
    <n v="1"/>
  </r>
  <r>
    <n v="8714"/>
    <x v="24"/>
    <s v="Release 3.1"/>
    <d v="2014-01-17T13:09:40"/>
    <x v="27"/>
    <n v="0.84444444444444444"/>
    <n v="1"/>
  </r>
  <r>
    <n v="8737"/>
    <x v="3"/>
    <s v="Release 3.1"/>
    <d v="2014-02-03T14:52:05"/>
    <x v="13"/>
    <n v="0.8"/>
    <n v="1"/>
  </r>
  <r>
    <n v="8758"/>
    <x v="30"/>
    <s v="Release 3.1"/>
    <d v="2014-01-28T14:13:01"/>
    <x v="2"/>
    <n v="0.81388888888888888"/>
    <n v="1"/>
  </r>
  <r>
    <n v="8788"/>
    <x v="30"/>
    <s v="Release 3.1"/>
    <d v="2014-02-03T12:59:26"/>
    <x v="2"/>
    <n v="0.8"/>
    <n v="1"/>
  </r>
  <r>
    <n v="8789"/>
    <x v="16"/>
    <s v="Release 3.1"/>
    <d v="2014-01-31T16:25:41"/>
    <x v="18"/>
    <n v="0.80833333333333335"/>
    <n v="1"/>
  </r>
  <r>
    <n v="8796"/>
    <x v="10"/>
    <s v="Release 3.1"/>
    <d v="2014-02-03T20:41:28"/>
    <x v="5"/>
    <n v="0.8"/>
    <n v="1"/>
  </r>
  <r>
    <n v="8811"/>
    <x v="31"/>
    <s v="Release 3.1"/>
    <d v="2014-09-09T15:52:09"/>
    <x v="3"/>
    <n v="0.2"/>
    <n v="1"/>
  </r>
  <r>
    <n v="8813"/>
    <x v="28"/>
    <s v="Release 3.1"/>
    <d v="2014-02-04T16:18:06"/>
    <x v="1"/>
    <n v="0.79722222222222228"/>
    <n v="1"/>
  </r>
  <r>
    <n v="8853"/>
    <x v="10"/>
    <s v="Release 3.1"/>
    <d v="2014-02-04T14:36:33"/>
    <x v="3"/>
    <n v="0.79722222222222228"/>
    <n v="1"/>
  </r>
  <r>
    <n v="8857"/>
    <x v="8"/>
    <s v="Release 3.1"/>
    <d v="2014-02-04T14:51:31"/>
    <x v="8"/>
    <n v="0.79722222222222228"/>
    <n v="1"/>
  </r>
  <r>
    <n v="8861"/>
    <x v="22"/>
    <s v="Release 3.1"/>
    <d v="2014-02-04T15:09:39"/>
    <x v="26"/>
    <n v="0.79722222222222228"/>
    <n v="1"/>
  </r>
  <r>
    <n v="8882"/>
    <x v="0"/>
    <s v="Release 3.2"/>
    <d v="2014-04-10T15:13:57"/>
    <x v="4"/>
    <n v="0.61388888888888893"/>
    <n v="1"/>
  </r>
  <r>
    <n v="8886"/>
    <x v="18"/>
    <s v="Release 3.1"/>
    <d v="2014-02-06T10:37:40"/>
    <x v="4"/>
    <n v="0.79166666666666663"/>
    <n v="1"/>
  </r>
  <r>
    <n v="8887"/>
    <x v="30"/>
    <s v="Release 3.1"/>
    <d v="2014-02-06T10:01:11"/>
    <x v="2"/>
    <n v="0.79166666666666663"/>
    <n v="1"/>
  </r>
  <r>
    <n v="8888"/>
    <x v="16"/>
    <s v="Release 3.1"/>
    <d v="2014-02-06T10:32:42"/>
    <x v="4"/>
    <n v="0.79166666666666663"/>
    <n v="1"/>
  </r>
  <r>
    <n v="8895"/>
    <x v="11"/>
    <s v="Release 3.1"/>
    <d v="2014-02-06T18:32:31"/>
    <x v="5"/>
    <n v="0.79166666666666663"/>
    <n v="1"/>
  </r>
  <r>
    <n v="8944"/>
    <x v="16"/>
    <s v="Release 3.2"/>
    <d v="2014-06-20T13:07:57"/>
    <x v="4"/>
    <n v="0.41944444444444445"/>
    <n v="1"/>
  </r>
  <r>
    <n v="8992"/>
    <x v="16"/>
    <s v="Release 3.1.1"/>
    <d v="2014-02-26T15:59:11"/>
    <x v="18"/>
    <n v="0.73611111111111116"/>
    <n v="1"/>
  </r>
  <r>
    <n v="9037"/>
    <x v="30"/>
    <s v="Release 3.1.1"/>
    <d v="2014-02-25T21:27:47"/>
    <x v="2"/>
    <n v="0.73888888888888893"/>
    <n v="1"/>
  </r>
  <r>
    <n v="9045"/>
    <x v="3"/>
    <s v="Release 3.1.1"/>
    <d v="2014-02-25T18:33:08"/>
    <x v="2"/>
    <n v="0.73888888888888893"/>
    <n v="1"/>
  </r>
  <r>
    <n v="9050"/>
    <x v="0"/>
    <s v="Release 3.2"/>
    <d v="2014-02-19T18:15:04"/>
    <x v="16"/>
    <n v="0.75555555555555554"/>
    <n v="1"/>
  </r>
  <r>
    <n v="9077"/>
    <x v="30"/>
    <s v="Release 3.1.1"/>
    <d v="2014-02-25T21:43:15"/>
    <x v="2"/>
    <n v="0.73888888888888893"/>
    <n v="1"/>
  </r>
  <r>
    <n v="9176"/>
    <x v="11"/>
    <s v="Release 3.2"/>
    <d v="2014-03-14T11:28:56"/>
    <x v="27"/>
    <n v="0.68611111111111112"/>
    <n v="1"/>
  </r>
  <r>
    <n v="9203"/>
    <x v="3"/>
    <s v="Release 3.2"/>
    <d v="2014-03-21T19:49:26"/>
    <x v="5"/>
    <n v="0.66666666666666663"/>
    <n v="1"/>
  </r>
  <r>
    <n v="9210"/>
    <x v="30"/>
    <s v="Release 3.2"/>
    <d v="2014-06-26T16:27:36"/>
    <x v="11"/>
    <n v="0.40277777777777779"/>
    <n v="1"/>
  </r>
  <r>
    <n v="9240"/>
    <x v="6"/>
    <s v="Release 3.2"/>
    <d v="2014-04-04T12:47:05"/>
    <x v="4"/>
    <n v="0.63055555555555554"/>
    <n v="1"/>
  </r>
  <r>
    <n v="9263"/>
    <x v="16"/>
    <s v="Release 3.2"/>
    <d v="2014-04-04T14:48:37"/>
    <x v="4"/>
    <n v="0.63055555555555554"/>
    <n v="1"/>
  </r>
  <r>
    <n v="9271"/>
    <x v="16"/>
    <s v="Release 3.2"/>
    <d v="2014-04-28T15:39:04"/>
    <x v="5"/>
    <n v="0.56388888888888888"/>
    <n v="1"/>
  </r>
  <r>
    <n v="9352"/>
    <x v="3"/>
    <s v="Release 3.2"/>
    <d v="2014-04-23T18:48:13"/>
    <x v="3"/>
    <n v="0.57777777777777772"/>
    <n v="1"/>
  </r>
  <r>
    <n v="9378"/>
    <x v="23"/>
    <s v="Release 3.2"/>
    <d v="2014-07-03T17:05:20"/>
    <x v="10"/>
    <n v="0.38333333333333336"/>
    <n v="1"/>
  </r>
  <r>
    <n v="9385"/>
    <x v="16"/>
    <s v="Release 3.2"/>
    <d v="2014-06-20T13:12:15"/>
    <x v="4"/>
    <n v="0.41944444444444445"/>
    <n v="1"/>
  </r>
  <r>
    <n v="9397"/>
    <x v="32"/>
    <s v="Release 3.2"/>
    <d v="2014-05-02T19:40:25"/>
    <x v="7"/>
    <n v="0.55277777777777781"/>
    <n v="1"/>
  </r>
  <r>
    <n v="9401"/>
    <x v="16"/>
    <s v="Release 3.2"/>
    <d v="2014-05-16T14:37:58"/>
    <x v="13"/>
    <n v="0.51388888888888884"/>
    <n v="1"/>
  </r>
  <r>
    <n v="9403"/>
    <x v="30"/>
    <s v="Release 3.2"/>
    <d v="2014-06-09T14:02:45"/>
    <x v="21"/>
    <n v="0.45"/>
    <n v="1"/>
  </r>
  <r>
    <n v="9405"/>
    <x v="6"/>
    <s v="Release 3.2"/>
    <d v="2014-05-02T10:36:24"/>
    <x v="4"/>
    <n v="0.55277777777777781"/>
    <n v="1"/>
  </r>
  <r>
    <n v="9457"/>
    <x v="19"/>
    <s v="Release 3.2"/>
    <d v="2014-05-15T09:20:46"/>
    <x v="13"/>
    <n v="0.51666666666666672"/>
    <n v="1"/>
  </r>
  <r>
    <n v="9540"/>
    <x v="0"/>
    <s v="Release 3.2"/>
    <d v="2014-06-20T15:15:19"/>
    <x v="11"/>
    <n v="0.41944444444444445"/>
    <n v="1"/>
  </r>
  <r>
    <n v="9562"/>
    <x v="3"/>
    <s v="Release 3.2"/>
    <d v="2014-06-04T08:11:49"/>
    <x v="0"/>
    <n v="0.46388888888888891"/>
    <n v="1"/>
  </r>
  <r>
    <n v="9593"/>
    <x v="3"/>
    <s v="Release 3.2"/>
    <d v="2014-06-04T12:09:08"/>
    <x v="0"/>
    <n v="0.46388888888888891"/>
    <n v="1"/>
  </r>
  <r>
    <n v="9594"/>
    <x v="24"/>
    <s v="Release 3.2"/>
    <d v="2014-06-05T17:02:29"/>
    <x v="28"/>
    <n v="0.46111111111111114"/>
    <n v="1"/>
  </r>
  <r>
    <n v="9595"/>
    <x v="3"/>
    <s v="Release 3.2"/>
    <d v="2014-06-04T15:35:25"/>
    <x v="2"/>
    <n v="0.46388888888888891"/>
    <n v="1"/>
  </r>
  <r>
    <n v="9611"/>
    <x v="3"/>
    <s v="Release 3.2"/>
    <d v="2014-06-10T18:41:22"/>
    <x v="3"/>
    <n v="0.44722222222222224"/>
    <n v="1"/>
  </r>
  <r>
    <n v="9613"/>
    <x v="3"/>
    <s v="Release 3.2"/>
    <d v="2014-06-10T11:20:47"/>
    <x v="11"/>
    <n v="0.44722222222222224"/>
    <n v="1"/>
  </r>
  <r>
    <n v="9618"/>
    <x v="4"/>
    <s v="Release 3.2"/>
    <d v="2014-06-17T13:57:46"/>
    <x v="4"/>
    <n v="0.42777777777777776"/>
    <n v="1"/>
  </r>
  <r>
    <n v="9624"/>
    <x v="3"/>
    <s v="Release 3.2"/>
    <d v="2014-06-12T18:38:46"/>
    <x v="3"/>
    <n v="0.44166666666666665"/>
    <n v="1"/>
  </r>
  <r>
    <n v="9627"/>
    <x v="2"/>
    <s v="Release 3.2"/>
    <d v="2014-06-13T15:45:55"/>
    <x v="2"/>
    <n v="0.43888888888888888"/>
    <n v="1"/>
  </r>
  <r>
    <n v="9629"/>
    <x v="3"/>
    <s v="Release 3.2"/>
    <d v="2014-07-03T17:05:21"/>
    <x v="3"/>
    <n v="0.38333333333333336"/>
    <n v="1"/>
  </r>
  <r>
    <n v="9632"/>
    <x v="17"/>
    <s v="Release 3.2"/>
    <d v="2014-06-25T09:30:08"/>
    <x v="1"/>
    <n v="0.40555555555555556"/>
    <n v="1"/>
  </r>
  <r>
    <n v="9651"/>
    <x v="4"/>
    <s v="Release 3.2"/>
    <d v="2014-06-20T08:55:42"/>
    <x v="2"/>
    <n v="0.41944444444444445"/>
    <n v="1"/>
  </r>
  <r>
    <n v="9656"/>
    <x v="2"/>
    <s v="Release 3.2"/>
    <d v="2014-06-13T17:17:00"/>
    <x v="18"/>
    <n v="0.43888888888888888"/>
    <n v="1"/>
  </r>
  <r>
    <n v="9664"/>
    <x v="3"/>
    <s v="Release 3.2"/>
    <d v="2014-06-18T10:57:10"/>
    <x v="26"/>
    <n v="0.42499999999999999"/>
    <n v="1"/>
  </r>
  <r>
    <n v="9675"/>
    <x v="3"/>
    <s v="Release 3.2"/>
    <d v="2014-06-26T10:57:16"/>
    <x v="26"/>
    <n v="0.40277777777777779"/>
    <n v="1"/>
  </r>
  <r>
    <n v="9678"/>
    <x v="3"/>
    <s v="Release 3.2"/>
    <d v="2014-06-20T14:50:12"/>
    <x v="3"/>
    <n v="0.41944444444444445"/>
    <n v="1"/>
  </r>
  <r>
    <n v="9683"/>
    <x v="4"/>
    <s v="Release 3.2"/>
    <d v="2014-06-20T13:26:18"/>
    <x v="4"/>
    <n v="0.41944444444444445"/>
    <n v="1"/>
  </r>
  <r>
    <n v="9721"/>
    <x v="19"/>
    <s v="Release 3.2"/>
    <d v="2014-06-23T08:45:46"/>
    <x v="4"/>
    <n v="0.41111111111111109"/>
    <n v="1"/>
  </r>
  <r>
    <n v="9729"/>
    <x v="19"/>
    <s v="Release 3.2"/>
    <d v="2014-06-26T10:58:23"/>
    <x v="1"/>
    <n v="0.40277777777777779"/>
    <n v="1"/>
  </r>
  <r>
    <n v="9731"/>
    <x v="4"/>
    <s v="Release 3.3"/>
    <d v="2014-08-19T10:58:47"/>
    <x v="4"/>
    <n v="0.25555555555555554"/>
    <n v="1"/>
  </r>
  <r>
    <n v="9743"/>
    <x v="19"/>
    <s v="Release 3.2"/>
    <d v="2014-06-25T09:54:58"/>
    <x v="1"/>
    <n v="0.40555555555555556"/>
    <n v="1"/>
  </r>
  <r>
    <n v="9750"/>
    <x v="19"/>
    <s v="Release 3.2"/>
    <d v="2014-06-25T16:13:07"/>
    <x v="4"/>
    <n v="0.40555555555555556"/>
    <n v="1"/>
  </r>
  <r>
    <n v="9758"/>
    <x v="3"/>
    <s v="Release 3.2"/>
    <d v="2014-06-27T09:20:40"/>
    <x v="1"/>
    <n v="0.4"/>
    <n v="1"/>
  </r>
  <r>
    <n v="9764"/>
    <x v="11"/>
    <s v="Release 3.2"/>
    <d v="2014-06-26T16:13:44"/>
    <x v="16"/>
    <n v="0.40277777777777779"/>
    <n v="1"/>
  </r>
  <r>
    <n v="9771"/>
    <x v="6"/>
    <s v="Release 3.2"/>
    <d v="2014-07-01T14:17:41"/>
    <x v="11"/>
    <n v="0.3888888888888889"/>
    <n v="1"/>
  </r>
  <r>
    <n v="9781"/>
    <x v="3"/>
    <s v="Release 3.2"/>
    <d v="2014-07-01T14:35:58"/>
    <x v="5"/>
    <n v="0.3888888888888889"/>
    <n v="1"/>
  </r>
  <r>
    <n v="9798"/>
    <x v="8"/>
    <s v="Release 3.2.1"/>
    <d v="2014-08-18T12:41:29"/>
    <x v="21"/>
    <n v="0.25833333333333336"/>
    <n v="1"/>
  </r>
  <r>
    <n v="9955"/>
    <x v="16"/>
    <s v="Release 3.2.1"/>
    <d v="2014-08-21T08:20:38"/>
    <x v="13"/>
    <n v="0.25"/>
    <n v="1"/>
  </r>
  <r>
    <n v="9956"/>
    <x v="16"/>
    <s v="Release 3.2.1"/>
    <d v="2014-08-19T11:45:49"/>
    <x v="11"/>
    <n v="0.25555555555555554"/>
    <n v="1"/>
  </r>
  <r>
    <n v="9979"/>
    <x v="28"/>
    <s v="Release 3.3"/>
    <d v="2014-08-01T14:04:48"/>
    <x v="29"/>
    <n v="0.30555555555555558"/>
    <n v="1"/>
  </r>
  <r>
    <n v="10002"/>
    <x v="3"/>
    <s v="Release 3.3"/>
    <d v="2014-08-07T11:38:14"/>
    <x v="2"/>
    <n v="0.28888888888888886"/>
    <n v="1"/>
  </r>
  <r>
    <n v="10095"/>
    <x v="2"/>
    <s v="Release 3.2.1"/>
    <d v="2014-08-19T11:45:49"/>
    <x v="1"/>
    <n v="0.25555555555555554"/>
    <n v="1"/>
  </r>
  <r>
    <n v="10104"/>
    <x v="23"/>
    <s v="Release 3.2.1"/>
    <d v="2014-08-21T09:33:43"/>
    <x v="3"/>
    <n v="0.25"/>
    <n v="1"/>
  </r>
  <r>
    <n v="10111"/>
    <x v="3"/>
    <s v="Release 3.3"/>
    <d v="2014-08-26T16:04:39"/>
    <x v="3"/>
    <n v="0.2361111111111111"/>
    <n v="1"/>
  </r>
  <r>
    <n v="10225"/>
    <x v="23"/>
    <s v="Release 3.3"/>
    <d v="2014-10-06T15:06:31"/>
    <x v="10"/>
    <n v="0.125"/>
    <n v="1"/>
  </r>
  <r>
    <n v="10268"/>
    <x v="33"/>
    <s v="Release 3.3"/>
    <d v="2014-09-26T13:46:46"/>
    <x v="13"/>
    <n v="0.15277777777777779"/>
    <n v="1"/>
  </r>
  <r>
    <n v="10351"/>
    <x v="18"/>
    <s v="Release 3.3"/>
    <d v="2014-10-22T17:42:02"/>
    <x v="30"/>
    <n v="8.0555555555555561E-2"/>
    <n v="1"/>
  </r>
  <r>
    <n v="10365"/>
    <x v="16"/>
    <s v="Release 3.3"/>
    <d v="2014-10-20T17:08:31"/>
    <x v="30"/>
    <n v="8.611111111111111E-2"/>
    <n v="1"/>
  </r>
  <r>
    <n v="10371"/>
    <x v="16"/>
    <s v="Release 3.3"/>
    <d v="2014-11-04T16:19:08"/>
    <x v="4"/>
    <n v="4.7222222222222221E-2"/>
    <n v="1"/>
  </r>
  <r>
    <n v="10375"/>
    <x v="3"/>
    <s v="Release 3.3"/>
    <d v="2014-10-16T13:57:18"/>
    <x v="31"/>
    <n v="9.7222222222222224E-2"/>
    <n v="1"/>
  </r>
  <r>
    <n v="10390"/>
    <x v="4"/>
    <s v="Release 3.3"/>
    <d v="2014-10-24T12:28:38"/>
    <x v="30"/>
    <n v="7.4999999999999997E-2"/>
    <n v="1"/>
  </r>
  <r>
    <n v="10557"/>
    <x v="3"/>
    <s v="Release 3.3"/>
    <d v="2014-11-17T14:32:35"/>
    <x v="32"/>
    <n v="1.1111111111111112E-2"/>
    <n v="1"/>
  </r>
  <r>
    <n v="10562"/>
    <x v="34"/>
    <s v="Release 3.3"/>
    <d v="2014-11-19T11:57:23"/>
    <x v="30"/>
    <n v="5.5555555555555558E-3"/>
    <n v="1"/>
  </r>
  <r>
    <n v="10570"/>
    <x v="35"/>
    <s v="Release 3.3"/>
    <d v="2014-11-19T14:05:29"/>
    <x v="2"/>
    <n v="5.5555555555555558E-3"/>
    <n v="1"/>
  </r>
  <r>
    <n v="52"/>
    <x v="36"/>
    <s v="Iteration 3"/>
    <d v="2007-12-03T14:56:13"/>
    <x v="0"/>
    <n v="6.9666666666666668"/>
    <n v="0"/>
  </r>
  <r>
    <n v="59"/>
    <x v="37"/>
    <s v="Iteration 4"/>
    <d v="2008-01-09T11:23:23"/>
    <x v="0"/>
    <n v="6.8666666666666663"/>
    <n v="0"/>
  </r>
  <r>
    <n v="84"/>
    <x v="0"/>
    <s v="Iteration 5"/>
    <d v="2008-01-18T16:42:46"/>
    <x v="0"/>
    <n v="6.8416666666666668"/>
    <n v="0"/>
  </r>
  <r>
    <n v="116"/>
    <x v="38"/>
    <s v="Iteration 9"/>
    <d v="2008-06-25T09:13:14"/>
    <x v="0"/>
    <n v="6.4055555555555559"/>
    <n v="0"/>
  </r>
  <r>
    <n v="127"/>
    <x v="2"/>
    <s v="Iteration 10"/>
    <d v="2008-07-25T09:08:53"/>
    <x v="0"/>
    <n v="6.322222222222222"/>
    <n v="0"/>
  </r>
  <r>
    <n v="136"/>
    <x v="4"/>
    <s v="Iteration 11"/>
    <d v="2008-09-05T08:55:07"/>
    <x v="0"/>
    <n v="6.2111111111111112"/>
    <n v="0"/>
  </r>
  <r>
    <n v="140"/>
    <x v="4"/>
    <s v="Iteration 10"/>
    <d v="2008-07-25T09:09:05"/>
    <x v="0"/>
    <n v="6.322222222222222"/>
    <n v="0"/>
  </r>
  <r>
    <n v="141"/>
    <x v="0"/>
    <s v="Iteration 9"/>
    <d v="2008-06-27T11:02:31"/>
    <x v="0"/>
    <n v="6.4"/>
    <n v="0"/>
  </r>
  <r>
    <n v="157"/>
    <x v="6"/>
    <s v="Iteration 9"/>
    <d v="2008-06-11T15:03:49"/>
    <x v="0"/>
    <n v="6.4444444444444446"/>
    <n v="0"/>
  </r>
  <r>
    <n v="158"/>
    <x v="39"/>
    <s v="Iteration 9"/>
    <d v="2008-06-20T09:14:41"/>
    <x v="0"/>
    <n v="6.4194444444444443"/>
    <n v="0"/>
  </r>
  <r>
    <n v="194"/>
    <x v="6"/>
    <s v="Iteration 12"/>
    <d v="2008-10-03T13:27:38"/>
    <x v="0"/>
    <n v="6.1333333333333337"/>
    <n v="0"/>
  </r>
  <r>
    <n v="208"/>
    <x v="6"/>
    <s v="Iteration 16"/>
    <d v="2009-03-12T14:06:12"/>
    <x v="0"/>
    <n v="5.6916666666666664"/>
    <n v="0"/>
  </r>
  <r>
    <n v="254"/>
    <x v="4"/>
    <s v="Iteration 26"/>
    <d v="2010-12-16T11:16:54"/>
    <x v="6"/>
    <n v="3.9305555555555554"/>
    <n v="0"/>
  </r>
  <r>
    <n v="327"/>
    <x v="3"/>
    <s v="Iteration 14"/>
    <d v="2009-01-07T15:11:41"/>
    <x v="0"/>
    <n v="5.8722222222222218"/>
    <n v="0"/>
  </r>
  <r>
    <n v="330"/>
    <x v="6"/>
    <s v="Iteration 20"/>
    <d v="2009-10-01T15:05:07"/>
    <x v="0"/>
    <n v="5.1388888888888893"/>
    <n v="0"/>
  </r>
  <r>
    <n v="359"/>
    <x v="3"/>
    <s v="Iteration 15"/>
    <d v="2009-02-16T13:21:54"/>
    <x v="0"/>
    <n v="5.7638888888888893"/>
    <n v="0"/>
  </r>
  <r>
    <n v="366"/>
    <x v="4"/>
    <s v="Iteration 15"/>
    <d v="2009-02-11T10:18:24"/>
    <x v="0"/>
    <n v="5.7777777777777777"/>
    <n v="0"/>
  </r>
  <r>
    <n v="372"/>
    <x v="4"/>
    <s v="Iteration 15"/>
    <d v="2009-01-27T17:20:21"/>
    <x v="0"/>
    <n v="5.8166666666666664"/>
    <n v="0"/>
  </r>
  <r>
    <n v="438"/>
    <x v="0"/>
    <s v="Iteration 21"/>
    <d v="2010-02-05T09:45:15"/>
    <x v="0"/>
    <n v="4.7944444444444443"/>
    <n v="0"/>
  </r>
  <r>
    <n v="439"/>
    <x v="0"/>
    <s v="Iteration 17"/>
    <d v="2009-05-22T10:43:47"/>
    <x v="0"/>
    <n v="5.4972222222222218"/>
    <n v="0"/>
  </r>
  <r>
    <n v="441"/>
    <x v="3"/>
    <s v="Iteration 16"/>
    <d v="2009-03-26T11:04:36"/>
    <x v="0"/>
    <n v="5.6527777777777777"/>
    <n v="0"/>
  </r>
  <r>
    <n v="442"/>
    <x v="4"/>
    <s v="Iteration 16"/>
    <d v="2009-04-16T13:03:32"/>
    <x v="0"/>
    <n v="5.5972222222222223"/>
    <n v="0"/>
  </r>
  <r>
    <n v="452"/>
    <x v="40"/>
    <s v="Iteration 17"/>
    <d v="2009-06-30T16:46:39"/>
    <x v="0"/>
    <n v="5.3916666666666666"/>
    <n v="0"/>
  </r>
  <r>
    <n v="455"/>
    <x v="14"/>
    <s v="Iteration 29"/>
    <d v="2011-06-27T15:48:52"/>
    <x v="3"/>
    <n v="3.4"/>
    <n v="0"/>
  </r>
  <r>
    <n v="461"/>
    <x v="0"/>
    <s v="Iteration 18"/>
    <d v="2009-06-26T09:58:13"/>
    <x v="0"/>
    <n v="5.4027777777777777"/>
    <n v="0"/>
  </r>
  <r>
    <n v="493"/>
    <x v="6"/>
    <s v="Iteration 16"/>
    <d v="2009-03-25T10:51:44"/>
    <x v="0"/>
    <n v="5.6555555555555559"/>
    <n v="0"/>
  </r>
  <r>
    <n v="497"/>
    <x v="4"/>
    <s v="Iteration 18"/>
    <d v="2009-06-04T16:36:41"/>
    <x v="0"/>
    <n v="5.4638888888888886"/>
    <n v="0"/>
  </r>
  <r>
    <n v="499"/>
    <x v="0"/>
    <s v="Iteration 16"/>
    <d v="2009-03-27T11:18:11"/>
    <x v="0"/>
    <n v="5.65"/>
    <n v="0"/>
  </r>
  <r>
    <n v="509"/>
    <x v="0"/>
    <s v="Iteration 16"/>
    <d v="2009-03-25T17:03:53"/>
    <x v="0"/>
    <n v="5.6555555555555559"/>
    <n v="0"/>
  </r>
  <r>
    <n v="537"/>
    <x v="4"/>
    <s v="Iteration 17"/>
    <d v="2009-05-22T10:44:05"/>
    <x v="0"/>
    <n v="5.4972222222222218"/>
    <n v="0"/>
  </r>
  <r>
    <n v="542"/>
    <x v="4"/>
    <s v="Iteration 17"/>
    <d v="2009-05-22T08:46:52"/>
    <x v="0"/>
    <n v="5.4972222222222218"/>
    <n v="0"/>
  </r>
  <r>
    <n v="550"/>
    <x v="4"/>
    <s v="Iteration 17"/>
    <d v="2009-04-29T10:32:27"/>
    <x v="0"/>
    <n v="5.5611111111111109"/>
    <n v="0"/>
  </r>
  <r>
    <n v="589"/>
    <x v="5"/>
    <s v="Iteration 18"/>
    <d v="2009-06-23T09:01:27"/>
    <x v="0"/>
    <n v="5.4111111111111114"/>
    <n v="0"/>
  </r>
  <r>
    <n v="597"/>
    <x v="7"/>
    <s v="Iteration 18"/>
    <d v="2009-06-16T10:50:04"/>
    <x v="0"/>
    <n v="5.4305555555555554"/>
    <n v="0"/>
  </r>
  <r>
    <n v="616"/>
    <x v="4"/>
    <s v="Iteration 18"/>
    <d v="2009-06-12T15:37:24"/>
    <x v="0"/>
    <n v="5.4416666666666664"/>
    <n v="0"/>
  </r>
  <r>
    <n v="617"/>
    <x v="4"/>
    <s v="Iteration 18"/>
    <d v="2009-06-12T15:37:48"/>
    <x v="0"/>
    <n v="5.4416666666666664"/>
    <n v="0"/>
  </r>
  <r>
    <n v="644"/>
    <x v="0"/>
    <s v="Iteration 18"/>
    <d v="2009-06-30T16:21:39"/>
    <x v="0"/>
    <n v="5.3916666666666666"/>
    <n v="0"/>
  </r>
  <r>
    <n v="645"/>
    <x v="3"/>
    <s v="Iteration 18"/>
    <d v="2009-06-23T15:09:07"/>
    <x v="0"/>
    <n v="5.4111111111111114"/>
    <n v="0"/>
  </r>
  <r>
    <n v="679"/>
    <x v="5"/>
    <s v="Iteration 21"/>
    <d v="2010-02-05T11:12:28"/>
    <x v="0"/>
    <n v="4.7944444444444443"/>
    <n v="0"/>
  </r>
  <r>
    <n v="680"/>
    <x v="0"/>
    <s v="Iteration 19"/>
    <d v="2009-08-24T12:32:52"/>
    <x v="0"/>
    <n v="5.2416666666666663"/>
    <n v="0"/>
  </r>
  <r>
    <n v="702"/>
    <x v="0"/>
    <s v="Iteration 18"/>
    <d v="2009-06-26T16:40:00"/>
    <x v="0"/>
    <n v="5.4027777777777777"/>
    <n v="0"/>
  </r>
  <r>
    <n v="713"/>
    <x v="3"/>
    <s v="Iteration 22"/>
    <d v="2010-04-01T13:21:54"/>
    <x v="0"/>
    <n v="4.6388888888888893"/>
    <n v="0"/>
  </r>
  <r>
    <n v="728"/>
    <x v="3"/>
    <s v="Iteration 18"/>
    <d v="2009-07-10T14:39:59"/>
    <x v="0"/>
    <n v="5.3638888888888889"/>
    <n v="0"/>
  </r>
  <r>
    <n v="732"/>
    <x v="4"/>
    <s v="Iteration 18"/>
    <d v="2009-07-29T10:06:35"/>
    <x v="0"/>
    <n v="5.3111111111111109"/>
    <n v="0"/>
  </r>
  <r>
    <n v="736"/>
    <x v="0"/>
    <s v="Iteration 18"/>
    <d v="2009-07-09T13:37:36"/>
    <x v="0"/>
    <n v="5.3666666666666663"/>
    <n v="0"/>
  </r>
  <r>
    <n v="748"/>
    <x v="4"/>
    <s v="Iteration 18"/>
    <d v="2009-07-29T13:44:55"/>
    <x v="0"/>
    <n v="5.3111111111111109"/>
    <n v="0"/>
  </r>
  <r>
    <n v="759"/>
    <x v="0"/>
    <s v="Iteration 18"/>
    <d v="2009-07-20T14:00:43"/>
    <x v="0"/>
    <n v="5.3361111111111112"/>
    <n v="0"/>
  </r>
  <r>
    <n v="760"/>
    <x v="4"/>
    <s v="Iteration 18"/>
    <d v="2009-07-29T10:06:09"/>
    <x v="0"/>
    <n v="5.3111111111111109"/>
    <n v="0"/>
  </r>
  <r>
    <n v="774"/>
    <x v="5"/>
    <s v="Iteration 18"/>
    <d v="2009-07-30T11:04:10"/>
    <x v="0"/>
    <n v="5.3083333333333336"/>
    <n v="0"/>
  </r>
  <r>
    <n v="784"/>
    <x v="3"/>
    <s v="Iteration 24"/>
    <d v="2010-08-25T11:02:59"/>
    <x v="1"/>
    <n v="4.2388888888888889"/>
    <n v="0"/>
  </r>
  <r>
    <n v="787"/>
    <x v="3"/>
    <s v="Iteration 19"/>
    <d v="2009-08-06T12:48:55"/>
    <x v="0"/>
    <n v="5.291666666666667"/>
    <n v="0"/>
  </r>
  <r>
    <n v="793"/>
    <x v="0"/>
    <s v="Iteration 20"/>
    <d v="2009-11-25T13:56:58"/>
    <x v="0"/>
    <n v="4.9888888888888889"/>
    <n v="0"/>
  </r>
  <r>
    <n v="795"/>
    <x v="0"/>
    <s v="Iteration 19"/>
    <d v="2009-09-28T09:58:25"/>
    <x v="0"/>
    <n v="5.1472222222222221"/>
    <n v="0"/>
  </r>
  <r>
    <n v="799"/>
    <x v="5"/>
    <s v="Iteration 19"/>
    <d v="2009-08-14T11:19:29"/>
    <x v="0"/>
    <n v="5.2694444444444448"/>
    <n v="0"/>
  </r>
  <r>
    <n v="805"/>
    <x v="3"/>
    <s v="Iteration 20"/>
    <d v="2009-11-25T13:12:41"/>
    <x v="0"/>
    <n v="4.9888888888888889"/>
    <n v="0"/>
  </r>
  <r>
    <n v="807"/>
    <x v="0"/>
    <s v="Iteration 19"/>
    <d v="2009-08-12T21:27:11"/>
    <x v="0"/>
    <n v="5.2750000000000004"/>
    <n v="0"/>
  </r>
  <r>
    <n v="813"/>
    <x v="0"/>
    <s v="Iteration 22"/>
    <d v="2010-04-06T09:23:51"/>
    <x v="0"/>
    <n v="4.625"/>
    <n v="0"/>
  </r>
  <r>
    <n v="839"/>
    <x v="12"/>
    <s v="Iteration 30"/>
    <d v="2011-09-19T16:51:15"/>
    <x v="7"/>
    <n v="3.1722222222222221"/>
    <n v="0"/>
  </r>
  <r>
    <n v="848"/>
    <x v="5"/>
    <s v="Iteration 20"/>
    <d v="2009-09-30T16:07:52"/>
    <x v="0"/>
    <n v="5.1416666666666666"/>
    <n v="0"/>
  </r>
  <r>
    <n v="862"/>
    <x v="0"/>
    <s v="Iteration 22"/>
    <d v="2010-03-29T16:22:36"/>
    <x v="0"/>
    <n v="4.6444444444444448"/>
    <n v="0"/>
  </r>
  <r>
    <n v="863"/>
    <x v="4"/>
    <s v="Release 3.0"/>
    <d v="2013-10-25T21:54:40"/>
    <x v="5"/>
    <n v="1.0722222222222222"/>
    <n v="0"/>
  </r>
  <r>
    <n v="866"/>
    <x v="3"/>
    <s v="Iteration 22"/>
    <d v="2010-04-01T14:26:35"/>
    <x v="0"/>
    <n v="4.6388888888888893"/>
    <n v="0"/>
  </r>
  <r>
    <n v="867"/>
    <x v="5"/>
    <s v="Iteration 20"/>
    <d v="2009-09-30T16:07:29"/>
    <x v="0"/>
    <n v="5.1416666666666666"/>
    <n v="0"/>
  </r>
  <r>
    <n v="928"/>
    <x v="5"/>
    <s v="Iteration 20"/>
    <d v="2009-11-25T13:06:25"/>
    <x v="0"/>
    <n v="4.9888888888888889"/>
    <n v="0"/>
  </r>
  <r>
    <n v="944"/>
    <x v="5"/>
    <s v="Iteration 21"/>
    <d v="2010-02-05T11:40:47"/>
    <x v="0"/>
    <n v="4.7944444444444443"/>
    <n v="0"/>
  </r>
  <r>
    <n v="946"/>
    <x v="3"/>
    <s v="Iteration 20"/>
    <d v="2009-11-25T15:23:17"/>
    <x v="0"/>
    <n v="4.9888888888888889"/>
    <n v="0"/>
  </r>
  <r>
    <n v="947"/>
    <x v="3"/>
    <s v="Iteration 21"/>
    <d v="2010-02-05T16:36:07"/>
    <x v="0"/>
    <n v="4.7944444444444443"/>
    <n v="0"/>
  </r>
  <r>
    <n v="950"/>
    <x v="0"/>
    <s v="Iteration 20"/>
    <d v="2009-11-26T14:41:42"/>
    <x v="0"/>
    <n v="4.9861111111111107"/>
    <n v="0"/>
  </r>
  <r>
    <n v="951"/>
    <x v="3"/>
    <s v="Iteration 21"/>
    <d v="2010-02-08T13:18:10"/>
    <x v="0"/>
    <n v="4.7861111111111114"/>
    <n v="0"/>
  </r>
  <r>
    <n v="952"/>
    <x v="3"/>
    <s v="Iteration 21"/>
    <d v="2010-02-09T15:50:17"/>
    <x v="0"/>
    <n v="4.7833333333333332"/>
    <n v="0"/>
  </r>
  <r>
    <n v="961"/>
    <x v="6"/>
    <s v="Iteration 21"/>
    <d v="2010-02-08T15:08:03"/>
    <x v="0"/>
    <n v="4.7861111111111114"/>
    <n v="0"/>
  </r>
  <r>
    <n v="965"/>
    <x v="4"/>
    <s v="Iteration 21"/>
    <d v="2010-02-08T15:08:23"/>
    <x v="0"/>
    <n v="4.7861111111111114"/>
    <n v="0"/>
  </r>
  <r>
    <n v="967"/>
    <x v="6"/>
    <s v="Iteration 22"/>
    <d v="2010-04-01T11:21:48"/>
    <x v="0"/>
    <n v="4.6388888888888893"/>
    <n v="0"/>
  </r>
  <r>
    <n v="974"/>
    <x v="4"/>
    <s v="Iteration 24"/>
    <d v="2010-08-25T10:15:22"/>
    <x v="13"/>
    <n v="4.2388888888888889"/>
    <n v="0"/>
  </r>
  <r>
    <n v="978"/>
    <x v="3"/>
    <s v="Iteration 20"/>
    <d v="2009-11-16T16:22:38"/>
    <x v="0"/>
    <n v="5.0138888888888893"/>
    <n v="0"/>
  </r>
  <r>
    <n v="982"/>
    <x v="3"/>
    <s v="Iteration 20"/>
    <d v="2009-11-16T16:21:10"/>
    <x v="0"/>
    <n v="5.0138888888888893"/>
    <n v="0"/>
  </r>
  <r>
    <n v="990"/>
    <x v="0"/>
    <s v="Iteration 20"/>
    <d v="2009-11-25T13:50:25"/>
    <x v="0"/>
    <n v="4.9888888888888889"/>
    <n v="0"/>
  </r>
  <r>
    <n v="1002"/>
    <x v="5"/>
    <s v="Iteration 21"/>
    <d v="2010-02-05T12:58:36"/>
    <x v="0"/>
    <n v="4.7944444444444443"/>
    <n v="0"/>
  </r>
  <r>
    <n v="1004"/>
    <x v="3"/>
    <s v="Iteration 21"/>
    <d v="2010-02-09T09:42:24"/>
    <x v="0"/>
    <n v="4.7833333333333332"/>
    <n v="0"/>
  </r>
  <r>
    <n v="1034"/>
    <x v="0"/>
    <s v="Iteration 21"/>
    <d v="2010-02-05T10:21:01"/>
    <x v="0"/>
    <n v="4.7944444444444443"/>
    <n v="0"/>
  </r>
  <r>
    <n v="1045"/>
    <x v="3"/>
    <s v="Iteration 24"/>
    <d v="2010-08-25T11:07:57"/>
    <x v="1"/>
    <n v="4.2388888888888889"/>
    <n v="0"/>
  </r>
  <r>
    <n v="1047"/>
    <x v="0"/>
    <s v="Iteration 21"/>
    <d v="2010-02-05T10:23:05"/>
    <x v="0"/>
    <n v="4.7944444444444443"/>
    <n v="0"/>
  </r>
  <r>
    <n v="1060"/>
    <x v="3"/>
    <s v="Iteration 21"/>
    <d v="2010-02-08T16:37:07"/>
    <x v="0"/>
    <n v="4.7861111111111114"/>
    <n v="0"/>
  </r>
  <r>
    <n v="1061"/>
    <x v="5"/>
    <s v="Iteration 25"/>
    <d v="2010-11-04T13:36:06"/>
    <x v="6"/>
    <n v="4.0472222222222225"/>
    <n v="0"/>
  </r>
  <r>
    <n v="1070"/>
    <x v="0"/>
    <s v="Iteration 21"/>
    <d v="2010-02-05T13:05:01"/>
    <x v="0"/>
    <n v="4.7944444444444443"/>
    <n v="0"/>
  </r>
  <r>
    <n v="1071"/>
    <x v="7"/>
    <s v="Iteration 21"/>
    <d v="2010-02-05T15:46:58"/>
    <x v="0"/>
    <n v="4.7944444444444443"/>
    <n v="0"/>
  </r>
  <r>
    <n v="1074"/>
    <x v="4"/>
    <s v="Iteration 21"/>
    <d v="2010-02-05T11:01:07"/>
    <x v="0"/>
    <n v="4.7944444444444443"/>
    <n v="0"/>
  </r>
  <r>
    <n v="1085"/>
    <x v="0"/>
    <s v="Iteration 21"/>
    <d v="2010-02-09T09:58:15"/>
    <x v="0"/>
    <n v="4.7833333333333332"/>
    <n v="0"/>
  </r>
  <r>
    <n v="1093"/>
    <x v="0"/>
    <s v="Iteration 21"/>
    <d v="2010-02-05T14:09:54"/>
    <x v="0"/>
    <n v="4.7944444444444443"/>
    <n v="0"/>
  </r>
  <r>
    <n v="1099"/>
    <x v="5"/>
    <s v="Iteration 22"/>
    <d v="2014-09-01T08:46:40"/>
    <x v="0"/>
    <n v="0.22222222222222221"/>
    <n v="1"/>
  </r>
  <r>
    <n v="1100"/>
    <x v="4"/>
    <s v="Iteration 21"/>
    <d v="2010-02-09T09:36:50"/>
    <x v="0"/>
    <n v="4.7833333333333332"/>
    <n v="0"/>
  </r>
  <r>
    <n v="1102"/>
    <x v="3"/>
    <s v="Iteration 22"/>
    <d v="2010-04-06T14:16:11"/>
    <x v="0"/>
    <n v="4.625"/>
    <n v="0"/>
  </r>
  <r>
    <n v="1122"/>
    <x v="5"/>
    <s v="Iteration 23"/>
    <d v="2010-06-08T14:35:39"/>
    <x v="0"/>
    <n v="4.4527777777777775"/>
    <n v="0"/>
  </r>
  <r>
    <n v="1123"/>
    <x v="0"/>
    <s v="Iteration 22"/>
    <d v="2010-04-06T14:16:30"/>
    <x v="0"/>
    <n v="4.625"/>
    <n v="0"/>
  </r>
  <r>
    <n v="1133"/>
    <x v="0"/>
    <s v="Iteration 28"/>
    <d v="2011-04-28T19:54:01"/>
    <x v="19"/>
    <n v="3.5638888888888891"/>
    <n v="0"/>
  </r>
  <r>
    <n v="1146"/>
    <x v="3"/>
    <s v="Iteration 22"/>
    <d v="2010-04-01T13:15:22"/>
    <x v="0"/>
    <n v="4.6388888888888893"/>
    <n v="0"/>
  </r>
  <r>
    <n v="1154"/>
    <x v="0"/>
    <s v="Iteration 22"/>
    <d v="2010-03-29T14:41:46"/>
    <x v="0"/>
    <n v="4.6444444444444448"/>
    <n v="0"/>
  </r>
  <r>
    <n v="1172"/>
    <x v="0"/>
    <s v="Iteration 22"/>
    <d v="2010-04-01T13:43:51"/>
    <x v="0"/>
    <n v="4.6388888888888893"/>
    <n v="0"/>
  </r>
  <r>
    <n v="1192"/>
    <x v="4"/>
    <s v="Iteration 23"/>
    <d v="2010-06-08T12:03:09"/>
    <x v="0"/>
    <n v="4.4527777777777775"/>
    <n v="0"/>
  </r>
  <r>
    <n v="1212"/>
    <x v="3"/>
    <s v="Iteration 26"/>
    <d v="2010-12-17T22:34:43"/>
    <x v="7"/>
    <n v="3.9277777777777776"/>
    <n v="0"/>
  </r>
  <r>
    <n v="1214"/>
    <x v="3"/>
    <s v="Iteration 23"/>
    <d v="2010-06-08T12:29:10"/>
    <x v="0"/>
    <n v="4.4527777777777775"/>
    <n v="0"/>
  </r>
  <r>
    <n v="1225"/>
    <x v="7"/>
    <s v="Iteration 23"/>
    <d v="2010-06-11T18:55:05"/>
    <x v="0"/>
    <n v="4.4444444444444446"/>
    <n v="0"/>
  </r>
  <r>
    <n v="1261"/>
    <x v="7"/>
    <s v="Iteration 24"/>
    <d v="2010-08-25T14:55:15"/>
    <x v="1"/>
    <n v="4.2388888888888889"/>
    <n v="0"/>
  </r>
  <r>
    <n v="1264"/>
    <x v="7"/>
    <s v="Iteration 24"/>
    <d v="2010-08-24T11:41:06"/>
    <x v="33"/>
    <n v="4.2416666666666663"/>
    <n v="0"/>
  </r>
  <r>
    <n v="1270"/>
    <x v="3"/>
    <s v="Iteration 24"/>
    <d v="2010-08-24T11:16:26"/>
    <x v="6"/>
    <n v="4.2416666666666663"/>
    <n v="0"/>
  </r>
  <r>
    <n v="1278"/>
    <x v="4"/>
    <s v="Iteration 23"/>
    <d v="2010-06-08T11:19:48"/>
    <x v="0"/>
    <n v="4.4527777777777775"/>
    <n v="0"/>
  </r>
  <r>
    <n v="1295"/>
    <x v="4"/>
    <s v="Iteration 23"/>
    <d v="2010-06-08T09:53:59"/>
    <x v="0"/>
    <n v="4.4527777777777775"/>
    <n v="0"/>
  </r>
  <r>
    <n v="1306"/>
    <x v="0"/>
    <s v="Iteration 23"/>
    <d v="2010-06-11T08:42:05"/>
    <x v="0"/>
    <n v="4.4444444444444446"/>
    <n v="0"/>
  </r>
  <r>
    <n v="1308"/>
    <x v="6"/>
    <s v="Iteration 24"/>
    <d v="2010-08-26T11:46:18"/>
    <x v="4"/>
    <n v="4.2361111111111107"/>
    <n v="0"/>
  </r>
  <r>
    <n v="1312"/>
    <x v="3"/>
    <s v="Iteration 23"/>
    <d v="2010-06-11T13:06:14"/>
    <x v="0"/>
    <n v="4.4444444444444446"/>
    <n v="0"/>
  </r>
  <r>
    <n v="1329"/>
    <x v="12"/>
    <s v="Iteration 30"/>
    <d v="2011-09-19T14:35:44"/>
    <x v="1"/>
    <n v="3.1722222222222221"/>
    <n v="0"/>
  </r>
  <r>
    <n v="1330"/>
    <x v="3"/>
    <s v="Iteration 24"/>
    <d v="2010-08-27T09:57:51"/>
    <x v="14"/>
    <n v="4.2333333333333334"/>
    <n v="0"/>
  </r>
  <r>
    <n v="1348"/>
    <x v="11"/>
    <s v="Iteration 24"/>
    <d v="2010-08-24T09:45:07"/>
    <x v="4"/>
    <n v="4.2416666666666663"/>
    <n v="0"/>
  </r>
  <r>
    <n v="1352"/>
    <x v="7"/>
    <s v="Iteration 24"/>
    <d v="2010-08-25T10:40:17"/>
    <x v="4"/>
    <n v="4.2388888888888889"/>
    <n v="0"/>
  </r>
  <r>
    <n v="1419"/>
    <x v="19"/>
    <s v="Release 2.1"/>
    <d v="2012-05-01T19:07:02"/>
    <x v="21"/>
    <n v="2.5555555555555554"/>
    <n v="0"/>
  </r>
  <r>
    <n v="1429"/>
    <x v="10"/>
    <s v="Iteration 26"/>
    <d v="2010-12-15T20:44:59"/>
    <x v="3"/>
    <n v="3.9333333333333331"/>
    <n v="0"/>
  </r>
  <r>
    <n v="1443"/>
    <x v="3"/>
    <s v="Iteration 24"/>
    <d v="2010-08-24T11:15:36"/>
    <x v="6"/>
    <n v="4.2416666666666663"/>
    <n v="0"/>
  </r>
  <r>
    <n v="1446"/>
    <x v="12"/>
    <s v="Iteration 24"/>
    <d v="2010-08-25T15:56:22"/>
    <x v="5"/>
    <n v="4.2388888888888889"/>
    <n v="0"/>
  </r>
  <r>
    <n v="1458"/>
    <x v="3"/>
    <s v="Iteration 24"/>
    <d v="2010-08-25T11:42:35"/>
    <x v="1"/>
    <n v="4.2388888888888889"/>
    <n v="0"/>
  </r>
  <r>
    <n v="1492"/>
    <x v="0"/>
    <s v="Iteration 24"/>
    <d v="2010-08-25T11:12:04"/>
    <x v="4"/>
    <n v="4.2388888888888889"/>
    <n v="0"/>
  </r>
  <r>
    <n v="1493"/>
    <x v="3"/>
    <s v="Iteration 25"/>
    <d v="2010-11-02T11:44:56"/>
    <x v="14"/>
    <n v="4.052777777777778"/>
    <n v="0"/>
  </r>
  <r>
    <n v="1497"/>
    <x v="12"/>
    <s v="Iteration 24"/>
    <d v="2010-08-25T10:53:47"/>
    <x v="4"/>
    <n v="4.2388888888888889"/>
    <n v="0"/>
  </r>
  <r>
    <n v="1510"/>
    <x v="3"/>
    <s v="Iteration 24"/>
    <d v="2010-08-25T14:17:18"/>
    <x v="19"/>
    <n v="4.2388888888888889"/>
    <n v="0"/>
  </r>
  <r>
    <n v="1531"/>
    <x v="3"/>
    <s v="Iteration 25"/>
    <d v="2010-11-02T14:29:48"/>
    <x v="6"/>
    <n v="4.052777777777778"/>
    <n v="0"/>
  </r>
  <r>
    <n v="1556"/>
    <x v="3"/>
    <s v="Iteration 25"/>
    <d v="2010-11-02T10:15:14"/>
    <x v="13"/>
    <n v="4.052777777777778"/>
    <n v="0"/>
  </r>
  <r>
    <n v="1591"/>
    <x v="3"/>
    <s v="Iteration 29"/>
    <d v="2011-06-27T09:51:05"/>
    <x v="1"/>
    <n v="3.4"/>
    <n v="0"/>
  </r>
  <r>
    <n v="1592"/>
    <x v="3"/>
    <s v="Release 2.6"/>
    <d v="2013-07-25T10:03:17"/>
    <x v="1"/>
    <n v="1.3222222222222222"/>
    <n v="0"/>
  </r>
  <r>
    <n v="1613"/>
    <x v="4"/>
    <s v="Iteration 25"/>
    <d v="2010-11-03T15:34:35"/>
    <x v="4"/>
    <n v="4.05"/>
    <n v="0"/>
  </r>
  <r>
    <n v="1624"/>
    <x v="16"/>
    <s v="Iteration 29"/>
    <d v="2011-06-27T16:27:47"/>
    <x v="19"/>
    <n v="3.4"/>
    <n v="0"/>
  </r>
  <r>
    <n v="1630"/>
    <x v="16"/>
    <s v="Iteration 28"/>
    <d v="2011-05-03T16:04:38"/>
    <x v="17"/>
    <n v="3.55"/>
    <n v="0"/>
  </r>
  <r>
    <n v="1637"/>
    <x v="18"/>
    <s v="Iteration 27"/>
    <d v="2011-02-15T09:20:03"/>
    <x v="2"/>
    <n v="3.7666666666666666"/>
    <n v="0"/>
  </r>
  <r>
    <n v="1647"/>
    <x v="10"/>
    <s v="Iteration 26"/>
    <d v="2010-12-16T19:24:53"/>
    <x v="9"/>
    <n v="3.9305555555555554"/>
    <n v="0"/>
  </r>
  <r>
    <n v="1651"/>
    <x v="10"/>
    <s v="Iteration 26"/>
    <d v="2010-12-15T17:10:41"/>
    <x v="19"/>
    <n v="3.9333333333333331"/>
    <n v="0"/>
  </r>
  <r>
    <n v="1682"/>
    <x v="14"/>
    <s v="Iteration 25"/>
    <d v="2010-11-02T14:56:59"/>
    <x v="4"/>
    <n v="4.052777777777778"/>
    <n v="0"/>
  </r>
  <r>
    <n v="1683"/>
    <x v="3"/>
    <s v="Iteration 26"/>
    <d v="2010-12-15T11:26:21"/>
    <x v="6"/>
    <n v="3.9333333333333331"/>
    <n v="0"/>
  </r>
  <r>
    <n v="1688"/>
    <x v="0"/>
    <s v="Iteration 25"/>
    <d v="2010-11-04T09:34:34"/>
    <x v="4"/>
    <n v="4.0472222222222225"/>
    <n v="0"/>
  </r>
  <r>
    <n v="1689"/>
    <x v="10"/>
    <s v="Iteration 25"/>
    <d v="2010-11-02T12:11:18"/>
    <x v="4"/>
    <n v="4.052777777777778"/>
    <n v="0"/>
  </r>
  <r>
    <n v="1738"/>
    <x v="41"/>
    <s v="Release 3.0"/>
    <d v="2013-08-23T14:27:23"/>
    <x v="12"/>
    <n v="1.2444444444444445"/>
    <n v="0"/>
  </r>
  <r>
    <n v="1750"/>
    <x v="7"/>
    <s v="Iteration 25"/>
    <d v="2010-11-02T14:56:23"/>
    <x v="4"/>
    <n v="4.052777777777778"/>
    <n v="0"/>
  </r>
  <r>
    <n v="1785"/>
    <x v="3"/>
    <s v="Iteration 25"/>
    <d v="2010-11-02T17:51:04"/>
    <x v="11"/>
    <n v="4.052777777777778"/>
    <n v="0"/>
  </r>
  <r>
    <n v="1811"/>
    <x v="7"/>
    <s v="Iteration 29"/>
    <d v="2011-06-28T17:19:39"/>
    <x v="5"/>
    <n v="3.3972222222222221"/>
    <n v="0"/>
  </r>
  <r>
    <n v="1819"/>
    <x v="5"/>
    <s v="Iteration 25"/>
    <d v="2010-11-04T15:52:38"/>
    <x v="6"/>
    <n v="4.0472222222222225"/>
    <n v="0"/>
  </r>
  <r>
    <n v="1861"/>
    <x v="10"/>
    <s v="Iteration 26"/>
    <d v="2010-12-16T19:23:29"/>
    <x v="9"/>
    <n v="3.9305555555555554"/>
    <n v="0"/>
  </r>
  <r>
    <n v="1862"/>
    <x v="10"/>
    <s v="Iteration 26"/>
    <d v="2010-12-15T19:28:22"/>
    <x v="19"/>
    <n v="3.9333333333333331"/>
    <n v="0"/>
  </r>
  <r>
    <n v="1867"/>
    <x v="10"/>
    <s v="Iteration 26"/>
    <d v="2010-12-15T12:11:56"/>
    <x v="6"/>
    <n v="3.9333333333333331"/>
    <n v="0"/>
  </r>
  <r>
    <n v="1880"/>
    <x v="10"/>
    <s v="Iteration 26"/>
    <d v="2010-12-16T16:44:08"/>
    <x v="6"/>
    <n v="3.9305555555555554"/>
    <n v="0"/>
  </r>
  <r>
    <n v="1899"/>
    <x v="12"/>
    <s v="Iteration 26"/>
    <d v="2010-12-15T15:17:16"/>
    <x v="7"/>
    <n v="3.9333333333333331"/>
    <n v="0"/>
  </r>
  <r>
    <n v="1901"/>
    <x v="3"/>
    <s v="Iteration 26"/>
    <d v="2010-12-15T12:04:44"/>
    <x v="6"/>
    <n v="3.9333333333333331"/>
    <n v="0"/>
  </r>
  <r>
    <n v="1902"/>
    <x v="3"/>
    <s v="Iteration 26"/>
    <d v="2010-12-15T10:18:45"/>
    <x v="6"/>
    <n v="3.9333333333333331"/>
    <n v="0"/>
  </r>
  <r>
    <n v="1903"/>
    <x v="3"/>
    <s v="Iteration 26"/>
    <d v="2010-12-15T13:58:41"/>
    <x v="6"/>
    <n v="3.9333333333333331"/>
    <n v="0"/>
  </r>
  <r>
    <n v="1904"/>
    <x v="3"/>
    <s v="Iteration 26"/>
    <d v="2012-06-13T16:42:01"/>
    <x v="6"/>
    <n v="2.4388888888888891"/>
    <n v="0"/>
  </r>
  <r>
    <n v="1905"/>
    <x v="3"/>
    <s v="Iteration 26"/>
    <d v="2010-12-16T14:52:17"/>
    <x v="6"/>
    <n v="3.9305555555555554"/>
    <n v="0"/>
  </r>
  <r>
    <n v="1918"/>
    <x v="17"/>
    <s v="Release 2.0"/>
    <d v="2012-01-09T10:30:40"/>
    <x v="11"/>
    <n v="2.8666666666666667"/>
    <n v="0"/>
  </r>
  <r>
    <n v="1922"/>
    <x v="3"/>
    <s v="Iteration 26"/>
    <d v="2010-12-15T21:54:32"/>
    <x v="9"/>
    <n v="3.9333333333333331"/>
    <n v="0"/>
  </r>
  <r>
    <n v="1934"/>
    <x v="3"/>
    <s v="Iteration 26"/>
    <d v="2010-12-15T15:41:35"/>
    <x v="19"/>
    <n v="3.9333333333333331"/>
    <n v="0"/>
  </r>
  <r>
    <n v="1938"/>
    <x v="10"/>
    <s v="Iteration 26"/>
    <d v="2010-12-15T11:31:09"/>
    <x v="6"/>
    <n v="3.9333333333333331"/>
    <n v="0"/>
  </r>
  <r>
    <n v="1958"/>
    <x v="4"/>
    <s v="Iteration 28"/>
    <d v="2011-04-27T18:45:30"/>
    <x v="9"/>
    <n v="3.5666666666666669"/>
    <n v="0"/>
  </r>
  <r>
    <n v="1987"/>
    <x v="6"/>
    <s v="Release 2.0"/>
    <d v="2012-01-09T11:26:16"/>
    <x v="18"/>
    <n v="2.8666666666666667"/>
    <n v="0"/>
  </r>
  <r>
    <n v="2006"/>
    <x v="12"/>
    <s v="Iteration 26"/>
    <d v="2010-12-03T10:36:27"/>
    <x v="14"/>
    <n v="3.9666666666666668"/>
    <n v="0"/>
  </r>
  <r>
    <n v="2010"/>
    <x v="9"/>
    <s v="Iteration 26"/>
    <d v="2010-12-15T20:24:01"/>
    <x v="19"/>
    <n v="3.9333333333333331"/>
    <n v="0"/>
  </r>
  <r>
    <n v="2012"/>
    <x v="12"/>
    <s v="Iteration 28"/>
    <d v="2011-05-05T08:39:15"/>
    <x v="1"/>
    <n v="3.5444444444444443"/>
    <n v="0"/>
  </r>
  <r>
    <n v="2016"/>
    <x v="12"/>
    <s v="Iteration 28"/>
    <d v="2011-04-26T14:15:11"/>
    <x v="1"/>
    <n v="3.5694444444444446"/>
    <n v="0"/>
  </r>
  <r>
    <n v="2018"/>
    <x v="12"/>
    <s v="Iteration 26"/>
    <d v="2010-12-15T16:19:09"/>
    <x v="10"/>
    <n v="3.9333333333333331"/>
    <n v="0"/>
  </r>
  <r>
    <n v="2026"/>
    <x v="4"/>
    <s v="Iteration 26"/>
    <d v="2010-12-16T18:41:53"/>
    <x v="5"/>
    <n v="3.9305555555555554"/>
    <n v="0"/>
  </r>
  <r>
    <n v="2028"/>
    <x v="9"/>
    <s v="Iteration 26"/>
    <d v="2010-12-16T13:31:28"/>
    <x v="13"/>
    <n v="3.9305555555555554"/>
    <n v="0"/>
  </r>
  <r>
    <n v="2029"/>
    <x v="9"/>
    <s v="Iteration 27"/>
    <d v="2011-02-15T12:39:19"/>
    <x v="11"/>
    <n v="3.7666666666666666"/>
    <n v="0"/>
  </r>
  <r>
    <n v="2037"/>
    <x v="10"/>
    <s v="Iteration 26"/>
    <d v="2010-12-15T22:22:14"/>
    <x v="19"/>
    <n v="3.9333333333333331"/>
    <n v="0"/>
  </r>
  <r>
    <n v="2040"/>
    <x v="4"/>
    <s v="Iteration 26"/>
    <d v="2010-12-14T15:48:10"/>
    <x v="6"/>
    <n v="3.9361111111111109"/>
    <n v="0"/>
  </r>
  <r>
    <n v="2044"/>
    <x v="10"/>
    <s v="Iteration 26"/>
    <d v="2010-12-15T10:32:24"/>
    <x v="6"/>
    <n v="3.9333333333333331"/>
    <n v="0"/>
  </r>
  <r>
    <n v="2057"/>
    <x v="30"/>
    <s v="Release 3.0"/>
    <d v="2013-08-21T13:41:50"/>
    <x v="13"/>
    <n v="1.25"/>
    <n v="0"/>
  </r>
  <r>
    <n v="2061"/>
    <x v="9"/>
    <s v="Iteration 27"/>
    <d v="2011-02-15T12:17:31"/>
    <x v="11"/>
    <n v="3.7666666666666666"/>
    <n v="0"/>
  </r>
  <r>
    <n v="2062"/>
    <x v="9"/>
    <s v="Iteration 28"/>
    <d v="2011-04-26T14:33:22"/>
    <x v="1"/>
    <n v="3.5694444444444446"/>
    <n v="0"/>
  </r>
  <r>
    <n v="2068"/>
    <x v="10"/>
    <s v="Iteration 27"/>
    <d v="2011-02-15T15:20:30"/>
    <x v="19"/>
    <n v="3.7666666666666666"/>
    <n v="0"/>
  </r>
  <r>
    <n v="2070"/>
    <x v="4"/>
    <s v="Iteration 26"/>
    <d v="2010-12-16T19:15:54"/>
    <x v="9"/>
    <n v="3.9305555555555554"/>
    <n v="0"/>
  </r>
  <r>
    <n v="2072"/>
    <x v="12"/>
    <s v="Iteration 26"/>
    <d v="2010-12-15T18:18:40"/>
    <x v="9"/>
    <n v="3.9333333333333331"/>
    <n v="0"/>
  </r>
  <r>
    <n v="2073"/>
    <x v="10"/>
    <s v="Iteration 28"/>
    <d v="2011-05-03T20:35:07"/>
    <x v="5"/>
    <n v="3.55"/>
    <n v="0"/>
  </r>
  <r>
    <n v="2079"/>
    <x v="4"/>
    <s v="Iteration 28"/>
    <d v="2011-04-27T11:15:31"/>
    <x v="13"/>
    <n v="3.5666666666666669"/>
    <n v="0"/>
  </r>
  <r>
    <n v="2082"/>
    <x v="4"/>
    <s v="Iteration 29"/>
    <d v="2011-06-27T13:36:26"/>
    <x v="2"/>
    <n v="3.4"/>
    <n v="0"/>
  </r>
  <r>
    <n v="2085"/>
    <x v="7"/>
    <s v="Iteration 26"/>
    <d v="2010-12-16T16:59:25"/>
    <x v="9"/>
    <n v="3.9305555555555554"/>
    <n v="0"/>
  </r>
  <r>
    <n v="2097"/>
    <x v="12"/>
    <s v="Iteration 27"/>
    <d v="2011-02-14T15:02:08"/>
    <x v="2"/>
    <n v="3.7694444444444444"/>
    <n v="0"/>
  </r>
  <r>
    <n v="2132"/>
    <x v="4"/>
    <s v="Iteration 27"/>
    <d v="2011-02-16T14:55:18"/>
    <x v="2"/>
    <n v="3.7638888888888888"/>
    <n v="0"/>
  </r>
  <r>
    <n v="2133"/>
    <x v="4"/>
    <s v="Iteration 27"/>
    <d v="2011-02-14T14:05:22"/>
    <x v="2"/>
    <n v="3.7694444444444444"/>
    <n v="0"/>
  </r>
  <r>
    <n v="2134"/>
    <x v="4"/>
    <s v="Iteration 28"/>
    <d v="2011-04-28T10:31:56"/>
    <x v="14"/>
    <n v="3.5638888888888891"/>
    <n v="0"/>
  </r>
  <r>
    <n v="2142"/>
    <x v="7"/>
    <s v="Iteration 27"/>
    <d v="2011-02-15T16:09:03"/>
    <x v="34"/>
    <n v="3.7666666666666666"/>
    <n v="0"/>
  </r>
  <r>
    <n v="2143"/>
    <x v="7"/>
    <s v="Iteration 27"/>
    <d v="2011-02-14T17:19:00"/>
    <x v="34"/>
    <n v="3.7694444444444444"/>
    <n v="0"/>
  </r>
  <r>
    <n v="2145"/>
    <x v="7"/>
    <s v="Iteration 27"/>
    <d v="2011-02-17T12:33:30"/>
    <x v="33"/>
    <n v="3.7611111111111111"/>
    <n v="0"/>
  </r>
  <r>
    <n v="2146"/>
    <x v="7"/>
    <s v="Iteration 27"/>
    <d v="2011-02-17T12:22:13"/>
    <x v="33"/>
    <n v="3.7611111111111111"/>
    <n v="0"/>
  </r>
  <r>
    <n v="2153"/>
    <x v="7"/>
    <s v="Iteration 27"/>
    <d v="2011-02-15T12:45:44"/>
    <x v="4"/>
    <n v="3.7666666666666666"/>
    <n v="0"/>
  </r>
  <r>
    <n v="2155"/>
    <x v="5"/>
    <s v="Iteration 27"/>
    <d v="2011-02-16T14:58:21"/>
    <x v="14"/>
    <n v="3.7638888888888888"/>
    <n v="0"/>
  </r>
  <r>
    <n v="2157"/>
    <x v="5"/>
    <s v="Iteration 27"/>
    <d v="2011-02-17T16:59:59"/>
    <x v="14"/>
    <n v="3.7611111111111111"/>
    <n v="0"/>
  </r>
  <r>
    <n v="2159"/>
    <x v="6"/>
    <s v="Release 2.2"/>
    <d v="2012-08-14T19:45:15"/>
    <x v="4"/>
    <n v="2.2694444444444444"/>
    <n v="0"/>
  </r>
  <r>
    <n v="2168"/>
    <x v="3"/>
    <s v="Iteration 27"/>
    <d v="2011-02-14T17:08:13"/>
    <x v="34"/>
    <n v="3.7694444444444444"/>
    <n v="0"/>
  </r>
  <r>
    <n v="2170"/>
    <x v="9"/>
    <s v="Iteration 27"/>
    <d v="2011-02-15T12:40:41"/>
    <x v="4"/>
    <n v="3.7666666666666666"/>
    <n v="0"/>
  </r>
  <r>
    <n v="2177"/>
    <x v="4"/>
    <s v="Iteration 27"/>
    <d v="2011-02-14T14:28:57"/>
    <x v="2"/>
    <n v="3.7694444444444444"/>
    <n v="0"/>
  </r>
  <r>
    <n v="2199"/>
    <x v="4"/>
    <s v="Iteration 27"/>
    <d v="2011-02-14T16:46:31"/>
    <x v="2"/>
    <n v="3.7694444444444444"/>
    <n v="0"/>
  </r>
  <r>
    <n v="2209"/>
    <x v="7"/>
    <s v="Iteration 27"/>
    <d v="2011-02-14T17:08:13"/>
    <x v="34"/>
    <n v="3.7694444444444444"/>
    <n v="0"/>
  </r>
  <r>
    <n v="2212"/>
    <x v="7"/>
    <s v="Iteration 28"/>
    <d v="2011-05-03T19:02:18"/>
    <x v="5"/>
    <n v="3.55"/>
    <n v="0"/>
  </r>
  <r>
    <n v="2214"/>
    <x v="3"/>
    <s v="Iteration 27"/>
    <d v="2011-02-16T15:19:51"/>
    <x v="14"/>
    <n v="3.7638888888888888"/>
    <n v="0"/>
  </r>
  <r>
    <n v="2215"/>
    <x v="3"/>
    <s v="Iteration 27"/>
    <d v="2011-02-14T17:24:59"/>
    <x v="2"/>
    <n v="3.7694444444444444"/>
    <n v="0"/>
  </r>
  <r>
    <n v="2220"/>
    <x v="0"/>
    <s v="Iteration 27"/>
    <d v="2011-02-15T16:11:22"/>
    <x v="2"/>
    <n v="3.7666666666666666"/>
    <n v="0"/>
  </r>
  <r>
    <n v="2221"/>
    <x v="0"/>
    <s v="Iteration 27"/>
    <d v="2011-02-15T11:39:43"/>
    <x v="2"/>
    <n v="3.7666666666666666"/>
    <n v="0"/>
  </r>
  <r>
    <n v="2245"/>
    <x v="12"/>
    <s v="Iteration 27"/>
    <d v="2011-02-14T16:46:34"/>
    <x v="34"/>
    <n v="3.7694444444444444"/>
    <n v="0"/>
  </r>
  <r>
    <n v="2254"/>
    <x v="3"/>
    <s v="Iteration 27"/>
    <d v="2011-02-16T10:03:15"/>
    <x v="34"/>
    <n v="3.7638888888888888"/>
    <n v="0"/>
  </r>
  <r>
    <n v="2259"/>
    <x v="6"/>
    <s v="Iteration 27"/>
    <d v="2011-02-15T10:47:08"/>
    <x v="11"/>
    <n v="3.7666666666666666"/>
    <n v="0"/>
  </r>
  <r>
    <n v="2262"/>
    <x v="12"/>
    <s v="Iteration 27"/>
    <d v="2011-02-15T09:57:04"/>
    <x v="2"/>
    <n v="3.7666666666666666"/>
    <n v="0"/>
  </r>
  <r>
    <n v="2284"/>
    <x v="7"/>
    <s v="Iteration 27"/>
    <d v="2011-02-17T09:28:19"/>
    <x v="6"/>
    <n v="3.7611111111111111"/>
    <n v="0"/>
  </r>
  <r>
    <n v="2285"/>
    <x v="7"/>
    <s v="Iteration 27"/>
    <d v="2011-02-17T12:33:47"/>
    <x v="33"/>
    <n v="3.7611111111111111"/>
    <n v="0"/>
  </r>
  <r>
    <n v="2306"/>
    <x v="12"/>
    <s v="Iteration 27"/>
    <d v="2011-02-14T14:37:27"/>
    <x v="2"/>
    <n v="3.7694444444444444"/>
    <n v="0"/>
  </r>
  <r>
    <n v="2311"/>
    <x v="36"/>
    <s v="Iteration 28"/>
    <d v="2011-04-26T19:49:08"/>
    <x v="7"/>
    <n v="3.5694444444444446"/>
    <n v="0"/>
  </r>
  <r>
    <n v="2312"/>
    <x v="36"/>
    <s v="Iteration 27"/>
    <d v="2011-02-14T17:08:13"/>
    <x v="34"/>
    <n v="3.7694444444444444"/>
    <n v="0"/>
  </r>
  <r>
    <n v="2325"/>
    <x v="10"/>
    <s v="Iteration 27"/>
    <d v="2011-02-15T14:18:20"/>
    <x v="33"/>
    <n v="3.7666666666666666"/>
    <n v="0"/>
  </r>
  <r>
    <n v="2328"/>
    <x v="12"/>
    <s v="Iteration 27"/>
    <d v="2011-02-16T15:24:09"/>
    <x v="9"/>
    <n v="3.7638888888888888"/>
    <n v="0"/>
  </r>
  <r>
    <n v="2329"/>
    <x v="3"/>
    <s v="Iteration 27"/>
    <d v="2011-02-14T17:08:13"/>
    <x v="34"/>
    <n v="3.7694444444444444"/>
    <n v="0"/>
  </r>
  <r>
    <n v="2330"/>
    <x v="3"/>
    <s v="Iteration 27"/>
    <d v="2011-02-15T17:50:32"/>
    <x v="2"/>
    <n v="3.7666666666666666"/>
    <n v="0"/>
  </r>
  <r>
    <n v="2341"/>
    <x v="3"/>
    <s v="Iteration 27"/>
    <d v="2011-02-14T17:29:30"/>
    <x v="2"/>
    <n v="3.7694444444444444"/>
    <n v="0"/>
  </r>
  <r>
    <n v="2357"/>
    <x v="7"/>
    <s v="Iteration 27"/>
    <d v="2011-02-15T11:27:19"/>
    <x v="34"/>
    <n v="3.7666666666666666"/>
    <n v="0"/>
  </r>
  <r>
    <n v="2362"/>
    <x v="7"/>
    <s v="Iteration 27"/>
    <d v="2011-02-15T09:44:59"/>
    <x v="34"/>
    <n v="3.7666666666666666"/>
    <n v="0"/>
  </r>
  <r>
    <n v="2366"/>
    <x v="12"/>
    <s v="Iteration 28"/>
    <d v="2011-04-26T14:08:09"/>
    <x v="2"/>
    <n v="3.5694444444444446"/>
    <n v="0"/>
  </r>
  <r>
    <n v="2367"/>
    <x v="5"/>
    <s v="Iteration 27"/>
    <d v="2011-02-15T12:21:24"/>
    <x v="11"/>
    <n v="3.7666666666666666"/>
    <n v="0"/>
  </r>
  <r>
    <n v="2372"/>
    <x v="3"/>
    <s v="Iteration 27"/>
    <d v="2011-02-14T17:08:13"/>
    <x v="34"/>
    <n v="3.7694444444444444"/>
    <n v="0"/>
  </r>
  <r>
    <n v="2386"/>
    <x v="2"/>
    <s v="Iteration 27"/>
    <d v="2011-02-18T14:05:13"/>
    <x v="11"/>
    <n v="3.7583333333333333"/>
    <n v="0"/>
  </r>
  <r>
    <n v="2392"/>
    <x v="4"/>
    <s v="Iteration 28"/>
    <d v="2011-04-26T11:20:18"/>
    <x v="6"/>
    <n v="3.5694444444444446"/>
    <n v="0"/>
  </r>
  <r>
    <n v="2404"/>
    <x v="15"/>
    <s v="Iteration 29"/>
    <d v="2011-06-27T10:12:33"/>
    <x v="11"/>
    <n v="3.4"/>
    <n v="0"/>
  </r>
  <r>
    <n v="2409"/>
    <x v="10"/>
    <s v="Iteration 27"/>
    <d v="2011-02-17T22:01:56"/>
    <x v="9"/>
    <n v="3.7611111111111111"/>
    <n v="0"/>
  </r>
  <r>
    <n v="2420"/>
    <x v="2"/>
    <s v="Iteration 29"/>
    <d v="2011-06-28T12:12:40"/>
    <x v="14"/>
    <n v="3.3972222222222221"/>
    <n v="0"/>
  </r>
  <r>
    <n v="2433"/>
    <x v="14"/>
    <s v="Iteration 29"/>
    <d v="2011-06-27T16:23:46"/>
    <x v="8"/>
    <n v="3.4"/>
    <n v="0"/>
  </r>
  <r>
    <n v="2436"/>
    <x v="0"/>
    <s v="Iteration 27"/>
    <d v="2011-02-18T09:11:39"/>
    <x v="4"/>
    <n v="3.7583333333333333"/>
    <n v="0"/>
  </r>
  <r>
    <n v="2445"/>
    <x v="3"/>
    <s v="Iteration 27"/>
    <d v="2011-02-17T13:53:03"/>
    <x v="1"/>
    <n v="3.7611111111111111"/>
    <n v="0"/>
  </r>
  <r>
    <n v="2447"/>
    <x v="12"/>
    <s v="Iteration 28"/>
    <d v="2011-04-26T19:46:10"/>
    <x v="7"/>
    <n v="3.5694444444444446"/>
    <n v="0"/>
  </r>
  <r>
    <n v="2448"/>
    <x v="12"/>
    <s v="Iteration 28"/>
    <d v="2011-04-28T16:13:59"/>
    <x v="14"/>
    <n v="3.5638888888888891"/>
    <n v="0"/>
  </r>
  <r>
    <n v="2465"/>
    <x v="3"/>
    <s v="Iteration 28"/>
    <d v="2011-04-26T09:53:04"/>
    <x v="6"/>
    <n v="3.5694444444444446"/>
    <n v="0"/>
  </r>
  <r>
    <n v="2469"/>
    <x v="3"/>
    <s v="Iteration 27"/>
    <d v="2011-02-17T17:11:31"/>
    <x v="33"/>
    <n v="3.7611111111111111"/>
    <n v="0"/>
  </r>
  <r>
    <n v="2483"/>
    <x v="14"/>
    <s v="Release 2.2"/>
    <d v="2012-08-06T13:35:17"/>
    <x v="4"/>
    <n v="2.2916666666666665"/>
    <n v="0"/>
  </r>
  <r>
    <n v="2543"/>
    <x v="2"/>
    <s v="Iteration 28"/>
    <d v="2011-04-27T11:35:43"/>
    <x v="13"/>
    <n v="3.5666666666666669"/>
    <n v="0"/>
  </r>
  <r>
    <n v="2562"/>
    <x v="3"/>
    <s v="Iteration 28"/>
    <d v="2011-05-03T12:11:08"/>
    <x v="2"/>
    <n v="3.55"/>
    <n v="0"/>
  </r>
  <r>
    <n v="2568"/>
    <x v="3"/>
    <s v="Iteration 28"/>
    <d v="2011-04-26T14:39:07"/>
    <x v="1"/>
    <n v="3.5694444444444446"/>
    <n v="0"/>
  </r>
  <r>
    <n v="2570"/>
    <x v="4"/>
    <s v="Iteration 28"/>
    <d v="2011-04-27T20:27:11"/>
    <x v="9"/>
    <n v="3.5666666666666669"/>
    <n v="0"/>
  </r>
  <r>
    <n v="2578"/>
    <x v="6"/>
    <s v="Iteration 28"/>
    <d v="2011-04-26T15:15:26"/>
    <x v="1"/>
    <n v="3.5694444444444446"/>
    <n v="0"/>
  </r>
  <r>
    <n v="2588"/>
    <x v="12"/>
    <s v="Iteration 28"/>
    <d v="2011-05-02T14:30:22"/>
    <x v="10"/>
    <n v="3.5527777777777776"/>
    <n v="0"/>
  </r>
  <r>
    <n v="2589"/>
    <x v="21"/>
    <s v="Iteration 28"/>
    <d v="2011-05-03T18:15:18"/>
    <x v="8"/>
    <n v="3.55"/>
    <n v="0"/>
  </r>
  <r>
    <n v="2597"/>
    <x v="7"/>
    <s v="Iteration 28"/>
    <d v="2011-05-03T18:52:11"/>
    <x v="5"/>
    <n v="3.55"/>
    <n v="0"/>
  </r>
  <r>
    <n v="2599"/>
    <x v="7"/>
    <s v="Iteration 28"/>
    <d v="2011-05-03T09:52:24"/>
    <x v="13"/>
    <n v="3.55"/>
    <n v="0"/>
  </r>
  <r>
    <n v="2603"/>
    <x v="7"/>
    <s v="Iteration 28"/>
    <d v="2011-05-03T16:20:48"/>
    <x v="5"/>
    <n v="3.55"/>
    <n v="0"/>
  </r>
  <r>
    <n v="2604"/>
    <x v="7"/>
    <s v="Iteration 28"/>
    <d v="2011-05-03T18:11:59"/>
    <x v="5"/>
    <n v="3.55"/>
    <n v="0"/>
  </r>
  <r>
    <n v="2612"/>
    <x v="7"/>
    <s v="Iteration 28"/>
    <d v="2011-05-03T18:12:10"/>
    <x v="5"/>
    <n v="3.55"/>
    <n v="0"/>
  </r>
  <r>
    <n v="2615"/>
    <x v="3"/>
    <s v="Iteration 28"/>
    <d v="2011-04-28T02:39:02"/>
    <x v="8"/>
    <n v="3.5638888888888891"/>
    <n v="0"/>
  </r>
  <r>
    <n v="2616"/>
    <x v="2"/>
    <s v="Release 3.0"/>
    <d v="2013-09-20T17:37:43"/>
    <x v="11"/>
    <n v="1.1694444444444445"/>
    <n v="0"/>
  </r>
  <r>
    <n v="2617"/>
    <x v="11"/>
    <s v="Release 2.0"/>
    <d v="2011-11-10T18:57:42"/>
    <x v="8"/>
    <n v="3.0305555555555554"/>
    <n v="0"/>
  </r>
  <r>
    <n v="2623"/>
    <x v="12"/>
    <s v="Iteration 28"/>
    <d v="2011-04-26T09:57:50"/>
    <x v="6"/>
    <n v="3.5694444444444446"/>
    <n v="0"/>
  </r>
  <r>
    <n v="2635"/>
    <x v="3"/>
    <s v="Iteration 28"/>
    <d v="2011-04-29T19:32:59"/>
    <x v="19"/>
    <n v="3.5611111111111109"/>
    <n v="0"/>
  </r>
  <r>
    <n v="2636"/>
    <x v="12"/>
    <s v="Release 2.1"/>
    <d v="2012-05-01T19:36:23"/>
    <x v="3"/>
    <n v="2.5555555555555554"/>
    <n v="0"/>
  </r>
  <r>
    <n v="2637"/>
    <x v="3"/>
    <s v="Iteration 28"/>
    <d v="2011-04-26T11:33:11"/>
    <x v="6"/>
    <n v="3.5694444444444446"/>
    <n v="0"/>
  </r>
  <r>
    <n v="2645"/>
    <x v="4"/>
    <s v="Iteration 28"/>
    <d v="2011-04-26T09:37:10"/>
    <x v="6"/>
    <n v="3.5694444444444446"/>
    <n v="0"/>
  </r>
  <r>
    <n v="2647"/>
    <x v="11"/>
    <s v="Iteration 29"/>
    <d v="2011-06-27T11:58:12"/>
    <x v="13"/>
    <n v="3.4"/>
    <n v="0"/>
  </r>
  <r>
    <n v="2650"/>
    <x v="3"/>
    <s v="Release 2.0"/>
    <d v="2012-01-11T15:44:20"/>
    <x v="11"/>
    <n v="2.8611111111111112"/>
    <n v="0"/>
  </r>
  <r>
    <n v="2659"/>
    <x v="0"/>
    <s v="Release 2.2"/>
    <d v="2012-08-06T16:54:42"/>
    <x v="9"/>
    <n v="2.2916666666666665"/>
    <n v="0"/>
  </r>
  <r>
    <n v="2663"/>
    <x v="15"/>
    <s v="Iteration 29"/>
    <d v="2011-06-27T10:13:19"/>
    <x v="11"/>
    <n v="3.4"/>
    <n v="0"/>
  </r>
  <r>
    <n v="2665"/>
    <x v="9"/>
    <s v="Iteration 28"/>
    <d v="2011-04-26T11:17:31"/>
    <x v="13"/>
    <n v="3.5694444444444446"/>
    <n v="0"/>
  </r>
  <r>
    <n v="2700"/>
    <x v="0"/>
    <s v="Iteration 28"/>
    <d v="2011-04-27T09:55:32"/>
    <x v="13"/>
    <n v="3.5666666666666669"/>
    <n v="0"/>
  </r>
  <r>
    <n v="2711"/>
    <x v="12"/>
    <s v="Iteration 29"/>
    <d v="2011-06-27T09:50:57"/>
    <x v="2"/>
    <n v="3.4"/>
    <n v="0"/>
  </r>
  <r>
    <n v="2714"/>
    <x v="3"/>
    <s v="Iteration 28"/>
    <d v="2011-04-26T11:25:26"/>
    <x v="6"/>
    <n v="3.5694444444444446"/>
    <n v="0"/>
  </r>
  <r>
    <n v="2724"/>
    <x v="10"/>
    <s v="Iteration 28"/>
    <d v="2011-04-26T14:16:23"/>
    <x v="2"/>
    <n v="3.5694444444444446"/>
    <n v="0"/>
  </r>
  <r>
    <n v="2726"/>
    <x v="3"/>
    <s v="Iteration 28"/>
    <d v="2011-05-02T03:27:03"/>
    <x v="8"/>
    <n v="3.5527777777777776"/>
    <n v="0"/>
  </r>
  <r>
    <n v="2754"/>
    <x v="10"/>
    <s v="Iteration 28"/>
    <d v="2011-04-27T09:26:47"/>
    <x v="13"/>
    <n v="3.5666666666666669"/>
    <n v="0"/>
  </r>
  <r>
    <n v="2757"/>
    <x v="7"/>
    <s v="Iteration 30"/>
    <d v="2011-09-19T09:56:28"/>
    <x v="13"/>
    <n v="3.1722222222222221"/>
    <n v="0"/>
  </r>
  <r>
    <n v="2769"/>
    <x v="3"/>
    <s v="Iteration 28"/>
    <d v="2011-04-26T10:18:10"/>
    <x v="6"/>
    <n v="3.5694444444444446"/>
    <n v="0"/>
  </r>
  <r>
    <n v="2770"/>
    <x v="7"/>
    <s v="Iteration 28"/>
    <d v="2011-04-26T10:57:51"/>
    <x v="6"/>
    <n v="3.5694444444444446"/>
    <n v="0"/>
  </r>
  <r>
    <n v="2772"/>
    <x v="12"/>
    <s v="Iteration 30"/>
    <d v="2011-09-19T17:50:31"/>
    <x v="2"/>
    <n v="3.1722222222222221"/>
    <n v="0"/>
  </r>
  <r>
    <n v="2779"/>
    <x v="4"/>
    <s v="Iteration 28"/>
    <d v="2011-04-26T15:49:18"/>
    <x v="2"/>
    <n v="3.5694444444444446"/>
    <n v="0"/>
  </r>
  <r>
    <n v="2785"/>
    <x v="6"/>
    <s v="Release 2.1"/>
    <d v="2012-05-04T16:53:18"/>
    <x v="5"/>
    <n v="2.5472222222222221"/>
    <n v="0"/>
  </r>
  <r>
    <n v="2786"/>
    <x v="9"/>
    <s v="Iteration 28"/>
    <d v="2011-04-26T15:23:02"/>
    <x v="1"/>
    <n v="3.5694444444444446"/>
    <n v="0"/>
  </r>
  <r>
    <n v="2794"/>
    <x v="7"/>
    <s v="Iteration 28"/>
    <d v="2011-05-04T19:58:02"/>
    <x v="5"/>
    <n v="3.5472222222222221"/>
    <n v="0"/>
  </r>
  <r>
    <n v="2796"/>
    <x v="2"/>
    <s v="Release 2.0"/>
    <d v="2012-01-11T12:26:35"/>
    <x v="11"/>
    <n v="2.8611111111111112"/>
    <n v="0"/>
  </r>
  <r>
    <n v="2799"/>
    <x v="3"/>
    <s v="Iteration 29"/>
    <d v="2011-06-26T21:05:33"/>
    <x v="9"/>
    <n v="3.4027777777777777"/>
    <n v="0"/>
  </r>
  <r>
    <n v="2803"/>
    <x v="9"/>
    <s v="Iteration 28"/>
    <d v="2011-04-26T11:48:36"/>
    <x v="1"/>
    <n v="3.5694444444444446"/>
    <n v="0"/>
  </r>
  <r>
    <n v="2810"/>
    <x v="14"/>
    <s v="Iteration 30"/>
    <d v="2011-09-20T13:34:31"/>
    <x v="8"/>
    <n v="3.1694444444444443"/>
    <n v="0"/>
  </r>
  <r>
    <n v="2811"/>
    <x v="10"/>
    <s v="Release 2.1"/>
    <d v="2012-04-30T14:45:53"/>
    <x v="5"/>
    <n v="2.5583333333333331"/>
    <n v="0"/>
  </r>
  <r>
    <n v="2816"/>
    <x v="10"/>
    <s v="Iteration 29"/>
    <d v="2011-06-27T14:06:19"/>
    <x v="4"/>
    <n v="3.4"/>
    <n v="0"/>
  </r>
  <r>
    <n v="2819"/>
    <x v="4"/>
    <s v="Iteration 29"/>
    <d v="2011-06-28T16:04:23"/>
    <x v="14"/>
    <n v="3.3972222222222221"/>
    <n v="0"/>
  </r>
  <r>
    <n v="2830"/>
    <x v="12"/>
    <s v="Iteration 29"/>
    <d v="2011-06-27T18:06:30"/>
    <x v="10"/>
    <n v="3.4"/>
    <n v="0"/>
  </r>
  <r>
    <n v="2831"/>
    <x v="12"/>
    <s v="Iteration 28"/>
    <d v="2011-04-27T10:58:24"/>
    <x v="1"/>
    <n v="3.5666666666666669"/>
    <n v="0"/>
  </r>
  <r>
    <n v="2848"/>
    <x v="3"/>
    <s v="Iteration 28"/>
    <d v="2011-05-03T12:40:26"/>
    <x v="14"/>
    <n v="3.55"/>
    <n v="0"/>
  </r>
  <r>
    <n v="2849"/>
    <x v="10"/>
    <s v="Release 2.1"/>
    <d v="2012-04-30T19:57:26"/>
    <x v="5"/>
    <n v="2.5583333333333331"/>
    <n v="0"/>
  </r>
  <r>
    <n v="2864"/>
    <x v="0"/>
    <s v="Iteration 28"/>
    <d v="2011-05-01T17:20:49"/>
    <x v="9"/>
    <n v="3.5555555555555554"/>
    <n v="0"/>
  </r>
  <r>
    <n v="2868"/>
    <x v="15"/>
    <s v="Iteration 28"/>
    <d v="2011-05-05T14:57:22"/>
    <x v="4"/>
    <n v="3.5444444444444443"/>
    <n v="0"/>
  </r>
  <r>
    <n v="2872"/>
    <x v="12"/>
    <s v="Iteration 29"/>
    <d v="2011-06-27T09:54:15"/>
    <x v="1"/>
    <n v="3.4"/>
    <n v="0"/>
  </r>
  <r>
    <n v="2882"/>
    <x v="12"/>
    <s v="Iteration 30"/>
    <d v="2011-09-19T14:43:42"/>
    <x v="4"/>
    <n v="3.1722222222222221"/>
    <n v="0"/>
  </r>
  <r>
    <n v="2913"/>
    <x v="15"/>
    <s v="Iteration 28"/>
    <d v="2011-05-05T16:56:06"/>
    <x v="4"/>
    <n v="3.5444444444444443"/>
    <n v="0"/>
  </r>
  <r>
    <n v="2914"/>
    <x v="10"/>
    <s v="Iteration 28"/>
    <d v="2011-05-05T15:38:04"/>
    <x v="4"/>
    <n v="3.5444444444444443"/>
    <n v="0"/>
  </r>
  <r>
    <n v="2915"/>
    <x v="10"/>
    <s v="Iteration 28"/>
    <d v="2011-05-05T17:10:39"/>
    <x v="4"/>
    <n v="3.5444444444444443"/>
    <n v="0"/>
  </r>
  <r>
    <n v="2921"/>
    <x v="15"/>
    <s v="Release 2.0"/>
    <d v="2012-01-09T11:51:54"/>
    <x v="15"/>
    <n v="2.8666666666666667"/>
    <n v="0"/>
  </r>
  <r>
    <n v="2922"/>
    <x v="19"/>
    <s v="Release 2.0"/>
    <d v="2012-01-09T09:10:51"/>
    <x v="20"/>
    <n v="2.8666666666666667"/>
    <n v="0"/>
  </r>
  <r>
    <n v="2926"/>
    <x v="4"/>
    <s v="Release 2.0"/>
    <d v="2012-01-10T17:15:55"/>
    <x v="8"/>
    <n v="2.8638888888888889"/>
    <n v="0"/>
  </r>
  <r>
    <n v="2933"/>
    <x v="0"/>
    <s v="Iteration 29"/>
    <d v="2011-06-27T09:04:36"/>
    <x v="4"/>
    <n v="3.4"/>
    <n v="0"/>
  </r>
  <r>
    <n v="2945"/>
    <x v="3"/>
    <s v="Iteration 29"/>
    <d v="2011-06-27T12:14:18"/>
    <x v="13"/>
    <n v="3.4"/>
    <n v="0"/>
  </r>
  <r>
    <n v="2949"/>
    <x v="12"/>
    <s v="Iteration 29"/>
    <d v="2011-06-27T09:17:09"/>
    <x v="1"/>
    <n v="3.4"/>
    <n v="0"/>
  </r>
  <r>
    <n v="2950"/>
    <x v="12"/>
    <s v="Iteration 29"/>
    <d v="2011-06-27T09:52:35"/>
    <x v="1"/>
    <n v="3.4"/>
    <n v="0"/>
  </r>
  <r>
    <n v="2953"/>
    <x v="12"/>
    <s v="Iteration 29"/>
    <d v="2011-06-27T09:57:31"/>
    <x v="1"/>
    <n v="3.4"/>
    <n v="0"/>
  </r>
  <r>
    <n v="2955"/>
    <x v="8"/>
    <s v="Iteration 29"/>
    <d v="2011-06-27T08:08:00"/>
    <x v="2"/>
    <n v="3.4"/>
    <n v="0"/>
  </r>
  <r>
    <n v="2986"/>
    <x v="18"/>
    <s v="Iteration 29"/>
    <d v="2011-06-27T16:26:04"/>
    <x v="8"/>
    <n v="3.4"/>
    <n v="0"/>
  </r>
  <r>
    <n v="2992"/>
    <x v="4"/>
    <s v="Iteration 29"/>
    <d v="2011-06-27T18:12:42"/>
    <x v="9"/>
    <n v="3.4"/>
    <n v="0"/>
  </r>
  <r>
    <n v="2993"/>
    <x v="4"/>
    <s v="Iteration 29"/>
    <d v="2011-06-27T18:02:46"/>
    <x v="9"/>
    <n v="3.4"/>
    <n v="0"/>
  </r>
  <r>
    <n v="2994"/>
    <x v="4"/>
    <s v="Iteration 29"/>
    <d v="2011-06-27T16:39:53"/>
    <x v="11"/>
    <n v="3.4"/>
    <n v="0"/>
  </r>
  <r>
    <n v="3012"/>
    <x v="19"/>
    <s v="Release 2.0"/>
    <d v="2012-01-11T15:34:47"/>
    <x v="20"/>
    <n v="2.8611111111111112"/>
    <n v="0"/>
  </r>
  <r>
    <n v="3028"/>
    <x v="12"/>
    <s v="Iteration 29"/>
    <d v="2011-06-27T10:00:30"/>
    <x v="1"/>
    <n v="3.4"/>
    <n v="0"/>
  </r>
  <r>
    <n v="3042"/>
    <x v="4"/>
    <s v="Iteration 30"/>
    <d v="2011-09-19T13:13:17"/>
    <x v="11"/>
    <n v="3.1722222222222221"/>
    <n v="0"/>
  </r>
  <r>
    <n v="3043"/>
    <x v="3"/>
    <s v="Release 2.4"/>
    <d v="2013-01-29T14:29:43"/>
    <x v="1"/>
    <n v="1.8111111111111111"/>
    <n v="0"/>
  </r>
  <r>
    <n v="3046"/>
    <x v="4"/>
    <s v="Iteration 30"/>
    <d v="2011-09-19T09:32:34"/>
    <x v="4"/>
    <n v="3.1722222222222221"/>
    <n v="0"/>
  </r>
  <r>
    <n v="3052"/>
    <x v="3"/>
    <s v="Iteration 29"/>
    <d v="2011-06-27T10:19:22"/>
    <x v="1"/>
    <n v="3.4"/>
    <n v="0"/>
  </r>
  <r>
    <n v="3053"/>
    <x v="7"/>
    <s v="Iteration 29"/>
    <d v="2011-06-28T11:00:13"/>
    <x v="13"/>
    <n v="3.3972222222222221"/>
    <n v="0"/>
  </r>
  <r>
    <n v="3058"/>
    <x v="7"/>
    <s v="Iteration 29"/>
    <d v="2011-06-28T12:35:31"/>
    <x v="1"/>
    <n v="3.3972222222222221"/>
    <n v="0"/>
  </r>
  <r>
    <n v="3061"/>
    <x v="4"/>
    <s v="Iteration 30"/>
    <d v="2011-09-19T16:03:33"/>
    <x v="15"/>
    <n v="3.1722222222222221"/>
    <n v="0"/>
  </r>
  <r>
    <n v="3075"/>
    <x v="12"/>
    <s v="Iteration 29"/>
    <d v="2011-06-27T10:40:02"/>
    <x v="1"/>
    <n v="3.4"/>
    <n v="0"/>
  </r>
  <r>
    <n v="3076"/>
    <x v="0"/>
    <s v="Release 2.0"/>
    <d v="2012-01-13T10:12:24"/>
    <x v="17"/>
    <n v="2.8555555555555556"/>
    <n v="0"/>
  </r>
  <r>
    <n v="3077"/>
    <x v="12"/>
    <s v="Iteration 29"/>
    <d v="2011-06-27T22:39:57"/>
    <x v="9"/>
    <n v="3.4"/>
    <n v="0"/>
  </r>
  <r>
    <n v="3078"/>
    <x v="7"/>
    <s v="Iteration 30"/>
    <d v="2011-09-19T09:43:36"/>
    <x v="13"/>
    <n v="3.1722222222222221"/>
    <n v="0"/>
  </r>
  <r>
    <n v="3106"/>
    <x v="3"/>
    <s v="Iteration 29"/>
    <d v="2011-06-27T17:25:47"/>
    <x v="14"/>
    <n v="3.4"/>
    <n v="0"/>
  </r>
  <r>
    <n v="3108"/>
    <x v="16"/>
    <s v="Iteration 29"/>
    <d v="2011-06-27T14:42:37"/>
    <x v="5"/>
    <n v="3.4"/>
    <n v="0"/>
  </r>
  <r>
    <n v="3119"/>
    <x v="12"/>
    <s v="Iteration 29"/>
    <d v="2011-06-27T12:01:37"/>
    <x v="2"/>
    <n v="3.4"/>
    <n v="0"/>
  </r>
  <r>
    <n v="3122"/>
    <x v="12"/>
    <s v="Iteration 30"/>
    <d v="2011-09-22T18:54:51"/>
    <x v="8"/>
    <n v="3.1638888888888888"/>
    <n v="0"/>
  </r>
  <r>
    <n v="3126"/>
    <x v="12"/>
    <s v="Iteration 29"/>
    <d v="2011-06-27T15:23:25"/>
    <x v="2"/>
    <n v="3.4"/>
    <n v="0"/>
  </r>
  <r>
    <n v="3130"/>
    <x v="12"/>
    <s v="Iteration 30"/>
    <d v="2011-09-19T13:31:06"/>
    <x v="2"/>
    <n v="3.1722222222222221"/>
    <n v="0"/>
  </r>
  <r>
    <n v="3135"/>
    <x v="12"/>
    <s v="Iteration 29"/>
    <d v="2011-06-27T16:58:34"/>
    <x v="2"/>
    <n v="3.4"/>
    <n v="0"/>
  </r>
  <r>
    <n v="3142"/>
    <x v="17"/>
    <s v="Release 2.0"/>
    <d v="2012-01-09T10:23:49"/>
    <x v="15"/>
    <n v="2.8666666666666667"/>
    <n v="0"/>
  </r>
  <r>
    <n v="3148"/>
    <x v="15"/>
    <s v="Iteration 29"/>
    <d v="2011-06-27T08:52:34"/>
    <x v="13"/>
    <n v="3.4"/>
    <n v="0"/>
  </r>
  <r>
    <n v="3167"/>
    <x v="7"/>
    <s v="Iteration 29"/>
    <d v="2011-06-28T21:56:38"/>
    <x v="23"/>
    <n v="3.3972222222222221"/>
    <n v="0"/>
  </r>
  <r>
    <n v="3174"/>
    <x v="4"/>
    <s v="Iteration 30"/>
    <d v="2011-09-21T19:10:32"/>
    <x v="3"/>
    <n v="3.1666666666666665"/>
    <n v="0"/>
  </r>
  <r>
    <n v="3175"/>
    <x v="3"/>
    <s v="Iteration 29"/>
    <d v="2011-06-27T14:27:17"/>
    <x v="2"/>
    <n v="3.4"/>
    <n v="0"/>
  </r>
  <r>
    <n v="3192"/>
    <x v="19"/>
    <s v="Release 2.0"/>
    <d v="2012-01-11T04:46:20"/>
    <x v="9"/>
    <n v="2.8611111111111112"/>
    <n v="0"/>
  </r>
  <r>
    <n v="3199"/>
    <x v="7"/>
    <s v="Iteration 29"/>
    <d v="2011-09-19T09:34:18"/>
    <x v="13"/>
    <n v="3.1722222222222221"/>
    <n v="0"/>
  </r>
  <r>
    <n v="3206"/>
    <x v="2"/>
    <s v="Iteration 29"/>
    <d v="2011-06-28T20:49:40"/>
    <x v="8"/>
    <n v="3.3972222222222221"/>
    <n v="0"/>
  </r>
  <r>
    <n v="3208"/>
    <x v="14"/>
    <s v="Release 2.2"/>
    <d v="2012-08-09T20:14:26"/>
    <x v="5"/>
    <n v="2.2833333333333332"/>
    <n v="0"/>
  </r>
  <r>
    <n v="3236"/>
    <x v="16"/>
    <s v="Iteration 29"/>
    <d v="2011-06-29T18:12:16"/>
    <x v="5"/>
    <n v="3.3944444444444444"/>
    <n v="0"/>
  </r>
  <r>
    <n v="3240"/>
    <x v="4"/>
    <s v="Iteration 29"/>
    <d v="2011-06-27T18:25:33"/>
    <x v="10"/>
    <n v="3.4"/>
    <n v="0"/>
  </r>
  <r>
    <n v="3243"/>
    <x v="3"/>
    <s v="Iteration 30"/>
    <d v="2011-09-21T18:19:55"/>
    <x v="8"/>
    <n v="3.1666666666666665"/>
    <n v="0"/>
  </r>
  <r>
    <n v="3286"/>
    <x v="23"/>
    <s v="Iteration 30"/>
    <d v="2011-09-19T19:44:00"/>
    <x v="10"/>
    <n v="3.1722222222222221"/>
    <n v="0"/>
  </r>
  <r>
    <n v="3298"/>
    <x v="8"/>
    <s v="Iteration 30"/>
    <d v="2011-09-19T17:36:30"/>
    <x v="15"/>
    <n v="3.1722222222222221"/>
    <n v="0"/>
  </r>
  <r>
    <n v="3299"/>
    <x v="3"/>
    <s v="Iteration 30"/>
    <d v="2011-09-19T16:49:50"/>
    <x v="23"/>
    <n v="3.1722222222222221"/>
    <n v="0"/>
  </r>
  <r>
    <n v="3312"/>
    <x v="3"/>
    <s v="Iteration 30"/>
    <d v="2011-09-19T14:42:55"/>
    <x v="1"/>
    <n v="3.1722222222222221"/>
    <n v="0"/>
  </r>
  <r>
    <n v="3315"/>
    <x v="16"/>
    <s v="Iteration 30"/>
    <d v="2011-09-22T14:02:38"/>
    <x v="15"/>
    <n v="3.1638888888888888"/>
    <n v="0"/>
  </r>
  <r>
    <n v="3334"/>
    <x v="4"/>
    <s v="Iteration 30"/>
    <d v="2011-09-19T19:20:10"/>
    <x v="7"/>
    <n v="3.1722222222222221"/>
    <n v="0"/>
  </r>
  <r>
    <n v="3344"/>
    <x v="30"/>
    <s v="Release 3.0"/>
    <d v="2013-08-16T20:24:45"/>
    <x v="7"/>
    <n v="1.2638888888888888"/>
    <n v="0"/>
  </r>
  <r>
    <n v="3347"/>
    <x v="19"/>
    <s v="Release 2.0"/>
    <d v="2012-01-09T14:06:06"/>
    <x v="20"/>
    <n v="2.8666666666666667"/>
    <n v="0"/>
  </r>
  <r>
    <n v="3368"/>
    <x v="10"/>
    <s v="Iteration 30"/>
    <d v="2011-09-20T09:18:34"/>
    <x v="9"/>
    <n v="3.1694444444444443"/>
    <n v="0"/>
  </r>
  <r>
    <n v="3369"/>
    <x v="12"/>
    <s v="Iteration 30"/>
    <d v="2011-09-20T09:19:39"/>
    <x v="2"/>
    <n v="3.1694444444444443"/>
    <n v="0"/>
  </r>
  <r>
    <n v="3373"/>
    <x v="16"/>
    <s v="Iteration 30"/>
    <d v="2011-09-20T15:47:11"/>
    <x v="19"/>
    <n v="3.1694444444444443"/>
    <n v="0"/>
  </r>
  <r>
    <n v="3376"/>
    <x v="12"/>
    <s v="Iteration 30"/>
    <d v="2011-09-19T10:26:54"/>
    <x v="2"/>
    <n v="3.1722222222222221"/>
    <n v="0"/>
  </r>
  <r>
    <n v="3383"/>
    <x v="4"/>
    <s v="Iteration 30"/>
    <d v="2011-09-19T18:33:47"/>
    <x v="19"/>
    <n v="3.1722222222222221"/>
    <n v="0"/>
  </r>
  <r>
    <n v="3391"/>
    <x v="16"/>
    <s v="Iteration 30"/>
    <d v="2011-09-19T16:20:09"/>
    <x v="19"/>
    <n v="3.1722222222222221"/>
    <n v="0"/>
  </r>
  <r>
    <n v="3398"/>
    <x v="4"/>
    <s v="Iteration 30"/>
    <d v="2011-09-19T10:48:23"/>
    <x v="4"/>
    <n v="3.1722222222222221"/>
    <n v="0"/>
  </r>
  <r>
    <n v="3406"/>
    <x v="3"/>
    <s v="Iteration 30"/>
    <d v="2011-09-19T14:48:06"/>
    <x v="1"/>
    <n v="3.1722222222222221"/>
    <n v="0"/>
  </r>
  <r>
    <n v="3407"/>
    <x v="3"/>
    <s v="Release 2.5"/>
    <d v="2013-04-04T14:39:52"/>
    <x v="3"/>
    <n v="1.6305555555555555"/>
    <n v="0"/>
  </r>
  <r>
    <n v="3408"/>
    <x v="12"/>
    <s v="Iteration 30"/>
    <d v="2011-09-19T17:55:50"/>
    <x v="2"/>
    <n v="3.1722222222222221"/>
    <n v="0"/>
  </r>
  <r>
    <n v="3443"/>
    <x v="6"/>
    <s v="Iteration 30"/>
    <d v="2011-09-19T15:41:11"/>
    <x v="8"/>
    <n v="3.1722222222222221"/>
    <n v="0"/>
  </r>
  <r>
    <n v="3445"/>
    <x v="12"/>
    <s v="Iteration 30"/>
    <d v="2011-09-19T19:16:50"/>
    <x v="16"/>
    <n v="3.1722222222222221"/>
    <n v="0"/>
  </r>
  <r>
    <n v="3453"/>
    <x v="8"/>
    <s v="Iteration 30"/>
    <d v="2011-09-19T13:34:09"/>
    <x v="2"/>
    <n v="3.1722222222222221"/>
    <n v="0"/>
  </r>
  <r>
    <n v="3487"/>
    <x v="4"/>
    <s v="Iteration 30"/>
    <d v="2011-09-19T15:37:58"/>
    <x v="4"/>
    <n v="3.1722222222222221"/>
    <n v="0"/>
  </r>
  <r>
    <n v="3501"/>
    <x v="19"/>
    <s v="Iteration 30"/>
    <d v="2011-09-21T13:52:48"/>
    <x v="11"/>
    <n v="3.1666666666666665"/>
    <n v="0"/>
  </r>
  <r>
    <n v="3504"/>
    <x v="12"/>
    <s v="Iteration 30"/>
    <d v="2011-09-20T12:22:15"/>
    <x v="2"/>
    <n v="3.1694444444444443"/>
    <n v="0"/>
  </r>
  <r>
    <n v="3507"/>
    <x v="16"/>
    <s v="Iteration 30"/>
    <d v="2011-09-19T19:12:26"/>
    <x v="19"/>
    <n v="3.1722222222222221"/>
    <n v="0"/>
  </r>
  <r>
    <n v="3511"/>
    <x v="4"/>
    <s v="Iteration 30"/>
    <d v="2011-09-20T20:45:38"/>
    <x v="19"/>
    <n v="3.1694444444444443"/>
    <n v="0"/>
  </r>
  <r>
    <n v="3512"/>
    <x v="4"/>
    <s v="Iteration 30"/>
    <d v="2011-09-20T22:45:12"/>
    <x v="7"/>
    <n v="3.1694444444444443"/>
    <n v="0"/>
  </r>
  <r>
    <n v="3514"/>
    <x v="12"/>
    <s v="Iteration 30"/>
    <d v="2011-09-20T16:49:49"/>
    <x v="16"/>
    <n v="3.1694444444444443"/>
    <n v="0"/>
  </r>
  <r>
    <n v="3515"/>
    <x v="12"/>
    <s v="Iteration 30"/>
    <d v="2011-09-20T16:32:03"/>
    <x v="16"/>
    <n v="3.1694444444444443"/>
    <n v="0"/>
  </r>
  <r>
    <n v="3522"/>
    <x v="18"/>
    <s v="Release 2.1"/>
    <d v="2012-05-02T18:26:49"/>
    <x v="3"/>
    <n v="2.5527777777777776"/>
    <n v="0"/>
  </r>
  <r>
    <n v="3541"/>
    <x v="6"/>
    <s v="Release 2.0"/>
    <d v="2012-01-12T16:47:38"/>
    <x v="3"/>
    <n v="2.8583333333333334"/>
    <n v="0"/>
  </r>
  <r>
    <n v="3543"/>
    <x v="12"/>
    <s v="Iteration 30"/>
    <d v="2011-09-19T10:32:00"/>
    <x v="2"/>
    <n v="3.1722222222222221"/>
    <n v="0"/>
  </r>
  <r>
    <n v="3546"/>
    <x v="6"/>
    <s v="Iteration 30"/>
    <d v="2011-09-19T15:01:45"/>
    <x v="1"/>
    <n v="3.1722222222222221"/>
    <n v="0"/>
  </r>
  <r>
    <n v="3558"/>
    <x v="12"/>
    <s v="Iteration 30"/>
    <d v="2011-09-19T10:18:27"/>
    <x v="2"/>
    <n v="3.1722222222222221"/>
    <n v="0"/>
  </r>
  <r>
    <n v="3583"/>
    <x v="4"/>
    <s v="Release 2.0"/>
    <d v="2012-01-09T16:14:05"/>
    <x v="2"/>
    <n v="2.8666666666666667"/>
    <n v="0"/>
  </r>
  <r>
    <n v="3586"/>
    <x v="12"/>
    <s v="Release 2.0"/>
    <d v="2012-01-10T09:04:26"/>
    <x v="2"/>
    <n v="2.8638888888888889"/>
    <n v="0"/>
  </r>
  <r>
    <n v="3597"/>
    <x v="8"/>
    <s v="Iteration 30"/>
    <d v="2011-09-19T10:05:16"/>
    <x v="2"/>
    <n v="3.1722222222222221"/>
    <n v="0"/>
  </r>
  <r>
    <n v="3602"/>
    <x v="13"/>
    <s v="Release 2.0"/>
    <d v="2012-01-10T11:06:58"/>
    <x v="13"/>
    <n v="2.8638888888888889"/>
    <n v="0"/>
  </r>
  <r>
    <n v="3607"/>
    <x v="12"/>
    <s v="Iteration 30"/>
    <d v="2011-09-19T15:17:57"/>
    <x v="1"/>
    <n v="3.1722222222222221"/>
    <n v="0"/>
  </r>
  <r>
    <n v="3618"/>
    <x v="6"/>
    <s v="Release 2.0"/>
    <d v="2012-01-12T19:00:57"/>
    <x v="5"/>
    <n v="2.8583333333333334"/>
    <n v="0"/>
  </r>
  <r>
    <n v="3638"/>
    <x v="12"/>
    <s v="Iteration 30"/>
    <d v="2011-09-20T09:36:01"/>
    <x v="2"/>
    <n v="3.1694444444444443"/>
    <n v="0"/>
  </r>
  <r>
    <n v="3641"/>
    <x v="16"/>
    <s v="Release 2.0"/>
    <d v="2012-01-11T12:28:29"/>
    <x v="11"/>
    <n v="2.8611111111111112"/>
    <n v="0"/>
  </r>
  <r>
    <n v="3644"/>
    <x v="12"/>
    <s v="Iteration 30"/>
    <d v="2011-09-19T13:36:56"/>
    <x v="2"/>
    <n v="3.1722222222222221"/>
    <n v="0"/>
  </r>
  <r>
    <n v="3648"/>
    <x v="10"/>
    <s v="Iteration 30"/>
    <d v="2011-09-19T20:01:34"/>
    <x v="5"/>
    <n v="3.1722222222222221"/>
    <n v="0"/>
  </r>
  <r>
    <n v="3677"/>
    <x v="8"/>
    <s v="Iteration 30"/>
    <d v="2011-09-19T18:02:56"/>
    <x v="2"/>
    <n v="3.1722222222222221"/>
    <n v="0"/>
  </r>
  <r>
    <n v="3678"/>
    <x v="12"/>
    <s v="Iteration 30"/>
    <d v="2011-09-19T19:53:50"/>
    <x v="5"/>
    <n v="3.1722222222222221"/>
    <n v="0"/>
  </r>
  <r>
    <n v="3681"/>
    <x v="3"/>
    <s v="Iteration 30"/>
    <d v="2011-09-19T12:38:15"/>
    <x v="11"/>
    <n v="3.1722222222222221"/>
    <n v="0"/>
  </r>
  <r>
    <n v="3687"/>
    <x v="12"/>
    <s v="Iteration 30"/>
    <d v="2011-11-14T19:16:04"/>
    <x v="1"/>
    <n v="3.0194444444444444"/>
    <n v="0"/>
  </r>
  <r>
    <n v="3688"/>
    <x v="12"/>
    <s v="Iteration 30"/>
    <d v="2011-09-19T15:55:11"/>
    <x v="1"/>
    <n v="3.1722222222222221"/>
    <n v="0"/>
  </r>
  <r>
    <n v="3689"/>
    <x v="12"/>
    <s v="Iteration 30"/>
    <d v="2011-09-20T09:32:01"/>
    <x v="1"/>
    <n v="3.1694444444444443"/>
    <n v="0"/>
  </r>
  <r>
    <n v="3694"/>
    <x v="19"/>
    <s v="Release 2.0"/>
    <d v="2012-01-09T14:25:42"/>
    <x v="18"/>
    <n v="2.8666666666666667"/>
    <n v="0"/>
  </r>
  <r>
    <n v="3697"/>
    <x v="4"/>
    <s v="Iteration 30"/>
    <d v="2011-09-19T17:04:47"/>
    <x v="19"/>
    <n v="3.1722222222222221"/>
    <n v="0"/>
  </r>
  <r>
    <n v="3708"/>
    <x v="12"/>
    <s v="Iteration 30"/>
    <d v="2011-09-20T15:51:20"/>
    <x v="16"/>
    <n v="3.1694444444444443"/>
    <n v="0"/>
  </r>
  <r>
    <n v="3716"/>
    <x v="12"/>
    <s v="Iteration 30"/>
    <d v="2011-09-21T14:59:00"/>
    <x v="3"/>
    <n v="3.1666666666666665"/>
    <n v="0"/>
  </r>
  <r>
    <n v="3725"/>
    <x v="4"/>
    <s v="Release 2.0"/>
    <d v="2012-01-11T12:40:17"/>
    <x v="11"/>
    <n v="2.8611111111111112"/>
    <n v="0"/>
  </r>
  <r>
    <n v="3728"/>
    <x v="13"/>
    <s v="Release 2.1"/>
    <d v="2012-04-30T10:58:48"/>
    <x v="13"/>
    <n v="2.5583333333333331"/>
    <n v="0"/>
  </r>
  <r>
    <n v="3729"/>
    <x v="12"/>
    <s v="Iteration 30"/>
    <d v="2011-09-19T16:23:13"/>
    <x v="5"/>
    <n v="3.1722222222222221"/>
    <n v="0"/>
  </r>
  <r>
    <n v="3738"/>
    <x v="19"/>
    <s v="Release 2.0"/>
    <d v="2012-01-09T15:29:31"/>
    <x v="11"/>
    <n v="2.8666666666666667"/>
    <n v="0"/>
  </r>
  <r>
    <n v="3746"/>
    <x v="4"/>
    <s v="Release 2.0"/>
    <d v="2012-01-09T21:05:33"/>
    <x v="5"/>
    <n v="2.8666666666666667"/>
    <n v="0"/>
  </r>
  <r>
    <n v="3747"/>
    <x v="16"/>
    <s v="Iteration 30"/>
    <d v="2011-09-20T09:41:03"/>
    <x v="15"/>
    <n v="3.1694444444444443"/>
    <n v="0"/>
  </r>
  <r>
    <n v="3749"/>
    <x v="11"/>
    <s v="Iteration 30"/>
    <d v="2011-09-19T20:40:36"/>
    <x v="5"/>
    <n v="3.1722222222222221"/>
    <n v="0"/>
  </r>
  <r>
    <n v="3767"/>
    <x v="11"/>
    <s v="Iteration 30"/>
    <d v="2011-09-20T19:19:17"/>
    <x v="19"/>
    <n v="3.1694444444444443"/>
    <n v="0"/>
  </r>
  <r>
    <n v="3769"/>
    <x v="0"/>
    <s v="Iteration 30"/>
    <d v="2011-09-21T19:53:29"/>
    <x v="4"/>
    <n v="3.1666666666666665"/>
    <n v="0"/>
  </r>
  <r>
    <n v="3774"/>
    <x v="3"/>
    <s v="Iteration 30"/>
    <d v="2011-09-21T22:18:24"/>
    <x v="8"/>
    <n v="3.1666666666666665"/>
    <n v="0"/>
  </r>
  <r>
    <n v="3778"/>
    <x v="3"/>
    <s v="Release 2.0"/>
    <d v="2012-01-13T13:51:34"/>
    <x v="5"/>
    <n v="2.8555555555555556"/>
    <n v="0"/>
  </r>
  <r>
    <n v="3783"/>
    <x v="4"/>
    <s v="Iteration 30"/>
    <d v="2011-09-21T15:09:15"/>
    <x v="7"/>
    <n v="3.1666666666666665"/>
    <n v="0"/>
  </r>
  <r>
    <n v="3784"/>
    <x v="0"/>
    <s v="Release 2.0"/>
    <d v="2012-01-18T16:34:52"/>
    <x v="21"/>
    <n v="2.8416666666666668"/>
    <n v="0"/>
  </r>
  <r>
    <n v="3790"/>
    <x v="13"/>
    <s v="Release 2.0"/>
    <d v="2012-01-10T13:58:10"/>
    <x v="13"/>
    <n v="2.8638888888888889"/>
    <n v="0"/>
  </r>
  <r>
    <n v="3793"/>
    <x v="12"/>
    <s v="Release 2.0"/>
    <d v="2012-01-09T09:34:39"/>
    <x v="2"/>
    <n v="2.8666666666666667"/>
    <n v="0"/>
  </r>
  <r>
    <n v="3806"/>
    <x v="13"/>
    <s v="Release 2.0"/>
    <d v="2012-01-10T13:59:39"/>
    <x v="13"/>
    <n v="2.8638888888888889"/>
    <n v="0"/>
  </r>
  <r>
    <n v="3816"/>
    <x v="16"/>
    <s v="Release 2.0"/>
    <d v="2012-01-09T15:36:41"/>
    <x v="11"/>
    <n v="2.8666666666666667"/>
    <n v="0"/>
  </r>
  <r>
    <n v="3821"/>
    <x v="13"/>
    <s v="Release 2.0"/>
    <d v="2012-01-09T14:51:26"/>
    <x v="15"/>
    <n v="2.8666666666666667"/>
    <n v="0"/>
  </r>
  <r>
    <n v="3837"/>
    <x v="13"/>
    <s v="Release 2.0"/>
    <d v="2012-01-09T14:57:18"/>
    <x v="18"/>
    <n v="2.8666666666666667"/>
    <n v="0"/>
  </r>
  <r>
    <n v="3859"/>
    <x v="12"/>
    <s v="Release 2.0"/>
    <d v="2012-01-09T11:16:09"/>
    <x v="2"/>
    <n v="2.8666666666666667"/>
    <n v="0"/>
  </r>
  <r>
    <n v="3864"/>
    <x v="16"/>
    <s v="Release 2.0"/>
    <d v="2012-01-09T16:10:23"/>
    <x v="5"/>
    <n v="2.8666666666666667"/>
    <n v="0"/>
  </r>
  <r>
    <n v="3870"/>
    <x v="17"/>
    <s v="Release 2.0"/>
    <d v="2012-01-09T11:22:28"/>
    <x v="11"/>
    <n v="2.8666666666666667"/>
    <n v="0"/>
  </r>
  <r>
    <n v="3875"/>
    <x v="3"/>
    <s v="Release 2.0"/>
    <d v="2012-01-12T20:05:14"/>
    <x v="3"/>
    <n v="2.8583333333333334"/>
    <n v="0"/>
  </r>
  <r>
    <n v="3882"/>
    <x v="12"/>
    <s v="Release 2.0"/>
    <d v="2012-01-11T19:02:14"/>
    <x v="9"/>
    <n v="2.8611111111111112"/>
    <n v="0"/>
  </r>
  <r>
    <n v="3894"/>
    <x v="16"/>
    <s v="Release 2.0"/>
    <d v="2012-01-09T16:15:08"/>
    <x v="5"/>
    <n v="2.8666666666666667"/>
    <n v="0"/>
  </r>
  <r>
    <n v="3903"/>
    <x v="0"/>
    <s v="Release 2.0"/>
    <d v="2012-01-10T20:05:27"/>
    <x v="5"/>
    <n v="2.8638888888888889"/>
    <n v="0"/>
  </r>
  <r>
    <n v="3907"/>
    <x v="12"/>
    <s v="Release 2.0"/>
    <d v="2012-01-09T09:47:17"/>
    <x v="2"/>
    <n v="2.8666666666666667"/>
    <n v="0"/>
  </r>
  <r>
    <n v="3908"/>
    <x v="19"/>
    <s v="Release 2.0"/>
    <d v="2012-01-09T21:13:00"/>
    <x v="5"/>
    <n v="2.8666666666666667"/>
    <n v="0"/>
  </r>
  <r>
    <n v="3909"/>
    <x v="0"/>
    <s v="Release 2.0"/>
    <d v="2012-01-09T10:20:48"/>
    <x v="11"/>
    <n v="2.8666666666666667"/>
    <n v="0"/>
  </r>
  <r>
    <n v="3910"/>
    <x v="0"/>
    <s v="Release 2.0"/>
    <d v="2012-01-09T10:23:16"/>
    <x v="11"/>
    <n v="2.8666666666666667"/>
    <n v="0"/>
  </r>
  <r>
    <n v="3912"/>
    <x v="17"/>
    <s v="Release 2.0"/>
    <d v="2012-01-09T10:26:29"/>
    <x v="11"/>
    <n v="2.8666666666666667"/>
    <n v="0"/>
  </r>
  <r>
    <n v="3913"/>
    <x v="19"/>
    <s v="Release 2.0"/>
    <d v="2012-01-09T10:26:54"/>
    <x v="11"/>
    <n v="2.8666666666666667"/>
    <n v="0"/>
  </r>
  <r>
    <n v="3914"/>
    <x v="19"/>
    <s v="Release 2.0"/>
    <d v="2012-01-09T10:27:37"/>
    <x v="11"/>
    <n v="2.8666666666666667"/>
    <n v="0"/>
  </r>
  <r>
    <n v="3920"/>
    <x v="3"/>
    <s v="Release 2.0"/>
    <d v="2012-01-18T22:19:06"/>
    <x v="8"/>
    <n v="2.8416666666666668"/>
    <n v="0"/>
  </r>
  <r>
    <n v="3944"/>
    <x v="4"/>
    <s v="Release 2.0"/>
    <d v="2012-01-09T15:49:13"/>
    <x v="11"/>
    <n v="2.8666666666666667"/>
    <n v="0"/>
  </r>
  <r>
    <n v="3945"/>
    <x v="16"/>
    <s v="Release 2.0"/>
    <d v="2012-01-10T21:24:24"/>
    <x v="5"/>
    <n v="2.8638888888888889"/>
    <n v="0"/>
  </r>
  <r>
    <n v="3946"/>
    <x v="3"/>
    <s v="Release 2.0"/>
    <d v="2012-01-10T21:23:41"/>
    <x v="5"/>
    <n v="2.8638888888888889"/>
    <n v="0"/>
  </r>
  <r>
    <n v="3952"/>
    <x v="36"/>
    <s v="Release 2.4"/>
    <d v="2013-01-28T20:10:52"/>
    <x v="3"/>
    <n v="1.8138888888888889"/>
    <n v="0"/>
  </r>
  <r>
    <n v="3953"/>
    <x v="4"/>
    <s v="Release 2.0"/>
    <d v="2012-01-11T14:19:43"/>
    <x v="11"/>
    <n v="2.8611111111111112"/>
    <n v="0"/>
  </r>
  <r>
    <n v="3960"/>
    <x v="0"/>
    <s v="Release 2.0"/>
    <d v="2012-01-09T10:28:14"/>
    <x v="11"/>
    <n v="2.8666666666666667"/>
    <n v="0"/>
  </r>
  <r>
    <n v="3962"/>
    <x v="12"/>
    <s v="Release 2.0"/>
    <d v="2012-01-09T15:32:50"/>
    <x v="2"/>
    <n v="2.8666666666666667"/>
    <n v="0"/>
  </r>
  <r>
    <n v="3976"/>
    <x v="12"/>
    <s v="Release 2.0"/>
    <d v="2012-01-11T19:23:09"/>
    <x v="7"/>
    <n v="2.8611111111111112"/>
    <n v="0"/>
  </r>
  <r>
    <n v="3982"/>
    <x v="4"/>
    <s v="Release 2.0"/>
    <d v="2012-01-10T16:24:28"/>
    <x v="20"/>
    <n v="2.8638888888888889"/>
    <n v="0"/>
  </r>
  <r>
    <n v="3998"/>
    <x v="3"/>
    <s v="Release 2.0"/>
    <d v="2012-01-10T10:57:58"/>
    <x v="11"/>
    <n v="2.8638888888888889"/>
    <n v="0"/>
  </r>
  <r>
    <n v="4001"/>
    <x v="3"/>
    <s v="Release 2.0"/>
    <d v="2012-01-12T17:15:42"/>
    <x v="7"/>
    <n v="2.8583333333333334"/>
    <n v="0"/>
  </r>
  <r>
    <n v="4007"/>
    <x v="6"/>
    <s v="Release 2.0"/>
    <d v="2012-01-13T11:55:26"/>
    <x v="11"/>
    <n v="2.8555555555555556"/>
    <n v="0"/>
  </r>
  <r>
    <n v="4009"/>
    <x v="4"/>
    <s v="Release 2.0"/>
    <d v="2012-01-09T18:29:13"/>
    <x v="9"/>
    <n v="2.8666666666666667"/>
    <n v="0"/>
  </r>
  <r>
    <n v="4017"/>
    <x v="17"/>
    <s v="Release 2.0"/>
    <d v="2012-01-09T09:34:36"/>
    <x v="13"/>
    <n v="2.8666666666666667"/>
    <n v="0"/>
  </r>
  <r>
    <n v="4020"/>
    <x v="17"/>
    <s v="Release 2.0"/>
    <d v="2012-01-09T09:14:16"/>
    <x v="13"/>
    <n v="2.8666666666666667"/>
    <n v="0"/>
  </r>
  <r>
    <n v="4023"/>
    <x v="3"/>
    <s v="Release 2.0"/>
    <d v="2012-01-09T15:56:51"/>
    <x v="11"/>
    <n v="2.8666666666666667"/>
    <n v="0"/>
  </r>
  <r>
    <n v="4025"/>
    <x v="12"/>
    <s v="Release 2.0"/>
    <d v="2012-01-09T11:17:53"/>
    <x v="2"/>
    <n v="2.8666666666666667"/>
    <n v="0"/>
  </r>
  <r>
    <n v="4038"/>
    <x v="16"/>
    <s v="Release 2.0"/>
    <d v="2012-01-12T14:25:00"/>
    <x v="8"/>
    <n v="2.8583333333333334"/>
    <n v="0"/>
  </r>
  <r>
    <n v="4051"/>
    <x v="0"/>
    <s v="Release 2.0"/>
    <d v="2012-01-12T18:53:17"/>
    <x v="16"/>
    <n v="2.8583333333333334"/>
    <n v="0"/>
  </r>
  <r>
    <n v="4055"/>
    <x v="13"/>
    <s v="Release 2.0"/>
    <d v="2012-01-10T15:27:34"/>
    <x v="13"/>
    <n v="2.8638888888888889"/>
    <n v="0"/>
  </r>
  <r>
    <n v="4057"/>
    <x v="2"/>
    <s v="Release 2.6"/>
    <d v="2013-07-25T10:03:37"/>
    <x v="5"/>
    <n v="1.3222222222222222"/>
    <n v="0"/>
  </r>
  <r>
    <n v="4069"/>
    <x v="23"/>
    <s v="Release 2.0"/>
    <d v="2012-01-10T13:07:23"/>
    <x v="10"/>
    <n v="2.8638888888888889"/>
    <n v="0"/>
  </r>
  <r>
    <n v="4074"/>
    <x v="16"/>
    <s v="Release 2.0"/>
    <d v="2012-01-10T15:31:46"/>
    <x v="10"/>
    <n v="2.8638888888888889"/>
    <n v="0"/>
  </r>
  <r>
    <n v="4075"/>
    <x v="16"/>
    <s v="Release 2.0"/>
    <d v="2012-01-12T14:20:13"/>
    <x v="8"/>
    <n v="2.8583333333333334"/>
    <n v="0"/>
  </r>
  <r>
    <n v="4080"/>
    <x v="16"/>
    <s v="Release 2.0"/>
    <d v="2012-01-10T14:23:19"/>
    <x v="11"/>
    <n v="2.8638888888888889"/>
    <n v="0"/>
  </r>
  <r>
    <n v="4091"/>
    <x v="18"/>
    <s v="Release 2.0"/>
    <d v="2012-01-09T15:04:55"/>
    <x v="5"/>
    <n v="2.8666666666666667"/>
    <n v="0"/>
  </r>
  <r>
    <n v="4092"/>
    <x v="23"/>
    <s v="Release 2.0"/>
    <d v="2012-01-10T21:30:59"/>
    <x v="10"/>
    <n v="2.8638888888888889"/>
    <n v="0"/>
  </r>
  <r>
    <n v="4094"/>
    <x v="3"/>
    <s v="Release 2.1"/>
    <d v="2012-04-30T13:40:46"/>
    <x v="2"/>
    <n v="2.5583333333333331"/>
    <n v="0"/>
  </r>
  <r>
    <n v="4106"/>
    <x v="4"/>
    <s v="Release 2.0"/>
    <d v="2012-01-11T10:59:16"/>
    <x v="11"/>
    <n v="2.8611111111111112"/>
    <n v="0"/>
  </r>
  <r>
    <n v="4107"/>
    <x v="3"/>
    <s v="Release 2.0"/>
    <d v="2012-01-10T18:33:31"/>
    <x v="9"/>
    <n v="2.8638888888888889"/>
    <n v="0"/>
  </r>
  <r>
    <n v="4109"/>
    <x v="10"/>
    <s v="Release 2.0"/>
    <d v="2012-01-30T17:11:10"/>
    <x v="9"/>
    <n v="2.8083333333333331"/>
    <n v="0"/>
  </r>
  <r>
    <n v="4110"/>
    <x v="10"/>
    <s v="Release 2.0"/>
    <d v="2012-01-09T18:21:10"/>
    <x v="9"/>
    <n v="2.8666666666666667"/>
    <n v="0"/>
  </r>
  <r>
    <n v="4116"/>
    <x v="16"/>
    <s v="Release 2.0"/>
    <d v="2012-01-10T18:18:43"/>
    <x v="5"/>
    <n v="2.8638888888888889"/>
    <n v="0"/>
  </r>
  <r>
    <n v="4117"/>
    <x v="12"/>
    <s v="Release 2.0"/>
    <d v="2012-01-11T19:01:13"/>
    <x v="9"/>
    <n v="2.8611111111111112"/>
    <n v="0"/>
  </r>
  <r>
    <n v="4121"/>
    <x v="8"/>
    <s v="Release 2.0"/>
    <d v="2012-01-12T15:45:31"/>
    <x v="2"/>
    <n v="2.8583333333333334"/>
    <n v="0"/>
  </r>
  <r>
    <n v="4133"/>
    <x v="3"/>
    <s v="Release 2.0"/>
    <d v="2012-01-12T18:31:36"/>
    <x v="3"/>
    <n v="2.8583333333333334"/>
    <n v="0"/>
  </r>
  <r>
    <n v="4134"/>
    <x v="13"/>
    <s v="Release 2.0"/>
    <d v="2012-01-10T15:34:05"/>
    <x v="13"/>
    <n v="2.8638888888888889"/>
    <n v="0"/>
  </r>
  <r>
    <n v="4135"/>
    <x v="13"/>
    <s v="Release 2.0"/>
    <d v="2012-01-11T07:57:16"/>
    <x v="13"/>
    <n v="2.8611111111111112"/>
    <n v="0"/>
  </r>
  <r>
    <n v="4136"/>
    <x v="13"/>
    <s v="Release 2.0"/>
    <d v="2012-01-10T10:29:40"/>
    <x v="15"/>
    <n v="2.8638888888888889"/>
    <n v="0"/>
  </r>
  <r>
    <n v="4137"/>
    <x v="17"/>
    <s v="Release 2.0"/>
    <d v="2012-01-09T09:27:49"/>
    <x v="2"/>
    <n v="2.8666666666666667"/>
    <n v="0"/>
  </r>
  <r>
    <n v="4143"/>
    <x v="6"/>
    <s v="Release 2.0"/>
    <d v="2012-01-09T09:16:38"/>
    <x v="20"/>
    <n v="2.8666666666666667"/>
    <n v="0"/>
  </r>
  <r>
    <n v="4147"/>
    <x v="6"/>
    <s v="Release 2.0"/>
    <d v="2012-01-12T11:29:37"/>
    <x v="20"/>
    <n v="2.8583333333333334"/>
    <n v="0"/>
  </r>
  <r>
    <n v="4148"/>
    <x v="16"/>
    <s v="Release 2.0"/>
    <d v="2012-01-11T11:56:15"/>
    <x v="13"/>
    <n v="2.8611111111111112"/>
    <n v="0"/>
  </r>
  <r>
    <n v="4149"/>
    <x v="0"/>
    <s v="Release 2.0"/>
    <d v="2012-01-12T09:10:36"/>
    <x v="4"/>
    <n v="2.8583333333333334"/>
    <n v="0"/>
  </r>
  <r>
    <n v="4150"/>
    <x v="16"/>
    <s v="Release 2.0"/>
    <d v="2012-01-10T13:34:01"/>
    <x v="15"/>
    <n v="2.8638888888888889"/>
    <n v="0"/>
  </r>
  <r>
    <n v="4164"/>
    <x v="2"/>
    <s v="Release 2.0"/>
    <d v="2012-01-12T17:22:20"/>
    <x v="8"/>
    <n v="2.8583333333333334"/>
    <n v="0"/>
  </r>
  <r>
    <n v="4167"/>
    <x v="4"/>
    <s v="Release 2.0"/>
    <d v="2012-01-09T14:48:45"/>
    <x v="20"/>
    <n v="2.8666666666666667"/>
    <n v="0"/>
  </r>
  <r>
    <n v="4168"/>
    <x v="4"/>
    <s v="Release 2.0"/>
    <d v="2012-01-11T10:47:12"/>
    <x v="11"/>
    <n v="2.8611111111111112"/>
    <n v="0"/>
  </r>
  <r>
    <n v="4169"/>
    <x v="4"/>
    <s v="Release 2.0"/>
    <d v="2012-01-13T11:37:47"/>
    <x v="11"/>
    <n v="2.8555555555555556"/>
    <n v="0"/>
  </r>
  <r>
    <n v="4170"/>
    <x v="4"/>
    <s v="Release 2.0"/>
    <d v="2012-01-11T10:45:59"/>
    <x v="11"/>
    <n v="2.8611111111111112"/>
    <n v="0"/>
  </r>
  <r>
    <n v="4172"/>
    <x v="6"/>
    <s v="Release 2.0"/>
    <d v="2012-01-11T14:05:05"/>
    <x v="5"/>
    <n v="2.8611111111111112"/>
    <n v="0"/>
  </r>
  <r>
    <n v="4175"/>
    <x v="17"/>
    <s v="Release 2.0"/>
    <d v="2012-01-09T10:01:00"/>
    <x v="13"/>
    <n v="2.8666666666666667"/>
    <n v="0"/>
  </r>
  <r>
    <n v="4196"/>
    <x v="6"/>
    <s v="Release 2.0"/>
    <d v="2012-01-11T12:17:32"/>
    <x v="15"/>
    <n v="2.8611111111111112"/>
    <n v="0"/>
  </r>
  <r>
    <n v="4199"/>
    <x v="17"/>
    <s v="Release 2.1"/>
    <d v="2012-04-30T16:17:19"/>
    <x v="9"/>
    <n v="2.5583333333333331"/>
    <n v="0"/>
  </r>
  <r>
    <n v="4202"/>
    <x v="3"/>
    <s v="Release 2.0"/>
    <d v="2012-02-01T16:51:04"/>
    <x v="8"/>
    <n v="2.8055555555555554"/>
    <n v="0"/>
  </r>
  <r>
    <n v="4203"/>
    <x v="16"/>
    <s v="Release 2.0"/>
    <d v="2012-01-10T15:38:47"/>
    <x v="10"/>
    <n v="2.8638888888888889"/>
    <n v="0"/>
  </r>
  <r>
    <n v="4218"/>
    <x v="3"/>
    <s v="Release 3.0"/>
    <d v="2013-10-24T11:30:51"/>
    <x v="11"/>
    <n v="1.075"/>
    <n v="0"/>
  </r>
  <r>
    <n v="4222"/>
    <x v="16"/>
    <s v="Release 2.0"/>
    <d v="2012-01-13T17:57:10"/>
    <x v="5"/>
    <n v="2.8555555555555556"/>
    <n v="0"/>
  </r>
  <r>
    <n v="4225"/>
    <x v="8"/>
    <s v="Release 2.0"/>
    <d v="2012-01-09T11:18:26"/>
    <x v="2"/>
    <n v="2.8666666666666667"/>
    <n v="0"/>
  </r>
  <r>
    <n v="4234"/>
    <x v="10"/>
    <s v="Release 2.0"/>
    <d v="2012-01-10T20:02:27"/>
    <x v="9"/>
    <n v="2.8638888888888889"/>
    <n v="0"/>
  </r>
  <r>
    <n v="4237"/>
    <x v="6"/>
    <s v="Release 2.0"/>
    <d v="2012-01-09T09:27:00"/>
    <x v="20"/>
    <n v="2.8666666666666667"/>
    <n v="0"/>
  </r>
  <r>
    <n v="4270"/>
    <x v="13"/>
    <s v="Release 2.0"/>
    <d v="2012-01-09T10:17:23"/>
    <x v="13"/>
    <n v="2.8666666666666667"/>
    <n v="0"/>
  </r>
  <r>
    <n v="4273"/>
    <x v="0"/>
    <s v="Release 2.0"/>
    <d v="2012-01-30T19:45:15"/>
    <x v="9"/>
    <n v="2.8083333333333331"/>
    <n v="0"/>
  </r>
  <r>
    <n v="4274"/>
    <x v="12"/>
    <s v="Release 2.1"/>
    <d v="2012-04-30T21:04:19"/>
    <x v="10"/>
    <n v="2.5583333333333331"/>
    <n v="0"/>
  </r>
  <r>
    <n v="4277"/>
    <x v="12"/>
    <s v="Release 2.0"/>
    <d v="2012-01-11T20:04:30"/>
    <x v="9"/>
    <n v="2.8611111111111112"/>
    <n v="0"/>
  </r>
  <r>
    <n v="4278"/>
    <x v="12"/>
    <s v="Release 2.0"/>
    <d v="2012-01-11T19:00:01"/>
    <x v="9"/>
    <n v="2.8611111111111112"/>
    <n v="0"/>
  </r>
  <r>
    <n v="4282"/>
    <x v="4"/>
    <s v="Release 2.0"/>
    <d v="2012-01-30T15:50:24"/>
    <x v="9"/>
    <n v="2.8083333333333331"/>
    <n v="0"/>
  </r>
  <r>
    <n v="4298"/>
    <x v="3"/>
    <s v="Release 2.0"/>
    <d v="2012-01-10T22:10:16"/>
    <x v="5"/>
    <n v="2.8638888888888889"/>
    <n v="0"/>
  </r>
  <r>
    <n v="4313"/>
    <x v="12"/>
    <s v="Release 2.0"/>
    <d v="2012-01-11T00:01:07"/>
    <x v="35"/>
    <n v="2.8611111111111112"/>
    <n v="0"/>
  </r>
  <r>
    <n v="4334"/>
    <x v="14"/>
    <s v="Release 2.2"/>
    <d v="2012-08-06T19:05:49"/>
    <x v="16"/>
    <n v="2.2916666666666665"/>
    <n v="0"/>
  </r>
  <r>
    <n v="4336"/>
    <x v="6"/>
    <s v="Release 2.0"/>
    <d v="2012-01-11T21:07:52"/>
    <x v="5"/>
    <n v="2.8611111111111112"/>
    <n v="0"/>
  </r>
  <r>
    <n v="4337"/>
    <x v="6"/>
    <s v="Release 2.0"/>
    <d v="2012-01-11T21:04:36"/>
    <x v="5"/>
    <n v="2.8611111111111112"/>
    <n v="0"/>
  </r>
  <r>
    <n v="4338"/>
    <x v="13"/>
    <s v="Release 2.1"/>
    <d v="2012-04-30T11:08:39"/>
    <x v="13"/>
    <n v="2.5583333333333331"/>
    <n v="0"/>
  </r>
  <r>
    <n v="4356"/>
    <x v="2"/>
    <s v="Release 2.0"/>
    <d v="2012-01-12T18:32:45"/>
    <x v="19"/>
    <n v="2.8583333333333334"/>
    <n v="0"/>
  </r>
  <r>
    <n v="4357"/>
    <x v="6"/>
    <s v="Release 2.0"/>
    <d v="2012-01-11T19:26:58"/>
    <x v="5"/>
    <n v="2.8611111111111112"/>
    <n v="0"/>
  </r>
  <r>
    <n v="4362"/>
    <x v="13"/>
    <s v="Release 2.0"/>
    <d v="2012-02-01T09:37:18"/>
    <x v="13"/>
    <n v="2.8055555555555554"/>
    <n v="0"/>
  </r>
  <r>
    <n v="4376"/>
    <x v="0"/>
    <s v="Release 2.0"/>
    <d v="2012-01-10T11:58:38"/>
    <x v="11"/>
    <n v="2.8638888888888889"/>
    <n v="0"/>
  </r>
  <r>
    <n v="4383"/>
    <x v="13"/>
    <s v="Release 2.1"/>
    <d v="2012-04-30T14:02:56"/>
    <x v="1"/>
    <n v="2.5583333333333331"/>
    <n v="0"/>
  </r>
  <r>
    <n v="4385"/>
    <x v="17"/>
    <s v="Release 2.0"/>
    <d v="2012-01-09T16:47:53"/>
    <x v="13"/>
    <n v="2.8666666666666667"/>
    <n v="0"/>
  </r>
  <r>
    <n v="4388"/>
    <x v="2"/>
    <s v="Release 2.0"/>
    <d v="2012-01-09T13:24:52"/>
    <x v="18"/>
    <n v="2.8666666666666667"/>
    <n v="0"/>
  </r>
  <r>
    <n v="4403"/>
    <x v="6"/>
    <s v="Release 2.0"/>
    <d v="2012-01-11T14:07:33"/>
    <x v="5"/>
    <n v="2.8611111111111112"/>
    <n v="0"/>
  </r>
  <r>
    <n v="4407"/>
    <x v="12"/>
    <s v="Release 2.0"/>
    <d v="2012-01-11T19:02:53"/>
    <x v="9"/>
    <n v="2.8611111111111112"/>
    <n v="0"/>
  </r>
  <r>
    <n v="4434"/>
    <x v="13"/>
    <s v="Release 2.0"/>
    <d v="2012-01-12T09:57:41"/>
    <x v="13"/>
    <n v="2.8583333333333334"/>
    <n v="0"/>
  </r>
  <r>
    <n v="4442"/>
    <x v="3"/>
    <s v="Release 2.0"/>
    <d v="2012-01-12T00:08:31"/>
    <x v="9"/>
    <n v="2.8583333333333334"/>
    <n v="0"/>
  </r>
  <r>
    <n v="4444"/>
    <x v="16"/>
    <s v="Release 2.0"/>
    <d v="2012-01-26T19:16:16"/>
    <x v="19"/>
    <n v="2.8194444444444446"/>
    <n v="0"/>
  </r>
  <r>
    <n v="4454"/>
    <x v="3"/>
    <s v="Release 2.0"/>
    <d v="2012-01-12T20:19:00"/>
    <x v="8"/>
    <n v="2.8583333333333334"/>
    <n v="0"/>
  </r>
  <r>
    <n v="4458"/>
    <x v="4"/>
    <s v="Release 2.0"/>
    <d v="2012-01-12T10:22:13"/>
    <x v="20"/>
    <n v="2.8583333333333334"/>
    <n v="0"/>
  </r>
  <r>
    <n v="4459"/>
    <x v="12"/>
    <s v="Release 2.1"/>
    <d v="2012-04-30T14:55:51"/>
    <x v="1"/>
    <n v="2.5583333333333331"/>
    <n v="0"/>
  </r>
  <r>
    <n v="4471"/>
    <x v="16"/>
    <s v="Release 2.1"/>
    <d v="2012-04-30T16:26:14"/>
    <x v="1"/>
    <n v="2.5583333333333331"/>
    <n v="0"/>
  </r>
  <r>
    <n v="4488"/>
    <x v="8"/>
    <s v="Release 2.0"/>
    <d v="2012-01-25T08:44:47"/>
    <x v="2"/>
    <n v="2.8222222222222224"/>
    <n v="0"/>
  </r>
  <r>
    <n v="4490"/>
    <x v="6"/>
    <s v="Release 2.1"/>
    <d v="2012-05-01T10:21:14"/>
    <x v="20"/>
    <n v="2.5555555555555554"/>
    <n v="0"/>
  </r>
  <r>
    <n v="4491"/>
    <x v="3"/>
    <s v="Release 2.0"/>
    <d v="2012-01-13T15:00:34"/>
    <x v="15"/>
    <n v="2.8555555555555556"/>
    <n v="0"/>
  </r>
  <r>
    <n v="4492"/>
    <x v="13"/>
    <s v="Release 2.0"/>
    <d v="2012-01-13T14:59:43"/>
    <x v="15"/>
    <n v="2.8555555555555556"/>
    <n v="0"/>
  </r>
  <r>
    <n v="4499"/>
    <x v="3"/>
    <s v="Release 2.0"/>
    <d v="2012-01-18T16:34:38"/>
    <x v="18"/>
    <n v="2.8416666666666668"/>
    <n v="0"/>
  </r>
  <r>
    <n v="4502"/>
    <x v="3"/>
    <s v="Release 2.0"/>
    <d v="2012-01-18T16:34:38"/>
    <x v="18"/>
    <n v="2.8416666666666668"/>
    <n v="0"/>
  </r>
  <r>
    <n v="4504"/>
    <x v="12"/>
    <s v="Release 2.0"/>
    <d v="2012-01-18T16:34:41"/>
    <x v="8"/>
    <n v="2.8416666666666668"/>
    <n v="0"/>
  </r>
  <r>
    <n v="4506"/>
    <x v="15"/>
    <s v="Release 2.0"/>
    <d v="2012-02-02T17:07:08"/>
    <x v="8"/>
    <n v="2.8027777777777776"/>
    <n v="0"/>
  </r>
  <r>
    <n v="4509"/>
    <x v="12"/>
    <s v="Release 2.0"/>
    <d v="2012-02-03T15:03:01"/>
    <x v="8"/>
    <n v="2.8"/>
    <n v="0"/>
  </r>
  <r>
    <n v="4514"/>
    <x v="13"/>
    <s v="Release 2.0"/>
    <d v="2012-01-18T16:34:43"/>
    <x v="17"/>
    <n v="2.8416666666666668"/>
    <n v="0"/>
  </r>
  <r>
    <n v="4516"/>
    <x v="12"/>
    <s v="Release 2.1"/>
    <d v="2012-04-30T10:54:58"/>
    <x v="1"/>
    <n v="2.5583333333333331"/>
    <n v="0"/>
  </r>
  <r>
    <n v="4518"/>
    <x v="3"/>
    <s v="Release 2.0"/>
    <d v="2012-01-18T16:34:44"/>
    <x v="18"/>
    <n v="2.8416666666666668"/>
    <n v="0"/>
  </r>
  <r>
    <n v="4519"/>
    <x v="13"/>
    <s v="Release 2.0"/>
    <d v="2012-01-18T16:34:44"/>
    <x v="18"/>
    <n v="2.8416666666666668"/>
    <n v="0"/>
  </r>
  <r>
    <n v="4522"/>
    <x v="12"/>
    <s v="Release 2.0"/>
    <d v="2012-01-19T17:04:15"/>
    <x v="21"/>
    <n v="2.838888888888889"/>
    <n v="0"/>
  </r>
  <r>
    <n v="4527"/>
    <x v="12"/>
    <s v="Release 2.0"/>
    <d v="2012-01-20T16:26:21"/>
    <x v="2"/>
    <n v="2.8361111111111112"/>
    <n v="0"/>
  </r>
  <r>
    <n v="4530"/>
    <x v="19"/>
    <s v="Release 2.0"/>
    <d v="2012-01-19T14:00:21"/>
    <x v="20"/>
    <n v="2.838888888888889"/>
    <n v="0"/>
  </r>
  <r>
    <n v="4531"/>
    <x v="19"/>
    <s v="Release 2.0"/>
    <d v="2012-02-02T14:35:47"/>
    <x v="8"/>
    <n v="2.8027777777777776"/>
    <n v="0"/>
  </r>
  <r>
    <n v="4543"/>
    <x v="12"/>
    <s v="Release 2.0"/>
    <d v="2012-01-25T00:11:42"/>
    <x v="9"/>
    <n v="2.8222222222222224"/>
    <n v="0"/>
  </r>
  <r>
    <n v="4559"/>
    <x v="13"/>
    <s v="Release 2.0"/>
    <d v="2012-01-20T16:53:40"/>
    <x v="18"/>
    <n v="2.8361111111111112"/>
    <n v="0"/>
  </r>
  <r>
    <n v="4569"/>
    <x v="6"/>
    <s v="Release 2.0"/>
    <d v="2012-01-24T14:49:22"/>
    <x v="18"/>
    <n v="2.8250000000000002"/>
    <n v="0"/>
  </r>
  <r>
    <n v="4570"/>
    <x v="11"/>
    <s v="Release 2.0"/>
    <d v="2012-01-26T18:41:56"/>
    <x v="19"/>
    <n v="2.8194444444444446"/>
    <n v="0"/>
  </r>
  <r>
    <n v="4571"/>
    <x v="13"/>
    <s v="Release 2.0"/>
    <d v="2012-02-01T09:46:37"/>
    <x v="13"/>
    <n v="2.8055555555555554"/>
    <n v="0"/>
  </r>
  <r>
    <n v="4574"/>
    <x v="19"/>
    <s v="Release 2.0"/>
    <d v="2012-02-01T20:31:51"/>
    <x v="8"/>
    <n v="2.8055555555555554"/>
    <n v="0"/>
  </r>
  <r>
    <n v="4575"/>
    <x v="19"/>
    <s v="Release 2.0"/>
    <d v="2012-01-26T21:24:46"/>
    <x v="10"/>
    <n v="2.8194444444444446"/>
    <n v="0"/>
  </r>
  <r>
    <n v="4577"/>
    <x v="19"/>
    <s v="Release 2.0"/>
    <d v="2012-01-23T09:17:27"/>
    <x v="13"/>
    <n v="2.8277777777777779"/>
    <n v="0"/>
  </r>
  <r>
    <n v="4589"/>
    <x v="6"/>
    <s v="Release 2.0"/>
    <d v="2012-02-01T17:06:46"/>
    <x v="8"/>
    <n v="2.8055555555555554"/>
    <n v="0"/>
  </r>
  <r>
    <n v="4590"/>
    <x v="18"/>
    <s v="Release 2.1"/>
    <d v="2012-05-02T08:57:55"/>
    <x v="1"/>
    <n v="2.5527777777777776"/>
    <n v="0"/>
  </r>
  <r>
    <n v="4593"/>
    <x v="19"/>
    <s v="Release 2.0"/>
    <d v="2012-02-02T14:36:07"/>
    <x v="8"/>
    <n v="2.8027777777777776"/>
    <n v="0"/>
  </r>
  <r>
    <n v="4594"/>
    <x v="10"/>
    <s v="Release 2.0"/>
    <d v="2012-01-23T21:53:30"/>
    <x v="9"/>
    <n v="2.8277777777777779"/>
    <n v="0"/>
  </r>
  <r>
    <n v="4617"/>
    <x v="10"/>
    <s v="Release 2.0"/>
    <d v="2012-01-23T21:53:30"/>
    <x v="9"/>
    <n v="2.8277777777777779"/>
    <n v="0"/>
  </r>
  <r>
    <n v="4621"/>
    <x v="19"/>
    <s v="Release 2.0"/>
    <d v="2012-01-30T15:43:48"/>
    <x v="9"/>
    <n v="2.8083333333333331"/>
    <n v="0"/>
  </r>
  <r>
    <n v="4629"/>
    <x v="6"/>
    <s v="Release 2.0"/>
    <d v="2012-01-27T16:31:14"/>
    <x v="20"/>
    <n v="2.8166666666666669"/>
    <n v="0"/>
  </r>
  <r>
    <n v="4631"/>
    <x v="3"/>
    <s v="Release 2.0"/>
    <d v="2012-01-30T15:35:02"/>
    <x v="9"/>
    <n v="2.8083333333333331"/>
    <n v="0"/>
  </r>
  <r>
    <n v="4632"/>
    <x v="19"/>
    <s v="Release 2.0"/>
    <d v="2012-01-30T14:21:31"/>
    <x v="17"/>
    <n v="2.8083333333333331"/>
    <n v="0"/>
  </r>
  <r>
    <n v="4633"/>
    <x v="10"/>
    <s v="Release 2.0"/>
    <d v="2012-01-25T00:31:05"/>
    <x v="9"/>
    <n v="2.8222222222222224"/>
    <n v="0"/>
  </r>
  <r>
    <n v="4634"/>
    <x v="6"/>
    <s v="Release 2.0"/>
    <d v="2012-02-01T20:56:09"/>
    <x v="7"/>
    <n v="2.8055555555555554"/>
    <n v="0"/>
  </r>
  <r>
    <n v="4636"/>
    <x v="23"/>
    <s v="Release 2.0"/>
    <d v="2012-01-24T19:33:50"/>
    <x v="3"/>
    <n v="2.8250000000000002"/>
    <n v="0"/>
  </r>
  <r>
    <n v="4653"/>
    <x v="12"/>
    <s v="Release 2.1"/>
    <d v="2012-04-30T17:09:28"/>
    <x v="3"/>
    <n v="2.5583333333333331"/>
    <n v="0"/>
  </r>
  <r>
    <n v="4663"/>
    <x v="13"/>
    <s v="Release 2.0"/>
    <d v="2012-02-01T11:03:29"/>
    <x v="13"/>
    <n v="2.8055555555555554"/>
    <n v="0"/>
  </r>
  <r>
    <n v="4669"/>
    <x v="3"/>
    <s v="Release 2.0"/>
    <d v="2012-02-01T16:13:21"/>
    <x v="2"/>
    <n v="2.8055555555555554"/>
    <n v="0"/>
  </r>
  <r>
    <n v="4680"/>
    <x v="16"/>
    <s v="Release 2.0"/>
    <d v="2012-02-02T16:21:03"/>
    <x v="8"/>
    <n v="2.8027777777777776"/>
    <n v="0"/>
  </r>
  <r>
    <n v="4683"/>
    <x v="3"/>
    <s v="Release 2.0"/>
    <d v="2012-02-01T12:00:00"/>
    <x v="2"/>
    <n v="2.8055555555555554"/>
    <n v="0"/>
  </r>
  <r>
    <n v="4692"/>
    <x v="3"/>
    <s v="Release 2.0"/>
    <d v="2012-02-01T16:44:05"/>
    <x v="8"/>
    <n v="2.8055555555555554"/>
    <n v="0"/>
  </r>
  <r>
    <n v="4701"/>
    <x v="16"/>
    <s v="Release 2.0"/>
    <d v="2012-02-01T18:58:49"/>
    <x v="7"/>
    <n v="2.8055555555555554"/>
    <n v="0"/>
  </r>
  <r>
    <n v="4712"/>
    <x v="3"/>
    <s v="Release 2.0"/>
    <d v="2012-02-01T19:47:37"/>
    <x v="7"/>
    <n v="2.8055555555555554"/>
    <n v="0"/>
  </r>
  <r>
    <n v="4724"/>
    <x v="8"/>
    <s v="Release 2.1"/>
    <d v="2012-04-30T16:23:27"/>
    <x v="9"/>
    <n v="2.5583333333333331"/>
    <n v="0"/>
  </r>
  <r>
    <n v="4725"/>
    <x v="6"/>
    <s v="Release 2.0"/>
    <d v="2012-02-03T15:02:53"/>
    <x v="8"/>
    <n v="2.8"/>
    <n v="0"/>
  </r>
  <r>
    <n v="4742"/>
    <x v="16"/>
    <s v="Release 2.1"/>
    <d v="2012-05-02T14:41:24"/>
    <x v="5"/>
    <n v="2.5527777777777776"/>
    <n v="0"/>
  </r>
  <r>
    <n v="4778"/>
    <x v="13"/>
    <s v="Release 2.1"/>
    <d v="2012-04-30T10:49:48"/>
    <x v="13"/>
    <n v="2.5583333333333331"/>
    <n v="0"/>
  </r>
  <r>
    <n v="4781"/>
    <x v="17"/>
    <s v="Release 2.1"/>
    <d v="2012-04-30T15:16:35"/>
    <x v="1"/>
    <n v="2.5583333333333331"/>
    <n v="0"/>
  </r>
  <r>
    <n v="4787"/>
    <x v="12"/>
    <s v="Release 2.1"/>
    <d v="2012-05-02T17:14:27"/>
    <x v="8"/>
    <n v="2.5527777777777776"/>
    <n v="0"/>
  </r>
  <r>
    <n v="4800"/>
    <x v="12"/>
    <s v="Release 2.1"/>
    <d v="2012-04-30T21:30:14"/>
    <x v="9"/>
    <n v="2.5583333333333331"/>
    <n v="0"/>
  </r>
  <r>
    <n v="4801"/>
    <x v="0"/>
    <s v="Release 2.1"/>
    <d v="2012-05-01T20:23:58"/>
    <x v="8"/>
    <n v="2.5555555555555554"/>
    <n v="0"/>
  </r>
  <r>
    <n v="4803"/>
    <x v="12"/>
    <s v="Release 2.1"/>
    <d v="2012-05-01T20:22:50"/>
    <x v="8"/>
    <n v="2.5555555555555554"/>
    <n v="0"/>
  </r>
  <r>
    <n v="4808"/>
    <x v="12"/>
    <s v="Release 2.1"/>
    <d v="2012-04-30T19:50:48"/>
    <x v="8"/>
    <n v="2.5583333333333331"/>
    <n v="0"/>
  </r>
  <r>
    <n v="4809"/>
    <x v="16"/>
    <s v="Release 2.1"/>
    <d v="2012-04-30T11:35:26"/>
    <x v="1"/>
    <n v="2.5583333333333331"/>
    <n v="0"/>
  </r>
  <r>
    <n v="4812"/>
    <x v="0"/>
    <s v="Release 2.1"/>
    <d v="2012-05-01T20:23:33"/>
    <x v="8"/>
    <n v="2.5555555555555554"/>
    <n v="0"/>
  </r>
  <r>
    <n v="4831"/>
    <x v="12"/>
    <s v="Release 2.1"/>
    <d v="2012-04-30T21:39:12"/>
    <x v="9"/>
    <n v="2.5583333333333331"/>
    <n v="0"/>
  </r>
  <r>
    <n v="4837"/>
    <x v="17"/>
    <s v="Release 2.1"/>
    <d v="2012-05-03T09:15:30"/>
    <x v="13"/>
    <n v="2.5499999999999998"/>
    <n v="0"/>
  </r>
  <r>
    <n v="4868"/>
    <x v="19"/>
    <s v="Release 2.2"/>
    <d v="2012-08-06T20:05:16"/>
    <x v="8"/>
    <n v="2.2916666666666665"/>
    <n v="0"/>
  </r>
  <r>
    <n v="4886"/>
    <x v="3"/>
    <s v="Release 2.1"/>
    <d v="2012-04-30T11:49:22"/>
    <x v="1"/>
    <n v="2.5583333333333331"/>
    <n v="0"/>
  </r>
  <r>
    <n v="4887"/>
    <x v="16"/>
    <s v="Release 2.1"/>
    <d v="2012-05-01T15:29:59"/>
    <x v="10"/>
    <n v="2.5555555555555554"/>
    <n v="0"/>
  </r>
  <r>
    <n v="4905"/>
    <x v="16"/>
    <s v="Release 2.1"/>
    <d v="2012-04-30T00:09:50"/>
    <x v="9"/>
    <n v="2.5583333333333331"/>
    <n v="0"/>
  </r>
  <r>
    <n v="4923"/>
    <x v="6"/>
    <s v="Release 2.1"/>
    <d v="2012-05-02T10:31:50"/>
    <x v="21"/>
    <n v="2.5527777777777776"/>
    <n v="0"/>
  </r>
  <r>
    <n v="4931"/>
    <x v="12"/>
    <s v="Release 2.1"/>
    <d v="2012-05-01T18:47:29"/>
    <x v="8"/>
    <n v="2.5555555555555554"/>
    <n v="0"/>
  </r>
  <r>
    <n v="4933"/>
    <x v="6"/>
    <s v="Release 2.1"/>
    <d v="2012-05-01T11:11:14"/>
    <x v="1"/>
    <n v="2.5555555555555554"/>
    <n v="0"/>
  </r>
  <r>
    <n v="4945"/>
    <x v="6"/>
    <s v="Release 2.2"/>
    <d v="2012-08-07T09:36:47"/>
    <x v="4"/>
    <n v="2.2888888888888888"/>
    <n v="0"/>
  </r>
  <r>
    <n v="4952"/>
    <x v="0"/>
    <s v="Release 2.0.2"/>
    <d v="2012-05-24T22:08:28"/>
    <x v="1"/>
    <n v="2.4916666666666667"/>
    <n v="0"/>
  </r>
  <r>
    <n v="4969"/>
    <x v="16"/>
    <s v="Release 2.1"/>
    <d v="2012-05-01T19:10:09"/>
    <x v="3"/>
    <n v="2.5555555555555554"/>
    <n v="0"/>
  </r>
  <r>
    <n v="4972"/>
    <x v="6"/>
    <s v="Release 2.1"/>
    <d v="2012-05-01T11:26:46"/>
    <x v="1"/>
    <n v="2.5555555555555554"/>
    <n v="0"/>
  </r>
  <r>
    <n v="4996"/>
    <x v="23"/>
    <s v="Release 2.1"/>
    <d v="2012-04-30T21:38:53"/>
    <x v="35"/>
    <n v="2.5583333333333331"/>
    <n v="0"/>
  </r>
  <r>
    <n v="5006"/>
    <x v="3"/>
    <s v="Release 2.1"/>
    <d v="2012-05-01T20:35:42"/>
    <x v="8"/>
    <n v="2.5555555555555554"/>
    <n v="0"/>
  </r>
  <r>
    <n v="5017"/>
    <x v="6"/>
    <s v="Release 2.1"/>
    <d v="2012-05-02T14:13:24"/>
    <x v="18"/>
    <n v="2.5527777777777776"/>
    <n v="0"/>
  </r>
  <r>
    <n v="5021"/>
    <x v="12"/>
    <s v="Release 2.1"/>
    <d v="2012-05-01T19:44:28"/>
    <x v="10"/>
    <n v="2.5555555555555554"/>
    <n v="0"/>
  </r>
  <r>
    <n v="5044"/>
    <x v="6"/>
    <s v="Release 2.1"/>
    <d v="2012-05-03T17:44:47"/>
    <x v="21"/>
    <n v="2.5499999999999998"/>
    <n v="0"/>
  </r>
  <r>
    <n v="5050"/>
    <x v="12"/>
    <s v="Release 2.1"/>
    <d v="2012-05-02T19:51:31"/>
    <x v="7"/>
    <n v="2.5527777777777776"/>
    <n v="0"/>
  </r>
  <r>
    <n v="5060"/>
    <x v="6"/>
    <s v="Release 2.1"/>
    <d v="2012-05-02T14:28:11"/>
    <x v="18"/>
    <n v="2.5527777777777776"/>
    <n v="0"/>
  </r>
  <r>
    <n v="5074"/>
    <x v="12"/>
    <s v="Release 2.1"/>
    <d v="2012-05-04T16:53:41"/>
    <x v="9"/>
    <n v="2.5472222222222221"/>
    <n v="0"/>
  </r>
  <r>
    <n v="5097"/>
    <x v="3"/>
    <s v="Release 2.1"/>
    <d v="2012-04-30T11:40:52"/>
    <x v="18"/>
    <n v="2.5583333333333331"/>
    <n v="0"/>
  </r>
  <r>
    <n v="5103"/>
    <x v="16"/>
    <s v="Release 2.1"/>
    <d v="2012-05-04T16:52:37"/>
    <x v="3"/>
    <n v="2.5472222222222221"/>
    <n v="0"/>
  </r>
  <r>
    <n v="5107"/>
    <x v="0"/>
    <s v="Release 2.2"/>
    <d v="2012-08-06T10:45:28"/>
    <x v="2"/>
    <n v="2.2916666666666665"/>
    <n v="0"/>
  </r>
  <r>
    <n v="5112"/>
    <x v="3"/>
    <s v="Release 2.1"/>
    <d v="2012-04-30T13:41:36"/>
    <x v="1"/>
    <n v="2.5583333333333331"/>
    <n v="0"/>
  </r>
  <r>
    <n v="5130"/>
    <x v="3"/>
    <s v="Release 2.1"/>
    <d v="2012-04-30T14:46:46"/>
    <x v="2"/>
    <n v="2.5583333333333331"/>
    <n v="0"/>
  </r>
  <r>
    <n v="5132"/>
    <x v="3"/>
    <s v="Release 2.1"/>
    <d v="2012-04-30T14:49:56"/>
    <x v="2"/>
    <n v="2.5583333333333331"/>
    <n v="0"/>
  </r>
  <r>
    <n v="5135"/>
    <x v="3"/>
    <s v="Release 2.1"/>
    <d v="2012-04-30T15:03:43"/>
    <x v="2"/>
    <n v="2.5583333333333331"/>
    <n v="0"/>
  </r>
  <r>
    <n v="5137"/>
    <x v="3"/>
    <s v="Release 2.1"/>
    <d v="2012-04-30T13:47:42"/>
    <x v="1"/>
    <n v="2.5583333333333331"/>
    <n v="0"/>
  </r>
  <r>
    <n v="5138"/>
    <x v="3"/>
    <s v="Release 2.1"/>
    <d v="2012-05-02T16:12:57"/>
    <x v="8"/>
    <n v="2.5527777777777776"/>
    <n v="0"/>
  </r>
  <r>
    <n v="5159"/>
    <x v="6"/>
    <s v="Release 2.1"/>
    <d v="2012-05-02T14:23:19"/>
    <x v="18"/>
    <n v="2.5527777777777776"/>
    <n v="0"/>
  </r>
  <r>
    <n v="5177"/>
    <x v="8"/>
    <s v="Release 2.1"/>
    <d v="2012-05-04T16:52:44"/>
    <x v="2"/>
    <n v="2.5472222222222221"/>
    <n v="0"/>
  </r>
  <r>
    <n v="5187"/>
    <x v="12"/>
    <s v="Release 2.1"/>
    <d v="2012-05-04T16:53:30"/>
    <x v="9"/>
    <n v="2.5472222222222221"/>
    <n v="0"/>
  </r>
  <r>
    <n v="5196"/>
    <x v="3"/>
    <s v="Release 2.1"/>
    <d v="2012-05-04T16:52:52"/>
    <x v="18"/>
    <n v="2.5472222222222221"/>
    <n v="0"/>
  </r>
  <r>
    <n v="5210"/>
    <x v="12"/>
    <s v="Release 2.1"/>
    <d v="2012-05-04T16:53:07"/>
    <x v="7"/>
    <n v="2.5472222222222221"/>
    <n v="0"/>
  </r>
  <r>
    <n v="5216"/>
    <x v="6"/>
    <s v="Release 2.1"/>
    <d v="2012-05-04T16:53:15"/>
    <x v="9"/>
    <n v="2.5472222222222221"/>
    <n v="0"/>
  </r>
  <r>
    <n v="5221"/>
    <x v="3"/>
    <s v="Release 2.3"/>
    <d v="2012-12-06T21:10:52"/>
    <x v="7"/>
    <n v="1.9583333333333333"/>
    <n v="0"/>
  </r>
  <r>
    <n v="5222"/>
    <x v="3"/>
    <s v="Release 2.1"/>
    <d v="2012-05-04T16:53:28"/>
    <x v="23"/>
    <n v="2.5472222222222221"/>
    <n v="0"/>
  </r>
  <r>
    <n v="5268"/>
    <x v="6"/>
    <s v="Release 2.2"/>
    <d v="2012-08-08T09:05:45"/>
    <x v="4"/>
    <n v="2.286111111111111"/>
    <n v="0"/>
  </r>
  <r>
    <n v="5288"/>
    <x v="0"/>
    <s v="Release 2.1.1"/>
    <d v="2012-05-30T15:55:46"/>
    <x v="20"/>
    <n v="2.4750000000000001"/>
    <n v="0"/>
  </r>
  <r>
    <n v="5289"/>
    <x v="3"/>
    <s v="Release 2.2"/>
    <d v="2012-08-06T13:18:36"/>
    <x v="2"/>
    <n v="2.2916666666666665"/>
    <n v="0"/>
  </r>
  <r>
    <n v="5334"/>
    <x v="11"/>
    <s v="Release 2.1.1"/>
    <d v="2012-05-30T10:23:02"/>
    <x v="1"/>
    <n v="2.4750000000000001"/>
    <n v="0"/>
  </r>
  <r>
    <n v="5335"/>
    <x v="11"/>
    <s v="Release 2.1.1"/>
    <d v="2012-05-30T10:25:58"/>
    <x v="1"/>
    <n v="2.4750000000000001"/>
    <n v="0"/>
  </r>
  <r>
    <n v="5343"/>
    <x v="6"/>
    <s v="Release 2.2"/>
    <d v="2012-08-06T14:15:39"/>
    <x v="4"/>
    <n v="2.2916666666666665"/>
    <n v="0"/>
  </r>
  <r>
    <n v="5344"/>
    <x v="30"/>
    <s v="Release 3.0"/>
    <d v="2013-08-16T16:17:27"/>
    <x v="7"/>
    <n v="1.2638888888888888"/>
    <n v="0"/>
  </r>
  <r>
    <n v="5346"/>
    <x v="11"/>
    <s v="Release 2.1.1"/>
    <d v="2012-06-13T18:07:04"/>
    <x v="10"/>
    <n v="2.4388888888888891"/>
    <n v="0"/>
  </r>
  <r>
    <n v="5351"/>
    <x v="11"/>
    <s v="Release 2.1.1"/>
    <d v="2012-05-31T18:30:57"/>
    <x v="10"/>
    <n v="2.4750000000000001"/>
    <n v="0"/>
  </r>
  <r>
    <n v="5353"/>
    <x v="3"/>
    <s v="Release 2.1.1"/>
    <d v="2012-05-30T10:33:37"/>
    <x v="1"/>
    <n v="2.4750000000000001"/>
    <n v="0"/>
  </r>
  <r>
    <n v="5361"/>
    <x v="17"/>
    <s v="Release 2.1.1"/>
    <d v="2012-06-13T18:07:00"/>
    <x v="11"/>
    <n v="2.4388888888888891"/>
    <n v="0"/>
  </r>
  <r>
    <n v="5364"/>
    <x v="6"/>
    <s v="Release 2.1.1"/>
    <d v="2012-05-30T15:55:47"/>
    <x v="20"/>
    <n v="2.4750000000000001"/>
    <n v="0"/>
  </r>
  <r>
    <n v="5379"/>
    <x v="3"/>
    <s v="Release 2.2"/>
    <d v="2012-08-06T15:51:52"/>
    <x v="7"/>
    <n v="2.2916666666666665"/>
    <n v="0"/>
  </r>
  <r>
    <n v="5387"/>
    <x v="6"/>
    <s v="Release 2.1.1"/>
    <d v="2012-05-30T15:56:02"/>
    <x v="20"/>
    <n v="2.4750000000000001"/>
    <n v="0"/>
  </r>
  <r>
    <n v="5389"/>
    <x v="16"/>
    <s v="Release 2.3"/>
    <d v="2012-10-29T15:19:59"/>
    <x v="11"/>
    <n v="2.0611111111111109"/>
    <n v="0"/>
  </r>
  <r>
    <n v="5391"/>
    <x v="16"/>
    <s v="Release 2.1.1"/>
    <d v="2012-06-01T10:13:02"/>
    <x v="20"/>
    <n v="2.4722222222222223"/>
    <n v="0"/>
  </r>
  <r>
    <n v="5393"/>
    <x v="23"/>
    <s v="Release 2.1.1"/>
    <d v="2012-05-31T10:55:58"/>
    <x v="13"/>
    <n v="2.4750000000000001"/>
    <n v="0"/>
  </r>
  <r>
    <n v="5394"/>
    <x v="2"/>
    <s v="Release 2.1.1"/>
    <d v="2012-06-13T18:04:38"/>
    <x v="20"/>
    <n v="2.4388888888888891"/>
    <n v="0"/>
  </r>
  <r>
    <n v="5396"/>
    <x v="2"/>
    <s v="Release 2.1.1"/>
    <d v="2012-06-13T18:04:38"/>
    <x v="20"/>
    <n v="2.4388888888888891"/>
    <n v="0"/>
  </r>
  <r>
    <n v="5397"/>
    <x v="3"/>
    <s v="Release 2.2"/>
    <d v="2012-08-14T19:45:08"/>
    <x v="2"/>
    <n v="2.2694444444444444"/>
    <n v="0"/>
  </r>
  <r>
    <n v="5398"/>
    <x v="23"/>
    <s v="Release 2.2"/>
    <d v="2012-08-08T18:12:14"/>
    <x v="35"/>
    <n v="2.286111111111111"/>
    <n v="0"/>
  </r>
  <r>
    <n v="5403"/>
    <x v="4"/>
    <s v="Release 3.0"/>
    <d v="2013-10-11T21:01:14"/>
    <x v="8"/>
    <n v="1.1111111111111112"/>
    <n v="0"/>
  </r>
  <r>
    <n v="5404"/>
    <x v="19"/>
    <s v="Release 2.2"/>
    <d v="2012-08-06T13:33:46"/>
    <x v="4"/>
    <n v="2.2916666666666665"/>
    <n v="0"/>
  </r>
  <r>
    <n v="5407"/>
    <x v="24"/>
    <s v="Release 3.0"/>
    <d v="2013-10-23T10:31:05"/>
    <x v="26"/>
    <n v="1.0777777777777777"/>
    <n v="0"/>
  </r>
  <r>
    <n v="5417"/>
    <x v="4"/>
    <s v="Release 2.5"/>
    <d v="2013-05-22T11:45:33"/>
    <x v="4"/>
    <n v="1.4972222222222222"/>
    <n v="0"/>
  </r>
  <r>
    <n v="5424"/>
    <x v="6"/>
    <s v="Release 2.2"/>
    <d v="2012-08-07T09:37:11"/>
    <x v="4"/>
    <n v="2.2888888888888888"/>
    <n v="0"/>
  </r>
  <r>
    <n v="5435"/>
    <x v="16"/>
    <s v="Release 2.2"/>
    <d v="2012-08-06T13:34:37"/>
    <x v="4"/>
    <n v="2.2916666666666665"/>
    <n v="0"/>
  </r>
  <r>
    <n v="5443"/>
    <x v="17"/>
    <s v="Release 2.4"/>
    <d v="2013-01-28T12:39:54"/>
    <x v="11"/>
    <n v="1.8138888888888889"/>
    <n v="0"/>
  </r>
  <r>
    <n v="5449"/>
    <x v="23"/>
    <s v="Release 2.2"/>
    <d v="2012-08-06T16:52:34"/>
    <x v="7"/>
    <n v="2.2916666666666665"/>
    <n v="0"/>
  </r>
  <r>
    <n v="5450"/>
    <x v="23"/>
    <s v="Release 2.2"/>
    <d v="2012-08-14T19:44:36"/>
    <x v="4"/>
    <n v="2.2694444444444444"/>
    <n v="0"/>
  </r>
  <r>
    <n v="5456"/>
    <x v="4"/>
    <s v="Release 2.2"/>
    <d v="2012-08-07T10:22:46"/>
    <x v="22"/>
    <n v="2.2888888888888888"/>
    <n v="0"/>
  </r>
  <r>
    <n v="5458"/>
    <x v="16"/>
    <s v="Release 2.2"/>
    <d v="2012-08-07T12:24:04"/>
    <x v="4"/>
    <n v="2.2888888888888888"/>
    <n v="0"/>
  </r>
  <r>
    <n v="5469"/>
    <x v="8"/>
    <s v="Release 2.2"/>
    <d v="2012-08-06T10:18:49"/>
    <x v="2"/>
    <n v="2.2916666666666665"/>
    <n v="0"/>
  </r>
  <r>
    <n v="5472"/>
    <x v="19"/>
    <s v="Release 2.2"/>
    <d v="2012-08-06T16:54:03"/>
    <x v="22"/>
    <n v="2.2916666666666665"/>
    <n v="0"/>
  </r>
  <r>
    <n v="5480"/>
    <x v="19"/>
    <s v="Release 2.2"/>
    <d v="2012-08-06T20:09:32"/>
    <x v="8"/>
    <n v="2.2916666666666665"/>
    <n v="0"/>
  </r>
  <r>
    <n v="5522"/>
    <x v="14"/>
    <s v="Release 2.6"/>
    <d v="2013-05-22T09:14:58"/>
    <x v="4"/>
    <n v="1.4972222222222222"/>
    <n v="0"/>
  </r>
  <r>
    <n v="5523"/>
    <x v="14"/>
    <s v="Release 3.0"/>
    <d v="2013-10-18T16:32:35"/>
    <x v="10"/>
    <n v="1.0916666666666666"/>
    <n v="0"/>
  </r>
  <r>
    <n v="5524"/>
    <x v="14"/>
    <s v="Release 2.6"/>
    <d v="2013-05-15T11:34:53"/>
    <x v="4"/>
    <n v="1.5166666666666666"/>
    <n v="0"/>
  </r>
  <r>
    <n v="5532"/>
    <x v="16"/>
    <s v="Release 2.2"/>
    <d v="2012-08-14T19:44:50"/>
    <x v="4"/>
    <n v="2.2694444444444444"/>
    <n v="0"/>
  </r>
  <r>
    <n v="5561"/>
    <x v="4"/>
    <s v="Release 2.2"/>
    <d v="2012-08-14T19:45:10"/>
    <x v="16"/>
    <n v="2.2694444444444444"/>
    <n v="0"/>
  </r>
  <r>
    <n v="5568"/>
    <x v="4"/>
    <s v="Release 2.2"/>
    <d v="2012-08-06T16:06:21"/>
    <x v="4"/>
    <n v="2.2916666666666665"/>
    <n v="0"/>
  </r>
  <r>
    <n v="5570"/>
    <x v="0"/>
    <s v="Release 2.2"/>
    <d v="2012-08-08T09:49:31"/>
    <x v="2"/>
    <n v="2.286111111111111"/>
    <n v="0"/>
  </r>
  <r>
    <n v="5571"/>
    <x v="0"/>
    <s v="Release 2.2"/>
    <d v="2012-08-08T09:57:35"/>
    <x v="2"/>
    <n v="2.286111111111111"/>
    <n v="0"/>
  </r>
  <r>
    <n v="5572"/>
    <x v="16"/>
    <s v="Release 2.6"/>
    <d v="2013-07-26T16:33:17"/>
    <x v="0"/>
    <n v="1.3194444444444444"/>
    <n v="0"/>
  </r>
  <r>
    <n v="5576"/>
    <x v="16"/>
    <s v="Release 2.2"/>
    <d v="2012-08-06T16:59:12"/>
    <x v="5"/>
    <n v="2.2916666666666665"/>
    <n v="0"/>
  </r>
  <r>
    <n v="5589"/>
    <x v="20"/>
    <s v="Release 2.4"/>
    <d v="2013-01-28T16:48:21"/>
    <x v="4"/>
    <n v="1.8138888888888889"/>
    <n v="0"/>
  </r>
  <r>
    <n v="5616"/>
    <x v="3"/>
    <s v="Release 2.2"/>
    <d v="2012-08-06T13:30:18"/>
    <x v="2"/>
    <n v="2.2916666666666665"/>
    <n v="0"/>
  </r>
  <r>
    <n v="5618"/>
    <x v="3"/>
    <s v="Release 2.2"/>
    <d v="2012-08-06T11:49:34"/>
    <x v="2"/>
    <n v="2.2916666666666665"/>
    <n v="0"/>
  </r>
  <r>
    <n v="5620"/>
    <x v="3"/>
    <s v="Release 2.2"/>
    <d v="2012-08-06T15:35:13"/>
    <x v="1"/>
    <n v="2.2916666666666665"/>
    <n v="0"/>
  </r>
  <r>
    <n v="5628"/>
    <x v="16"/>
    <s v="Release 2.2"/>
    <d v="2012-08-14T19:45:11"/>
    <x v="8"/>
    <n v="2.2694444444444444"/>
    <n v="0"/>
  </r>
  <r>
    <n v="5629"/>
    <x v="3"/>
    <s v="Release 2.2"/>
    <d v="2012-08-06T14:24:05"/>
    <x v="2"/>
    <n v="2.2916666666666665"/>
    <n v="0"/>
  </r>
  <r>
    <n v="5640"/>
    <x v="3"/>
    <s v="Release 2.2"/>
    <d v="2012-08-06T13:16:28"/>
    <x v="2"/>
    <n v="2.2916666666666665"/>
    <n v="0"/>
  </r>
  <r>
    <n v="5646"/>
    <x v="16"/>
    <s v="Release 2.2"/>
    <d v="2012-08-14T19:45:10"/>
    <x v="22"/>
    <n v="2.2694444444444444"/>
    <n v="0"/>
  </r>
  <r>
    <n v="5647"/>
    <x v="4"/>
    <s v="Release 2.2"/>
    <d v="2012-08-06T22:40:39"/>
    <x v="16"/>
    <n v="2.2916666666666665"/>
    <n v="0"/>
  </r>
  <r>
    <n v="5656"/>
    <x v="18"/>
    <s v="Release 2.3"/>
    <d v="2012-11-02T16:42:18"/>
    <x v="11"/>
    <n v="2.0527777777777776"/>
    <n v="0"/>
  </r>
  <r>
    <n v="5658"/>
    <x v="17"/>
    <s v="Release 2.3"/>
    <d v="2012-11-02T16:42:32"/>
    <x v="2"/>
    <n v="2.0527777777777776"/>
    <n v="0"/>
  </r>
  <r>
    <n v="5664"/>
    <x v="6"/>
    <s v="Release 2.3"/>
    <d v="2012-11-02T16:43:46"/>
    <x v="18"/>
    <n v="2.0527777777777776"/>
    <n v="0"/>
  </r>
  <r>
    <n v="5665"/>
    <x v="19"/>
    <s v="Release 2.3"/>
    <d v="2012-10-30T09:45:34"/>
    <x v="22"/>
    <n v="2.0583333333333331"/>
    <n v="0"/>
  </r>
  <r>
    <n v="5666"/>
    <x v="6"/>
    <s v="Release 2.3"/>
    <d v="2012-12-06T21:10:53"/>
    <x v="11"/>
    <n v="1.9583333333333333"/>
    <n v="0"/>
  </r>
  <r>
    <n v="5669"/>
    <x v="17"/>
    <s v="Release 2.3"/>
    <d v="2012-10-30T14:58:44"/>
    <x v="13"/>
    <n v="2.0583333333333331"/>
    <n v="0"/>
  </r>
  <r>
    <n v="5670"/>
    <x v="17"/>
    <s v="Release 2.3"/>
    <d v="2012-12-06T21:10:54"/>
    <x v="13"/>
    <n v="1.9583333333333333"/>
    <n v="0"/>
  </r>
  <r>
    <n v="5685"/>
    <x v="3"/>
    <s v="Release 2.2"/>
    <d v="2012-08-14T19:44:50"/>
    <x v="2"/>
    <n v="2.2694444444444444"/>
    <n v="0"/>
  </r>
  <r>
    <n v="5693"/>
    <x v="24"/>
    <s v="Release 2.6"/>
    <d v="2013-07-11T20:15:27"/>
    <x v="5"/>
    <n v="1.3611111111111112"/>
    <n v="0"/>
  </r>
  <r>
    <n v="5694"/>
    <x v="19"/>
    <s v="Release 2.2"/>
    <d v="2012-08-14T19:45:18"/>
    <x v="13"/>
    <n v="2.2694444444444444"/>
    <n v="0"/>
  </r>
  <r>
    <n v="5695"/>
    <x v="3"/>
    <s v="Release 2.2"/>
    <d v="2012-08-14T19:45:19"/>
    <x v="2"/>
    <n v="2.2694444444444444"/>
    <n v="0"/>
  </r>
  <r>
    <n v="5712"/>
    <x v="3"/>
    <s v="Release 2.3"/>
    <d v="2012-10-30T14:51:13"/>
    <x v="11"/>
    <n v="2.0583333333333331"/>
    <n v="0"/>
  </r>
  <r>
    <n v="5728"/>
    <x v="0"/>
    <s v="Release 2.2"/>
    <d v="2012-08-14T19:45:29"/>
    <x v="10"/>
    <n v="2.2694444444444444"/>
    <n v="0"/>
  </r>
  <r>
    <n v="5731"/>
    <x v="4"/>
    <s v="Release 2.3"/>
    <d v="2012-10-29T14:34:08"/>
    <x v="22"/>
    <n v="2.0611111111111109"/>
    <n v="0"/>
  </r>
  <r>
    <n v="5751"/>
    <x v="0"/>
    <s v="Release 2.3"/>
    <d v="2012-10-29T18:44:22"/>
    <x v="16"/>
    <n v="2.0611111111111109"/>
    <n v="0"/>
  </r>
  <r>
    <n v="5756"/>
    <x v="8"/>
    <s v="Release 2.3"/>
    <d v="2012-10-29T11:20:16"/>
    <x v="2"/>
    <n v="2.0611111111111109"/>
    <n v="0"/>
  </r>
  <r>
    <n v="5764"/>
    <x v="6"/>
    <s v="Release 2.3"/>
    <d v="2012-10-30T10:14:46"/>
    <x v="11"/>
    <n v="2.0583333333333331"/>
    <n v="0"/>
  </r>
  <r>
    <n v="5775"/>
    <x v="16"/>
    <s v="Release 2.3"/>
    <d v="2012-10-30T10:22:55"/>
    <x v="11"/>
    <n v="2.0583333333333331"/>
    <n v="0"/>
  </r>
  <r>
    <n v="5782"/>
    <x v="17"/>
    <s v="Release 2.5"/>
    <d v="2013-05-16T22:39:54"/>
    <x v="2"/>
    <n v="1.5138888888888888"/>
    <n v="0"/>
  </r>
  <r>
    <n v="5793"/>
    <x v="3"/>
    <s v="Release 2.3"/>
    <d v="2012-10-30T16:21:39"/>
    <x v="11"/>
    <n v="2.0583333333333331"/>
    <n v="0"/>
  </r>
  <r>
    <n v="5795"/>
    <x v="42"/>
    <s v="Release 2.3"/>
    <d v="2012-10-29T17:16:15"/>
    <x v="5"/>
    <n v="2.0611111111111109"/>
    <n v="0"/>
  </r>
  <r>
    <n v="5802"/>
    <x v="8"/>
    <s v="Release 2.3"/>
    <d v="2012-10-29T15:58:07"/>
    <x v="9"/>
    <n v="2.0611111111111109"/>
    <n v="0"/>
  </r>
  <r>
    <n v="5815"/>
    <x v="6"/>
    <s v="Release 2.3"/>
    <d v="2012-10-30T12:46:19"/>
    <x v="5"/>
    <n v="2.0583333333333331"/>
    <n v="0"/>
  </r>
  <r>
    <n v="5816"/>
    <x v="4"/>
    <s v="Release 2.3"/>
    <d v="2012-11-02T16:43:02"/>
    <x v="11"/>
    <n v="2.0527777777777776"/>
    <n v="0"/>
  </r>
  <r>
    <n v="5842"/>
    <x v="8"/>
    <s v="Release 2.3"/>
    <d v="2012-10-29T11:37:05"/>
    <x v="2"/>
    <n v="2.0611111111111109"/>
    <n v="0"/>
  </r>
  <r>
    <n v="5844"/>
    <x v="22"/>
    <s v="Release 2.3"/>
    <d v="2012-12-06T21:10:52"/>
    <x v="13"/>
    <n v="1.9583333333333333"/>
    <n v="0"/>
  </r>
  <r>
    <n v="5847"/>
    <x v="3"/>
    <s v="Release 2.3"/>
    <d v="2012-11-02T16:45:54"/>
    <x v="11"/>
    <n v="2.0527777777777776"/>
    <n v="0"/>
  </r>
  <r>
    <n v="5864"/>
    <x v="0"/>
    <s v="Release 2.3"/>
    <d v="2012-11-02T16:45:00"/>
    <x v="4"/>
    <n v="2.0527777777777776"/>
    <n v="0"/>
  </r>
  <r>
    <n v="5904"/>
    <x v="17"/>
    <s v="Release 2.3"/>
    <d v="2012-11-02T16:44:00"/>
    <x v="4"/>
    <n v="2.0527777777777776"/>
    <n v="0"/>
  </r>
  <r>
    <n v="5906"/>
    <x v="4"/>
    <s v="Release 2.3"/>
    <d v="2012-11-02T16:43:49"/>
    <x v="11"/>
    <n v="2.0527777777777776"/>
    <n v="0"/>
  </r>
  <r>
    <n v="5911"/>
    <x v="4"/>
    <s v="Release 2.3"/>
    <d v="2012-11-02T16:43:49"/>
    <x v="21"/>
    <n v="2.0527777777777776"/>
    <n v="0"/>
  </r>
  <r>
    <n v="5916"/>
    <x v="20"/>
    <s v="Release 2.3"/>
    <d v="2012-11-02T16:43:52"/>
    <x v="21"/>
    <n v="2.0527777777777776"/>
    <n v="0"/>
  </r>
  <r>
    <n v="5934"/>
    <x v="0"/>
    <s v="Release 2.6"/>
    <d v="2013-07-25T10:07:08"/>
    <x v="12"/>
    <n v="1.3222222222222222"/>
    <n v="0"/>
  </r>
  <r>
    <n v="5939"/>
    <x v="0"/>
    <s v="Release 3.0"/>
    <d v="2013-10-23T10:45:15"/>
    <x v="4"/>
    <n v="1.0777777777777777"/>
    <n v="0"/>
  </r>
  <r>
    <n v="5954"/>
    <x v="16"/>
    <s v="Release 2.3"/>
    <d v="2012-11-02T16:44:42"/>
    <x v="7"/>
    <n v="2.0527777777777776"/>
    <n v="0"/>
  </r>
  <r>
    <n v="5964"/>
    <x v="4"/>
    <s v="Release 2.3"/>
    <d v="2012-11-02T16:44:54"/>
    <x v="16"/>
    <n v="2.0527777777777776"/>
    <n v="0"/>
  </r>
  <r>
    <n v="5970"/>
    <x v="16"/>
    <s v="Release 2.3"/>
    <d v="2012-11-02T16:45:23"/>
    <x v="11"/>
    <n v="2.0527777777777776"/>
    <n v="0"/>
  </r>
  <r>
    <n v="5975"/>
    <x v="3"/>
    <s v="Release 2.3"/>
    <d v="2012-11-02T16:45:15"/>
    <x v="21"/>
    <n v="2.0527777777777776"/>
    <n v="0"/>
  </r>
  <r>
    <n v="5976"/>
    <x v="6"/>
    <s v="Release 2.3"/>
    <d v="2012-11-02T16:45:05"/>
    <x v="11"/>
    <n v="2.0527777777777776"/>
    <n v="0"/>
  </r>
  <r>
    <n v="6005"/>
    <x v="6"/>
    <s v="Release 2.3"/>
    <d v="2012-11-02T16:45:40"/>
    <x v="11"/>
    <n v="2.0527777777777776"/>
    <n v="0"/>
  </r>
  <r>
    <n v="6010"/>
    <x v="2"/>
    <s v="Release 2.3"/>
    <d v="2012-11-02T16:45:42"/>
    <x v="2"/>
    <n v="2.0527777777777776"/>
    <n v="0"/>
  </r>
  <r>
    <n v="6056"/>
    <x v="16"/>
    <s v="Release 2.3"/>
    <d v="2012-12-06T21:10:55"/>
    <x v="3"/>
    <n v="1.9583333333333333"/>
    <n v="0"/>
  </r>
  <r>
    <n v="6067"/>
    <x v="2"/>
    <s v="Release 2.6"/>
    <d v="2013-07-23T18:27:26"/>
    <x v="7"/>
    <n v="1.3277777777777777"/>
    <n v="0"/>
  </r>
  <r>
    <n v="6071"/>
    <x v="16"/>
    <s v="Release 2.4"/>
    <d v="2013-01-28T15:52:50"/>
    <x v="12"/>
    <n v="1.8138888888888889"/>
    <n v="0"/>
  </r>
  <r>
    <n v="6081"/>
    <x v="3"/>
    <s v="Release 2.3"/>
    <d v="2012-12-06T21:10:55"/>
    <x v="2"/>
    <n v="1.9583333333333333"/>
    <n v="0"/>
  </r>
  <r>
    <n v="6085"/>
    <x v="3"/>
    <s v="Release 2.3"/>
    <d v="2012-12-06T21:10:55"/>
    <x v="2"/>
    <n v="1.9583333333333333"/>
    <n v="0"/>
  </r>
  <r>
    <n v="6105"/>
    <x v="16"/>
    <s v="Release 2.4"/>
    <d v="2013-01-28T11:38:53"/>
    <x v="18"/>
    <n v="1.8138888888888889"/>
    <n v="0"/>
  </r>
  <r>
    <n v="6108"/>
    <x v="3"/>
    <s v="Release 2.4"/>
    <d v="2013-01-28T16:57:18"/>
    <x v="16"/>
    <n v="1.8138888888888889"/>
    <n v="0"/>
  </r>
  <r>
    <n v="6111"/>
    <x v="11"/>
    <s v="Release 2.3.1"/>
    <d v="2012-12-06T21:11:08"/>
    <x v="5"/>
    <n v="1.9583333333333333"/>
    <n v="0"/>
  </r>
  <r>
    <n v="6124"/>
    <x v="2"/>
    <s v="Release 2.3.1"/>
    <d v="2012-12-06T21:11:04"/>
    <x v="2"/>
    <n v="1.9583333333333333"/>
    <n v="0"/>
  </r>
  <r>
    <n v="6130"/>
    <x v="4"/>
    <s v="Release 2.5"/>
    <d v="2013-04-19T16:05:19"/>
    <x v="21"/>
    <n v="1.5888888888888888"/>
    <n v="0"/>
  </r>
  <r>
    <n v="6131"/>
    <x v="4"/>
    <s v="Release 2.4"/>
    <d v="2013-01-29T11:36:55"/>
    <x v="11"/>
    <n v="1.8111111111111111"/>
    <n v="0"/>
  </r>
  <r>
    <n v="6133"/>
    <x v="16"/>
    <s v="Release 2.4"/>
    <d v="2013-02-04T11:08:24"/>
    <x v="11"/>
    <n v="1.7972222222222223"/>
    <n v="0"/>
  </r>
  <r>
    <n v="6138"/>
    <x v="4"/>
    <s v="Release 2.3.2"/>
    <d v="2013-01-21T18:14:03"/>
    <x v="5"/>
    <n v="1.8333333333333333"/>
    <n v="0"/>
  </r>
  <r>
    <n v="6143"/>
    <x v="8"/>
    <s v="Release 2.4"/>
    <d v="2013-01-28T12:15:57"/>
    <x v="2"/>
    <n v="1.8138888888888889"/>
    <n v="0"/>
  </r>
  <r>
    <n v="6149"/>
    <x v="0"/>
    <s v="Release 2.4"/>
    <d v="2013-02-04T11:08:28"/>
    <x v="36"/>
    <n v="1.7972222222222223"/>
    <n v="0"/>
  </r>
  <r>
    <n v="6150"/>
    <x v="0"/>
    <s v="Release 2.3.2"/>
    <d v="2012-12-11T15:53:25"/>
    <x v="5"/>
    <n v="1.9444444444444444"/>
    <n v="0"/>
  </r>
  <r>
    <n v="6160"/>
    <x v="4"/>
    <s v="Release 2.5"/>
    <d v="2013-05-22T11:45:37"/>
    <x v="11"/>
    <n v="1.4972222222222222"/>
    <n v="0"/>
  </r>
  <r>
    <n v="6168"/>
    <x v="0"/>
    <s v="Release 3.0"/>
    <d v="2013-08-07T16:53:13"/>
    <x v="16"/>
    <n v="1.288888888888889"/>
    <n v="0"/>
  </r>
  <r>
    <n v="6169"/>
    <x v="0"/>
    <s v="Release 3.0"/>
    <d v="2013-08-14T10:53:19"/>
    <x v="4"/>
    <n v="1.2694444444444444"/>
    <n v="0"/>
  </r>
  <r>
    <n v="6176"/>
    <x v="22"/>
    <s v="Release 2.5"/>
    <d v="2013-05-16T22:40:13"/>
    <x v="11"/>
    <n v="1.5138888888888888"/>
    <n v="0"/>
  </r>
  <r>
    <n v="6180"/>
    <x v="6"/>
    <s v="Release 2.4"/>
    <d v="2013-02-04T11:08:23"/>
    <x v="11"/>
    <n v="1.7972222222222223"/>
    <n v="0"/>
  </r>
  <r>
    <n v="6181"/>
    <x v="6"/>
    <s v="Release 2.4"/>
    <d v="2013-01-28T14:17:21"/>
    <x v="18"/>
    <n v="1.8138888888888889"/>
    <n v="0"/>
  </r>
  <r>
    <n v="6185"/>
    <x v="21"/>
    <s v="Release 2.4"/>
    <d v="2013-02-04T11:08:22"/>
    <x v="4"/>
    <n v="1.7972222222222223"/>
    <n v="0"/>
  </r>
  <r>
    <n v="6190"/>
    <x v="11"/>
    <s v="Release 2.4"/>
    <d v="2013-01-28T15:56:09"/>
    <x v="2"/>
    <n v="1.8138888888888889"/>
    <n v="0"/>
  </r>
  <r>
    <n v="6191"/>
    <x v="0"/>
    <s v="Release 2.6"/>
    <d v="2013-05-31T15:49:55"/>
    <x v="21"/>
    <n v="1.4750000000000001"/>
    <n v="0"/>
  </r>
  <r>
    <n v="6194"/>
    <x v="2"/>
    <s v="Release 2.4"/>
    <d v="2013-02-04T11:08:22"/>
    <x v="4"/>
    <n v="1.7972222222222223"/>
    <n v="0"/>
  </r>
  <r>
    <n v="6196"/>
    <x v="16"/>
    <s v="Release 2.4"/>
    <d v="2013-01-28T13:59:53"/>
    <x v="4"/>
    <n v="1.8138888888888889"/>
    <n v="0"/>
  </r>
  <r>
    <n v="6197"/>
    <x v="2"/>
    <s v="Release 2.6"/>
    <d v="2013-07-22T15:45:50"/>
    <x v="12"/>
    <n v="1.3305555555555555"/>
    <n v="0"/>
  </r>
  <r>
    <n v="6198"/>
    <x v="0"/>
    <s v="Release 3.0"/>
    <d v="2013-10-02T10:16:19"/>
    <x v="1"/>
    <n v="1.1361111111111111"/>
    <n v="0"/>
  </r>
  <r>
    <n v="6207"/>
    <x v="3"/>
    <s v="Release 2.4"/>
    <d v="2013-01-29T13:39:55"/>
    <x v="11"/>
    <n v="1.8111111111111111"/>
    <n v="0"/>
  </r>
  <r>
    <n v="6212"/>
    <x v="4"/>
    <s v="Release 2.5"/>
    <d v="2013-05-16T22:38:04"/>
    <x v="4"/>
    <n v="1.5138888888888888"/>
    <n v="0"/>
  </r>
  <r>
    <n v="6214"/>
    <x v="6"/>
    <s v="Release 2.4"/>
    <d v="2013-01-28T13:50:27"/>
    <x v="18"/>
    <n v="1.8138888888888889"/>
    <n v="0"/>
  </r>
  <r>
    <n v="6220"/>
    <x v="16"/>
    <s v="Release 2.4"/>
    <d v="2013-01-28T15:24:21"/>
    <x v="5"/>
    <n v="1.8138888888888889"/>
    <n v="0"/>
  </r>
  <r>
    <n v="6241"/>
    <x v="21"/>
    <s v="Release 2.3.2"/>
    <d v="2012-12-10T18:28:14"/>
    <x v="5"/>
    <n v="1.9472222222222222"/>
    <n v="0"/>
  </r>
  <r>
    <n v="6244"/>
    <x v="11"/>
    <s v="Release 2.3.2"/>
    <d v="2012-12-10T21:18:42"/>
    <x v="5"/>
    <n v="1.9472222222222222"/>
    <n v="0"/>
  </r>
  <r>
    <n v="6258"/>
    <x v="3"/>
    <s v="Release 2.4"/>
    <d v="2013-01-28T15:43:31"/>
    <x v="2"/>
    <n v="1.8138888888888889"/>
    <n v="0"/>
  </r>
  <r>
    <n v="6267"/>
    <x v="0"/>
    <s v="Release 2.4"/>
    <d v="2013-01-28T19:21:08"/>
    <x v="16"/>
    <n v="1.8138888888888889"/>
    <n v="0"/>
  </r>
  <r>
    <n v="6270"/>
    <x v="0"/>
    <s v="Release 2.3.2"/>
    <d v="2012-12-10T21:53:30"/>
    <x v="5"/>
    <n v="1.9472222222222222"/>
    <n v="0"/>
  </r>
  <r>
    <n v="6271"/>
    <x v="16"/>
    <s v="Release 2.4"/>
    <d v="2013-01-29T13:54:42"/>
    <x v="4"/>
    <n v="1.8111111111111111"/>
    <n v="0"/>
  </r>
  <r>
    <n v="6279"/>
    <x v="16"/>
    <s v="Release 2.4"/>
    <d v="2013-01-29T16:06:44"/>
    <x v="4"/>
    <n v="1.8111111111111111"/>
    <n v="0"/>
  </r>
  <r>
    <n v="6291"/>
    <x v="16"/>
    <s v="Release 2.4"/>
    <d v="2013-01-29T16:48:25"/>
    <x v="11"/>
    <n v="1.8111111111111111"/>
    <n v="0"/>
  </r>
  <r>
    <n v="6311"/>
    <x v="16"/>
    <s v="Release 2.4"/>
    <d v="2013-01-29T16:48:32"/>
    <x v="11"/>
    <n v="1.8111111111111111"/>
    <n v="0"/>
  </r>
  <r>
    <n v="6314"/>
    <x v="0"/>
    <s v="Release 2.4"/>
    <d v="2013-01-30T10:30:50"/>
    <x v="21"/>
    <n v="1.8083333333333333"/>
    <n v="0"/>
  </r>
  <r>
    <n v="6316"/>
    <x v="3"/>
    <s v="Release 2.4"/>
    <d v="2013-01-29T13:30:23"/>
    <x v="11"/>
    <n v="1.8111111111111111"/>
    <n v="0"/>
  </r>
  <r>
    <n v="6325"/>
    <x v="22"/>
    <s v="Release 2.4"/>
    <d v="2013-01-29T10:52:30"/>
    <x v="13"/>
    <n v="1.8111111111111111"/>
    <n v="0"/>
  </r>
  <r>
    <n v="6328"/>
    <x v="3"/>
    <s v="Release 2.5"/>
    <d v="2013-03-01T10:35:03"/>
    <x v="2"/>
    <n v="1.7222222222222223"/>
    <n v="0"/>
  </r>
  <r>
    <n v="6334"/>
    <x v="10"/>
    <s v="Release 2.4"/>
    <d v="2013-01-28T18:28:30"/>
    <x v="16"/>
    <n v="1.8138888888888889"/>
    <n v="0"/>
  </r>
  <r>
    <n v="6352"/>
    <x v="8"/>
    <s v="Release 2.4"/>
    <d v="2013-01-29T11:19:31"/>
    <x v="4"/>
    <n v="1.8111111111111111"/>
    <n v="0"/>
  </r>
  <r>
    <n v="6364"/>
    <x v="16"/>
    <s v="Release 2.4"/>
    <d v="2013-01-28T14:57:47"/>
    <x v="5"/>
    <n v="1.8138888888888889"/>
    <n v="0"/>
  </r>
  <r>
    <n v="6371"/>
    <x v="0"/>
    <s v="Release 2.5"/>
    <d v="2013-05-16T22:40:16"/>
    <x v="10"/>
    <n v="1.5138888888888888"/>
    <n v="0"/>
  </r>
  <r>
    <n v="6380"/>
    <x v="3"/>
    <s v="Release 2.4"/>
    <d v="2013-01-29T13:35:07"/>
    <x v="11"/>
    <n v="1.8111111111111111"/>
    <n v="0"/>
  </r>
  <r>
    <n v="6386"/>
    <x v="3"/>
    <s v="Release 2.4"/>
    <d v="2013-01-29T13:26:40"/>
    <x v="11"/>
    <n v="1.8111111111111111"/>
    <n v="0"/>
  </r>
  <r>
    <n v="6393"/>
    <x v="16"/>
    <s v="Release 2.4"/>
    <d v="2013-01-28T16:02:18"/>
    <x v="5"/>
    <n v="1.8138888888888889"/>
    <n v="0"/>
  </r>
  <r>
    <n v="6394"/>
    <x v="4"/>
    <s v="Release 2.4"/>
    <d v="2013-01-30T16:58:30"/>
    <x v="35"/>
    <n v="1.8083333333333333"/>
    <n v="0"/>
  </r>
  <r>
    <n v="6419"/>
    <x v="3"/>
    <s v="Release 2.6"/>
    <d v="2013-05-30T16:58:43"/>
    <x v="3"/>
    <n v="1.4750000000000001"/>
    <n v="0"/>
  </r>
  <r>
    <n v="6421"/>
    <x v="0"/>
    <s v="Release 2.4"/>
    <d v="2013-01-29T21:18:22"/>
    <x v="3"/>
    <n v="1.8111111111111111"/>
    <n v="0"/>
  </r>
  <r>
    <n v="6425"/>
    <x v="3"/>
    <s v="Release 2.4"/>
    <d v="2013-01-31T10:12:15"/>
    <x v="22"/>
    <n v="1.8083333333333333"/>
    <n v="0"/>
  </r>
  <r>
    <n v="6427"/>
    <x v="3"/>
    <s v="Release 2.4"/>
    <d v="2013-01-31T10:44:05"/>
    <x v="22"/>
    <n v="1.8083333333333333"/>
    <n v="0"/>
  </r>
  <r>
    <n v="6442"/>
    <x v="3"/>
    <s v="Release 2.4"/>
    <d v="2013-02-04T11:08:22"/>
    <x v="2"/>
    <n v="1.7972222222222223"/>
    <n v="0"/>
  </r>
  <r>
    <n v="6444"/>
    <x v="22"/>
    <s v="Release 3.0"/>
    <d v="2013-09-20T16:11:24"/>
    <x v="18"/>
    <n v="1.1694444444444445"/>
    <n v="0"/>
  </r>
  <r>
    <n v="6451"/>
    <x v="4"/>
    <s v="Release 2.4"/>
    <d v="2013-02-04T11:08:22"/>
    <x v="21"/>
    <n v="1.7972222222222223"/>
    <n v="0"/>
  </r>
  <r>
    <n v="6457"/>
    <x v="24"/>
    <s v="Release 3.0"/>
    <d v="2013-10-28T11:28:59"/>
    <x v="26"/>
    <n v="1.0638888888888889"/>
    <n v="0"/>
  </r>
  <r>
    <n v="6462"/>
    <x v="23"/>
    <s v="Release 2.5"/>
    <d v="2013-05-16T22:40:13"/>
    <x v="7"/>
    <n v="1.5138888888888888"/>
    <n v="0"/>
  </r>
  <r>
    <n v="6471"/>
    <x v="3"/>
    <s v="Release 2.6"/>
    <d v="2013-07-09T19:45:27"/>
    <x v="7"/>
    <n v="1.3666666666666667"/>
    <n v="0"/>
  </r>
  <r>
    <n v="6472"/>
    <x v="17"/>
    <s v="Release 3.0"/>
    <d v="2013-10-04T14:12:01"/>
    <x v="4"/>
    <n v="1.1305555555555555"/>
    <n v="0"/>
  </r>
  <r>
    <n v="6473"/>
    <x v="29"/>
    <s v="Release 3.1"/>
    <d v="2014-01-27T13:29:57"/>
    <x v="1"/>
    <n v="0.81666666666666665"/>
    <n v="1"/>
  </r>
  <r>
    <n v="6476"/>
    <x v="27"/>
    <s v="Release 2.4"/>
    <d v="2013-02-04T11:08:23"/>
    <x v="2"/>
    <n v="1.7972222222222223"/>
    <n v="0"/>
  </r>
  <r>
    <n v="6497"/>
    <x v="3"/>
    <s v="Release 2.4"/>
    <d v="2013-02-04T11:08:25"/>
    <x v="8"/>
    <n v="1.7972222222222223"/>
    <n v="0"/>
  </r>
  <r>
    <n v="6503"/>
    <x v="3"/>
    <s v="Release 2.4"/>
    <d v="2013-02-04T11:08:26"/>
    <x v="21"/>
    <n v="1.7972222222222223"/>
    <n v="0"/>
  </r>
  <r>
    <n v="6516"/>
    <x v="15"/>
    <s v="Release 2.6"/>
    <d v="2013-07-25T10:10:30"/>
    <x v="18"/>
    <n v="1.3222222222222222"/>
    <n v="0"/>
  </r>
  <r>
    <n v="6529"/>
    <x v="22"/>
    <s v="Release 2.5"/>
    <d v="2013-03-01T10:38:10"/>
    <x v="13"/>
    <n v="1.7222222222222223"/>
    <n v="0"/>
  </r>
  <r>
    <n v="6533"/>
    <x v="4"/>
    <s v="Release 2.5"/>
    <d v="2013-04-19T16:05:00"/>
    <x v="4"/>
    <n v="1.5888888888888888"/>
    <n v="0"/>
  </r>
  <r>
    <n v="6538"/>
    <x v="22"/>
    <s v="Release 2.5"/>
    <d v="2013-03-01T09:46:27"/>
    <x v="13"/>
    <n v="1.7222222222222223"/>
    <n v="0"/>
  </r>
  <r>
    <n v="6545"/>
    <x v="11"/>
    <s v="Release 2.5"/>
    <d v="2013-03-01T13:50:56"/>
    <x v="10"/>
    <n v="1.7222222222222223"/>
    <n v="0"/>
  </r>
  <r>
    <n v="6558"/>
    <x v="22"/>
    <s v="Release 2.5"/>
    <d v="2013-03-01T10:04:09"/>
    <x v="13"/>
    <n v="1.7222222222222223"/>
    <n v="0"/>
  </r>
  <r>
    <n v="6563"/>
    <x v="0"/>
    <s v="Release 3.2"/>
    <d v="2014-04-03T15:01:34"/>
    <x v="2"/>
    <n v="0.6333333333333333"/>
    <n v="1"/>
  </r>
  <r>
    <n v="6581"/>
    <x v="23"/>
    <s v="Release 2.5"/>
    <d v="2013-03-22T20:04:51"/>
    <x v="7"/>
    <n v="1.663888888888889"/>
    <n v="0"/>
  </r>
  <r>
    <n v="6583"/>
    <x v="16"/>
    <s v="Release 2.5"/>
    <d v="2013-03-08T17:10:20"/>
    <x v="7"/>
    <n v="1.7027777777777777"/>
    <n v="0"/>
  </r>
  <r>
    <n v="6606"/>
    <x v="0"/>
    <s v="Release 2.5"/>
    <d v="2013-03-01T10:09:17"/>
    <x v="2"/>
    <n v="1.7222222222222223"/>
    <n v="0"/>
  </r>
  <r>
    <n v="6614"/>
    <x v="3"/>
    <s v="Release 2.6"/>
    <d v="2013-07-25T10:11:02"/>
    <x v="21"/>
    <n v="1.3222222222222222"/>
    <n v="0"/>
  </r>
  <r>
    <n v="6615"/>
    <x v="3"/>
    <s v="Release 2.5"/>
    <d v="2013-03-01T10:09:50"/>
    <x v="11"/>
    <n v="1.7222222222222223"/>
    <n v="0"/>
  </r>
  <r>
    <n v="6624"/>
    <x v="4"/>
    <s v="Release 2.5"/>
    <d v="2013-04-19T16:05:07"/>
    <x v="16"/>
    <n v="1.5888888888888888"/>
    <n v="0"/>
  </r>
  <r>
    <n v="6627"/>
    <x v="4"/>
    <s v="Release 2.5"/>
    <d v="2013-05-16T22:39:23"/>
    <x v="18"/>
    <n v="1.5138888888888888"/>
    <n v="0"/>
  </r>
  <r>
    <n v="6636"/>
    <x v="16"/>
    <s v="Release 2.5"/>
    <d v="2013-03-01T11:31:43"/>
    <x v="11"/>
    <n v="1.7222222222222223"/>
    <n v="0"/>
  </r>
  <r>
    <n v="6642"/>
    <x v="3"/>
    <s v="Release 2.5"/>
    <d v="2013-03-01T10:56:13"/>
    <x v="2"/>
    <n v="1.7222222222222223"/>
    <n v="0"/>
  </r>
  <r>
    <n v="6643"/>
    <x v="22"/>
    <s v="Release 2.6"/>
    <d v="2013-07-25T10:11:19"/>
    <x v="13"/>
    <n v="1.3222222222222222"/>
    <n v="0"/>
  </r>
  <r>
    <n v="6650"/>
    <x v="23"/>
    <s v="Release 2.5"/>
    <d v="2013-05-16T22:38:18"/>
    <x v="3"/>
    <n v="1.5138888888888888"/>
    <n v="0"/>
  </r>
  <r>
    <n v="6671"/>
    <x v="23"/>
    <s v="Release 2.5"/>
    <d v="2013-04-19T16:04:59"/>
    <x v="7"/>
    <n v="1.5888888888888888"/>
    <n v="0"/>
  </r>
  <r>
    <n v="6676"/>
    <x v="23"/>
    <s v="Release 2.5"/>
    <d v="2013-04-18T15:26:16"/>
    <x v="7"/>
    <n v="1.5916666666666666"/>
    <n v="0"/>
  </r>
  <r>
    <n v="6678"/>
    <x v="4"/>
    <s v="Release 2.5"/>
    <d v="2013-05-16T22:38:04"/>
    <x v="4"/>
    <n v="1.5138888888888888"/>
    <n v="0"/>
  </r>
  <r>
    <n v="6685"/>
    <x v="16"/>
    <s v="Release 2.5"/>
    <d v="2013-04-19T16:05:12"/>
    <x v="12"/>
    <n v="1.5888888888888888"/>
    <n v="0"/>
  </r>
  <r>
    <n v="6691"/>
    <x v="29"/>
    <s v="Release 3.0"/>
    <d v="2013-10-09T15:12:49"/>
    <x v="18"/>
    <n v="1.1166666666666667"/>
    <n v="0"/>
  </r>
  <r>
    <n v="6692"/>
    <x v="29"/>
    <s v="Release 3.0"/>
    <d v="2013-09-16T22:05:18"/>
    <x v="13"/>
    <n v="1.1805555555555556"/>
    <n v="0"/>
  </r>
  <r>
    <n v="6696"/>
    <x v="29"/>
    <s v="Release 3.0"/>
    <d v="2013-09-19T13:08:13"/>
    <x v="13"/>
    <n v="1.1722222222222223"/>
    <n v="0"/>
  </r>
  <r>
    <n v="6702"/>
    <x v="16"/>
    <s v="Release 2.5"/>
    <d v="2013-04-05T12:47:59"/>
    <x v="11"/>
    <n v="1.6277777777777778"/>
    <n v="0"/>
  </r>
  <r>
    <n v="6714"/>
    <x v="6"/>
    <s v="Release 2.6"/>
    <d v="2013-07-25T10:14:52"/>
    <x v="12"/>
    <n v="1.3222222222222222"/>
    <n v="0"/>
  </r>
  <r>
    <n v="6729"/>
    <x v="22"/>
    <s v="Release 2.5"/>
    <d v="2013-04-19T16:05:03"/>
    <x v="1"/>
    <n v="1.5888888888888888"/>
    <n v="0"/>
  </r>
  <r>
    <n v="6740"/>
    <x v="22"/>
    <s v="Release 2.5"/>
    <d v="2013-04-19T16:05:10"/>
    <x v="11"/>
    <n v="1.5888888888888888"/>
    <n v="0"/>
  </r>
  <r>
    <n v="6751"/>
    <x v="2"/>
    <s v="Release 2.5"/>
    <d v="2013-04-19T16:05:12"/>
    <x v="2"/>
    <n v="1.5888888888888888"/>
    <n v="0"/>
  </r>
  <r>
    <n v="6753"/>
    <x v="16"/>
    <s v="Release 2.5"/>
    <d v="2013-04-19T16:05:30"/>
    <x v="9"/>
    <n v="1.5888888888888888"/>
    <n v="0"/>
  </r>
  <r>
    <n v="6754"/>
    <x v="4"/>
    <s v="Release 2.5"/>
    <d v="2013-05-22T11:45:36"/>
    <x v="11"/>
    <n v="1.4972222222222222"/>
    <n v="0"/>
  </r>
  <r>
    <n v="6756"/>
    <x v="4"/>
    <s v="Release 2.6"/>
    <d v="2013-05-17T13:26:03"/>
    <x v="2"/>
    <n v="1.5111111111111111"/>
    <n v="0"/>
  </r>
  <r>
    <n v="6761"/>
    <x v="4"/>
    <s v="Release 2.5"/>
    <d v="2013-04-19T16:37:34"/>
    <x v="2"/>
    <n v="1.5888888888888888"/>
    <n v="0"/>
  </r>
  <r>
    <n v="6767"/>
    <x v="16"/>
    <s v="Release 2.5"/>
    <d v="2013-05-16T22:37:57"/>
    <x v="12"/>
    <n v="1.5138888888888888"/>
    <n v="0"/>
  </r>
  <r>
    <n v="6773"/>
    <x v="3"/>
    <s v="Release 2.5"/>
    <d v="2013-04-19T16:05:27"/>
    <x v="9"/>
    <n v="1.5888888888888888"/>
    <n v="0"/>
  </r>
  <r>
    <n v="6779"/>
    <x v="3"/>
    <s v="Release 2.5"/>
    <d v="2013-04-19T16:05:28"/>
    <x v="13"/>
    <n v="1.5888888888888888"/>
    <n v="0"/>
  </r>
  <r>
    <n v="6783"/>
    <x v="3"/>
    <s v="Release 2.5"/>
    <d v="2013-04-19T16:05:31"/>
    <x v="16"/>
    <n v="1.5888888888888888"/>
    <n v="0"/>
  </r>
  <r>
    <n v="6784"/>
    <x v="16"/>
    <s v="Release 2.5"/>
    <d v="2013-04-19T16:05:31"/>
    <x v="12"/>
    <n v="1.5888888888888888"/>
    <n v="0"/>
  </r>
  <r>
    <n v="6793"/>
    <x v="14"/>
    <s v="Release 2.5"/>
    <d v="2013-05-16T22:37:59"/>
    <x v="3"/>
    <n v="1.5138888888888888"/>
    <n v="0"/>
  </r>
  <r>
    <n v="6795"/>
    <x v="3"/>
    <s v="Release 2.5"/>
    <d v="2013-04-19T16:05:35"/>
    <x v="7"/>
    <n v="1.5888888888888888"/>
    <n v="0"/>
  </r>
  <r>
    <n v="6803"/>
    <x v="0"/>
    <s v="Release 2.6"/>
    <d v="2013-05-17T10:36:20"/>
    <x v="4"/>
    <n v="1.5111111111111111"/>
    <n v="0"/>
  </r>
  <r>
    <n v="6805"/>
    <x v="27"/>
    <s v="Release 2.6"/>
    <d v="2013-05-17T10:36:22"/>
    <x v="7"/>
    <n v="1.5111111111111111"/>
    <n v="0"/>
  </r>
  <r>
    <n v="6815"/>
    <x v="4"/>
    <s v="Release 2.5"/>
    <d v="2013-05-16T22:38:43"/>
    <x v="10"/>
    <n v="1.5138888888888888"/>
    <n v="0"/>
  </r>
  <r>
    <n v="6824"/>
    <x v="3"/>
    <s v="Release 2.5"/>
    <d v="2013-05-16T22:38:04"/>
    <x v="7"/>
    <n v="1.5138888888888888"/>
    <n v="0"/>
  </r>
  <r>
    <n v="6832"/>
    <x v="3"/>
    <s v="Release 2.5"/>
    <d v="2013-05-16T22:38:04"/>
    <x v="16"/>
    <n v="1.5138888888888888"/>
    <n v="0"/>
  </r>
  <r>
    <n v="6852"/>
    <x v="18"/>
    <s v="Release 2.5"/>
    <d v="2013-05-22T11:45:33"/>
    <x v="5"/>
    <n v="1.4972222222222222"/>
    <n v="0"/>
  </r>
  <r>
    <n v="6854"/>
    <x v="4"/>
    <s v="Release 2.5"/>
    <d v="2013-05-16T22:39:52"/>
    <x v="7"/>
    <n v="1.5138888888888888"/>
    <n v="0"/>
  </r>
  <r>
    <n v="6861"/>
    <x v="23"/>
    <s v="Release 2.5"/>
    <d v="2013-05-16T22:39:44"/>
    <x v="3"/>
    <n v="1.5138888888888888"/>
    <n v="0"/>
  </r>
  <r>
    <n v="6862"/>
    <x v="23"/>
    <s v="Release 3.0"/>
    <d v="2013-10-23T11:16:45"/>
    <x v="25"/>
    <n v="1.0777777777777777"/>
    <n v="0"/>
  </r>
  <r>
    <n v="6870"/>
    <x v="32"/>
    <s v="Release 2.5"/>
    <d v="2013-05-16T22:39:28"/>
    <x v="7"/>
    <n v="1.5138888888888888"/>
    <n v="0"/>
  </r>
  <r>
    <n v="6879"/>
    <x v="14"/>
    <s v="Release 2.5"/>
    <d v="2013-05-16T22:39:39"/>
    <x v="8"/>
    <n v="1.5138888888888888"/>
    <n v="0"/>
  </r>
  <r>
    <n v="6886"/>
    <x v="4"/>
    <s v="Release 2.6"/>
    <d v="2013-05-16T22:40:45"/>
    <x v="18"/>
    <n v="1.5138888888888888"/>
    <n v="0"/>
  </r>
  <r>
    <n v="6903"/>
    <x v="3"/>
    <s v="Release 2.6"/>
    <d v="2013-05-17T15:58:43"/>
    <x v="1"/>
    <n v="1.5111111111111111"/>
    <n v="0"/>
  </r>
  <r>
    <n v="6906"/>
    <x v="2"/>
    <s v="Release 2.6"/>
    <d v="2013-07-29T21:33:57"/>
    <x v="7"/>
    <n v="1.3111111111111111"/>
    <n v="0"/>
  </r>
  <r>
    <n v="6909"/>
    <x v="4"/>
    <s v="Release 2.5"/>
    <d v="2013-05-16T22:40:10"/>
    <x v="18"/>
    <n v="1.5138888888888888"/>
    <n v="0"/>
  </r>
  <r>
    <n v="6911"/>
    <x v="6"/>
    <s v="Release 3.1"/>
    <d v="2013-11-22T15:05:20"/>
    <x v="16"/>
    <n v="0.99722222222222223"/>
    <n v="1"/>
  </r>
  <r>
    <n v="6918"/>
    <x v="23"/>
    <s v="Release 2.5"/>
    <d v="2013-05-16T22:40:04"/>
    <x v="7"/>
    <n v="1.5138888888888888"/>
    <n v="0"/>
  </r>
  <r>
    <n v="6921"/>
    <x v="3"/>
    <s v="Release 2.5"/>
    <d v="2013-05-16T22:40:08"/>
    <x v="22"/>
    <n v="1.5138888888888888"/>
    <n v="0"/>
  </r>
  <r>
    <n v="6923"/>
    <x v="22"/>
    <s v="Release 2.6"/>
    <d v="2013-07-25T10:13:55"/>
    <x v="4"/>
    <n v="1.3222222222222222"/>
    <n v="0"/>
  </r>
  <r>
    <n v="6926"/>
    <x v="4"/>
    <s v="Release 2.5"/>
    <d v="2013-05-22T11:45:39"/>
    <x v="9"/>
    <n v="1.4972222222222222"/>
    <n v="0"/>
  </r>
  <r>
    <n v="6951"/>
    <x v="4"/>
    <s v="Release 2.5"/>
    <d v="2013-05-16T22:40:24"/>
    <x v="7"/>
    <n v="1.5138888888888888"/>
    <n v="0"/>
  </r>
  <r>
    <n v="6956"/>
    <x v="23"/>
    <s v="Release 2.5"/>
    <d v="2013-05-16T22:40:25"/>
    <x v="7"/>
    <n v="1.5138888888888888"/>
    <n v="0"/>
  </r>
  <r>
    <n v="6962"/>
    <x v="22"/>
    <s v="Release 2.6"/>
    <d v="2013-07-25T10:14:23"/>
    <x v="11"/>
    <n v="1.3222222222222222"/>
    <n v="0"/>
  </r>
  <r>
    <n v="6968"/>
    <x v="23"/>
    <s v="Release 3.0"/>
    <d v="2013-10-23T11:16:03"/>
    <x v="7"/>
    <n v="1.0777777777777777"/>
    <n v="0"/>
  </r>
  <r>
    <n v="6976"/>
    <x v="3"/>
    <s v="Release 2.5"/>
    <d v="2013-05-16T22:40:37"/>
    <x v="7"/>
    <n v="1.5138888888888888"/>
    <n v="0"/>
  </r>
  <r>
    <n v="6979"/>
    <x v="3"/>
    <s v="Release 2.5"/>
    <d v="2013-05-16T22:40:34"/>
    <x v="12"/>
    <n v="1.5138888888888888"/>
    <n v="0"/>
  </r>
  <r>
    <n v="6983"/>
    <x v="17"/>
    <s v="Release 2.6"/>
    <d v="2013-07-30T16:07:29"/>
    <x v="12"/>
    <n v="1.3083333333333333"/>
    <n v="0"/>
  </r>
  <r>
    <n v="6987"/>
    <x v="22"/>
    <s v="Release 3.2"/>
    <d v="2014-02-14T14:04:17"/>
    <x v="15"/>
    <n v="0.76944444444444449"/>
    <n v="1"/>
  </r>
  <r>
    <n v="6992"/>
    <x v="2"/>
    <s v="Release 2.6"/>
    <d v="2013-05-24T19:34:11"/>
    <x v="13"/>
    <n v="1.4916666666666667"/>
    <n v="0"/>
  </r>
  <r>
    <n v="6994"/>
    <x v="17"/>
    <s v="Release 2.6"/>
    <d v="2013-07-25T10:14:38"/>
    <x v="11"/>
    <n v="1.3222222222222222"/>
    <n v="0"/>
  </r>
  <r>
    <n v="6999"/>
    <x v="23"/>
    <s v="Release 3.2"/>
    <d v="2014-05-30T19:12:23"/>
    <x v="7"/>
    <n v="0.47499999999999998"/>
    <n v="1"/>
  </r>
  <r>
    <n v="7012"/>
    <x v="16"/>
    <s v="Release 2.6"/>
    <d v="2013-07-29T13:54:53"/>
    <x v="11"/>
    <n v="1.3111111111111111"/>
    <n v="0"/>
  </r>
  <r>
    <n v="7013"/>
    <x v="16"/>
    <s v="Release 2.6"/>
    <d v="2013-07-26T17:00:15"/>
    <x v="9"/>
    <n v="1.3194444444444444"/>
    <n v="0"/>
  </r>
  <r>
    <n v="7020"/>
    <x v="3"/>
    <s v="Release 2.6"/>
    <d v="2013-07-25T10:14:53"/>
    <x v="2"/>
    <n v="1.3222222222222222"/>
    <n v="0"/>
  </r>
  <r>
    <n v="7021"/>
    <x v="10"/>
    <s v="Release 2.5"/>
    <d v="2013-05-16T22:40:44"/>
    <x v="5"/>
    <n v="1.5138888888888888"/>
    <n v="0"/>
  </r>
  <r>
    <n v="7031"/>
    <x v="22"/>
    <s v="Release 2.6"/>
    <d v="2013-07-25T10:16:33"/>
    <x v="26"/>
    <n v="1.3222222222222222"/>
    <n v="0"/>
  </r>
  <r>
    <n v="7036"/>
    <x v="3"/>
    <s v="Release 2.5"/>
    <d v="2013-05-16T22:40:49"/>
    <x v="7"/>
    <n v="1.5138888888888888"/>
    <n v="0"/>
  </r>
  <r>
    <n v="7047"/>
    <x v="18"/>
    <s v="Release 2.6"/>
    <d v="2013-05-17T15:22:18"/>
    <x v="7"/>
    <n v="1.5111111111111111"/>
    <n v="0"/>
  </r>
  <r>
    <n v="7053"/>
    <x v="15"/>
    <s v="Release 3.0"/>
    <d v="2013-08-30T19:41:25"/>
    <x v="9"/>
    <n v="1.2250000000000001"/>
    <n v="0"/>
  </r>
  <r>
    <n v="7055"/>
    <x v="3"/>
    <s v="Release 3.0"/>
    <d v="2013-10-10T22:01:26"/>
    <x v="5"/>
    <n v="1.1138888888888889"/>
    <n v="0"/>
  </r>
  <r>
    <n v="7070"/>
    <x v="11"/>
    <s v="Release 2.6"/>
    <d v="2013-07-25T15:40:28"/>
    <x v="10"/>
    <n v="1.3222222222222222"/>
    <n v="0"/>
  </r>
  <r>
    <n v="7084"/>
    <x v="3"/>
    <s v="Release 2.5.3"/>
    <d v="2013-05-29T14:08:27"/>
    <x v="2"/>
    <n v="1.4777777777777779"/>
    <n v="0"/>
  </r>
  <r>
    <n v="7087"/>
    <x v="6"/>
    <s v="Release 2.6"/>
    <d v="2013-07-25T10:17:48"/>
    <x v="4"/>
    <n v="1.3222222222222222"/>
    <n v="0"/>
  </r>
  <r>
    <n v="7090"/>
    <x v="16"/>
    <s v="Release 2.5.3"/>
    <d v="2013-06-03T13:48:39"/>
    <x v="4"/>
    <n v="1.4666666666666666"/>
    <n v="0"/>
  </r>
  <r>
    <n v="7091"/>
    <x v="27"/>
    <s v="Release 2.6"/>
    <d v="2013-07-25T10:18:27"/>
    <x v="3"/>
    <n v="1.3222222222222222"/>
    <n v="0"/>
  </r>
  <r>
    <n v="7097"/>
    <x v="22"/>
    <s v="Release 2.5.3"/>
    <d v="2013-05-29T16:16:32"/>
    <x v="18"/>
    <n v="1.4777777777777779"/>
    <n v="0"/>
  </r>
  <r>
    <n v="7098"/>
    <x v="11"/>
    <s v="Release 2.5.3"/>
    <d v="2013-05-31T11:48:09"/>
    <x v="5"/>
    <n v="1.4750000000000001"/>
    <n v="0"/>
  </r>
  <r>
    <n v="7103"/>
    <x v="3"/>
    <s v="Release 2.5.3"/>
    <d v="2013-05-29T09:03:49"/>
    <x v="12"/>
    <n v="1.4777777777777779"/>
    <n v="0"/>
  </r>
  <r>
    <n v="7112"/>
    <x v="23"/>
    <s v="Release 2.5.3"/>
    <d v="2013-05-28T13:41:42"/>
    <x v="3"/>
    <n v="1.4805555555555556"/>
    <n v="0"/>
  </r>
  <r>
    <n v="7115"/>
    <x v="14"/>
    <s v="Release 2.6"/>
    <d v="2013-05-23T16:39:28"/>
    <x v="8"/>
    <n v="1.4944444444444445"/>
    <n v="0"/>
  </r>
  <r>
    <n v="7117"/>
    <x v="4"/>
    <s v="Release 2.6"/>
    <d v="2013-06-28T19:36:13"/>
    <x v="21"/>
    <n v="1.3972222222222221"/>
    <n v="0"/>
  </r>
  <r>
    <n v="7121"/>
    <x v="22"/>
    <s v="Release 2.6"/>
    <d v="2013-07-25T10:22:22"/>
    <x v="3"/>
    <n v="1.3222222222222222"/>
    <n v="0"/>
  </r>
  <r>
    <n v="7122"/>
    <x v="22"/>
    <s v="Release 3.0"/>
    <d v="2013-10-18T14:27:00"/>
    <x v="27"/>
    <n v="1.0916666666666666"/>
    <n v="0"/>
  </r>
  <r>
    <n v="7128"/>
    <x v="11"/>
    <s v="Release 3.0"/>
    <d v="2013-10-23T11:19:27"/>
    <x v="12"/>
    <n v="1.0777777777777777"/>
    <n v="0"/>
  </r>
  <r>
    <n v="7133"/>
    <x v="26"/>
    <s v="Release 3.0"/>
    <d v="2013-10-24T15:29:47"/>
    <x v="18"/>
    <n v="1.075"/>
    <n v="0"/>
  </r>
  <r>
    <n v="7134"/>
    <x v="2"/>
    <s v="Release 3.0"/>
    <d v="2013-10-24T15:29:44"/>
    <x v="2"/>
    <n v="1.075"/>
    <n v="0"/>
  </r>
  <r>
    <n v="7144"/>
    <x v="3"/>
    <s v="Release 2.6"/>
    <d v="2013-07-25T10:22:54"/>
    <x v="27"/>
    <n v="1.3222222222222222"/>
    <n v="0"/>
  </r>
  <r>
    <n v="7181"/>
    <x v="29"/>
    <s v="Release 3.0"/>
    <d v="2013-09-19T14:30:58"/>
    <x v="13"/>
    <n v="1.1722222222222223"/>
    <n v="0"/>
  </r>
  <r>
    <n v="7182"/>
    <x v="4"/>
    <s v="Release 2.6"/>
    <d v="2013-06-28T15:36:38"/>
    <x v="13"/>
    <n v="1.3972222222222221"/>
    <n v="0"/>
  </r>
  <r>
    <n v="7185"/>
    <x v="11"/>
    <s v="Release 2.6"/>
    <d v="2013-07-25T10:27:31"/>
    <x v="5"/>
    <n v="1.3222222222222222"/>
    <n v="0"/>
  </r>
  <r>
    <n v="7201"/>
    <x v="16"/>
    <s v="Release 2.6"/>
    <d v="2013-07-25T10:29:17"/>
    <x v="4"/>
    <n v="1.3222222222222222"/>
    <n v="0"/>
  </r>
  <r>
    <n v="7207"/>
    <x v="16"/>
    <s v="Release 2.6"/>
    <d v="2013-07-25T10:29:41"/>
    <x v="4"/>
    <n v="1.3222222222222222"/>
    <n v="0"/>
  </r>
  <r>
    <n v="7214"/>
    <x v="0"/>
    <s v="Release 2.6"/>
    <d v="2013-07-25T10:37:15"/>
    <x v="10"/>
    <n v="1.3222222222222222"/>
    <n v="0"/>
  </r>
  <r>
    <n v="7222"/>
    <x v="4"/>
    <s v="Release 2.6"/>
    <d v="2013-07-26T15:28:44"/>
    <x v="12"/>
    <n v="1.3194444444444444"/>
    <n v="0"/>
  </r>
  <r>
    <n v="7229"/>
    <x v="29"/>
    <s v="Release 3.0"/>
    <d v="2013-10-16T14:40:54"/>
    <x v="13"/>
    <n v="1.0972222222222223"/>
    <n v="0"/>
  </r>
  <r>
    <n v="7253"/>
    <x v="4"/>
    <s v="Release 2.6"/>
    <d v="2013-07-05T15:28:10"/>
    <x v="12"/>
    <n v="1.3777777777777778"/>
    <n v="0"/>
  </r>
  <r>
    <n v="7263"/>
    <x v="3"/>
    <s v="Release 2.6"/>
    <d v="2013-07-08T13:10:08"/>
    <x v="2"/>
    <n v="1.3694444444444445"/>
    <n v="0"/>
  </r>
  <r>
    <n v="7289"/>
    <x v="3"/>
    <s v="Release 2.6"/>
    <d v="2013-07-29T16:51:08"/>
    <x v="11"/>
    <n v="1.3111111111111111"/>
    <n v="0"/>
  </r>
  <r>
    <n v="7291"/>
    <x v="4"/>
    <s v="Release 2.6"/>
    <d v="2013-07-25T10:42:07"/>
    <x v="21"/>
    <n v="1.3222222222222222"/>
    <n v="0"/>
  </r>
  <r>
    <n v="7322"/>
    <x v="23"/>
    <s v="Release 2.6"/>
    <d v="2013-07-25T10:42:37"/>
    <x v="3"/>
    <n v="1.3222222222222222"/>
    <n v="0"/>
  </r>
  <r>
    <n v="7331"/>
    <x v="3"/>
    <s v="Release 3.2"/>
    <d v="2014-05-13T21:32:23"/>
    <x v="3"/>
    <n v="0.52222222222222225"/>
    <n v="1"/>
  </r>
  <r>
    <n v="7333"/>
    <x v="23"/>
    <s v="Release 2.6"/>
    <d v="2013-07-25T10:42:51"/>
    <x v="3"/>
    <n v="1.3222222222222222"/>
    <n v="0"/>
  </r>
  <r>
    <n v="7336"/>
    <x v="23"/>
    <s v="Release 2.6"/>
    <d v="2013-07-25T10:43:06"/>
    <x v="3"/>
    <n v="1.3222222222222222"/>
    <n v="0"/>
  </r>
  <r>
    <n v="7337"/>
    <x v="11"/>
    <s v="Release 2.6"/>
    <d v="2013-07-25T10:43:32"/>
    <x v="2"/>
    <n v="1.3222222222222222"/>
    <n v="0"/>
  </r>
  <r>
    <n v="7340"/>
    <x v="2"/>
    <s v="Release 2.6"/>
    <d v="2013-06-24T14:48:28"/>
    <x v="2"/>
    <n v="1.4083333333333334"/>
    <n v="0"/>
  </r>
  <r>
    <n v="7345"/>
    <x v="23"/>
    <s v="Release 2.6"/>
    <d v="2013-06-25T15:29:20"/>
    <x v="3"/>
    <n v="1.4055555555555554"/>
    <n v="0"/>
  </r>
  <r>
    <n v="7347"/>
    <x v="14"/>
    <s v="Release 2.6"/>
    <d v="2013-07-25T10:44:29"/>
    <x v="5"/>
    <n v="1.3222222222222222"/>
    <n v="0"/>
  </r>
  <r>
    <n v="7362"/>
    <x v="11"/>
    <s v="Release 2.6"/>
    <d v="2013-07-05T22:22:17"/>
    <x v="7"/>
    <n v="1.3777777777777778"/>
    <n v="0"/>
  </r>
  <r>
    <n v="7366"/>
    <x v="6"/>
    <s v="Release 2.6"/>
    <d v="2013-07-05T14:37:02"/>
    <x v="28"/>
    <n v="1.3777777777777778"/>
    <n v="0"/>
  </r>
  <r>
    <n v="7372"/>
    <x v="16"/>
    <s v="Release 2.6"/>
    <d v="2013-07-17T15:25:55"/>
    <x v="11"/>
    <n v="1.3444444444444446"/>
    <n v="0"/>
  </r>
  <r>
    <n v="7375"/>
    <x v="11"/>
    <s v="Release 2.6"/>
    <d v="2013-07-24T13:48:56"/>
    <x v="2"/>
    <n v="1.325"/>
    <n v="0"/>
  </r>
  <r>
    <n v="7392"/>
    <x v="0"/>
    <s v="Release 3.0"/>
    <d v="2013-08-09T19:47:31"/>
    <x v="5"/>
    <n v="1.2833333333333334"/>
    <n v="0"/>
  </r>
  <r>
    <n v="7393"/>
    <x v="6"/>
    <s v="Release 2.6"/>
    <d v="2013-07-10T15:44:13"/>
    <x v="18"/>
    <n v="1.3638888888888889"/>
    <n v="0"/>
  </r>
  <r>
    <n v="7396"/>
    <x v="17"/>
    <s v="Release 3.1"/>
    <d v="2013-11-15T13:33:59"/>
    <x v="2"/>
    <n v="1.0166666666666666"/>
    <n v="0"/>
  </r>
  <r>
    <n v="7397"/>
    <x v="16"/>
    <s v="Release 2.6"/>
    <d v="2013-07-25T10:47:23"/>
    <x v="25"/>
    <n v="1.3222222222222222"/>
    <n v="0"/>
  </r>
  <r>
    <n v="7402"/>
    <x v="0"/>
    <s v="Release 2.6"/>
    <d v="2013-07-25T10:47:40"/>
    <x v="9"/>
    <n v="1.3222222222222222"/>
    <n v="0"/>
  </r>
  <r>
    <n v="7414"/>
    <x v="6"/>
    <s v="Release 2.6"/>
    <d v="2013-07-10T17:17:36"/>
    <x v="7"/>
    <n v="1.3638888888888889"/>
    <n v="0"/>
  </r>
  <r>
    <n v="7422"/>
    <x v="4"/>
    <s v="Release 3.0"/>
    <d v="2013-10-23T10:37:18"/>
    <x v="2"/>
    <n v="1.0777777777777777"/>
    <n v="0"/>
  </r>
  <r>
    <n v="7426"/>
    <x v="23"/>
    <s v="Release 2.6"/>
    <d v="2013-07-25T10:48:00"/>
    <x v="18"/>
    <n v="1.3222222222222222"/>
    <n v="0"/>
  </r>
  <r>
    <n v="7433"/>
    <x v="0"/>
    <s v="Release 2.6"/>
    <d v="2013-07-12T15:30:33"/>
    <x v="5"/>
    <n v="1.3583333333333334"/>
    <n v="0"/>
  </r>
  <r>
    <n v="7438"/>
    <x v="22"/>
    <s v="Release 2.6"/>
    <d v="2013-07-29T10:44:22"/>
    <x v="11"/>
    <n v="1.3111111111111111"/>
    <n v="0"/>
  </r>
  <r>
    <n v="7445"/>
    <x v="16"/>
    <s v="Release 2.6"/>
    <d v="2013-07-19T14:46:11"/>
    <x v="12"/>
    <n v="1.3388888888888888"/>
    <n v="0"/>
  </r>
  <r>
    <n v="7451"/>
    <x v="14"/>
    <s v="Release 2.6"/>
    <d v="2013-07-24T10:57:14"/>
    <x v="23"/>
    <n v="1.325"/>
    <n v="0"/>
  </r>
  <r>
    <n v="7459"/>
    <x v="23"/>
    <s v="Release 2.6"/>
    <d v="2013-07-26T18:08:52"/>
    <x v="9"/>
    <n v="1.3194444444444444"/>
    <n v="0"/>
  </r>
  <r>
    <n v="7462"/>
    <x v="0"/>
    <s v="Release 2.6"/>
    <d v="2013-07-22T17:23:24"/>
    <x v="9"/>
    <n v="1.3305555555555555"/>
    <n v="0"/>
  </r>
  <r>
    <n v="7463"/>
    <x v="15"/>
    <s v="Release 2.6"/>
    <d v="2013-07-25T10:48:31"/>
    <x v="7"/>
    <n v="1.3222222222222222"/>
    <n v="0"/>
  </r>
  <r>
    <n v="7491"/>
    <x v="22"/>
    <s v="Release 2.6"/>
    <d v="2013-07-25T10:12:31"/>
    <x v="13"/>
    <n v="1.3222222222222222"/>
    <n v="0"/>
  </r>
  <r>
    <n v="7499"/>
    <x v="3"/>
    <s v="Release 2.6"/>
    <d v="2013-07-24T18:25:35"/>
    <x v="23"/>
    <n v="1.325"/>
    <n v="0"/>
  </r>
  <r>
    <n v="7502"/>
    <x v="16"/>
    <s v="Release 2.6"/>
    <d v="2013-07-26T13:11:16"/>
    <x v="12"/>
    <n v="1.3194444444444444"/>
    <n v="0"/>
  </r>
  <r>
    <n v="7505"/>
    <x v="10"/>
    <s v="Release 3.0"/>
    <d v="2013-10-30T08:17:09"/>
    <x v="11"/>
    <n v="1.0583333333333333"/>
    <n v="0"/>
  </r>
  <r>
    <n v="7525"/>
    <x v="4"/>
    <s v="Release 2.6"/>
    <d v="2013-07-29T16:23:20"/>
    <x v="11"/>
    <n v="1.3111111111111111"/>
    <n v="0"/>
  </r>
  <r>
    <n v="7526"/>
    <x v="4"/>
    <s v="Release 2.6"/>
    <d v="2013-07-29T13:22:33"/>
    <x v="11"/>
    <n v="1.3111111111111111"/>
    <n v="0"/>
  </r>
  <r>
    <n v="7538"/>
    <x v="4"/>
    <s v="Release 3.0"/>
    <d v="2013-08-30T15:07:29"/>
    <x v="3"/>
    <n v="1.2250000000000001"/>
    <n v="0"/>
  </r>
  <r>
    <n v="7539"/>
    <x v="16"/>
    <s v="Release 3.0"/>
    <d v="2013-12-11T18:16:18"/>
    <x v="3"/>
    <n v="0.94444444444444442"/>
    <n v="1"/>
  </r>
  <r>
    <n v="7547"/>
    <x v="0"/>
    <s v="Release 2.6"/>
    <d v="2013-07-29T12:16:58"/>
    <x v="11"/>
    <n v="1.3111111111111111"/>
    <n v="0"/>
  </r>
  <r>
    <n v="7548"/>
    <x v="3"/>
    <s v="Release 3.0"/>
    <d v="2013-10-29T10:56:28"/>
    <x v="12"/>
    <n v="1.0611111111111111"/>
    <n v="0"/>
  </r>
  <r>
    <n v="7557"/>
    <x v="29"/>
    <s v="Release 3.0"/>
    <d v="2013-10-18T16:09:38"/>
    <x v="1"/>
    <n v="1.0916666666666666"/>
    <n v="0"/>
  </r>
  <r>
    <n v="7565"/>
    <x v="28"/>
    <s v="Release 3.0"/>
    <d v="2013-08-07T10:39:47"/>
    <x v="2"/>
    <n v="1.288888888888889"/>
    <n v="0"/>
  </r>
  <r>
    <n v="7572"/>
    <x v="4"/>
    <s v="Release 2.6"/>
    <d v="2013-08-01T16:51:50"/>
    <x v="11"/>
    <n v="1.3055555555555556"/>
    <n v="0"/>
  </r>
  <r>
    <n v="7601"/>
    <x v="16"/>
    <s v="Release 2.6"/>
    <d v="2013-07-31T12:27:37"/>
    <x v="12"/>
    <n v="1.3083333333333333"/>
    <n v="0"/>
  </r>
  <r>
    <n v="7614"/>
    <x v="19"/>
    <s v="Release 3.0"/>
    <d v="2013-10-25T13:32:33"/>
    <x v="11"/>
    <n v="1.0722222222222222"/>
    <n v="0"/>
  </r>
  <r>
    <n v="7629"/>
    <x v="4"/>
    <s v="Release 3.0"/>
    <d v="2013-08-30T15:27:50"/>
    <x v="28"/>
    <n v="1.2250000000000001"/>
    <n v="0"/>
  </r>
  <r>
    <n v="7631"/>
    <x v="4"/>
    <s v="Release 3.0"/>
    <d v="2013-08-30T17:05:12"/>
    <x v="11"/>
    <n v="1.2250000000000001"/>
    <n v="0"/>
  </r>
  <r>
    <n v="7641"/>
    <x v="2"/>
    <s v="Release 3.0"/>
    <d v="2013-08-30T13:57:19"/>
    <x v="2"/>
    <n v="1.2250000000000001"/>
    <n v="0"/>
  </r>
  <r>
    <n v="7645"/>
    <x v="17"/>
    <s v="Release 3.1"/>
    <d v="2013-11-29T14:53:22"/>
    <x v="21"/>
    <n v="0.97777777777777775"/>
    <n v="1"/>
  </r>
  <r>
    <n v="7655"/>
    <x v="43"/>
    <s v="Release 3.0"/>
    <d v="2013-09-19T14:35:45"/>
    <x v="7"/>
    <n v="1.1722222222222223"/>
    <n v="0"/>
  </r>
  <r>
    <n v="7656"/>
    <x v="0"/>
    <s v="Release 3.0"/>
    <d v="2013-08-16T20:47:44"/>
    <x v="3"/>
    <n v="1.2638888888888888"/>
    <n v="0"/>
  </r>
  <r>
    <n v="7658"/>
    <x v="23"/>
    <s v="Release 3.0"/>
    <d v="2013-10-23T10:44:59"/>
    <x v="7"/>
    <n v="1.0777777777777777"/>
    <n v="0"/>
  </r>
  <r>
    <n v="7679"/>
    <x v="11"/>
    <s v="Release 3.0"/>
    <d v="2013-08-30T18:45:46"/>
    <x v="5"/>
    <n v="1.2250000000000001"/>
    <n v="0"/>
  </r>
  <r>
    <n v="7683"/>
    <x v="16"/>
    <s v="Release 3.0"/>
    <d v="2013-10-23T11:49:20"/>
    <x v="18"/>
    <n v="1.0777777777777777"/>
    <n v="0"/>
  </r>
  <r>
    <n v="7689"/>
    <x v="29"/>
    <s v="Release 3.0"/>
    <d v="2013-08-08T15:52:57"/>
    <x v="7"/>
    <n v="1.2861111111111112"/>
    <n v="0"/>
  </r>
  <r>
    <n v="7690"/>
    <x v="22"/>
    <s v="Release 3.0"/>
    <d v="2013-09-16T14:26:39"/>
    <x v="4"/>
    <n v="1.1805555555555556"/>
    <n v="0"/>
  </r>
  <r>
    <n v="7694"/>
    <x v="11"/>
    <s v="Release 3.0"/>
    <d v="2013-08-29T16:27:18"/>
    <x v="12"/>
    <n v="1.2277777777777779"/>
    <n v="0"/>
  </r>
  <r>
    <n v="7698"/>
    <x v="22"/>
    <s v="Release 3.0"/>
    <d v="2013-08-23T14:40:03"/>
    <x v="25"/>
    <n v="1.2444444444444445"/>
    <n v="0"/>
  </r>
  <r>
    <n v="7703"/>
    <x v="22"/>
    <s v="Release 3.0"/>
    <d v="2013-08-29T18:59:58"/>
    <x v="23"/>
    <n v="1.2277777777777779"/>
    <n v="0"/>
  </r>
  <r>
    <n v="7705"/>
    <x v="8"/>
    <s v="Release 2.6.1"/>
    <d v="2013-08-15T18:36:09"/>
    <x v="18"/>
    <n v="1.2666666666666666"/>
    <n v="0"/>
  </r>
  <r>
    <n v="7707"/>
    <x v="14"/>
    <s v="Release 3.0"/>
    <d v="2013-08-21T14:39:19"/>
    <x v="7"/>
    <n v="1.25"/>
    <n v="0"/>
  </r>
  <r>
    <n v="7708"/>
    <x v="3"/>
    <s v="Release 3.0"/>
    <d v="2013-08-19T13:38:16"/>
    <x v="12"/>
    <n v="1.2555555555555555"/>
    <n v="0"/>
  </r>
  <r>
    <n v="7720"/>
    <x v="29"/>
    <s v="Release 2.6.1"/>
    <d v="2013-08-13T15:41:29"/>
    <x v="5"/>
    <n v="1.2722222222222221"/>
    <n v="0"/>
  </r>
  <r>
    <n v="7737"/>
    <x v="0"/>
    <s v="Release 3.0"/>
    <d v="2013-08-18T01:53:34"/>
    <x v="9"/>
    <n v="1.2583333333333333"/>
    <n v="0"/>
  </r>
  <r>
    <n v="7743"/>
    <x v="3"/>
    <s v="Release 3.0"/>
    <d v="2013-10-23T11:10:08"/>
    <x v="7"/>
    <n v="1.0777777777777777"/>
    <n v="0"/>
  </r>
  <r>
    <n v="7744"/>
    <x v="29"/>
    <s v="Release 2.6.1"/>
    <d v="2013-08-19T07:26:12"/>
    <x v="5"/>
    <n v="1.2555555555555555"/>
    <n v="0"/>
  </r>
  <r>
    <n v="7760"/>
    <x v="22"/>
    <s v="Release 3.0"/>
    <d v="2013-08-30T16:37:40"/>
    <x v="4"/>
    <n v="1.2250000000000001"/>
    <n v="0"/>
  </r>
  <r>
    <n v="7767"/>
    <x v="0"/>
    <s v="Release 3.0"/>
    <d v="2013-08-23T14:49:58"/>
    <x v="1"/>
    <n v="1.2444444444444445"/>
    <n v="0"/>
  </r>
  <r>
    <n v="7774"/>
    <x v="4"/>
    <s v="Release 3.0"/>
    <d v="2013-08-28T12:43:01"/>
    <x v="27"/>
    <n v="1.2305555555555556"/>
    <n v="0"/>
  </r>
  <r>
    <n v="7780"/>
    <x v="3"/>
    <s v="Release 3.0"/>
    <d v="2013-09-13T16:01:21"/>
    <x v="28"/>
    <n v="1.1888888888888889"/>
    <n v="0"/>
  </r>
  <r>
    <n v="7785"/>
    <x v="0"/>
    <s v="Release 3.0"/>
    <d v="2013-09-16T11:28:04"/>
    <x v="21"/>
    <n v="1.1805555555555556"/>
    <n v="0"/>
  </r>
  <r>
    <n v="7788"/>
    <x v="23"/>
    <s v="Release 3.0"/>
    <d v="2013-10-22T18:24:38"/>
    <x v="10"/>
    <n v="1.0805555555555555"/>
    <n v="0"/>
  </r>
  <r>
    <n v="7799"/>
    <x v="11"/>
    <s v="Release 3.0"/>
    <d v="2013-10-23T11:11:43"/>
    <x v="10"/>
    <n v="1.0777777777777777"/>
    <n v="0"/>
  </r>
  <r>
    <n v="7813"/>
    <x v="23"/>
    <s v="Release 3.0"/>
    <d v="2013-08-23T18:42:19"/>
    <x v="7"/>
    <n v="1.2444444444444445"/>
    <n v="0"/>
  </r>
  <r>
    <n v="7822"/>
    <x v="0"/>
    <s v="Release 3.0"/>
    <d v="2013-10-18T21:14:46"/>
    <x v="9"/>
    <n v="1.0916666666666666"/>
    <n v="0"/>
  </r>
  <r>
    <n v="7830"/>
    <x v="19"/>
    <s v="Release 3.0"/>
    <d v="2013-10-25T14:28:15"/>
    <x v="11"/>
    <n v="1.0722222222222222"/>
    <n v="0"/>
  </r>
  <r>
    <n v="7843"/>
    <x v="0"/>
    <s v="Release 3.0"/>
    <d v="2014-01-24T19:03:28"/>
    <x v="5"/>
    <n v="0.82499999999999996"/>
    <n v="1"/>
  </r>
  <r>
    <n v="7844"/>
    <x v="22"/>
    <s v="Release 3.0"/>
    <d v="2013-08-30T19:59:13"/>
    <x v="7"/>
    <n v="1.2250000000000001"/>
    <n v="0"/>
  </r>
  <r>
    <n v="7847"/>
    <x v="23"/>
    <s v="Release 3.0"/>
    <d v="2013-10-23T11:29:45"/>
    <x v="7"/>
    <n v="1.0777777777777777"/>
    <n v="0"/>
  </r>
  <r>
    <n v="7858"/>
    <x v="11"/>
    <s v="Release 3.0"/>
    <d v="2013-09-04T16:09:02"/>
    <x v="7"/>
    <n v="1.2138888888888888"/>
    <n v="0"/>
  </r>
  <r>
    <n v="7865"/>
    <x v="30"/>
    <s v="Release 3.0"/>
    <d v="2013-10-29T09:00:17"/>
    <x v="11"/>
    <n v="1.0611111111111111"/>
    <n v="0"/>
  </r>
  <r>
    <n v="7880"/>
    <x v="23"/>
    <s v="Release 3.0"/>
    <d v="2013-10-23T11:52:30"/>
    <x v="10"/>
    <n v="1.0777777777777777"/>
    <n v="0"/>
  </r>
  <r>
    <n v="7889"/>
    <x v="22"/>
    <s v="Release 3.0"/>
    <d v="2013-10-23T11:36:26"/>
    <x v="21"/>
    <n v="1.0777777777777777"/>
    <n v="0"/>
  </r>
  <r>
    <n v="7891"/>
    <x v="3"/>
    <s v="Release 3.1"/>
    <d v="2014-02-03T10:18:41"/>
    <x v="1"/>
    <n v="0.8"/>
    <n v="1"/>
  </r>
  <r>
    <n v="7893"/>
    <x v="23"/>
    <s v="Release 3.0"/>
    <d v="2013-10-23T11:29:23"/>
    <x v="3"/>
    <n v="1.0777777777777777"/>
    <n v="0"/>
  </r>
  <r>
    <n v="7901"/>
    <x v="28"/>
    <s v="Release 3.0"/>
    <d v="2013-09-16T09:11:07"/>
    <x v="0"/>
    <n v="1.1805555555555556"/>
    <n v="0"/>
  </r>
  <r>
    <n v="7902"/>
    <x v="4"/>
    <s v="Release 3.0"/>
    <d v="2013-09-13T14:23:13"/>
    <x v="4"/>
    <n v="1.1888888888888889"/>
    <n v="0"/>
  </r>
  <r>
    <n v="7918"/>
    <x v="4"/>
    <s v="Release 3.0"/>
    <d v="2013-10-24T13:49:35"/>
    <x v="11"/>
    <n v="1.075"/>
    <n v="0"/>
  </r>
  <r>
    <n v="7919"/>
    <x v="4"/>
    <s v="Release 3.0"/>
    <d v="2013-09-19T19:29:08"/>
    <x v="3"/>
    <n v="1.1722222222222223"/>
    <n v="0"/>
  </r>
  <r>
    <n v="7927"/>
    <x v="4"/>
    <s v="Release 3.0"/>
    <d v="2013-09-13T15:27:05"/>
    <x v="18"/>
    <n v="1.1888888888888889"/>
    <n v="0"/>
  </r>
  <r>
    <n v="7928"/>
    <x v="16"/>
    <s v="Release 3.0"/>
    <d v="2013-09-27T14:27:37"/>
    <x v="27"/>
    <n v="1.1499999999999999"/>
    <n v="0"/>
  </r>
  <r>
    <n v="7945"/>
    <x v="11"/>
    <s v="Release 3.0"/>
    <d v="2013-09-17T19:48:44"/>
    <x v="7"/>
    <n v="1.1777777777777778"/>
    <n v="0"/>
  </r>
  <r>
    <n v="7954"/>
    <x v="4"/>
    <s v="Release 3.0"/>
    <d v="2013-10-28T10:43:20"/>
    <x v="11"/>
    <n v="1.0638888888888889"/>
    <n v="0"/>
  </r>
  <r>
    <n v="7968"/>
    <x v="3"/>
    <s v="Release 3.0"/>
    <d v="2013-10-04T13:33:24"/>
    <x v="15"/>
    <n v="1.1305555555555555"/>
    <n v="0"/>
  </r>
  <r>
    <n v="7974"/>
    <x v="22"/>
    <s v="Release 3.0"/>
    <d v="2013-09-20T15:26:01"/>
    <x v="11"/>
    <n v="1.1694444444444445"/>
    <n v="0"/>
  </r>
  <r>
    <n v="7980"/>
    <x v="10"/>
    <s v="Release 3.0"/>
    <d v="2013-10-16T14:54:34"/>
    <x v="7"/>
    <n v="1.0972222222222223"/>
    <n v="0"/>
  </r>
  <r>
    <n v="7982"/>
    <x v="16"/>
    <s v="Release 3.0"/>
    <d v="2013-10-11T15:55:28"/>
    <x v="25"/>
    <n v="1.1111111111111112"/>
    <n v="0"/>
  </r>
  <r>
    <n v="7983"/>
    <x v="16"/>
    <s v="Release 3.0"/>
    <d v="2013-09-27T15:55:55"/>
    <x v="16"/>
    <n v="1.1499999999999999"/>
    <n v="0"/>
  </r>
  <r>
    <n v="7987"/>
    <x v="11"/>
    <s v="Release 3.2"/>
    <d v="2014-02-25T20:04:30"/>
    <x v="16"/>
    <n v="0.73888888888888893"/>
    <n v="1"/>
  </r>
  <r>
    <n v="8000"/>
    <x v="3"/>
    <s v="Release 3.0"/>
    <d v="2013-09-25T15:43:22"/>
    <x v="7"/>
    <n v="1.1555555555555554"/>
    <n v="0"/>
  </r>
  <r>
    <n v="8001"/>
    <x v="22"/>
    <s v="Release 3.0"/>
    <d v="2013-09-24T09:40:24"/>
    <x v="4"/>
    <n v="1.1583333333333334"/>
    <n v="0"/>
  </r>
  <r>
    <n v="8006"/>
    <x v="0"/>
    <s v="Release 3.0"/>
    <d v="2013-10-15T19:57:47"/>
    <x v="4"/>
    <n v="1.1000000000000001"/>
    <n v="0"/>
  </r>
  <r>
    <n v="8018"/>
    <x v="0"/>
    <s v="Release 3.0"/>
    <d v="2013-10-15T16:59:27"/>
    <x v="2"/>
    <n v="1.1000000000000001"/>
    <n v="0"/>
  </r>
  <r>
    <n v="8032"/>
    <x v="4"/>
    <s v="Release 3.0"/>
    <d v="2013-09-30T14:48:39"/>
    <x v="27"/>
    <n v="1.1416666666666666"/>
    <n v="0"/>
  </r>
  <r>
    <n v="8037"/>
    <x v="4"/>
    <s v="Release 3.0"/>
    <d v="2013-09-28T09:41:10"/>
    <x v="4"/>
    <n v="1.1472222222222221"/>
    <n v="0"/>
  </r>
  <r>
    <n v="8056"/>
    <x v="0"/>
    <s v="Release 3.0"/>
    <d v="2013-10-30T13:42:17"/>
    <x v="3"/>
    <n v="1.0583333333333333"/>
    <n v="0"/>
  </r>
  <r>
    <n v="8085"/>
    <x v="44"/>
    <s v="Release 3.3"/>
    <d v="2014-10-24T09:35:15"/>
    <x v="29"/>
    <n v="7.4999999999999997E-2"/>
    <n v="1"/>
  </r>
  <r>
    <n v="8086"/>
    <x v="3"/>
    <s v="Release 3.0"/>
    <d v="2013-10-11T14:00:37"/>
    <x v="2"/>
    <n v="1.1111111111111112"/>
    <n v="0"/>
  </r>
  <r>
    <n v="8108"/>
    <x v="0"/>
    <s v="Release 3.0"/>
    <d v="2013-10-21T16:56:49"/>
    <x v="9"/>
    <n v="1.0833333333333333"/>
    <n v="0"/>
  </r>
  <r>
    <n v="8110"/>
    <x v="28"/>
    <s v="Release 3.0"/>
    <d v="2013-10-11T14:34:36"/>
    <x v="25"/>
    <n v="1.1111111111111112"/>
    <n v="0"/>
  </r>
  <r>
    <n v="8132"/>
    <x v="16"/>
    <s v="Release 3.0"/>
    <d v="2013-10-18T12:03:50"/>
    <x v="25"/>
    <n v="1.0916666666666666"/>
    <n v="0"/>
  </r>
  <r>
    <n v="8148"/>
    <x v="3"/>
    <s v="Release 3.0"/>
    <d v="2013-10-18T18:15:12"/>
    <x v="16"/>
    <n v="1.0916666666666666"/>
    <n v="0"/>
  </r>
  <r>
    <n v="8149"/>
    <x v="16"/>
    <s v="Release 3.0"/>
    <d v="2013-10-18T15:03:57"/>
    <x v="12"/>
    <n v="1.0916666666666666"/>
    <n v="0"/>
  </r>
  <r>
    <n v="8153"/>
    <x v="24"/>
    <s v="Release 3.0"/>
    <d v="2013-11-05T14:19:11"/>
    <x v="7"/>
    <n v="1.0444444444444445"/>
    <n v="0"/>
  </r>
  <r>
    <n v="8157"/>
    <x v="4"/>
    <s v="Release 3.0"/>
    <d v="2013-10-21T15:37:01"/>
    <x v="16"/>
    <n v="1.0833333333333333"/>
    <n v="0"/>
  </r>
  <r>
    <n v="8181"/>
    <x v="10"/>
    <s v="Release 3.0"/>
    <d v="2013-10-28T13:45:07"/>
    <x v="11"/>
    <n v="1.0638888888888889"/>
    <n v="0"/>
  </r>
  <r>
    <n v="8183"/>
    <x v="16"/>
    <s v="Release 3.0"/>
    <d v="2013-10-25T19:29:10"/>
    <x v="9"/>
    <n v="1.0722222222222222"/>
    <n v="0"/>
  </r>
  <r>
    <n v="8186"/>
    <x v="22"/>
    <s v="Release 3.0"/>
    <d v="2013-10-24T14:07:33"/>
    <x v="11"/>
    <n v="1.075"/>
    <n v="0"/>
  </r>
  <r>
    <n v="8194"/>
    <x v="6"/>
    <s v="Release 3.0"/>
    <d v="2013-10-29T10:32:01"/>
    <x v="1"/>
    <n v="1.0611111111111111"/>
    <n v="0"/>
  </r>
  <r>
    <n v="8206"/>
    <x v="24"/>
    <s v="Release 3.0"/>
    <d v="2013-10-31T14:50:10"/>
    <x v="4"/>
    <n v="1.0583333333333333"/>
    <n v="0"/>
  </r>
  <r>
    <n v="8213"/>
    <x v="2"/>
    <s v="Release 3.0"/>
    <d v="2013-10-25T10:23:08"/>
    <x v="12"/>
    <n v="1.0722222222222222"/>
    <n v="0"/>
  </r>
  <r>
    <n v="8215"/>
    <x v="11"/>
    <s v="Release 3.0"/>
    <d v="2013-10-25T09:39:28"/>
    <x v="18"/>
    <n v="1.0722222222222222"/>
    <n v="0"/>
  </r>
  <r>
    <n v="8216"/>
    <x v="3"/>
    <s v="Release 3.2"/>
    <d v="2014-03-25T15:15:04"/>
    <x v="21"/>
    <n v="0.65555555555555556"/>
    <n v="1"/>
  </r>
  <r>
    <n v="8218"/>
    <x v="24"/>
    <s v="Release 3.0"/>
    <d v="2013-10-31T09:35:17"/>
    <x v="27"/>
    <n v="1.0583333333333333"/>
    <n v="0"/>
  </r>
  <r>
    <n v="8220"/>
    <x v="0"/>
    <s v="Release 3.0"/>
    <d v="2013-10-25T14:28:14"/>
    <x v="26"/>
    <n v="1.0722222222222222"/>
    <n v="0"/>
  </r>
  <r>
    <n v="8222"/>
    <x v="23"/>
    <s v="Release 3.2"/>
    <d v="2014-03-11T15:10:03"/>
    <x v="10"/>
    <n v="0.69444444444444442"/>
    <n v="1"/>
  </r>
  <r>
    <n v="8226"/>
    <x v="4"/>
    <s v="Release 3.1"/>
    <d v="2014-02-03T18:49:20"/>
    <x v="7"/>
    <n v="0.8"/>
    <n v="1"/>
  </r>
  <r>
    <n v="8229"/>
    <x v="29"/>
    <s v="Release 3.0"/>
    <d v="2013-10-28T09:52:29"/>
    <x v="28"/>
    <n v="1.0638888888888889"/>
    <n v="0"/>
  </r>
  <r>
    <n v="8232"/>
    <x v="2"/>
    <s v="Release 3.0"/>
    <d v="2013-10-25T22:20:18"/>
    <x v="16"/>
    <n v="1.0722222222222222"/>
    <n v="0"/>
  </r>
  <r>
    <n v="8233"/>
    <x v="24"/>
    <s v="Release 3.0"/>
    <d v="2013-11-04T10:12:44"/>
    <x v="1"/>
    <n v="1.0472222222222223"/>
    <n v="0"/>
  </r>
  <r>
    <n v="8235"/>
    <x v="0"/>
    <s v="Release 3.0"/>
    <d v="2013-10-28T10:10:12"/>
    <x v="4"/>
    <n v="1.0638888888888889"/>
    <n v="0"/>
  </r>
  <r>
    <n v="8243"/>
    <x v="19"/>
    <s v="Release 3.0"/>
    <d v="2013-10-29T09:37:21"/>
    <x v="1"/>
    <n v="1.0611111111111111"/>
    <n v="0"/>
  </r>
  <r>
    <n v="8248"/>
    <x v="30"/>
    <s v="Release 3.0"/>
    <d v="2013-10-28T18:03:20"/>
    <x v="9"/>
    <n v="1.0638888888888889"/>
    <n v="0"/>
  </r>
  <r>
    <n v="8254"/>
    <x v="19"/>
    <s v="Release 3.0"/>
    <d v="2013-10-31T11:57:20"/>
    <x v="4"/>
    <n v="1.0583333333333333"/>
    <n v="0"/>
  </r>
  <r>
    <n v="8260"/>
    <x v="11"/>
    <s v="Release 3.0"/>
    <d v="2013-10-29T17:48:17"/>
    <x v="10"/>
    <n v="1.0611111111111111"/>
    <n v="0"/>
  </r>
  <r>
    <n v="8270"/>
    <x v="28"/>
    <s v="Release 3.0"/>
    <d v="2013-10-29T11:12:49"/>
    <x v="1"/>
    <n v="1.0611111111111111"/>
    <n v="0"/>
  </r>
  <r>
    <n v="8279"/>
    <x v="19"/>
    <s v="Release 3.0"/>
    <d v="2013-10-30T14:31:19"/>
    <x v="18"/>
    <n v="1.0583333333333333"/>
    <n v="0"/>
  </r>
  <r>
    <n v="8280"/>
    <x v="21"/>
    <s v="Release 3.1"/>
    <d v="2014-01-31T13:52:10"/>
    <x v="2"/>
    <n v="0.80833333333333335"/>
    <n v="1"/>
  </r>
  <r>
    <n v="8300"/>
    <x v="16"/>
    <s v="Release 3.1"/>
    <d v="2013-11-15T16:22:46"/>
    <x v="16"/>
    <n v="1.0166666666666666"/>
    <n v="0"/>
  </r>
  <r>
    <n v="8305"/>
    <x v="8"/>
    <s v="Release 3.0"/>
    <d v="2013-10-30T19:42:57"/>
    <x v="9"/>
    <n v="1.0583333333333333"/>
    <n v="0"/>
  </r>
  <r>
    <n v="8314"/>
    <x v="28"/>
    <s v="Release 3.1"/>
    <d v="2013-11-22T14:55:48"/>
    <x v="12"/>
    <n v="0.99722222222222223"/>
    <n v="1"/>
  </r>
  <r>
    <n v="8317"/>
    <x v="24"/>
    <s v="Release 3.0"/>
    <d v="2013-11-01T12:05:42"/>
    <x v="11"/>
    <n v="1.0555555555555556"/>
    <n v="0"/>
  </r>
  <r>
    <n v="8326"/>
    <x v="0"/>
    <s v="Release 3.0"/>
    <d v="2013-11-01T15:05:35"/>
    <x v="5"/>
    <n v="1.0555555555555556"/>
    <n v="0"/>
  </r>
  <r>
    <n v="8328"/>
    <x v="19"/>
    <s v="Release 3.0"/>
    <d v="2013-11-01T09:02:18"/>
    <x v="4"/>
    <n v="1.0555555555555556"/>
    <n v="0"/>
  </r>
  <r>
    <n v="8331"/>
    <x v="19"/>
    <s v="Release 3.0"/>
    <d v="2013-11-01T13:31:57"/>
    <x v="11"/>
    <n v="1.0555555555555556"/>
    <n v="0"/>
  </r>
  <r>
    <n v="8334"/>
    <x v="4"/>
    <s v="Release 3.1"/>
    <d v="2013-11-08T16:40:58"/>
    <x v="12"/>
    <n v="1.0361111111111112"/>
    <n v="0"/>
  </r>
  <r>
    <n v="8337"/>
    <x v="28"/>
    <s v="Release 3.0"/>
    <d v="2013-11-04T15:21:22"/>
    <x v="11"/>
    <n v="1.0472222222222223"/>
    <n v="0"/>
  </r>
  <r>
    <n v="8340"/>
    <x v="28"/>
    <s v="Release 3.0"/>
    <d v="2013-11-01T15:04:51"/>
    <x v="11"/>
    <n v="1.0555555555555556"/>
    <n v="0"/>
  </r>
  <r>
    <n v="8349"/>
    <x v="29"/>
    <s v="Release 3.1"/>
    <d v="2014-01-17T16:17:28"/>
    <x v="28"/>
    <n v="0.84444444444444444"/>
    <n v="1"/>
  </r>
  <r>
    <n v="8351"/>
    <x v="0"/>
    <s v="Release 3.1"/>
    <d v="2013-11-12T15:20:42"/>
    <x v="9"/>
    <n v="1.0249999999999999"/>
    <n v="0"/>
  </r>
  <r>
    <n v="8353"/>
    <x v="28"/>
    <s v="Release 3.1"/>
    <d v="2013-11-15T16:44:49"/>
    <x v="25"/>
    <n v="1.0166666666666666"/>
    <n v="0"/>
  </r>
  <r>
    <n v="8364"/>
    <x v="3"/>
    <s v="Release 3.1"/>
    <d v="2013-11-08T15:36:03"/>
    <x v="2"/>
    <n v="1.0361111111111112"/>
    <n v="0"/>
  </r>
  <r>
    <n v="8372"/>
    <x v="16"/>
    <s v="Release 3.1"/>
    <d v="2013-11-26T15:55:22"/>
    <x v="0"/>
    <n v="0.98611111111111116"/>
    <n v="1"/>
  </r>
  <r>
    <n v="8374"/>
    <x v="30"/>
    <s v="Release 3.1"/>
    <d v="2013-11-18T22:12:09"/>
    <x v="7"/>
    <n v="1.0083333333333333"/>
    <n v="0"/>
  </r>
  <r>
    <n v="8407"/>
    <x v="3"/>
    <s v="Release 3.1"/>
    <d v="2013-11-08T13:37:10"/>
    <x v="5"/>
    <n v="1.0361111111111112"/>
    <n v="0"/>
  </r>
  <r>
    <n v="8426"/>
    <x v="0"/>
    <s v="Release 3.1"/>
    <d v="2013-11-22T19:41:58"/>
    <x v="5"/>
    <n v="0.99722222222222223"/>
    <n v="1"/>
  </r>
  <r>
    <n v="8432"/>
    <x v="11"/>
    <s v="Release 3.1"/>
    <d v="2013-12-09T21:31:50"/>
    <x v="10"/>
    <n v="0.95"/>
    <n v="1"/>
  </r>
  <r>
    <n v="8447"/>
    <x v="11"/>
    <s v="Release 3.1"/>
    <d v="2013-11-15T14:23:41"/>
    <x v="5"/>
    <n v="1.0166666666666666"/>
    <n v="0"/>
  </r>
  <r>
    <n v="8458"/>
    <x v="19"/>
    <s v="Release 3.1"/>
    <d v="2014-01-31T21:06:24"/>
    <x v="9"/>
    <n v="0.80833333333333335"/>
    <n v="1"/>
  </r>
  <r>
    <n v="8475"/>
    <x v="30"/>
    <s v="Release 3.1"/>
    <d v="2014-01-31T13:52:32"/>
    <x v="2"/>
    <n v="0.80833333333333335"/>
    <n v="1"/>
  </r>
  <r>
    <n v="8498"/>
    <x v="6"/>
    <s v="Release 3.1"/>
    <d v="2013-11-21T18:05:15"/>
    <x v="3"/>
    <n v="1"/>
    <n v="0"/>
  </r>
  <r>
    <n v="8514"/>
    <x v="30"/>
    <s v="Release 3.1"/>
    <d v="2014-01-27T13:29:55"/>
    <x v="2"/>
    <n v="0.81666666666666665"/>
    <n v="1"/>
  </r>
  <r>
    <n v="8520"/>
    <x v="16"/>
    <s v="Release 3.1"/>
    <d v="2013-12-16T09:36:42"/>
    <x v="15"/>
    <n v="0.93055555555555558"/>
    <n v="1"/>
  </r>
  <r>
    <n v="8524"/>
    <x v="23"/>
    <s v="Release 3.1"/>
    <d v="2013-12-05T18:34:30"/>
    <x v="3"/>
    <n v="0.96111111111111114"/>
    <n v="1"/>
  </r>
  <r>
    <n v="8540"/>
    <x v="23"/>
    <s v="Release 3.1"/>
    <d v="2013-12-03T19:07:13"/>
    <x v="3"/>
    <n v="0.96666666666666667"/>
    <n v="1"/>
  </r>
  <r>
    <n v="8542"/>
    <x v="0"/>
    <s v="Release 3.1"/>
    <d v="2013-12-06T15:01:43"/>
    <x v="5"/>
    <n v="0.95833333333333337"/>
    <n v="1"/>
  </r>
  <r>
    <n v="8547"/>
    <x v="29"/>
    <s v="Release 3.2"/>
    <d v="2014-03-14T16:04:08"/>
    <x v="1"/>
    <n v="0.68611111111111112"/>
    <n v="1"/>
  </r>
  <r>
    <n v="8559"/>
    <x v="22"/>
    <s v="Release 3.1"/>
    <d v="2013-12-09T09:43:31"/>
    <x v="15"/>
    <n v="0.95"/>
    <n v="1"/>
  </r>
  <r>
    <n v="8562"/>
    <x v="19"/>
    <s v="Release 3.2"/>
    <d v="2014-06-05T15:34:09"/>
    <x v="25"/>
    <n v="0.46111111111111114"/>
    <n v="1"/>
  </r>
  <r>
    <n v="8564"/>
    <x v="0"/>
    <s v="Release 3.1"/>
    <d v="2013-12-05T21:48:27"/>
    <x v="37"/>
    <n v="0.96111111111111114"/>
    <n v="1"/>
  </r>
  <r>
    <n v="8570"/>
    <x v="29"/>
    <s v="Release 3.1"/>
    <d v="2014-01-31T11:05:15"/>
    <x v="11"/>
    <n v="0.80833333333333335"/>
    <n v="1"/>
  </r>
  <r>
    <n v="8578"/>
    <x v="18"/>
    <s v="Release 3.1"/>
    <d v="2014-02-03T11:06:50"/>
    <x v="4"/>
    <n v="0.8"/>
    <n v="1"/>
  </r>
  <r>
    <n v="8582"/>
    <x v="3"/>
    <s v="Release 3.1"/>
    <d v="2013-12-10T16:26:13"/>
    <x v="0"/>
    <n v="0.94722222222222219"/>
    <n v="1"/>
  </r>
  <r>
    <n v="8584"/>
    <x v="30"/>
    <s v="Release 3.1"/>
    <d v="2014-01-13T10:53:43"/>
    <x v="15"/>
    <n v="0.85555555555555551"/>
    <n v="1"/>
  </r>
  <r>
    <n v="8589"/>
    <x v="16"/>
    <s v="Release 3.1"/>
    <d v="2013-12-16T09:09:43"/>
    <x v="15"/>
    <n v="0.93055555555555558"/>
    <n v="1"/>
  </r>
  <r>
    <n v="8590"/>
    <x v="30"/>
    <s v="Release 3.1"/>
    <d v="2014-01-30T15:50:43"/>
    <x v="2"/>
    <n v="0.80833333333333335"/>
    <n v="1"/>
  </r>
  <r>
    <n v="8593"/>
    <x v="3"/>
    <s v="Release 3.1"/>
    <d v="2013-12-11T14:10:50"/>
    <x v="27"/>
    <n v="0.94444444444444442"/>
    <n v="1"/>
  </r>
  <r>
    <n v="8598"/>
    <x v="3"/>
    <s v="Release 3.1"/>
    <d v="2014-01-17T15:30:44"/>
    <x v="26"/>
    <n v="0.84444444444444444"/>
    <n v="1"/>
  </r>
  <r>
    <n v="8607"/>
    <x v="24"/>
    <s v="Release 3.1"/>
    <d v="2014-01-27T13:29:57"/>
    <x v="15"/>
    <n v="0.81666666666666665"/>
    <n v="1"/>
  </r>
  <r>
    <n v="8608"/>
    <x v="6"/>
    <s v="Release 3.1"/>
    <d v="2014-01-14T10:36:34"/>
    <x v="28"/>
    <n v="0.85277777777777775"/>
    <n v="1"/>
  </r>
  <r>
    <n v="8615"/>
    <x v="3"/>
    <s v="Release 3.1"/>
    <d v="2013-12-13T14:26:10"/>
    <x v="2"/>
    <n v="0.93888888888888888"/>
    <n v="1"/>
  </r>
  <r>
    <n v="8616"/>
    <x v="16"/>
    <s v="Release 3.1"/>
    <d v="2013-12-23T09:50:26"/>
    <x v="18"/>
    <n v="0.91111111111111109"/>
    <n v="1"/>
  </r>
  <r>
    <n v="8625"/>
    <x v="10"/>
    <s v="Release 3.1"/>
    <d v="2013-12-18T14:54:05"/>
    <x v="7"/>
    <n v="0.92500000000000004"/>
    <n v="1"/>
  </r>
  <r>
    <n v="8633"/>
    <x v="30"/>
    <s v="Release 3.1"/>
    <d v="2014-01-08T15:27:12"/>
    <x v="2"/>
    <n v="0.86944444444444446"/>
    <n v="1"/>
  </r>
  <r>
    <n v="8639"/>
    <x v="16"/>
    <s v="Release 3.1"/>
    <d v="2013-12-23T11:42:19"/>
    <x v="18"/>
    <n v="0.91111111111111109"/>
    <n v="1"/>
  </r>
  <r>
    <n v="8643"/>
    <x v="16"/>
    <s v="Release 3.1"/>
    <d v="2014-01-31T13:52:45"/>
    <x v="28"/>
    <n v="0.80833333333333335"/>
    <n v="1"/>
  </r>
  <r>
    <n v="8644"/>
    <x v="16"/>
    <s v="Release 3.1"/>
    <d v="2013-12-30T18:30:21"/>
    <x v="35"/>
    <n v="0.89166666666666672"/>
    <n v="1"/>
  </r>
  <r>
    <n v="8645"/>
    <x v="16"/>
    <s v="Release 3.1"/>
    <d v="2014-01-08T14:57:23"/>
    <x v="28"/>
    <n v="0.86944444444444446"/>
    <n v="1"/>
  </r>
  <r>
    <n v="8656"/>
    <x v="16"/>
    <s v="Release 3.1"/>
    <d v="2014-01-03T15:50:49"/>
    <x v="18"/>
    <n v="0.8833333333333333"/>
    <n v="1"/>
  </r>
  <r>
    <n v="8663"/>
    <x v="10"/>
    <s v="Release 3.1"/>
    <d v="2014-01-02T23:55:29"/>
    <x v="9"/>
    <n v="0.88611111111111107"/>
    <n v="1"/>
  </r>
  <r>
    <n v="8678"/>
    <x v="29"/>
    <s v="Release 3.1"/>
    <d v="2014-01-31T13:52:54"/>
    <x v="26"/>
    <n v="0.80833333333333335"/>
    <n v="1"/>
  </r>
  <r>
    <n v="8680"/>
    <x v="3"/>
    <s v="Release 3.1"/>
    <d v="2014-01-08T22:21:44"/>
    <x v="7"/>
    <n v="0.86944444444444446"/>
    <n v="1"/>
  </r>
  <r>
    <n v="8701"/>
    <x v="29"/>
    <s v="Release 3.1"/>
    <d v="2014-01-29T12:51:29"/>
    <x v="25"/>
    <n v="0.81111111111111112"/>
    <n v="1"/>
  </r>
  <r>
    <n v="8708"/>
    <x v="2"/>
    <s v="Release 3.2"/>
    <d v="2014-07-02T13:46:29"/>
    <x v="13"/>
    <n v="0.38611111111111113"/>
    <n v="1"/>
  </r>
  <r>
    <n v="8715"/>
    <x v="24"/>
    <s v="Release 3.2"/>
    <d v="2014-04-25T13:18:44"/>
    <x v="2"/>
    <n v="0.57222222222222219"/>
    <n v="1"/>
  </r>
  <r>
    <n v="8719"/>
    <x v="24"/>
    <s v="Release 3.1"/>
    <d v="2014-01-27T13:30:02"/>
    <x v="15"/>
    <n v="0.81666666666666665"/>
    <n v="1"/>
  </r>
  <r>
    <n v="8725"/>
    <x v="24"/>
    <s v="Release 3.1"/>
    <d v="2014-01-17T13:30:20"/>
    <x v="27"/>
    <n v="0.84444444444444444"/>
    <n v="1"/>
  </r>
  <r>
    <n v="8727"/>
    <x v="24"/>
    <s v="Release 3.1"/>
    <d v="2014-02-03T16:00:14"/>
    <x v="27"/>
    <n v="0.8"/>
    <n v="1"/>
  </r>
  <r>
    <n v="8731"/>
    <x v="29"/>
    <s v="Release 3.1"/>
    <d v="2014-01-21T16:07:34"/>
    <x v="25"/>
    <n v="0.83333333333333337"/>
    <n v="1"/>
  </r>
  <r>
    <n v="8734"/>
    <x v="24"/>
    <s v="Release 3.1"/>
    <d v="2014-02-03T11:34:17"/>
    <x v="15"/>
    <n v="0.8"/>
    <n v="1"/>
  </r>
  <r>
    <n v="8741"/>
    <x v="29"/>
    <s v="Release 3.1"/>
    <d v="2014-01-24T21:30:43"/>
    <x v="7"/>
    <n v="0.82499999999999996"/>
    <n v="1"/>
  </r>
  <r>
    <n v="8756"/>
    <x v="30"/>
    <s v="Release 3.1"/>
    <d v="2014-01-31T12:02:36"/>
    <x v="11"/>
    <n v="0.80833333333333335"/>
    <n v="1"/>
  </r>
  <r>
    <n v="8757"/>
    <x v="24"/>
    <s v="Release 3.1"/>
    <d v="2014-02-03T16:15:51"/>
    <x v="15"/>
    <n v="0.8"/>
    <n v="1"/>
  </r>
  <r>
    <n v="8774"/>
    <x v="4"/>
    <s v="Release 3.2"/>
    <d v="2014-02-26T21:14:50"/>
    <x v="16"/>
    <n v="0.73611111111111116"/>
    <n v="1"/>
  </r>
  <r>
    <n v="8783"/>
    <x v="30"/>
    <s v="Release 3.1"/>
    <d v="2014-04-24T11:57:06"/>
    <x v="2"/>
    <n v="0.57499999999999996"/>
    <n v="1"/>
  </r>
  <r>
    <n v="8785"/>
    <x v="29"/>
    <s v="Release 3.1"/>
    <d v="2014-02-05T11:33:48"/>
    <x v="15"/>
    <n v="0.7944444444444444"/>
    <n v="1"/>
  </r>
  <r>
    <n v="8815"/>
    <x v="17"/>
    <s v="Release 3.1"/>
    <d v="2014-02-04T15:32:56"/>
    <x v="28"/>
    <n v="0.79722222222222228"/>
    <n v="1"/>
  </r>
  <r>
    <n v="8818"/>
    <x v="6"/>
    <s v="Release 3.1"/>
    <d v="2014-02-03T14:15:05"/>
    <x v="18"/>
    <n v="0.8"/>
    <n v="1"/>
  </r>
  <r>
    <n v="8834"/>
    <x v="4"/>
    <s v="Release 3.1"/>
    <d v="2014-02-04T14:27:27"/>
    <x v="11"/>
    <n v="0.79722222222222228"/>
    <n v="1"/>
  </r>
  <r>
    <n v="8844"/>
    <x v="6"/>
    <s v="Release 3.2"/>
    <d v="2014-02-26T10:07:28"/>
    <x v="18"/>
    <n v="0.73611111111111116"/>
    <n v="1"/>
  </r>
  <r>
    <n v="8850"/>
    <x v="21"/>
    <s v="Release 3.2"/>
    <d v="2014-02-11T16:21:29"/>
    <x v="35"/>
    <n v="0.77777777777777779"/>
    <n v="1"/>
  </r>
  <r>
    <n v="8862"/>
    <x v="29"/>
    <s v="Release 3.1"/>
    <d v="2014-02-04T14:36:35"/>
    <x v="13"/>
    <n v="0.79722222222222228"/>
    <n v="1"/>
  </r>
  <r>
    <n v="8867"/>
    <x v="3"/>
    <s v="Release 3.1"/>
    <d v="2014-02-04T14:29:42"/>
    <x v="18"/>
    <n v="0.79722222222222228"/>
    <n v="1"/>
  </r>
  <r>
    <n v="8877"/>
    <x v="0"/>
    <s v="Release 3.1"/>
    <d v="2014-02-04T18:26:56"/>
    <x v="9"/>
    <n v="0.79722222222222228"/>
    <n v="1"/>
  </r>
  <r>
    <n v="8880"/>
    <x v="23"/>
    <s v="Release 3.2"/>
    <d v="2014-02-11T15:39:19"/>
    <x v="4"/>
    <n v="0.77777777777777779"/>
    <n v="1"/>
  </r>
  <r>
    <n v="8881"/>
    <x v="23"/>
    <s v="Release 3.2"/>
    <d v="2014-02-11T15:41:02"/>
    <x v="4"/>
    <n v="0.77777777777777779"/>
    <n v="1"/>
  </r>
  <r>
    <n v="8884"/>
    <x v="22"/>
    <s v="Release 3.1"/>
    <d v="2014-02-06T10:19:51"/>
    <x v="15"/>
    <n v="0.79166666666666663"/>
    <n v="1"/>
  </r>
  <r>
    <n v="8902"/>
    <x v="16"/>
    <s v="Release 3.1"/>
    <d v="2014-02-06T18:47:42"/>
    <x v="5"/>
    <n v="0.79166666666666663"/>
    <n v="1"/>
  </r>
  <r>
    <n v="8906"/>
    <x v="19"/>
    <s v="Release 3.1.1"/>
    <d v="2014-02-26T17:21:38"/>
    <x v="12"/>
    <n v="0.73611111111111116"/>
    <n v="1"/>
  </r>
  <r>
    <n v="8919"/>
    <x v="6"/>
    <s v="Release 3.2"/>
    <d v="2014-06-20T13:38:35"/>
    <x v="11"/>
    <n v="0.41944444444444445"/>
    <n v="1"/>
  </r>
  <r>
    <n v="8931"/>
    <x v="19"/>
    <s v="Release 3.2"/>
    <d v="2014-06-23T15:24:51"/>
    <x v="13"/>
    <n v="0.41111111111111109"/>
    <n v="1"/>
  </r>
  <r>
    <n v="8933"/>
    <x v="2"/>
    <s v="Release 3.2"/>
    <d v="2014-03-07T17:39:21"/>
    <x v="7"/>
    <n v="0.7055555555555556"/>
    <n v="1"/>
  </r>
  <r>
    <n v="8936"/>
    <x v="29"/>
    <s v="Release 3.1.1"/>
    <d v="2014-02-26T18:29:48"/>
    <x v="4"/>
    <n v="0.73611111111111116"/>
    <n v="1"/>
  </r>
  <r>
    <n v="8937"/>
    <x v="16"/>
    <s v="Release 3.3"/>
    <d v="2014-10-24T10:15:56"/>
    <x v="30"/>
    <n v="7.4999999999999997E-2"/>
    <n v="1"/>
  </r>
  <r>
    <n v="8948"/>
    <x v="3"/>
    <s v="Release 3.2"/>
    <d v="2014-06-23T21:28:59"/>
    <x v="5"/>
    <n v="0.41111111111111109"/>
    <n v="1"/>
  </r>
  <r>
    <n v="8956"/>
    <x v="6"/>
    <s v="Release 3.2"/>
    <d v="2014-06-20T15:28:38"/>
    <x v="11"/>
    <n v="0.41944444444444445"/>
    <n v="1"/>
  </r>
  <r>
    <n v="8962"/>
    <x v="30"/>
    <s v="Release 3.2"/>
    <d v="2014-04-24T12:46:28"/>
    <x v="2"/>
    <n v="0.57499999999999996"/>
    <n v="1"/>
  </r>
  <r>
    <n v="8967"/>
    <x v="8"/>
    <s v="Release 3.1.1"/>
    <d v="2014-02-25T19:42:46"/>
    <x v="3"/>
    <n v="0.73888888888888893"/>
    <n v="1"/>
  </r>
  <r>
    <n v="8971"/>
    <x v="3"/>
    <s v="Release 3.2"/>
    <d v="2014-03-13T14:57:38"/>
    <x v="7"/>
    <n v="0.68888888888888888"/>
    <n v="1"/>
  </r>
  <r>
    <n v="8984"/>
    <x v="29"/>
    <s v="Release 3.2"/>
    <d v="2014-02-27T15:46:50"/>
    <x v="11"/>
    <n v="0.73333333333333328"/>
    <n v="1"/>
  </r>
  <r>
    <n v="8994"/>
    <x v="23"/>
    <s v="Release 3.2"/>
    <d v="2014-02-28T20:42:28"/>
    <x v="3"/>
    <n v="0.72499999999999998"/>
    <n v="1"/>
  </r>
  <r>
    <n v="8996"/>
    <x v="3"/>
    <s v="Release 3.2"/>
    <d v="2014-02-24T14:05:44"/>
    <x v="2"/>
    <n v="0.7416666666666667"/>
    <n v="1"/>
  </r>
  <r>
    <n v="8997"/>
    <x v="4"/>
    <s v="Release 3.2"/>
    <d v="2014-02-28T15:53:27"/>
    <x v="5"/>
    <n v="0.72499999999999998"/>
    <n v="1"/>
  </r>
  <r>
    <n v="8999"/>
    <x v="16"/>
    <s v="Release 3.1.1"/>
    <d v="2014-02-25T19:57:01"/>
    <x v="5"/>
    <n v="0.73888888888888893"/>
    <n v="1"/>
  </r>
  <r>
    <n v="9009"/>
    <x v="16"/>
    <s v="Release 3.1.1"/>
    <d v="2014-02-25T21:54:43"/>
    <x v="15"/>
    <n v="0.73888888888888893"/>
    <n v="1"/>
  </r>
  <r>
    <n v="9020"/>
    <x v="23"/>
    <s v="Release 3.2"/>
    <d v="2014-02-18T16:36:48"/>
    <x v="3"/>
    <n v="0.7583333333333333"/>
    <n v="1"/>
  </r>
  <r>
    <n v="9025"/>
    <x v="28"/>
    <s v="Release 3.2"/>
    <d v="2014-02-18T09:01:29"/>
    <x v="3"/>
    <n v="0.7583333333333333"/>
    <n v="1"/>
  </r>
  <r>
    <n v="9033"/>
    <x v="23"/>
    <s v="Release 3.2"/>
    <d v="2014-02-20T18:36:46"/>
    <x v="0"/>
    <n v="0.75277777777777777"/>
    <n v="1"/>
  </r>
  <r>
    <n v="9034"/>
    <x v="23"/>
    <s v="Release 3.2"/>
    <d v="2014-02-26T21:53:09"/>
    <x v="3"/>
    <n v="0.73611111111111116"/>
    <n v="1"/>
  </r>
  <r>
    <n v="9036"/>
    <x v="15"/>
    <s v="Release 3.1.1"/>
    <d v="2014-02-25T15:06:41"/>
    <x v="8"/>
    <n v="0.73888888888888893"/>
    <n v="1"/>
  </r>
  <r>
    <n v="9038"/>
    <x v="30"/>
    <s v="Release 3.2"/>
    <d v="2014-03-25T14:53:43"/>
    <x v="2"/>
    <n v="0.65555555555555556"/>
    <n v="1"/>
  </r>
  <r>
    <n v="9039"/>
    <x v="30"/>
    <s v="Release 3.2"/>
    <d v="2014-03-20T09:11:06"/>
    <x v="4"/>
    <n v="0.6694444444444444"/>
    <n v="1"/>
  </r>
  <r>
    <n v="9040"/>
    <x v="16"/>
    <s v="Release 3.1.1"/>
    <d v="2014-02-24T22:49:33"/>
    <x v="13"/>
    <n v="0.7416666666666667"/>
    <n v="1"/>
  </r>
  <r>
    <n v="9041"/>
    <x v="30"/>
    <s v="Release 3.2"/>
    <d v="2014-03-10T08:57:56"/>
    <x v="2"/>
    <n v="0.69722222222222219"/>
    <n v="1"/>
  </r>
  <r>
    <n v="9043"/>
    <x v="30"/>
    <s v="Release 3.2"/>
    <d v="2014-03-19T15:31:44"/>
    <x v="4"/>
    <n v="0.67222222222222228"/>
    <n v="1"/>
  </r>
  <r>
    <n v="9044"/>
    <x v="16"/>
    <s v="Release 3.2"/>
    <d v="2014-04-11T09:00:56"/>
    <x v="4"/>
    <n v="0.61111111111111116"/>
    <n v="1"/>
  </r>
  <r>
    <n v="9075"/>
    <x v="14"/>
    <s v="Release 3.1.1"/>
    <d v="2014-02-25T18:58:27"/>
    <x v="7"/>
    <n v="0.73888888888888893"/>
    <n v="1"/>
  </r>
  <r>
    <n v="9082"/>
    <x v="18"/>
    <s v="Release 3.2"/>
    <d v="2014-04-25T13:42:53"/>
    <x v="18"/>
    <n v="0.57222222222222219"/>
    <n v="1"/>
  </r>
  <r>
    <n v="9092"/>
    <x v="8"/>
    <s v="Release 3.2"/>
    <d v="2014-02-27T08:35:38"/>
    <x v="4"/>
    <n v="0.73333333333333328"/>
    <n v="1"/>
  </r>
  <r>
    <n v="9132"/>
    <x v="2"/>
    <s v="Release 3.2"/>
    <d v="2014-03-10T08:59:50"/>
    <x v="2"/>
    <n v="0.69722222222222219"/>
    <n v="1"/>
  </r>
  <r>
    <n v="9143"/>
    <x v="21"/>
    <s v="Release 3.2"/>
    <d v="2014-03-10T09:02:10"/>
    <x v="2"/>
    <n v="0.69722222222222219"/>
    <n v="1"/>
  </r>
  <r>
    <n v="9166"/>
    <x v="3"/>
    <s v="Release 3.2"/>
    <d v="2014-03-21T16:18:13"/>
    <x v="28"/>
    <n v="0.66666666666666663"/>
    <n v="1"/>
  </r>
  <r>
    <n v="9168"/>
    <x v="30"/>
    <s v="Release 3.2"/>
    <d v="2014-03-31T08:44:02"/>
    <x v="13"/>
    <n v="0.64166666666666672"/>
    <n v="1"/>
  </r>
  <r>
    <n v="9171"/>
    <x v="16"/>
    <s v="Release 3.2"/>
    <d v="2014-04-25T15:45:11"/>
    <x v="15"/>
    <n v="0.57222222222222219"/>
    <n v="1"/>
  </r>
  <r>
    <n v="9173"/>
    <x v="11"/>
    <s v="Release 3.2"/>
    <d v="2014-03-13T20:18:14"/>
    <x v="5"/>
    <n v="0.68888888888888888"/>
    <n v="1"/>
  </r>
  <r>
    <n v="9181"/>
    <x v="3"/>
    <s v="Release 3.2"/>
    <d v="2014-03-14T14:15:02"/>
    <x v="2"/>
    <n v="0.68611111111111112"/>
    <n v="1"/>
  </r>
  <r>
    <n v="9184"/>
    <x v="16"/>
    <s v="Release 3.2"/>
    <d v="2014-06-09T16:25:43"/>
    <x v="28"/>
    <n v="0.45"/>
    <n v="1"/>
  </r>
  <r>
    <n v="9187"/>
    <x v="18"/>
    <s v="Release 3.2"/>
    <d v="2014-03-20T09:42:54"/>
    <x v="0"/>
    <n v="0.6694444444444444"/>
    <n v="1"/>
  </r>
  <r>
    <n v="9196"/>
    <x v="8"/>
    <s v="Release 3.2"/>
    <d v="2014-03-17T16:46:27"/>
    <x v="4"/>
    <n v="0.67777777777777781"/>
    <n v="1"/>
  </r>
  <r>
    <n v="9204"/>
    <x v="19"/>
    <s v="Release 3.2"/>
    <d v="2014-05-09T10:35:19"/>
    <x v="13"/>
    <n v="0.53333333333333333"/>
    <n v="1"/>
  </r>
  <r>
    <n v="9205"/>
    <x v="19"/>
    <s v="Release 3.2"/>
    <d v="2014-05-06T15:43:19"/>
    <x v="25"/>
    <n v="0.54166666666666663"/>
    <n v="1"/>
  </r>
  <r>
    <n v="9208"/>
    <x v="24"/>
    <s v="Release 3.2"/>
    <d v="2014-04-08T11:44:36"/>
    <x v="4"/>
    <n v="0.61944444444444446"/>
    <n v="1"/>
  </r>
  <r>
    <n v="9227"/>
    <x v="3"/>
    <s v="Release 3.2"/>
    <d v="2014-04-03T21:07:02"/>
    <x v="7"/>
    <n v="0.6333333333333333"/>
    <n v="1"/>
  </r>
  <r>
    <n v="9232"/>
    <x v="35"/>
    <s v="Release 3.3"/>
    <d v="2014-07-23T14:10:22"/>
    <x v="13"/>
    <n v="0.32777777777777778"/>
    <n v="1"/>
  </r>
  <r>
    <n v="9255"/>
    <x v="10"/>
    <s v="Release 3.2"/>
    <d v="2014-07-03T18:44:14"/>
    <x v="3"/>
    <n v="0.38333333333333336"/>
    <n v="1"/>
  </r>
  <r>
    <n v="9333"/>
    <x v="19"/>
    <s v="Release 3.2"/>
    <d v="2014-04-22T12:12:25"/>
    <x v="13"/>
    <n v="0.5805555555555556"/>
    <n v="1"/>
  </r>
  <r>
    <n v="9361"/>
    <x v="19"/>
    <s v="Release 3.2"/>
    <d v="2014-06-11T10:45:07"/>
    <x v="26"/>
    <n v="0.44444444444444442"/>
    <n v="1"/>
  </r>
  <r>
    <n v="9363"/>
    <x v="23"/>
    <s v="Release 3.2"/>
    <d v="2014-04-23T21:19:49"/>
    <x v="10"/>
    <n v="0.57777777777777772"/>
    <n v="1"/>
  </r>
  <r>
    <n v="9368"/>
    <x v="35"/>
    <s v="Release 3.3"/>
    <d v="2014-10-23T10:06:30"/>
    <x v="2"/>
    <n v="7.7777777777777779E-2"/>
    <n v="1"/>
  </r>
  <r>
    <n v="9394"/>
    <x v="6"/>
    <s v="Release 3.2"/>
    <d v="2014-06-26T09:38:56"/>
    <x v="18"/>
    <n v="0.40277777777777779"/>
    <n v="1"/>
  </r>
  <r>
    <n v="9406"/>
    <x v="6"/>
    <s v="Release 3.2"/>
    <d v="2014-05-09T15:46:23"/>
    <x v="27"/>
    <n v="0.53333333333333333"/>
    <n v="1"/>
  </r>
  <r>
    <n v="9408"/>
    <x v="6"/>
    <s v="Release 3.2"/>
    <d v="2014-05-02T14:58:20"/>
    <x v="21"/>
    <n v="0.55277777777777781"/>
    <n v="1"/>
  </r>
  <r>
    <n v="9419"/>
    <x v="0"/>
    <s v="Release 3.2"/>
    <d v="2014-05-30T17:17:06"/>
    <x v="15"/>
    <n v="0.47499999999999998"/>
    <n v="1"/>
  </r>
  <r>
    <n v="9426"/>
    <x v="4"/>
    <s v="Release 3.2"/>
    <d v="2014-05-14T08:11:54"/>
    <x v="38"/>
    <n v="0.51944444444444449"/>
    <n v="1"/>
  </r>
  <r>
    <n v="9430"/>
    <x v="19"/>
    <s v="Release 3.2"/>
    <d v="2014-05-16T13:15:07"/>
    <x v="13"/>
    <n v="0.51388888888888884"/>
    <n v="1"/>
  </r>
  <r>
    <n v="9435"/>
    <x v="3"/>
    <s v="Release 3.2"/>
    <d v="2014-05-16T15:13:55"/>
    <x v="2"/>
    <n v="0.51388888888888884"/>
    <n v="1"/>
  </r>
  <r>
    <n v="9440"/>
    <x v="16"/>
    <s v="Release 3.2"/>
    <d v="2014-06-05T14:59:58"/>
    <x v="28"/>
    <n v="0.46111111111111114"/>
    <n v="1"/>
  </r>
  <r>
    <n v="9458"/>
    <x v="19"/>
    <s v="Release 3.2"/>
    <d v="2014-05-15T12:26:17"/>
    <x v="13"/>
    <n v="0.51666666666666672"/>
    <n v="1"/>
  </r>
  <r>
    <n v="9464"/>
    <x v="11"/>
    <s v="Release 3.2"/>
    <d v="2014-07-07T15:43:54"/>
    <x v="16"/>
    <n v="0.37222222222222223"/>
    <n v="1"/>
  </r>
  <r>
    <n v="9467"/>
    <x v="6"/>
    <s v="Release 3.3"/>
    <d v="2014-08-18T11:19:19"/>
    <x v="21"/>
    <n v="0.25833333333333336"/>
    <n v="1"/>
  </r>
  <r>
    <n v="9470"/>
    <x v="16"/>
    <s v="Release 3.2"/>
    <d v="2014-07-04T10:23:43"/>
    <x v="15"/>
    <n v="0.38055555555555554"/>
    <n v="1"/>
  </r>
  <r>
    <n v="9475"/>
    <x v="30"/>
    <s v="Release 3.2"/>
    <d v="2014-06-04T14:40:07"/>
    <x v="2"/>
    <n v="0.46388888888888891"/>
    <n v="1"/>
  </r>
  <r>
    <n v="9478"/>
    <x v="3"/>
    <s v="Release 3.2"/>
    <d v="2014-06-06T13:14:24"/>
    <x v="18"/>
    <n v="0.45833333333333331"/>
    <n v="1"/>
  </r>
  <r>
    <n v="9479"/>
    <x v="3"/>
    <s v="Release 3.2"/>
    <d v="2014-05-19T12:45:58"/>
    <x v="15"/>
    <n v="0.50555555555555554"/>
    <n v="1"/>
  </r>
  <r>
    <n v="9484"/>
    <x v="19"/>
    <s v="Release 3.2"/>
    <d v="2014-05-21T14:54:10"/>
    <x v="13"/>
    <n v="0.5"/>
    <n v="1"/>
  </r>
  <r>
    <n v="9491"/>
    <x v="29"/>
    <s v="Release 3.2"/>
    <d v="2014-05-23T13:52:48"/>
    <x v="18"/>
    <n v="0.49444444444444446"/>
    <n v="1"/>
  </r>
  <r>
    <n v="9494"/>
    <x v="29"/>
    <s v="Release 3.2"/>
    <d v="2014-05-30T16:53:35"/>
    <x v="13"/>
    <n v="0.47499999999999998"/>
    <n v="1"/>
  </r>
  <r>
    <n v="9501"/>
    <x v="30"/>
    <s v="Release 3.2"/>
    <d v="2014-06-25T10:18:59"/>
    <x v="1"/>
    <n v="0.40555555555555556"/>
    <n v="1"/>
  </r>
  <r>
    <n v="9502"/>
    <x v="18"/>
    <s v="Release 3.2"/>
    <d v="2014-06-25T11:20:11"/>
    <x v="4"/>
    <n v="0.40555555555555556"/>
    <n v="1"/>
  </r>
  <r>
    <n v="9511"/>
    <x v="11"/>
    <s v="Release 3.2"/>
    <d v="2014-07-03T17:05:19"/>
    <x v="10"/>
    <n v="0.38333333333333336"/>
    <n v="1"/>
  </r>
  <r>
    <n v="9513"/>
    <x v="3"/>
    <s v="Release 3.3"/>
    <d v="2014-08-07T19:57:04"/>
    <x v="0"/>
    <n v="0.28888888888888886"/>
    <n v="1"/>
  </r>
  <r>
    <n v="9514"/>
    <x v="3"/>
    <s v="Release 3.2"/>
    <d v="2014-05-23T14:41:15"/>
    <x v="5"/>
    <n v="0.49444444444444446"/>
    <n v="1"/>
  </r>
  <r>
    <n v="9521"/>
    <x v="3"/>
    <s v="Release 3.2"/>
    <d v="2014-06-02T08:39:08"/>
    <x v="11"/>
    <n v="0.46944444444444444"/>
    <n v="1"/>
  </r>
  <r>
    <n v="9523"/>
    <x v="2"/>
    <s v="Release 3.2"/>
    <d v="2014-05-30T16:08:44"/>
    <x v="4"/>
    <n v="0.47499999999999998"/>
    <n v="1"/>
  </r>
  <r>
    <n v="9524"/>
    <x v="16"/>
    <s v="Release 3.2"/>
    <d v="2014-06-30T15:56:15"/>
    <x v="5"/>
    <n v="0.39166666666666666"/>
    <n v="1"/>
  </r>
  <r>
    <n v="9525"/>
    <x v="2"/>
    <s v="Release 3.2"/>
    <d v="2014-05-27T15:27:15"/>
    <x v="13"/>
    <n v="0.48333333333333334"/>
    <n v="1"/>
  </r>
  <r>
    <n v="9526"/>
    <x v="29"/>
    <s v="Release 3.2"/>
    <d v="2014-05-28T11:58:47"/>
    <x v="1"/>
    <n v="0.48055555555555557"/>
    <n v="1"/>
  </r>
  <r>
    <n v="9536"/>
    <x v="28"/>
    <s v="Release 3.2"/>
    <d v="2014-06-16T13:42:49"/>
    <x v="2"/>
    <n v="0.43055555555555558"/>
    <n v="1"/>
  </r>
  <r>
    <n v="9539"/>
    <x v="16"/>
    <s v="Release 3.2.1"/>
    <d v="2014-08-19T13:56:03"/>
    <x v="0"/>
    <n v="0.25555555555555554"/>
    <n v="1"/>
  </r>
  <r>
    <n v="9541"/>
    <x v="0"/>
    <s v="Release 3.2"/>
    <d v="2014-06-06T14:48:06"/>
    <x v="21"/>
    <n v="0.45833333333333331"/>
    <n v="1"/>
  </r>
  <r>
    <n v="9542"/>
    <x v="0"/>
    <s v="Release 3.2"/>
    <d v="2014-06-09T19:10:23"/>
    <x v="37"/>
    <n v="0.45"/>
    <n v="1"/>
  </r>
  <r>
    <n v="9543"/>
    <x v="0"/>
    <s v="Release 3.2"/>
    <d v="2014-06-13T21:08:01"/>
    <x v="9"/>
    <n v="0.43888888888888888"/>
    <n v="1"/>
  </r>
  <r>
    <n v="9550"/>
    <x v="19"/>
    <s v="Release 3.2"/>
    <d v="2014-06-09T09:37:37"/>
    <x v="25"/>
    <n v="0.45"/>
    <n v="1"/>
  </r>
  <r>
    <n v="9559"/>
    <x v="3"/>
    <s v="Release 3.2"/>
    <d v="2014-06-02T15:51:04"/>
    <x v="0"/>
    <n v="0.46944444444444444"/>
    <n v="1"/>
  </r>
  <r>
    <n v="9566"/>
    <x v="30"/>
    <s v="Release 3.2"/>
    <d v="2014-06-04T13:44:24"/>
    <x v="26"/>
    <n v="0.46388888888888891"/>
    <n v="1"/>
  </r>
  <r>
    <n v="9567"/>
    <x v="17"/>
    <s v="Release 3.2"/>
    <d v="2014-06-24T12:02:20"/>
    <x v="1"/>
    <n v="0.40833333333333333"/>
    <n v="1"/>
  </r>
  <r>
    <n v="9569"/>
    <x v="16"/>
    <s v="Release 3.2"/>
    <d v="2014-07-28T13:13:01"/>
    <x v="1"/>
    <n v="0.31388888888888888"/>
    <n v="1"/>
  </r>
  <r>
    <n v="9570"/>
    <x v="30"/>
    <s v="Release 3.2"/>
    <d v="2014-06-18T08:36:41"/>
    <x v="4"/>
    <n v="0.42499999999999999"/>
    <n v="1"/>
  </r>
  <r>
    <n v="9571"/>
    <x v="14"/>
    <s v="Release 3.2"/>
    <d v="2014-07-03T17:05:23"/>
    <x v="11"/>
    <n v="0.38333333333333336"/>
    <n v="1"/>
  </r>
  <r>
    <n v="9572"/>
    <x v="11"/>
    <s v="Release 3.2"/>
    <d v="2014-07-03T17:05:22"/>
    <x v="18"/>
    <n v="0.38333333333333336"/>
    <n v="1"/>
  </r>
  <r>
    <n v="9573"/>
    <x v="23"/>
    <s v="Release 3.2"/>
    <d v="2014-06-23T13:34:54"/>
    <x v="11"/>
    <n v="0.41111111111111109"/>
    <n v="1"/>
  </r>
  <r>
    <n v="9574"/>
    <x v="3"/>
    <s v="Release 3.2"/>
    <d v="2014-07-03T17:05:19"/>
    <x v="3"/>
    <n v="0.38333333333333336"/>
    <n v="1"/>
  </r>
  <r>
    <n v="9575"/>
    <x v="2"/>
    <s v="Release 3.2"/>
    <d v="2014-06-05T16:57:22"/>
    <x v="4"/>
    <n v="0.46111111111111114"/>
    <n v="1"/>
  </r>
  <r>
    <n v="9576"/>
    <x v="16"/>
    <s v="Release 3.2"/>
    <d v="2014-06-09T12:51:15"/>
    <x v="11"/>
    <n v="0.45"/>
    <n v="1"/>
  </r>
  <r>
    <n v="9577"/>
    <x v="10"/>
    <s v="Release 3.2"/>
    <d v="2014-06-10T22:36:59"/>
    <x v="3"/>
    <n v="0.44722222222222224"/>
    <n v="1"/>
  </r>
  <r>
    <n v="9578"/>
    <x v="15"/>
    <s v="Release 3.2"/>
    <d v="2014-07-03T17:05:22"/>
    <x v="11"/>
    <n v="0.38333333333333336"/>
    <n v="1"/>
  </r>
  <r>
    <n v="9579"/>
    <x v="4"/>
    <s v="Release 3.2"/>
    <d v="2014-06-20T11:07:10"/>
    <x v="26"/>
    <n v="0.41944444444444445"/>
    <n v="1"/>
  </r>
  <r>
    <n v="9580"/>
    <x v="8"/>
    <s v="Release 3.2"/>
    <d v="2014-06-13T11:03:30"/>
    <x v="11"/>
    <n v="0.43888888888888888"/>
    <n v="1"/>
  </r>
  <r>
    <n v="9581"/>
    <x v="18"/>
    <s v="Release 3.2"/>
    <d v="2014-07-03T17:05:23"/>
    <x v="11"/>
    <n v="0.38333333333333336"/>
    <n v="1"/>
  </r>
  <r>
    <n v="9583"/>
    <x v="21"/>
    <s v="Release 3.2"/>
    <d v="2014-06-27T01:26:27"/>
    <x v="11"/>
    <n v="0.4"/>
    <n v="1"/>
  </r>
  <r>
    <n v="9584"/>
    <x v="28"/>
    <s v="Release 3.2"/>
    <d v="2014-06-18T13:56:54"/>
    <x v="4"/>
    <n v="0.42499999999999999"/>
    <n v="1"/>
  </r>
  <r>
    <n v="9585"/>
    <x v="24"/>
    <s v="Release 3.2"/>
    <d v="2014-06-13T10:48:11"/>
    <x v="11"/>
    <n v="0.43888888888888888"/>
    <n v="1"/>
  </r>
  <r>
    <n v="9587"/>
    <x v="19"/>
    <s v="Release 3.2"/>
    <d v="2014-07-03T17:05:24"/>
    <x v="13"/>
    <n v="0.38333333333333336"/>
    <n v="1"/>
  </r>
  <r>
    <n v="9588"/>
    <x v="43"/>
    <s v="Release 3.2"/>
    <d v="2014-06-10T11:01:20"/>
    <x v="11"/>
    <n v="0.44722222222222224"/>
    <n v="1"/>
  </r>
  <r>
    <n v="9589"/>
    <x v="45"/>
    <s v="Release 3.2"/>
    <d v="2014-06-13T11:13:48"/>
    <x v="11"/>
    <n v="0.43888888888888888"/>
    <n v="1"/>
  </r>
  <r>
    <n v="9590"/>
    <x v="2"/>
    <s v="Release 3.2"/>
    <d v="2014-06-20T14:44:46"/>
    <x v="18"/>
    <n v="0.41944444444444445"/>
    <n v="1"/>
  </r>
  <r>
    <n v="9601"/>
    <x v="2"/>
    <s v="Release 3.2"/>
    <d v="2014-06-16T13:52:12"/>
    <x v="26"/>
    <n v="0.43055555555555558"/>
    <n v="1"/>
  </r>
  <r>
    <n v="9604"/>
    <x v="2"/>
    <s v="Release 3.2"/>
    <d v="2014-06-10T16:04:46"/>
    <x v="38"/>
    <n v="0.44722222222222224"/>
    <n v="1"/>
  </r>
  <r>
    <n v="9608"/>
    <x v="2"/>
    <s v="Release 3.2"/>
    <d v="2014-06-13T17:21:41"/>
    <x v="18"/>
    <n v="0.43888888888888888"/>
    <n v="1"/>
  </r>
  <r>
    <n v="9609"/>
    <x v="11"/>
    <s v="Release 3.2"/>
    <d v="2014-06-13T21:14:05"/>
    <x v="9"/>
    <n v="0.43888888888888888"/>
    <n v="1"/>
  </r>
  <r>
    <n v="9612"/>
    <x v="2"/>
    <s v="Release 3.2"/>
    <d v="2014-06-24T10:32:00"/>
    <x v="4"/>
    <n v="0.40833333333333333"/>
    <n v="1"/>
  </r>
  <r>
    <n v="9614"/>
    <x v="8"/>
    <s v="Release 3.2"/>
    <d v="2014-07-03T17:05:19"/>
    <x v="0"/>
    <n v="0.38333333333333336"/>
    <n v="1"/>
  </r>
  <r>
    <n v="9615"/>
    <x v="8"/>
    <s v="Release 3.2"/>
    <d v="2014-06-20T09:19:48"/>
    <x v="11"/>
    <n v="0.41944444444444445"/>
    <n v="1"/>
  </r>
  <r>
    <n v="9616"/>
    <x v="24"/>
    <s v="Release 3.2"/>
    <d v="2014-06-23T12:33:23"/>
    <x v="15"/>
    <n v="0.41111111111111109"/>
    <n v="1"/>
  </r>
  <r>
    <n v="9621"/>
    <x v="28"/>
    <s v="Release 3.2"/>
    <d v="2014-06-23T09:57:43"/>
    <x v="15"/>
    <n v="0.41111111111111109"/>
    <n v="1"/>
  </r>
  <r>
    <n v="9628"/>
    <x v="19"/>
    <s v="Release 3.2"/>
    <d v="2014-06-20T13:52:17"/>
    <x v="26"/>
    <n v="0.41944444444444445"/>
    <n v="1"/>
  </r>
  <r>
    <n v="9634"/>
    <x v="19"/>
    <s v="Release 3.2"/>
    <d v="2014-06-20T15:54:58"/>
    <x v="26"/>
    <n v="0.41944444444444445"/>
    <n v="1"/>
  </r>
  <r>
    <n v="9639"/>
    <x v="3"/>
    <s v="Release 3.3"/>
    <d v="2014-08-18T13:48:10"/>
    <x v="2"/>
    <n v="0.25833333333333336"/>
    <n v="1"/>
  </r>
  <r>
    <n v="9641"/>
    <x v="19"/>
    <s v="Release 3.2"/>
    <d v="2014-06-13T10:11:55"/>
    <x v="4"/>
    <n v="0.43888888888888888"/>
    <n v="1"/>
  </r>
  <r>
    <n v="9647"/>
    <x v="11"/>
    <s v="Release 3.2"/>
    <d v="2014-06-18T16:07:23"/>
    <x v="5"/>
    <n v="0.42499999999999999"/>
    <n v="1"/>
  </r>
  <r>
    <n v="9654"/>
    <x v="3"/>
    <s v="Release 3.2"/>
    <d v="2014-06-17T13:15:39"/>
    <x v="10"/>
    <n v="0.42777777777777776"/>
    <n v="1"/>
  </r>
  <r>
    <n v="9657"/>
    <x v="32"/>
    <s v="Release 3.2"/>
    <d v="2014-06-17T21:04:57"/>
    <x v="7"/>
    <n v="0.42777777777777776"/>
    <n v="1"/>
  </r>
  <r>
    <n v="9660"/>
    <x v="2"/>
    <s v="Release 3.2"/>
    <d v="2014-06-25T14:10:40"/>
    <x v="18"/>
    <n v="0.40555555555555556"/>
    <n v="1"/>
  </r>
  <r>
    <n v="9668"/>
    <x v="19"/>
    <s v="Release 3.2"/>
    <d v="2014-06-20T10:35:25"/>
    <x v="26"/>
    <n v="0.41944444444444445"/>
    <n v="1"/>
  </r>
  <r>
    <n v="9671"/>
    <x v="2"/>
    <s v="Release 3.2.1"/>
    <d v="2014-08-19T11:45:49"/>
    <x v="4"/>
    <n v="0.25555555555555554"/>
    <n v="1"/>
  </r>
  <r>
    <n v="9673"/>
    <x v="30"/>
    <s v="Release 3.2"/>
    <d v="2014-06-30T12:14:11"/>
    <x v="11"/>
    <n v="0.39166666666666666"/>
    <n v="1"/>
  </r>
  <r>
    <n v="9677"/>
    <x v="11"/>
    <s v="Release 3.2"/>
    <d v="2014-06-27T21:33:10"/>
    <x v="8"/>
    <n v="0.4"/>
    <n v="1"/>
  </r>
  <r>
    <n v="9680"/>
    <x v="8"/>
    <s v="Release 3.2"/>
    <d v="2014-06-30T15:53:16"/>
    <x v="11"/>
    <n v="0.39166666666666666"/>
    <n v="1"/>
  </r>
  <r>
    <n v="9686"/>
    <x v="6"/>
    <s v="Release 3.2"/>
    <d v="2014-08-22T16:47:00"/>
    <x v="18"/>
    <n v="0.24722222222222223"/>
    <n v="1"/>
  </r>
  <r>
    <n v="9690"/>
    <x v="6"/>
    <s v="Release 3.3"/>
    <d v="2014-08-15T10:42:32"/>
    <x v="21"/>
    <n v="0.26666666666666666"/>
    <n v="1"/>
  </r>
  <r>
    <n v="9705"/>
    <x v="23"/>
    <s v="Release 3.3"/>
    <d v="2014-07-25T16:05:02"/>
    <x v="1"/>
    <n v="0.32222222222222224"/>
    <n v="1"/>
  </r>
  <r>
    <n v="9710"/>
    <x v="19"/>
    <s v="Release 3.2"/>
    <d v="2014-06-20T14:13:13"/>
    <x v="13"/>
    <n v="0.41944444444444445"/>
    <n v="1"/>
  </r>
  <r>
    <n v="9716"/>
    <x v="3"/>
    <s v="Release 3.2"/>
    <d v="2014-07-11T09:39:14"/>
    <x v="15"/>
    <n v="0.3611111111111111"/>
    <n v="1"/>
  </r>
  <r>
    <n v="9717"/>
    <x v="3"/>
    <s v="Release 3.2"/>
    <d v="2014-06-23T15:51:14"/>
    <x v="1"/>
    <n v="0.41111111111111109"/>
    <n v="1"/>
  </r>
  <r>
    <n v="9720"/>
    <x v="28"/>
    <s v="Release 3.2"/>
    <d v="2014-07-08T09:45:55"/>
    <x v="15"/>
    <n v="0.36944444444444446"/>
    <n v="1"/>
  </r>
  <r>
    <n v="9724"/>
    <x v="3"/>
    <s v="Release 3.2"/>
    <d v="2014-06-24T16:36:29"/>
    <x v="9"/>
    <n v="0.40833333333333333"/>
    <n v="1"/>
  </r>
  <r>
    <n v="9725"/>
    <x v="6"/>
    <s v="Release 3.2"/>
    <d v="2014-06-27T13:02:47"/>
    <x v="15"/>
    <n v="0.4"/>
    <n v="1"/>
  </r>
  <r>
    <n v="9735"/>
    <x v="28"/>
    <s v="Release 3.2"/>
    <d v="2014-06-24T16:12:30"/>
    <x v="1"/>
    <n v="0.40833333333333333"/>
    <n v="1"/>
  </r>
  <r>
    <n v="9736"/>
    <x v="28"/>
    <s v="Release 3.2"/>
    <d v="2014-06-26T16:20:25"/>
    <x v="18"/>
    <n v="0.40277777777777779"/>
    <n v="1"/>
  </r>
  <r>
    <n v="9737"/>
    <x v="2"/>
    <s v="Release 3.2"/>
    <d v="2014-06-27T13:52:13"/>
    <x v="18"/>
    <n v="0.4"/>
    <n v="1"/>
  </r>
  <r>
    <n v="9739"/>
    <x v="28"/>
    <s v="Release 3.2"/>
    <d v="2014-06-25T20:38:52"/>
    <x v="3"/>
    <n v="0.40555555555555556"/>
    <n v="1"/>
  </r>
  <r>
    <n v="9740"/>
    <x v="3"/>
    <s v="Release 3.3"/>
    <d v="2014-08-08T09:43:39"/>
    <x v="13"/>
    <n v="0.28611111111111109"/>
    <n v="1"/>
  </r>
  <r>
    <n v="9754"/>
    <x v="11"/>
    <s v="Release 3.2"/>
    <d v="2014-07-02T19:27:40"/>
    <x v="5"/>
    <n v="0.38611111111111113"/>
    <n v="1"/>
  </r>
  <r>
    <n v="9756"/>
    <x v="3"/>
    <s v="Release 3.2"/>
    <d v="2014-07-03T17:05:23"/>
    <x v="11"/>
    <n v="0.38333333333333336"/>
    <n v="1"/>
  </r>
  <r>
    <n v="9760"/>
    <x v="21"/>
    <s v="Release 3.2"/>
    <d v="2014-06-26T16:37:45"/>
    <x v="5"/>
    <n v="0.40277777777777779"/>
    <n v="1"/>
  </r>
  <r>
    <n v="9761"/>
    <x v="3"/>
    <s v="Release 3.2"/>
    <d v="2014-06-27T16:33:53"/>
    <x v="28"/>
    <n v="0.4"/>
    <n v="1"/>
  </r>
  <r>
    <n v="9765"/>
    <x v="30"/>
    <s v="Release 3.2"/>
    <d v="2014-06-27T09:38:58"/>
    <x v="1"/>
    <n v="0.4"/>
    <n v="1"/>
  </r>
  <r>
    <n v="9766"/>
    <x v="23"/>
    <s v="Release 3.2"/>
    <d v="2014-07-08T14:51:41"/>
    <x v="11"/>
    <n v="0.36944444444444446"/>
    <n v="1"/>
  </r>
  <r>
    <n v="9769"/>
    <x v="18"/>
    <s v="Release 3.2"/>
    <d v="2014-06-30T15:40:26"/>
    <x v="11"/>
    <n v="0.39166666666666666"/>
    <n v="1"/>
  </r>
  <r>
    <n v="9779"/>
    <x v="16"/>
    <s v="Release 3.2"/>
    <d v="2014-06-30T15:54:18"/>
    <x v="5"/>
    <n v="0.39166666666666666"/>
    <n v="1"/>
  </r>
  <r>
    <n v="9780"/>
    <x v="28"/>
    <s v="Release 3.2"/>
    <d v="2014-07-02T13:43:00"/>
    <x v="11"/>
    <n v="0.38611111111111113"/>
    <n v="1"/>
  </r>
  <r>
    <n v="9783"/>
    <x v="17"/>
    <s v="Release 3.2"/>
    <d v="2014-07-01T11:15:09"/>
    <x v="13"/>
    <n v="0.3888888888888889"/>
    <n v="1"/>
  </r>
  <r>
    <n v="9784"/>
    <x v="17"/>
    <s v="Release 3.2"/>
    <d v="2014-07-08T08:42:05"/>
    <x v="13"/>
    <n v="0.36944444444444446"/>
    <n v="1"/>
  </r>
  <r>
    <n v="9792"/>
    <x v="2"/>
    <s v="Release 3.2"/>
    <d v="2014-07-03T11:08:59"/>
    <x v="4"/>
    <n v="0.38333333333333336"/>
    <n v="1"/>
  </r>
  <r>
    <n v="9796"/>
    <x v="2"/>
    <s v="Release 3.2"/>
    <d v="2014-07-04T11:20:02"/>
    <x v="15"/>
    <n v="0.38055555555555554"/>
    <n v="1"/>
  </r>
  <r>
    <n v="9799"/>
    <x v="18"/>
    <s v="Release 3.2"/>
    <d v="2014-07-07T15:12:12"/>
    <x v="1"/>
    <n v="0.37222222222222223"/>
    <n v="1"/>
  </r>
  <r>
    <n v="9802"/>
    <x v="3"/>
    <s v="Release 3.2"/>
    <d v="2014-07-03T14:54:30"/>
    <x v="1"/>
    <n v="0.38333333333333336"/>
    <n v="1"/>
  </r>
  <r>
    <n v="9805"/>
    <x v="6"/>
    <s v="Release 3.2"/>
    <d v="2014-07-07T16:10:37"/>
    <x v="11"/>
    <n v="0.37222222222222223"/>
    <n v="1"/>
  </r>
  <r>
    <n v="9808"/>
    <x v="3"/>
    <s v="Release 3.2"/>
    <d v="2014-07-07T15:49:39"/>
    <x v="5"/>
    <n v="0.37222222222222223"/>
    <n v="1"/>
  </r>
  <r>
    <n v="9812"/>
    <x v="16"/>
    <s v="Release 3.2"/>
    <d v="2014-07-08T16:35:33"/>
    <x v="5"/>
    <n v="0.36944444444444446"/>
    <n v="1"/>
  </r>
  <r>
    <n v="9813"/>
    <x v="2"/>
    <s v="Release 3.2"/>
    <d v="2014-07-04T11:34:48"/>
    <x v="18"/>
    <n v="0.38055555555555554"/>
    <n v="1"/>
  </r>
  <r>
    <n v="9824"/>
    <x v="16"/>
    <s v="Release 3.2"/>
    <d v="2014-07-07T10:36:48"/>
    <x v="15"/>
    <n v="0.37222222222222223"/>
    <n v="1"/>
  </r>
  <r>
    <n v="9826"/>
    <x v="16"/>
    <s v="Release 3.2"/>
    <d v="2014-07-08T14:25:07"/>
    <x v="15"/>
    <n v="0.36944444444444446"/>
    <n v="1"/>
  </r>
  <r>
    <n v="9839"/>
    <x v="28"/>
    <s v="Release 3.2"/>
    <d v="2014-07-09T16:31:22"/>
    <x v="11"/>
    <n v="0.36666666666666664"/>
    <n v="1"/>
  </r>
  <r>
    <n v="9873"/>
    <x v="19"/>
    <s v="Release 3.3"/>
    <d v="2014-07-25T13:56:28"/>
    <x v="13"/>
    <n v="0.32222222222222224"/>
    <n v="1"/>
  </r>
  <r>
    <n v="9874"/>
    <x v="3"/>
    <s v="Release 3.3"/>
    <d v="2014-08-12T14:00:09"/>
    <x v="21"/>
    <n v="0.27500000000000002"/>
    <n v="1"/>
  </r>
  <r>
    <n v="9907"/>
    <x v="6"/>
    <s v="Release 3.3"/>
    <d v="2014-09-16T13:58:18"/>
    <x v="18"/>
    <n v="0.18055555555555555"/>
    <n v="1"/>
  </r>
  <r>
    <n v="9925"/>
    <x v="4"/>
    <s v="Release 3.3"/>
    <d v="2014-10-06T15:06:32"/>
    <x v="5"/>
    <n v="0.125"/>
    <n v="1"/>
  </r>
  <r>
    <n v="9926"/>
    <x v="3"/>
    <s v="Release 3.3"/>
    <d v="2014-08-08T13:19:06"/>
    <x v="13"/>
    <n v="0.28611111111111109"/>
    <n v="1"/>
  </r>
  <r>
    <n v="9927"/>
    <x v="28"/>
    <s v="Release 3.3"/>
    <d v="2014-08-08T14:08:40"/>
    <x v="13"/>
    <n v="0.28611111111111109"/>
    <n v="1"/>
  </r>
  <r>
    <n v="9928"/>
    <x v="6"/>
    <s v="Release 3.3"/>
    <d v="2014-07-30T13:40:00"/>
    <x v="4"/>
    <n v="0.30833333333333335"/>
    <n v="1"/>
  </r>
  <r>
    <n v="9936"/>
    <x v="3"/>
    <s v="Release 3.3"/>
    <d v="2014-08-14T20:46:33"/>
    <x v="5"/>
    <n v="0.26944444444444443"/>
    <n v="1"/>
  </r>
  <r>
    <n v="9939"/>
    <x v="14"/>
    <s v="Release 3.3"/>
    <d v="2014-07-25T14:31:46"/>
    <x v="1"/>
    <n v="0.32222222222222224"/>
    <n v="1"/>
  </r>
  <r>
    <n v="9940"/>
    <x v="8"/>
    <s v="Release 3.3"/>
    <d v="2014-08-08T13:53:00"/>
    <x v="11"/>
    <n v="0.28611111111111109"/>
    <n v="1"/>
  </r>
  <r>
    <n v="9941"/>
    <x v="23"/>
    <s v="Release 3.3"/>
    <d v="2014-07-25T15:08:14"/>
    <x v="13"/>
    <n v="0.32222222222222224"/>
    <n v="1"/>
  </r>
  <r>
    <n v="9943"/>
    <x v="2"/>
    <s v="Release 3.3"/>
    <d v="2014-07-28T08:39:13"/>
    <x v="13"/>
    <n v="0.31388888888888888"/>
    <n v="1"/>
  </r>
  <r>
    <n v="9944"/>
    <x v="8"/>
    <s v="Release 3.3"/>
    <d v="2014-08-08T14:16:29"/>
    <x v="11"/>
    <n v="0.28611111111111109"/>
    <n v="1"/>
  </r>
  <r>
    <n v="9945"/>
    <x v="3"/>
    <s v="Release 3.3"/>
    <d v="2014-08-01T15:29:23"/>
    <x v="13"/>
    <n v="0.30555555555555558"/>
    <n v="1"/>
  </r>
  <r>
    <n v="9946"/>
    <x v="3"/>
    <s v="Release 3.3"/>
    <d v="2014-08-01T16:00:28"/>
    <x v="13"/>
    <n v="0.30555555555555558"/>
    <n v="1"/>
  </r>
  <r>
    <n v="9949"/>
    <x v="23"/>
    <s v="Release 3.3"/>
    <d v="2014-08-14T08:48:16"/>
    <x v="4"/>
    <n v="0.26944444444444443"/>
    <n v="1"/>
  </r>
  <r>
    <n v="9950"/>
    <x v="3"/>
    <s v="Release 3.3"/>
    <d v="2014-08-01T14:20:33"/>
    <x v="16"/>
    <n v="0.30555555555555558"/>
    <n v="1"/>
  </r>
  <r>
    <n v="9958"/>
    <x v="4"/>
    <s v="Release 3.3"/>
    <d v="2014-10-06T15:06:32"/>
    <x v="13"/>
    <n v="0.125"/>
    <n v="1"/>
  </r>
  <r>
    <n v="9960"/>
    <x v="3"/>
    <s v="Release 3.3"/>
    <d v="2014-09-02T21:17:01"/>
    <x v="1"/>
    <n v="0.21944444444444444"/>
    <n v="1"/>
  </r>
  <r>
    <n v="10004"/>
    <x v="35"/>
    <s v="Release 3.3"/>
    <d v="2014-08-06T09:56:22"/>
    <x v="2"/>
    <n v="0.29166666666666669"/>
    <n v="1"/>
  </r>
  <r>
    <n v="10007"/>
    <x v="35"/>
    <s v="Release 3.3"/>
    <d v="2014-08-22T15:51:49"/>
    <x v="2"/>
    <n v="0.24722222222222223"/>
    <n v="1"/>
  </r>
  <r>
    <n v="10013"/>
    <x v="23"/>
    <s v="Release 3.3"/>
    <d v="2014-08-05T14:21:31"/>
    <x v="10"/>
    <n v="0.29444444444444445"/>
    <n v="1"/>
  </r>
  <r>
    <n v="10017"/>
    <x v="4"/>
    <s v="Release 3.3"/>
    <d v="2014-10-28T09:06:29"/>
    <x v="29"/>
    <n v="6.3888888888888884E-2"/>
    <n v="1"/>
  </r>
  <r>
    <n v="10019"/>
    <x v="16"/>
    <s v="Release 3.3"/>
    <d v="2014-08-08T18:15:50"/>
    <x v="9"/>
    <n v="0.28611111111111109"/>
    <n v="1"/>
  </r>
  <r>
    <n v="10028"/>
    <x v="23"/>
    <s v="Release 3.2.1"/>
    <d v="2014-08-21T10:42:28"/>
    <x v="2"/>
    <n v="0.25"/>
    <n v="1"/>
  </r>
  <r>
    <n v="10037"/>
    <x v="35"/>
    <s v="Release 3.3"/>
    <d v="2014-08-15T15:24:38"/>
    <x v="2"/>
    <n v="0.26666666666666666"/>
    <n v="1"/>
  </r>
  <r>
    <n v="10052"/>
    <x v="17"/>
    <s v="Release 3.3"/>
    <d v="2014-10-06T15:06:39"/>
    <x v="1"/>
    <n v="0.125"/>
    <n v="1"/>
  </r>
  <r>
    <n v="10066"/>
    <x v="2"/>
    <s v="Release 3.3"/>
    <d v="2014-08-20T18:11:59"/>
    <x v="9"/>
    <n v="0.25277777777777777"/>
    <n v="1"/>
  </r>
  <r>
    <n v="10088"/>
    <x v="18"/>
    <s v="Release 3.2.1"/>
    <d v="2014-08-20T12:03:16"/>
    <x v="4"/>
    <n v="0.25277777777777777"/>
    <n v="1"/>
  </r>
  <r>
    <n v="10097"/>
    <x v="35"/>
    <s v="Release 3.2.1"/>
    <d v="2014-08-20T14:09:53"/>
    <x v="2"/>
    <n v="0.25277777777777777"/>
    <n v="1"/>
  </r>
  <r>
    <n v="10102"/>
    <x v="16"/>
    <s v="Release 3.3"/>
    <d v="2014-08-18T15:36:23"/>
    <x v="16"/>
    <n v="0.25833333333333336"/>
    <n v="1"/>
  </r>
  <r>
    <n v="10107"/>
    <x v="17"/>
    <s v="Release 3.3"/>
    <d v="2014-09-11T12:10:09"/>
    <x v="0"/>
    <n v="0.19444444444444445"/>
    <n v="1"/>
  </r>
  <r>
    <n v="10122"/>
    <x v="35"/>
    <s v="Release 3.3"/>
    <d v="2014-08-21T09:10:21"/>
    <x v="2"/>
    <n v="0.25"/>
    <n v="1"/>
  </r>
  <r>
    <n v="10154"/>
    <x v="8"/>
    <s v="Release 3.2.1"/>
    <d v="2014-08-21T21:38:09"/>
    <x v="3"/>
    <n v="0.25"/>
    <n v="1"/>
  </r>
  <r>
    <n v="10159"/>
    <x v="11"/>
    <s v="Release 3.3"/>
    <d v="2014-08-28T12:45:06"/>
    <x v="4"/>
    <n v="0.23055555555555557"/>
    <n v="1"/>
  </r>
  <r>
    <n v="10162"/>
    <x v="35"/>
    <s v="Release 3.3"/>
    <d v="2014-08-25T13:55:27"/>
    <x v="5"/>
    <n v="0.2388888888888889"/>
    <n v="1"/>
  </r>
  <r>
    <n v="10168"/>
    <x v="3"/>
    <s v="Release 3.3"/>
    <d v="2014-08-28T13:03:36"/>
    <x v="2"/>
    <n v="0.23055555555555557"/>
    <n v="1"/>
  </r>
  <r>
    <n v="10169"/>
    <x v="3"/>
    <s v="Release 3.3"/>
    <d v="2014-10-31T14:28:13"/>
    <x v="1"/>
    <n v="5.8333333333333334E-2"/>
    <n v="1"/>
  </r>
  <r>
    <n v="10173"/>
    <x v="35"/>
    <s v="Release 3.3"/>
    <d v="2014-08-28T11:41:11"/>
    <x v="2"/>
    <n v="0.23055555555555557"/>
    <n v="1"/>
  </r>
  <r>
    <n v="10178"/>
    <x v="3"/>
    <s v="Release 3.3"/>
    <d v="2014-09-05T10:55:15"/>
    <x v="0"/>
    <n v="0.21111111111111111"/>
    <n v="1"/>
  </r>
  <r>
    <n v="10186"/>
    <x v="33"/>
    <s v="Release 3.3"/>
    <d v="2014-09-26T14:15:19"/>
    <x v="13"/>
    <n v="0.15277777777777779"/>
    <n v="1"/>
  </r>
  <r>
    <n v="10187"/>
    <x v="16"/>
    <s v="Release 3.3"/>
    <d v="2014-10-09T18:26:28"/>
    <x v="39"/>
    <n v="0.11666666666666667"/>
    <n v="1"/>
  </r>
  <r>
    <n v="10200"/>
    <x v="23"/>
    <s v="Release 3.3"/>
    <d v="2014-10-06T15:06:39"/>
    <x v="1"/>
    <n v="0.125"/>
    <n v="1"/>
  </r>
  <r>
    <n v="10201"/>
    <x v="35"/>
    <s v="Release 3.3"/>
    <d v="2014-09-04T17:33:19"/>
    <x v="2"/>
    <n v="0.21388888888888888"/>
    <n v="1"/>
  </r>
  <r>
    <n v="10208"/>
    <x v="16"/>
    <s v="Release 3.3"/>
    <d v="2014-09-15T13:38:02"/>
    <x v="1"/>
    <n v="0.18333333333333332"/>
    <n v="1"/>
  </r>
  <r>
    <n v="10223"/>
    <x v="35"/>
    <s v="Release 3.3"/>
    <d v="2014-09-24T15:43:09"/>
    <x v="13"/>
    <n v="0.15833333333333333"/>
    <n v="1"/>
  </r>
  <r>
    <n v="10228"/>
    <x v="3"/>
    <s v="Release 3.3"/>
    <d v="2014-09-19T16:11:06"/>
    <x v="8"/>
    <n v="0.17222222222222222"/>
    <n v="1"/>
  </r>
  <r>
    <n v="10236"/>
    <x v="35"/>
    <s v="Release 3.3"/>
    <d v="2014-10-06T15:06:38"/>
    <x v="2"/>
    <n v="0.125"/>
    <n v="1"/>
  </r>
  <r>
    <n v="10237"/>
    <x v="35"/>
    <s v="Release 3.3"/>
    <d v="2014-10-30T10:04:24"/>
    <x v="30"/>
    <n v="5.8333333333333334E-2"/>
    <n v="1"/>
  </r>
  <r>
    <n v="10245"/>
    <x v="2"/>
    <s v="Release 3.3"/>
    <d v="2014-09-17T14:30:18"/>
    <x v="13"/>
    <n v="0.17777777777777778"/>
    <n v="1"/>
  </r>
  <r>
    <n v="10249"/>
    <x v="4"/>
    <s v="Release 3.3"/>
    <d v="2014-10-28T09:01:19"/>
    <x v="29"/>
    <n v="6.3888888888888884E-2"/>
    <n v="1"/>
  </r>
  <r>
    <n v="10270"/>
    <x v="33"/>
    <s v="Release 3.3"/>
    <d v="2014-10-07T16:34:03"/>
    <x v="32"/>
    <n v="0.12222222222222222"/>
    <n v="1"/>
  </r>
  <r>
    <n v="10276"/>
    <x v="35"/>
    <s v="Release 3.3"/>
    <d v="2014-09-25T13:21:02"/>
    <x v="13"/>
    <n v="0.15555555555555556"/>
    <n v="1"/>
  </r>
  <r>
    <n v="10292"/>
    <x v="33"/>
    <s v="Release 3.3"/>
    <d v="2014-10-07T11:51:08"/>
    <x v="32"/>
    <n v="0.12222222222222222"/>
    <n v="1"/>
  </r>
  <r>
    <n v="10311"/>
    <x v="11"/>
    <s v="Release 3.3"/>
    <d v="2014-10-10T15:16:10"/>
    <x v="39"/>
    <n v="0.11388888888888889"/>
    <n v="1"/>
  </r>
  <r>
    <n v="10322"/>
    <x v="2"/>
    <s v="Release 3.3"/>
    <d v="2014-11-07T11:26:56"/>
    <x v="30"/>
    <n v="3.888888888888889E-2"/>
    <n v="1"/>
  </r>
  <r>
    <n v="10329"/>
    <x v="46"/>
    <s v="Release 3.4"/>
    <d v="2014-11-17T15:33:07"/>
    <x v="40"/>
    <n v="1.1111111111111112E-2"/>
    <n v="1"/>
  </r>
  <r>
    <n v="10340"/>
    <x v="34"/>
    <s v="Release 3.3"/>
    <d v="2014-11-19T13:47:22"/>
    <x v="41"/>
    <n v="5.5555555555555558E-3"/>
    <n v="1"/>
  </r>
  <r>
    <n v="10350"/>
    <x v="34"/>
    <s v="Release 3.3"/>
    <d v="2014-10-13T15:45:49"/>
    <x v="4"/>
    <n v="0.10555555555555556"/>
    <n v="1"/>
  </r>
  <r>
    <n v="10393"/>
    <x v="6"/>
    <s v="Release 3.3"/>
    <d v="2014-11-14T17:30:24"/>
    <x v="30"/>
    <n v="1.9444444444444445E-2"/>
    <n v="1"/>
  </r>
  <r>
    <n v="10405"/>
    <x v="33"/>
    <s v="Release 3.3"/>
    <d v="2014-10-23T15:19:41"/>
    <x v="13"/>
    <n v="7.7777777777777779E-2"/>
    <n v="1"/>
  </r>
  <r>
    <n v="10414"/>
    <x v="33"/>
    <s v="Release 3.3"/>
    <d v="2014-11-11T10:30:28"/>
    <x v="13"/>
    <n v="2.7777777777777776E-2"/>
    <n v="1"/>
  </r>
  <r>
    <n v="10427"/>
    <x v="11"/>
    <s v="Release 3.3"/>
    <d v="2014-10-24T15:42:39"/>
    <x v="23"/>
    <n v="7.4999999999999997E-2"/>
    <n v="1"/>
  </r>
  <r>
    <n v="10434"/>
    <x v="11"/>
    <s v="Release 3.3"/>
    <d v="2014-10-27T15:45:07"/>
    <x v="0"/>
    <n v="6.6666666666666666E-2"/>
    <n v="1"/>
  </r>
  <r>
    <n v="10438"/>
    <x v="11"/>
    <s v="Release 3.3"/>
    <d v="2014-11-10T22:44:23"/>
    <x v="40"/>
    <n v="3.0555555555555555E-2"/>
    <n v="1"/>
  </r>
  <r>
    <n v="10453"/>
    <x v="33"/>
    <s v="Release 3.3"/>
    <d v="2014-11-03T16:26:59"/>
    <x v="13"/>
    <n v="0.05"/>
    <n v="1"/>
  </r>
  <r>
    <n v="10464"/>
    <x v="3"/>
    <s v="Release 3.3"/>
    <d v="2014-11-05T07:47:58"/>
    <x v="38"/>
    <n v="4.4444444444444446E-2"/>
    <n v="1"/>
  </r>
  <r>
    <n v="10485"/>
    <x v="35"/>
    <s v="Release 3.3"/>
    <d v="2014-11-03T17:33:03"/>
    <x v="30"/>
    <n v="0.05"/>
    <n v="1"/>
  </r>
  <r>
    <n v="10494"/>
    <x v="3"/>
    <s v="Release 3.3"/>
    <d v="2014-11-11T10:26:17"/>
    <x v="0"/>
    <n v="2.7777777777777776E-2"/>
    <n v="1"/>
  </r>
  <r>
    <n v="10516"/>
    <x v="35"/>
    <s v="Release 3.3"/>
    <d v="2014-11-17T10:09:40"/>
    <x v="2"/>
    <n v="1.1111111111111112E-2"/>
    <n v="1"/>
  </r>
  <r>
    <n v="10563"/>
    <x v="35"/>
    <s v="Release 3.3"/>
    <d v="2014-11-19T17:44:18"/>
    <x v="2"/>
    <n v="5.5555555555555558E-3"/>
    <n v="1"/>
  </r>
  <r>
    <n v="10593"/>
    <x v="11"/>
    <s v="Release 3.3"/>
    <d v="2014-11-20T15:20:04"/>
    <x v="42"/>
    <n v="2.7777777777777779E-3"/>
    <n v="1"/>
  </r>
  <r>
    <n v="1"/>
    <x v="36"/>
    <m/>
    <d v="2007-08-03T09:28:12"/>
    <x v="0"/>
    <n v="7.3"/>
    <n v="0"/>
  </r>
  <r>
    <n v="3"/>
    <x v="39"/>
    <s v="Pilot"/>
    <d v="2007-08-24T10:27:56"/>
    <x v="0"/>
    <n v="7.2416666666666663"/>
    <n v="0"/>
  </r>
  <r>
    <n v="4"/>
    <x v="39"/>
    <s v="Pilot"/>
    <d v="2007-08-24T10:28:34"/>
    <x v="0"/>
    <n v="7.2416666666666663"/>
    <n v="0"/>
  </r>
  <r>
    <n v="5"/>
    <x v="37"/>
    <s v="Pilot"/>
    <d v="2007-09-18T14:53:01"/>
    <x v="0"/>
    <n v="7.1749999999999998"/>
    <n v="0"/>
  </r>
  <r>
    <n v="6"/>
    <x v="37"/>
    <s v="Pilot"/>
    <d v="2007-09-18T14:53:36"/>
    <x v="0"/>
    <n v="7.1749999999999998"/>
    <n v="0"/>
  </r>
  <r>
    <n v="7"/>
    <x v="6"/>
    <s v="Pilot"/>
    <d v="2007-08-31T11:55:26"/>
    <x v="0"/>
    <n v="7.2249999999999996"/>
    <n v="0"/>
  </r>
  <r>
    <n v="9"/>
    <x v="1"/>
    <s v="Pilot"/>
    <d v="2010-06-16T09:15:48"/>
    <x v="0"/>
    <n v="4.4305555555555554"/>
    <n v="0"/>
  </r>
  <r>
    <n v="10"/>
    <x v="2"/>
    <m/>
    <d v="2008-09-12T15:09:52"/>
    <x v="0"/>
    <n v="6.1916666666666664"/>
    <n v="0"/>
  </r>
  <r>
    <n v="11"/>
    <x v="2"/>
    <m/>
    <d v="2008-07-07T14:45:22"/>
    <x v="0"/>
    <n v="6.3722222222222218"/>
    <n v="0"/>
  </r>
  <r>
    <n v="12"/>
    <x v="36"/>
    <s v="Pilot"/>
    <d v="2007-08-03T09:27:46"/>
    <x v="0"/>
    <n v="7.3"/>
    <n v="0"/>
  </r>
  <r>
    <n v="14"/>
    <x v="36"/>
    <m/>
    <d v="2007-10-08T08:52:21"/>
    <x v="0"/>
    <n v="7.1194444444444445"/>
    <n v="0"/>
  </r>
  <r>
    <n v="16"/>
    <x v="6"/>
    <s v="Pilot"/>
    <d v="2007-09-10T16:34:56"/>
    <x v="0"/>
    <n v="7.197222222222222"/>
    <n v="0"/>
  </r>
  <r>
    <n v="17"/>
    <x v="2"/>
    <m/>
    <d v="2009-09-29T16:46:42"/>
    <x v="0"/>
    <n v="5.1444444444444448"/>
    <n v="0"/>
  </r>
  <r>
    <n v="18"/>
    <x v="0"/>
    <s v="Iteration 1"/>
    <d v="2007-09-10T17:14:01"/>
    <x v="0"/>
    <n v="7.197222222222222"/>
    <n v="0"/>
  </r>
  <r>
    <n v="19"/>
    <x v="0"/>
    <s v="Iteration 1"/>
    <d v="2007-10-02T11:31:46"/>
    <x v="0"/>
    <n v="7.1361111111111111"/>
    <n v="0"/>
  </r>
  <r>
    <n v="21"/>
    <x v="2"/>
    <s v="Iteration 2"/>
    <d v="2007-10-29T09:19:58"/>
    <x v="0"/>
    <n v="7.0611111111111109"/>
    <n v="0"/>
  </r>
  <r>
    <n v="22"/>
    <x v="1"/>
    <s v="Iteration 1"/>
    <d v="2007-10-04T11:50:11"/>
    <x v="0"/>
    <n v="7.1305555555555555"/>
    <n v="0"/>
  </r>
  <r>
    <n v="23"/>
    <x v="1"/>
    <s v="Iteration 1"/>
    <d v="2007-10-05T14:22:49"/>
    <x v="0"/>
    <n v="7.1277777777777782"/>
    <n v="0"/>
  </r>
  <r>
    <n v="24"/>
    <x v="1"/>
    <s v="Iteration 1"/>
    <d v="2007-10-05T14:23:03"/>
    <x v="0"/>
    <n v="7.1277777777777782"/>
    <n v="0"/>
  </r>
  <r>
    <n v="25"/>
    <x v="0"/>
    <s v="Iteration 1"/>
    <d v="2007-10-08T11:11:47"/>
    <x v="0"/>
    <n v="7.1194444444444445"/>
    <n v="0"/>
  </r>
  <r>
    <n v="26"/>
    <x v="6"/>
    <s v="Iteration 3"/>
    <d v="2007-12-03T15:10:58"/>
    <x v="0"/>
    <n v="6.9666666666666668"/>
    <n v="0"/>
  </r>
  <r>
    <n v="27"/>
    <x v="0"/>
    <s v="Iteration 1"/>
    <d v="2007-10-10T17:10:51"/>
    <x v="0"/>
    <n v="7.1138888888888889"/>
    <n v="0"/>
  </r>
  <r>
    <n v="28"/>
    <x v="0"/>
    <s v="Iteration 1"/>
    <d v="2007-10-05T14:21:11"/>
    <x v="0"/>
    <n v="7.1277777777777782"/>
    <n v="0"/>
  </r>
  <r>
    <n v="30"/>
    <x v="0"/>
    <s v="Iteration 1"/>
    <d v="2007-10-11T16:39:28"/>
    <x v="0"/>
    <n v="7.1111111111111107"/>
    <n v="0"/>
  </r>
  <r>
    <n v="31"/>
    <x v="39"/>
    <m/>
    <d v="2008-01-04T14:21:55"/>
    <x v="0"/>
    <n v="6.8805555555555555"/>
    <n v="0"/>
  </r>
  <r>
    <n v="32"/>
    <x v="0"/>
    <s v="Iteration 2"/>
    <d v="2007-10-29T15:00:36"/>
    <x v="0"/>
    <n v="7.0611111111111109"/>
    <n v="0"/>
  </r>
  <r>
    <n v="33"/>
    <x v="37"/>
    <s v="Iteration 2"/>
    <d v="2007-11-02T15:32:22"/>
    <x v="0"/>
    <n v="7.052777777777778"/>
    <n v="0"/>
  </r>
  <r>
    <n v="34"/>
    <x v="39"/>
    <s v="Iteration 4"/>
    <d v="2008-02-05T14:08:03"/>
    <x v="0"/>
    <n v="6.7944444444444443"/>
    <n v="0"/>
  </r>
  <r>
    <n v="35"/>
    <x v="1"/>
    <s v="Iteration 3"/>
    <d v="2007-12-03T14:59:51"/>
    <x v="0"/>
    <n v="6.9666666666666668"/>
    <n v="0"/>
  </r>
  <r>
    <n v="36"/>
    <x v="39"/>
    <s v="Iteration 4"/>
    <d v="2008-01-09T12:00:12"/>
    <x v="0"/>
    <n v="6.8666666666666663"/>
    <n v="0"/>
  </r>
  <r>
    <n v="38"/>
    <x v="0"/>
    <s v="Iteration 1"/>
    <d v="2007-10-05T09:48:56"/>
    <x v="0"/>
    <n v="7.1277777777777782"/>
    <n v="0"/>
  </r>
  <r>
    <n v="39"/>
    <x v="0"/>
    <s v="Iteration 1"/>
    <d v="2007-10-08T14:54:45"/>
    <x v="0"/>
    <n v="7.1194444444444445"/>
    <n v="0"/>
  </r>
  <r>
    <n v="40"/>
    <x v="0"/>
    <s v="Iteration 1"/>
    <d v="2007-10-11T09:03:52"/>
    <x v="0"/>
    <n v="7.1111111111111107"/>
    <n v="0"/>
  </r>
  <r>
    <n v="41"/>
    <x v="0"/>
    <s v="Iteration 3"/>
    <d v="2007-11-30T12:25:54"/>
    <x v="0"/>
    <n v="6.9749999999999996"/>
    <n v="0"/>
  </r>
  <r>
    <n v="42"/>
    <x v="2"/>
    <s v="Iteration 2"/>
    <d v="2007-11-02T15:30:08"/>
    <x v="0"/>
    <n v="7.052777777777778"/>
    <n v="0"/>
  </r>
  <r>
    <n v="43"/>
    <x v="0"/>
    <s v="Iteration 2"/>
    <d v="2007-10-30T16:29:36"/>
    <x v="0"/>
    <n v="7.0583333333333336"/>
    <n v="0"/>
  </r>
  <r>
    <n v="46"/>
    <x v="39"/>
    <s v="Iteration 5"/>
    <d v="2008-02-11T13:02:14"/>
    <x v="0"/>
    <n v="6.7777777777777777"/>
    <n v="0"/>
  </r>
  <r>
    <n v="47"/>
    <x v="0"/>
    <s v="Iteration 3"/>
    <d v="2007-11-23T16:43:58"/>
    <x v="0"/>
    <n v="6.9944444444444445"/>
    <n v="0"/>
  </r>
  <r>
    <n v="48"/>
    <x v="0"/>
    <s v="Iteration 3"/>
    <d v="2007-11-07T16:17:29"/>
    <x v="0"/>
    <n v="7.0388888888888888"/>
    <n v="0"/>
  </r>
  <r>
    <n v="50"/>
    <x v="6"/>
    <s v="Iteration 3"/>
    <d v="2007-11-15T08:16:04"/>
    <x v="0"/>
    <n v="7.0166666666666666"/>
    <n v="0"/>
  </r>
  <r>
    <n v="51"/>
    <x v="39"/>
    <s v="Iteration 4"/>
    <d v="2007-12-11T09:45:19"/>
    <x v="0"/>
    <n v="6.9444444444444446"/>
    <n v="0"/>
  </r>
  <r>
    <n v="54"/>
    <x v="0"/>
    <s v="Iteration 3"/>
    <d v="2007-11-23T15:42:44"/>
    <x v="0"/>
    <n v="6.9944444444444445"/>
    <n v="0"/>
  </r>
  <r>
    <n v="56"/>
    <x v="6"/>
    <s v="Iteration 4"/>
    <d v="2008-01-31T11:02:58"/>
    <x v="0"/>
    <n v="6.8083333333333336"/>
    <n v="0"/>
  </r>
  <r>
    <n v="57"/>
    <x v="47"/>
    <s v="Iteration 4"/>
    <d v="2008-01-09T11:26:23"/>
    <x v="0"/>
    <n v="6.8666666666666663"/>
    <n v="0"/>
  </r>
  <r>
    <n v="60"/>
    <x v="2"/>
    <s v="Iteration 3"/>
    <d v="2007-11-12T13:36:17"/>
    <x v="0"/>
    <n v="7.0250000000000004"/>
    <n v="0"/>
  </r>
  <r>
    <n v="61"/>
    <x v="2"/>
    <s v="Iteration 3"/>
    <d v="2007-11-14T16:40:57"/>
    <x v="0"/>
    <n v="7.0194444444444448"/>
    <n v="0"/>
  </r>
  <r>
    <n v="63"/>
    <x v="2"/>
    <s v="Iteration 3"/>
    <d v="2008-04-10T10:21:05"/>
    <x v="0"/>
    <n v="6.6138888888888889"/>
    <n v="0"/>
  </r>
  <r>
    <n v="65"/>
    <x v="0"/>
    <s v="Iteration 4"/>
    <d v="2007-12-04T16:28:48"/>
    <x v="0"/>
    <n v="6.9638888888888886"/>
    <n v="0"/>
  </r>
  <r>
    <n v="66"/>
    <x v="0"/>
    <s v="Iteration 4"/>
    <d v="2008-01-08T09:14:49"/>
    <x v="0"/>
    <n v="6.8694444444444445"/>
    <n v="0"/>
  </r>
  <r>
    <n v="67"/>
    <x v="36"/>
    <s v="Iteration 4"/>
    <d v="2008-01-09T11:25:52"/>
    <x v="0"/>
    <n v="6.8666666666666663"/>
    <n v="0"/>
  </r>
  <r>
    <n v="68"/>
    <x v="2"/>
    <s v="Iteration 4"/>
    <d v="2008-01-09T11:26:07"/>
    <x v="0"/>
    <n v="6.8666666666666663"/>
    <n v="0"/>
  </r>
  <r>
    <n v="69"/>
    <x v="37"/>
    <s v="Iteration 4"/>
    <d v="2008-01-03T14:32:54"/>
    <x v="0"/>
    <n v="6.8833333333333337"/>
    <n v="0"/>
  </r>
  <r>
    <n v="70"/>
    <x v="2"/>
    <s v="Iteration 4"/>
    <d v="2007-12-11T10:27:23"/>
    <x v="0"/>
    <n v="6.9444444444444446"/>
    <n v="0"/>
  </r>
  <r>
    <n v="71"/>
    <x v="0"/>
    <s v="Iteration 4"/>
    <d v="2008-01-09T11:59:02"/>
    <x v="0"/>
    <n v="6.8666666666666663"/>
    <n v="0"/>
  </r>
  <r>
    <n v="74"/>
    <x v="0"/>
    <s v="Iteration 5"/>
    <d v="2008-02-11T13:04:40"/>
    <x v="0"/>
    <n v="6.7777777777777777"/>
    <n v="0"/>
  </r>
  <r>
    <n v="75"/>
    <x v="2"/>
    <s v="Iteration 5"/>
    <d v="2008-02-05T14:36:35"/>
    <x v="0"/>
    <n v="6.7944444444444443"/>
    <n v="0"/>
  </r>
  <r>
    <n v="77"/>
    <x v="6"/>
    <s v="Iteration 6"/>
    <d v="2008-03-10T12:33:40"/>
    <x v="0"/>
    <n v="6.697222222222222"/>
    <n v="0"/>
  </r>
  <r>
    <n v="78"/>
    <x v="6"/>
    <s v="Iteration 6"/>
    <d v="2008-03-10T14:10:03"/>
    <x v="0"/>
    <n v="6.697222222222222"/>
    <n v="0"/>
  </r>
  <r>
    <n v="79"/>
    <x v="4"/>
    <s v="Iteration 8"/>
    <d v="2008-05-19T14:45:45"/>
    <x v="0"/>
    <n v="6.5055555555555555"/>
    <n v="0"/>
  </r>
  <r>
    <n v="80"/>
    <x v="39"/>
    <s v="Iteration 5"/>
    <d v="2008-02-11T13:03:55"/>
    <x v="0"/>
    <n v="6.7777777777777777"/>
    <n v="0"/>
  </r>
  <r>
    <n v="81"/>
    <x v="39"/>
    <s v="Iteration 7"/>
    <d v="2008-04-24T10:24:15"/>
    <x v="0"/>
    <n v="6.5750000000000002"/>
    <n v="0"/>
  </r>
  <r>
    <n v="82"/>
    <x v="37"/>
    <s v="Iteration 5"/>
    <d v="2008-01-23T16:57:52"/>
    <x v="0"/>
    <n v="6.8277777777777775"/>
    <n v="0"/>
  </r>
  <r>
    <n v="85"/>
    <x v="36"/>
    <s v="Iteration 5"/>
    <d v="2008-02-11T13:04:17"/>
    <x v="0"/>
    <n v="6.7777777777777777"/>
    <n v="0"/>
  </r>
  <r>
    <n v="87"/>
    <x v="0"/>
    <s v="Iteration 6"/>
    <d v="2008-03-05T09:27:55"/>
    <x v="0"/>
    <n v="6.7111111111111112"/>
    <n v="0"/>
  </r>
  <r>
    <n v="88"/>
    <x v="2"/>
    <s v="Iteration 6"/>
    <d v="2008-03-07T14:19:17"/>
    <x v="0"/>
    <n v="6.7055555555555557"/>
    <n v="0"/>
  </r>
  <r>
    <n v="89"/>
    <x v="2"/>
    <s v="Iteration 6"/>
    <d v="2008-03-04T10:06:42"/>
    <x v="0"/>
    <n v="6.7138888888888886"/>
    <n v="0"/>
  </r>
  <r>
    <n v="90"/>
    <x v="36"/>
    <s v="Iteration 5"/>
    <d v="2008-02-11T13:04:51"/>
    <x v="0"/>
    <n v="6.7777777777777777"/>
    <n v="0"/>
  </r>
  <r>
    <n v="91"/>
    <x v="2"/>
    <s v="Iteration 5"/>
    <d v="2008-02-25T09:38:20"/>
    <x v="0"/>
    <n v="6.7388888888888889"/>
    <n v="0"/>
  </r>
  <r>
    <n v="92"/>
    <x v="36"/>
    <s v="Iteration 5"/>
    <d v="2008-02-12T13:56:08"/>
    <x v="0"/>
    <n v="6.7750000000000004"/>
    <n v="0"/>
  </r>
  <r>
    <n v="93"/>
    <x v="37"/>
    <s v="Iteration 6"/>
    <d v="2008-03-07T16:44:30"/>
    <x v="0"/>
    <n v="6.7055555555555557"/>
    <n v="0"/>
  </r>
  <r>
    <n v="94"/>
    <x v="0"/>
    <s v="Iteration 7"/>
    <d v="2008-04-15T09:56:49"/>
    <x v="0"/>
    <n v="6.6"/>
    <n v="0"/>
  </r>
  <r>
    <n v="95"/>
    <x v="39"/>
    <s v="Iteration 6"/>
    <d v="2008-03-05T09:28:29"/>
    <x v="0"/>
    <n v="6.7111111111111112"/>
    <n v="0"/>
  </r>
  <r>
    <n v="96"/>
    <x v="2"/>
    <s v="Iteration 6"/>
    <d v="2008-03-10T14:12:19"/>
    <x v="0"/>
    <n v="6.697222222222222"/>
    <n v="0"/>
  </r>
  <r>
    <n v="97"/>
    <x v="36"/>
    <s v="Iteration 6"/>
    <d v="2008-03-10T14:12:33"/>
    <x v="0"/>
    <n v="6.697222222222222"/>
    <n v="0"/>
  </r>
  <r>
    <n v="98"/>
    <x v="36"/>
    <s v="Iteration 6"/>
    <d v="2008-02-26T10:44:37"/>
    <x v="0"/>
    <n v="6.7361111111111107"/>
    <n v="0"/>
  </r>
  <r>
    <n v="99"/>
    <x v="0"/>
    <s v="Iteration 6"/>
    <d v="2008-03-05T09:27:31"/>
    <x v="0"/>
    <n v="6.7111111111111112"/>
    <n v="0"/>
  </r>
  <r>
    <n v="102"/>
    <x v="2"/>
    <s v="Iteration 6"/>
    <d v="2008-03-04T15:54:46"/>
    <x v="0"/>
    <n v="6.7138888888888886"/>
    <n v="0"/>
  </r>
  <r>
    <n v="103"/>
    <x v="0"/>
    <s v="Iteration 7"/>
    <d v="2008-04-23T16:00:48"/>
    <x v="0"/>
    <n v="6.5777777777777775"/>
    <n v="0"/>
  </r>
  <r>
    <n v="104"/>
    <x v="0"/>
    <s v="Iteration 7"/>
    <d v="2008-04-23T16:01:30"/>
    <x v="0"/>
    <n v="6.5777777777777775"/>
    <n v="0"/>
  </r>
  <r>
    <n v="105"/>
    <x v="0"/>
    <s v="Iteration 7"/>
    <d v="2008-04-23T16:01:48"/>
    <x v="0"/>
    <n v="6.5777777777777775"/>
    <n v="0"/>
  </r>
  <r>
    <n v="109"/>
    <x v="48"/>
    <s v="Iteration 6"/>
    <d v="2008-05-13T18:10:46"/>
    <x v="0"/>
    <n v="6.5222222222222221"/>
    <n v="0"/>
  </r>
  <r>
    <n v="110"/>
    <x v="37"/>
    <s v="Iteration 7"/>
    <d v="2008-04-17T17:11:21"/>
    <x v="0"/>
    <n v="6.5944444444444441"/>
    <n v="0"/>
  </r>
  <r>
    <n v="111"/>
    <x v="39"/>
    <s v="Iteration 7"/>
    <d v="2008-04-15T09:59:43"/>
    <x v="0"/>
    <n v="6.6"/>
    <n v="0"/>
  </r>
  <r>
    <n v="115"/>
    <x v="49"/>
    <s v="Iteration 8"/>
    <d v="2008-05-19T10:14:38"/>
    <x v="0"/>
    <n v="6.5055555555555555"/>
    <n v="0"/>
  </r>
  <r>
    <n v="117"/>
    <x v="4"/>
    <s v="Iteration 8"/>
    <d v="2008-05-19T14:53:24"/>
    <x v="0"/>
    <n v="6.5055555555555555"/>
    <n v="0"/>
  </r>
  <r>
    <n v="118"/>
    <x v="38"/>
    <s v="Iteration 12"/>
    <d v="2008-10-03T14:52:02"/>
    <x v="0"/>
    <n v="6.1333333333333337"/>
    <n v="0"/>
  </r>
  <r>
    <n v="119"/>
    <x v="6"/>
    <s v="Iteration 8"/>
    <d v="2008-05-19T15:48:19"/>
    <x v="0"/>
    <n v="6.5055555555555555"/>
    <n v="0"/>
  </r>
  <r>
    <n v="120"/>
    <x v="39"/>
    <s v="Iteration 8"/>
    <d v="2008-05-30T10:38:59"/>
    <x v="0"/>
    <n v="6.4749999999999996"/>
    <n v="0"/>
  </r>
  <r>
    <n v="121"/>
    <x v="37"/>
    <s v="Iteration 8"/>
    <d v="2008-05-02T11:03:34"/>
    <x v="0"/>
    <n v="6.552777777777778"/>
    <n v="0"/>
  </r>
  <r>
    <n v="122"/>
    <x v="37"/>
    <s v="Iteration 8"/>
    <d v="2008-05-09T10:44:31"/>
    <x v="0"/>
    <n v="6.5333333333333332"/>
    <n v="0"/>
  </r>
  <r>
    <n v="124"/>
    <x v="40"/>
    <s v="Iteration 10"/>
    <d v="2008-07-25T09:09:53"/>
    <x v="0"/>
    <n v="6.322222222222222"/>
    <n v="0"/>
  </r>
  <r>
    <n v="125"/>
    <x v="2"/>
    <s v="Iteration 8"/>
    <d v="2008-04-30T14:23:06"/>
    <x v="0"/>
    <n v="6.5583333333333336"/>
    <n v="0"/>
  </r>
  <r>
    <n v="128"/>
    <x v="0"/>
    <s v="Iteration 8"/>
    <d v="2008-05-08T15:44:33"/>
    <x v="0"/>
    <n v="6.5361111111111114"/>
    <n v="0"/>
  </r>
  <r>
    <n v="131"/>
    <x v="0"/>
    <s v="Iteration 8"/>
    <d v="2008-05-15T16:39:23"/>
    <x v="0"/>
    <n v="6.5166666666666666"/>
    <n v="0"/>
  </r>
  <r>
    <n v="132"/>
    <x v="4"/>
    <s v="Iteration 8"/>
    <d v="2008-05-19T14:46:04"/>
    <x v="0"/>
    <n v="6.5055555555555555"/>
    <n v="0"/>
  </r>
  <r>
    <n v="133"/>
    <x v="2"/>
    <s v="Iteration 8"/>
    <d v="2008-05-15T12:19:48"/>
    <x v="0"/>
    <n v="6.5166666666666666"/>
    <n v="0"/>
  </r>
  <r>
    <n v="135"/>
    <x v="0"/>
    <s v="Iteration 9"/>
    <d v="2008-06-02T11:25:43"/>
    <x v="0"/>
    <n v="6.4694444444444441"/>
    <n v="0"/>
  </r>
  <r>
    <n v="138"/>
    <x v="39"/>
    <s v="Iteration 14"/>
    <d v="2009-01-09T12:53:26"/>
    <x v="0"/>
    <n v="5.8666666666666663"/>
    <n v="0"/>
  </r>
  <r>
    <n v="142"/>
    <x v="4"/>
    <s v="Iteration 9"/>
    <d v="2008-06-09T17:08:09"/>
    <x v="0"/>
    <n v="6.45"/>
    <n v="0"/>
  </r>
  <r>
    <n v="144"/>
    <x v="0"/>
    <s v="Iteration 14"/>
    <d v="2009-01-08T12:00:34"/>
    <x v="0"/>
    <n v="5.8694444444444445"/>
    <n v="0"/>
  </r>
  <r>
    <n v="145"/>
    <x v="4"/>
    <s v="Iteration 9"/>
    <d v="2008-06-25T09:14:02"/>
    <x v="0"/>
    <n v="6.4055555555555559"/>
    <n v="0"/>
  </r>
  <r>
    <n v="146"/>
    <x v="4"/>
    <s v="Iteration 9"/>
    <d v="2008-06-09T17:05:10"/>
    <x v="0"/>
    <n v="6.45"/>
    <n v="0"/>
  </r>
  <r>
    <n v="147"/>
    <x v="48"/>
    <s v="Iteration 20"/>
    <d v="2008-11-21T16:00:15"/>
    <x v="0"/>
    <n v="6"/>
    <n v="0"/>
  </r>
  <r>
    <n v="149"/>
    <x v="1"/>
    <s v="Iteration 9"/>
    <d v="2008-06-09T17:10:43"/>
    <x v="0"/>
    <n v="6.45"/>
    <n v="0"/>
  </r>
  <r>
    <n v="150"/>
    <x v="0"/>
    <s v="Iteration 9"/>
    <d v="2008-06-24T16:58:10"/>
    <x v="0"/>
    <n v="6.4083333333333332"/>
    <n v="0"/>
  </r>
  <r>
    <n v="151"/>
    <x v="4"/>
    <s v="Iteration 9"/>
    <d v="2008-06-25T09:16:27"/>
    <x v="0"/>
    <n v="6.4055555555555559"/>
    <n v="0"/>
  </r>
  <r>
    <n v="154"/>
    <x v="39"/>
    <s v="Iteration 10"/>
    <d v="2008-07-25T09:10:08"/>
    <x v="0"/>
    <n v="6.322222222222222"/>
    <n v="0"/>
  </r>
  <r>
    <n v="155"/>
    <x v="4"/>
    <s v="Iteration 9"/>
    <d v="2008-06-25T15:53:00"/>
    <x v="0"/>
    <n v="6.4055555555555559"/>
    <n v="0"/>
  </r>
  <r>
    <n v="156"/>
    <x v="39"/>
    <s v="Iteration 11"/>
    <d v="2008-07-28T09:43:09"/>
    <x v="0"/>
    <n v="6.3138888888888891"/>
    <n v="0"/>
  </r>
  <r>
    <n v="160"/>
    <x v="4"/>
    <s v="Iteration 14"/>
    <d v="2009-01-13T15:27:06"/>
    <x v="0"/>
    <n v="5.8555555555555552"/>
    <n v="0"/>
  </r>
  <r>
    <n v="163"/>
    <x v="4"/>
    <s v="Iteration 9"/>
    <d v="2008-06-25T15:53:17"/>
    <x v="0"/>
    <n v="6.4055555555555559"/>
    <n v="0"/>
  </r>
  <r>
    <n v="165"/>
    <x v="48"/>
    <s v="Iteration 9"/>
    <d v="2008-06-25T15:54:22"/>
    <x v="0"/>
    <n v="6.4055555555555559"/>
    <n v="0"/>
  </r>
  <r>
    <n v="166"/>
    <x v="4"/>
    <s v="Iteration 9"/>
    <d v="2008-06-25T15:53:39"/>
    <x v="0"/>
    <n v="6.4055555555555559"/>
    <n v="0"/>
  </r>
  <r>
    <n v="168"/>
    <x v="4"/>
    <s v="Iteration 10"/>
    <d v="2008-07-18T10:29:44"/>
    <x v="0"/>
    <n v="6.3416666666666668"/>
    <n v="0"/>
  </r>
  <r>
    <n v="169"/>
    <x v="4"/>
    <s v="Iteration 10"/>
    <d v="2008-07-07T15:15:45"/>
    <x v="0"/>
    <n v="6.3722222222222218"/>
    <n v="0"/>
  </r>
  <r>
    <n v="170"/>
    <x v="38"/>
    <s v="Iteration 10"/>
    <d v="2008-07-28T11:34:36"/>
    <x v="0"/>
    <n v="6.3138888888888891"/>
    <n v="0"/>
  </r>
  <r>
    <n v="172"/>
    <x v="40"/>
    <s v="Iteration 10"/>
    <d v="2008-07-15T09:34:44"/>
    <x v="0"/>
    <n v="6.35"/>
    <n v="0"/>
  </r>
  <r>
    <n v="173"/>
    <x v="2"/>
    <s v="Iteration 20"/>
    <d v="2009-09-29T16:51:33"/>
    <x v="0"/>
    <n v="5.1444444444444448"/>
    <n v="0"/>
  </r>
  <r>
    <n v="174"/>
    <x v="0"/>
    <s v="Iteration 12"/>
    <d v="2008-09-22T12:26:34"/>
    <x v="0"/>
    <n v="6.1638888888888888"/>
    <n v="0"/>
  </r>
  <r>
    <n v="175"/>
    <x v="48"/>
    <s v="Iteration 10"/>
    <d v="2008-07-28T11:35:13"/>
    <x v="0"/>
    <n v="6.3138888888888891"/>
    <n v="0"/>
  </r>
  <r>
    <n v="177"/>
    <x v="0"/>
    <s v="Iteration 11"/>
    <d v="2008-09-08T13:06:37"/>
    <x v="0"/>
    <n v="6.2027777777777775"/>
    <n v="0"/>
  </r>
  <r>
    <n v="179"/>
    <x v="0"/>
    <s v="Iteration 10"/>
    <d v="2008-07-25T09:09:17"/>
    <x v="0"/>
    <n v="6.322222222222222"/>
    <n v="0"/>
  </r>
  <r>
    <n v="180"/>
    <x v="2"/>
    <s v="Iteration 10"/>
    <d v="2008-07-08T15:29:54"/>
    <x v="0"/>
    <n v="6.3694444444444445"/>
    <n v="0"/>
  </r>
  <r>
    <n v="181"/>
    <x v="4"/>
    <s v="Iteration 10"/>
    <d v="2008-07-28T11:35:30"/>
    <x v="0"/>
    <n v="6.3138888888888891"/>
    <n v="0"/>
  </r>
  <r>
    <n v="182"/>
    <x v="40"/>
    <s v="Iteration 11"/>
    <d v="2008-09-04T15:57:23"/>
    <x v="0"/>
    <n v="6.2138888888888886"/>
    <n v="0"/>
  </r>
  <r>
    <n v="183"/>
    <x v="2"/>
    <s v="Iteration 10"/>
    <d v="2008-07-29T15:58:40"/>
    <x v="0"/>
    <n v="6.3111111111111109"/>
    <n v="0"/>
  </r>
  <r>
    <n v="184"/>
    <x v="48"/>
    <s v="Iteration 11"/>
    <d v="2008-07-29T16:03:15"/>
    <x v="0"/>
    <n v="6.3111111111111109"/>
    <n v="0"/>
  </r>
  <r>
    <n v="185"/>
    <x v="4"/>
    <s v="Iteration 11"/>
    <d v="2008-08-11T09:46:58"/>
    <x v="0"/>
    <n v="6.2777777777777777"/>
    <n v="0"/>
  </r>
  <r>
    <n v="186"/>
    <x v="0"/>
    <s v="Iteration 11"/>
    <d v="2008-09-05T08:55:57"/>
    <x v="0"/>
    <n v="6.2111111111111112"/>
    <n v="0"/>
  </r>
  <r>
    <n v="187"/>
    <x v="39"/>
    <s v="Iteration 11"/>
    <d v="2008-07-31T13:45:29"/>
    <x v="0"/>
    <n v="6.3083333333333336"/>
    <n v="0"/>
  </r>
  <r>
    <n v="188"/>
    <x v="39"/>
    <s v="Iteration 11"/>
    <d v="2008-09-05T08:56:15"/>
    <x v="0"/>
    <n v="6.2111111111111112"/>
    <n v="0"/>
  </r>
  <r>
    <n v="189"/>
    <x v="4"/>
    <s v="Iteration 11"/>
    <d v="2008-08-20T14:51:36"/>
    <x v="0"/>
    <n v="6.2527777777777782"/>
    <n v="0"/>
  </r>
  <r>
    <n v="190"/>
    <x v="4"/>
    <s v="Iteration 13"/>
    <d v="2008-11-13T13:55:41"/>
    <x v="0"/>
    <n v="6.0222222222222221"/>
    <n v="0"/>
  </r>
  <r>
    <n v="191"/>
    <x v="48"/>
    <s v="Iteration 20"/>
    <d v="2008-11-21T15:59:18"/>
    <x v="0"/>
    <n v="6"/>
    <n v="0"/>
  </r>
  <r>
    <n v="193"/>
    <x v="6"/>
    <s v="Iteration 13"/>
    <d v="2008-11-12T15:26:42"/>
    <x v="0"/>
    <n v="6.0250000000000004"/>
    <n v="0"/>
  </r>
  <r>
    <n v="195"/>
    <x v="4"/>
    <s v="Iteration 11"/>
    <d v="2008-08-11T09:46:34"/>
    <x v="0"/>
    <n v="6.2777777777777777"/>
    <n v="0"/>
  </r>
  <r>
    <n v="196"/>
    <x v="4"/>
    <s v="Iteration 11"/>
    <d v="2008-10-03T11:42:05"/>
    <x v="0"/>
    <n v="6.1333333333333337"/>
    <n v="0"/>
  </r>
  <r>
    <n v="198"/>
    <x v="39"/>
    <s v="Iteration 11"/>
    <d v="2008-08-05T10:55:33"/>
    <x v="0"/>
    <n v="6.2944444444444443"/>
    <n v="0"/>
  </r>
  <r>
    <n v="199"/>
    <x v="4"/>
    <s v="Iteration 11"/>
    <d v="2008-08-20T14:49:44"/>
    <x v="0"/>
    <n v="6.2527777777777782"/>
    <n v="0"/>
  </r>
  <r>
    <n v="201"/>
    <x v="0"/>
    <s v="Iteration 11"/>
    <d v="2008-08-11T09:31:54"/>
    <x v="0"/>
    <n v="6.2777777777777777"/>
    <n v="0"/>
  </r>
  <r>
    <n v="202"/>
    <x v="4"/>
    <s v="Iteration 11"/>
    <d v="2008-08-20T14:52:28"/>
    <x v="0"/>
    <n v="6.2527777777777782"/>
    <n v="0"/>
  </r>
  <r>
    <n v="203"/>
    <x v="4"/>
    <s v="Iteration 11"/>
    <d v="2008-09-05T08:55:39"/>
    <x v="0"/>
    <n v="6.2111111111111112"/>
    <n v="0"/>
  </r>
  <r>
    <n v="204"/>
    <x v="4"/>
    <s v="Iteration 11"/>
    <d v="2008-08-20T14:50:57"/>
    <x v="0"/>
    <n v="6.2527777777777782"/>
    <n v="0"/>
  </r>
  <r>
    <n v="205"/>
    <x v="4"/>
    <s v="Iteration 11"/>
    <d v="2008-09-04T16:35:40"/>
    <x v="0"/>
    <n v="6.2138888888888886"/>
    <n v="0"/>
  </r>
  <r>
    <n v="206"/>
    <x v="4"/>
    <s v="Iteration 11"/>
    <d v="2008-09-04T16:36:15"/>
    <x v="0"/>
    <n v="6.2138888888888886"/>
    <n v="0"/>
  </r>
  <r>
    <n v="209"/>
    <x v="4"/>
    <s v="Iteration 12"/>
    <d v="2008-10-03T13:09:08"/>
    <x v="0"/>
    <n v="6.1333333333333337"/>
    <n v="0"/>
  </r>
  <r>
    <n v="210"/>
    <x v="0"/>
    <s v="Iteration 11"/>
    <d v="2008-08-29T15:02:22"/>
    <x v="0"/>
    <n v="6.2277777777777779"/>
    <n v="0"/>
  </r>
  <r>
    <n v="211"/>
    <x v="40"/>
    <s v="Iteration 11"/>
    <d v="2008-08-27T10:45:13"/>
    <x v="0"/>
    <n v="6.2333333333333334"/>
    <n v="0"/>
  </r>
  <r>
    <n v="212"/>
    <x v="0"/>
    <s v="Iteration 11"/>
    <d v="2008-09-04T16:04:46"/>
    <x v="0"/>
    <n v="6.2138888888888886"/>
    <n v="0"/>
  </r>
  <r>
    <n v="213"/>
    <x v="4"/>
    <s v="Iteration 11"/>
    <d v="2008-08-26T08:46:30"/>
    <x v="0"/>
    <n v="6.2361111111111107"/>
    <n v="0"/>
  </r>
  <r>
    <n v="215"/>
    <x v="40"/>
    <s v="Iteration 14"/>
    <d v="2008-12-17T16:09:44"/>
    <x v="0"/>
    <n v="5.927777777777778"/>
    <n v="0"/>
  </r>
  <r>
    <n v="218"/>
    <x v="4"/>
    <s v="Iteration 12"/>
    <d v="2008-09-17T16:15:48"/>
    <x v="0"/>
    <n v="6.177777777777778"/>
    <n v="0"/>
  </r>
  <r>
    <n v="219"/>
    <x v="4"/>
    <s v="Iteration 12"/>
    <d v="2008-10-03T13:09:21"/>
    <x v="0"/>
    <n v="6.1333333333333337"/>
    <n v="0"/>
  </r>
  <r>
    <n v="220"/>
    <x v="40"/>
    <s v="Iteration 12"/>
    <d v="2008-09-29T10:23:43"/>
    <x v="0"/>
    <n v="6.1444444444444448"/>
    <n v="0"/>
  </r>
  <r>
    <n v="221"/>
    <x v="4"/>
    <s v="Iteration 12"/>
    <d v="2008-09-17T16:16:33"/>
    <x v="0"/>
    <n v="6.177777777777778"/>
    <n v="0"/>
  </r>
  <r>
    <n v="222"/>
    <x v="36"/>
    <s v="Iteration 12"/>
    <d v="2008-09-15T16:27:55"/>
    <x v="0"/>
    <n v="6.1833333333333336"/>
    <n v="0"/>
  </r>
  <r>
    <n v="223"/>
    <x v="4"/>
    <s v="Iteration 12"/>
    <d v="2008-09-17T09:35:32"/>
    <x v="0"/>
    <n v="6.177777777777778"/>
    <n v="0"/>
  </r>
  <r>
    <n v="225"/>
    <x v="0"/>
    <s v="Iteration 12"/>
    <d v="2008-09-29T16:13:33"/>
    <x v="0"/>
    <n v="6.1444444444444448"/>
    <n v="0"/>
  </r>
  <r>
    <n v="226"/>
    <x v="0"/>
    <s v="Iteration 12"/>
    <d v="2008-10-03T12:02:37"/>
    <x v="0"/>
    <n v="6.1333333333333337"/>
    <n v="0"/>
  </r>
  <r>
    <n v="227"/>
    <x v="0"/>
    <s v="Iteration 14"/>
    <d v="2009-01-09T12:53:45"/>
    <x v="0"/>
    <n v="5.8666666666666663"/>
    <n v="0"/>
  </r>
  <r>
    <n v="228"/>
    <x v="0"/>
    <s v="Iteration 14"/>
    <d v="2009-01-09T12:58:43"/>
    <x v="0"/>
    <n v="5.8666666666666663"/>
    <n v="0"/>
  </r>
  <r>
    <n v="230"/>
    <x v="0"/>
    <s v="Iteration 12"/>
    <d v="2008-09-30T13:41:29"/>
    <x v="0"/>
    <n v="6.1416666666666666"/>
    <n v="0"/>
  </r>
  <r>
    <n v="232"/>
    <x v="4"/>
    <s v="Iteration 12"/>
    <d v="2008-09-29T10:25:38"/>
    <x v="0"/>
    <n v="6.1444444444444448"/>
    <n v="0"/>
  </r>
  <r>
    <n v="233"/>
    <x v="4"/>
    <s v="Iteration 12"/>
    <d v="2008-10-01T14:14:36"/>
    <x v="0"/>
    <n v="6.1388888888888893"/>
    <n v="0"/>
  </r>
  <r>
    <n v="234"/>
    <x v="0"/>
    <s v="Iteration 12"/>
    <d v="2008-09-22T11:54:13"/>
    <x v="0"/>
    <n v="6.1638888888888888"/>
    <n v="0"/>
  </r>
  <r>
    <n v="235"/>
    <x v="0"/>
    <s v="Iteration 12"/>
    <d v="2008-09-29T16:12:07"/>
    <x v="0"/>
    <n v="6.1444444444444448"/>
    <n v="0"/>
  </r>
  <r>
    <n v="236"/>
    <x v="40"/>
    <s v="Iteration 13"/>
    <d v="2008-11-13T13:56:02"/>
    <x v="0"/>
    <n v="6.0222222222222221"/>
    <n v="0"/>
  </r>
  <r>
    <n v="237"/>
    <x v="2"/>
    <s v="Iteration 12"/>
    <d v="2008-10-03T10:09:52"/>
    <x v="0"/>
    <n v="6.1333333333333337"/>
    <n v="0"/>
  </r>
  <r>
    <n v="238"/>
    <x v="0"/>
    <s v="Iteration 12"/>
    <d v="2008-09-24T13:54:35"/>
    <x v="0"/>
    <n v="6.1583333333333332"/>
    <n v="0"/>
  </r>
  <r>
    <n v="239"/>
    <x v="4"/>
    <s v="Iteration 12"/>
    <d v="2008-10-02T16:33:35"/>
    <x v="0"/>
    <n v="6.1361111111111111"/>
    <n v="0"/>
  </r>
  <r>
    <n v="240"/>
    <x v="0"/>
    <s v="Iteration 12"/>
    <d v="2008-10-03T12:26:55"/>
    <x v="0"/>
    <n v="6.1333333333333337"/>
    <n v="0"/>
  </r>
  <r>
    <n v="241"/>
    <x v="4"/>
    <s v="Iteration 12"/>
    <d v="2008-10-01T14:14:06"/>
    <x v="0"/>
    <n v="6.1388888888888893"/>
    <n v="0"/>
  </r>
  <r>
    <n v="242"/>
    <x v="4"/>
    <s v="Iteration 12"/>
    <d v="2008-10-06T11:46:59"/>
    <x v="0"/>
    <n v="6.125"/>
    <n v="0"/>
  </r>
  <r>
    <n v="243"/>
    <x v="36"/>
    <s v="Iteration 12"/>
    <d v="2008-10-03T11:48:51"/>
    <x v="0"/>
    <n v="6.1333333333333337"/>
    <n v="0"/>
  </r>
  <r>
    <n v="244"/>
    <x v="2"/>
    <s v="Iteration 12"/>
    <d v="2008-10-06T10:59:57"/>
    <x v="0"/>
    <n v="6.125"/>
    <n v="0"/>
  </r>
  <r>
    <n v="245"/>
    <x v="39"/>
    <s v="Iteration 14"/>
    <d v="2009-01-09T12:51:40"/>
    <x v="0"/>
    <n v="5.8666666666666663"/>
    <n v="0"/>
  </r>
  <r>
    <n v="246"/>
    <x v="39"/>
    <s v="Iteration 14"/>
    <d v="2009-01-09T12:54:06"/>
    <x v="0"/>
    <n v="5.8666666666666663"/>
    <n v="0"/>
  </r>
  <r>
    <n v="247"/>
    <x v="39"/>
    <s v="Iteration 16"/>
    <d v="2009-03-12T12:39:53"/>
    <x v="0"/>
    <n v="5.6916666666666664"/>
    <n v="0"/>
  </r>
  <r>
    <n v="248"/>
    <x v="4"/>
    <s v="Iteration 13"/>
    <d v="2008-10-24T16:39:09"/>
    <x v="0"/>
    <n v="6.0750000000000002"/>
    <n v="0"/>
  </r>
  <r>
    <n v="249"/>
    <x v="36"/>
    <s v="Iteration 13"/>
    <d v="2008-11-13T13:58:26"/>
    <x v="0"/>
    <n v="6.0222222222222221"/>
    <n v="0"/>
  </r>
  <r>
    <n v="250"/>
    <x v="4"/>
    <s v="Iteration 13"/>
    <d v="2008-10-06T11:47:28"/>
    <x v="0"/>
    <n v="6.125"/>
    <n v="0"/>
  </r>
  <r>
    <n v="251"/>
    <x v="4"/>
    <s v="Iteration 13"/>
    <d v="2008-10-07T10:34:44"/>
    <x v="0"/>
    <n v="6.1222222222222218"/>
    <n v="0"/>
  </r>
  <r>
    <n v="253"/>
    <x v="4"/>
    <s v="Iteration 13"/>
    <d v="2008-10-24T16:39:34"/>
    <x v="0"/>
    <n v="6.0750000000000002"/>
    <n v="0"/>
  </r>
  <r>
    <n v="256"/>
    <x v="0"/>
    <s v="Iteration 13"/>
    <d v="2008-10-14T15:42:44"/>
    <x v="0"/>
    <n v="6.1027777777777779"/>
    <n v="0"/>
  </r>
  <r>
    <n v="257"/>
    <x v="39"/>
    <s v="Iteration 13"/>
    <d v="2008-11-13T15:00:28"/>
    <x v="0"/>
    <n v="6.0222222222222221"/>
    <n v="0"/>
  </r>
  <r>
    <n v="258"/>
    <x v="39"/>
    <s v="Iteration 13"/>
    <d v="2008-11-13T15:00:12"/>
    <x v="0"/>
    <n v="6.0222222222222221"/>
    <n v="0"/>
  </r>
  <r>
    <n v="259"/>
    <x v="3"/>
    <s v="Iteration 14"/>
    <d v="2009-01-09T12:54:38"/>
    <x v="0"/>
    <n v="5.8666666666666663"/>
    <n v="0"/>
  </r>
  <r>
    <n v="260"/>
    <x v="4"/>
    <s v="Iteration 13"/>
    <d v="2008-10-07T10:34:22"/>
    <x v="0"/>
    <n v="6.1222222222222218"/>
    <n v="0"/>
  </r>
  <r>
    <n v="261"/>
    <x v="6"/>
    <s v="Iteration 15"/>
    <d v="2009-01-21T17:44:28"/>
    <x v="0"/>
    <n v="5.833333333333333"/>
    <n v="0"/>
  </r>
  <r>
    <n v="263"/>
    <x v="0"/>
    <s v="Iteration 13"/>
    <d v="2008-10-24T17:34:26"/>
    <x v="0"/>
    <n v="6.0750000000000002"/>
    <n v="0"/>
  </r>
  <r>
    <n v="266"/>
    <x v="0"/>
    <s v="Iteration 13"/>
    <d v="2008-10-14T10:18:17"/>
    <x v="0"/>
    <n v="6.1027777777777779"/>
    <n v="0"/>
  </r>
  <r>
    <n v="267"/>
    <x v="3"/>
    <s v="Iteration 13"/>
    <d v="2008-11-13T14:57:31"/>
    <x v="0"/>
    <n v="6.0222222222222221"/>
    <n v="0"/>
  </r>
  <r>
    <n v="268"/>
    <x v="3"/>
    <s v="Iteration 13"/>
    <d v="2008-11-13T18:16:22"/>
    <x v="0"/>
    <n v="6.0222222222222221"/>
    <n v="0"/>
  </r>
  <r>
    <n v="269"/>
    <x v="0"/>
    <s v="Iteration 13"/>
    <d v="2008-10-17T15:09:06"/>
    <x v="0"/>
    <n v="6.0944444444444441"/>
    <n v="0"/>
  </r>
  <r>
    <n v="271"/>
    <x v="4"/>
    <s v="Iteration 13"/>
    <d v="2008-11-21T15:50:25"/>
    <x v="0"/>
    <n v="6"/>
    <n v="0"/>
  </r>
  <r>
    <n v="272"/>
    <x v="4"/>
    <s v="Iteration 13"/>
    <d v="2008-11-13T13:57:18"/>
    <x v="0"/>
    <n v="6.0222222222222221"/>
    <n v="0"/>
  </r>
  <r>
    <n v="274"/>
    <x v="0"/>
    <s v="Iteration 15"/>
    <d v="2009-01-26T14:09:12"/>
    <x v="0"/>
    <n v="5.8194444444444446"/>
    <n v="0"/>
  </r>
  <r>
    <n v="275"/>
    <x v="38"/>
    <s v="Iteration 14"/>
    <d v="2008-12-09T09:10:09"/>
    <x v="0"/>
    <n v="5.95"/>
    <n v="0"/>
  </r>
  <r>
    <n v="276"/>
    <x v="38"/>
    <s v="Iteration 14"/>
    <d v="2008-12-09T09:11:59"/>
    <x v="0"/>
    <n v="5.95"/>
    <n v="0"/>
  </r>
  <r>
    <n v="277"/>
    <x v="38"/>
    <s v="Iteration 20"/>
    <d v="2008-12-09T14:53:34"/>
    <x v="0"/>
    <n v="5.95"/>
    <n v="0"/>
  </r>
  <r>
    <n v="283"/>
    <x v="3"/>
    <s v="Iteration 14"/>
    <d v="2009-01-09T12:56:34"/>
    <x v="0"/>
    <n v="5.8666666666666663"/>
    <n v="0"/>
  </r>
  <r>
    <n v="284"/>
    <x v="4"/>
    <s v="Iteration 14"/>
    <d v="2008-12-23T13:54:52"/>
    <x v="0"/>
    <n v="5.9111111111111114"/>
    <n v="0"/>
  </r>
  <r>
    <n v="286"/>
    <x v="4"/>
    <s v="Iteration 14"/>
    <d v="2008-11-13T16:58:04"/>
    <x v="0"/>
    <n v="6.0222222222222221"/>
    <n v="0"/>
  </r>
  <r>
    <n v="287"/>
    <x v="6"/>
    <s v="Iteration 13"/>
    <d v="2008-11-13T16:42:45"/>
    <x v="0"/>
    <n v="6.0222222222222221"/>
    <n v="0"/>
  </r>
  <r>
    <n v="288"/>
    <x v="4"/>
    <s v="Iteration 14"/>
    <d v="2008-11-25T12:01:04"/>
    <x v="0"/>
    <n v="5.9888888888888889"/>
    <n v="0"/>
  </r>
  <r>
    <n v="289"/>
    <x v="3"/>
    <s v="Iteration 14"/>
    <d v="2008-12-09T09:14:09"/>
    <x v="0"/>
    <n v="5.95"/>
    <n v="0"/>
  </r>
  <r>
    <n v="290"/>
    <x v="6"/>
    <s v="Iteration 14"/>
    <d v="2009-01-07T15:23:27"/>
    <x v="0"/>
    <n v="5.8722222222222218"/>
    <n v="0"/>
  </r>
  <r>
    <n v="291"/>
    <x v="4"/>
    <s v="Iteration 14"/>
    <d v="2008-11-14T15:53:43"/>
    <x v="0"/>
    <n v="6.0194444444444448"/>
    <n v="0"/>
  </r>
  <r>
    <n v="292"/>
    <x v="38"/>
    <s v="Iteration 14"/>
    <d v="2009-01-09T10:34:00"/>
    <x v="0"/>
    <n v="5.8666666666666663"/>
    <n v="0"/>
  </r>
  <r>
    <n v="293"/>
    <x v="4"/>
    <s v="Iteration 14"/>
    <d v="2008-11-25T12:01:30"/>
    <x v="0"/>
    <n v="5.9888888888888889"/>
    <n v="0"/>
  </r>
  <r>
    <n v="295"/>
    <x v="6"/>
    <s v="Iteration 14"/>
    <d v="2008-12-17T09:28:30"/>
    <x v="0"/>
    <n v="5.927777777777778"/>
    <n v="0"/>
  </r>
  <r>
    <n v="296"/>
    <x v="0"/>
    <s v="Iteration 14"/>
    <d v="2008-11-18T14:04:58"/>
    <x v="0"/>
    <n v="6.0083333333333337"/>
    <n v="0"/>
  </r>
  <r>
    <n v="298"/>
    <x v="3"/>
    <s v="Iteration 14"/>
    <d v="2008-11-21T17:19:19"/>
    <x v="0"/>
    <n v="6"/>
    <n v="0"/>
  </r>
  <r>
    <n v="299"/>
    <x v="0"/>
    <s v="Iteration 14"/>
    <d v="2008-11-19T12:53:08"/>
    <x v="0"/>
    <n v="6.0055555555555555"/>
    <n v="0"/>
  </r>
  <r>
    <n v="300"/>
    <x v="4"/>
    <s v="Iteration 14"/>
    <d v="2008-12-03T14:05:45"/>
    <x v="0"/>
    <n v="5.9666666666666668"/>
    <n v="0"/>
  </r>
  <r>
    <n v="301"/>
    <x v="38"/>
    <s v="Iteration 14"/>
    <d v="2008-11-21T16:39:51"/>
    <x v="0"/>
    <n v="6"/>
    <n v="0"/>
  </r>
  <r>
    <n v="302"/>
    <x v="48"/>
    <s v="Iteration 14"/>
    <d v="2008-11-21T17:18:22"/>
    <x v="0"/>
    <n v="6"/>
    <n v="0"/>
  </r>
  <r>
    <n v="303"/>
    <x v="48"/>
    <s v="Iteration 14"/>
    <d v="2008-12-09T09:15:31"/>
    <x v="0"/>
    <n v="5.95"/>
    <n v="0"/>
  </r>
  <r>
    <n v="304"/>
    <x v="4"/>
    <s v="Iteration 14"/>
    <d v="2008-12-03T14:05:14"/>
    <x v="0"/>
    <n v="5.9666666666666668"/>
    <n v="0"/>
  </r>
  <r>
    <n v="306"/>
    <x v="4"/>
    <s v="Iteration 14"/>
    <d v="2008-12-03T14:04:57"/>
    <x v="0"/>
    <n v="5.9666666666666668"/>
    <n v="0"/>
  </r>
  <r>
    <n v="307"/>
    <x v="0"/>
    <s v="Iteration 14"/>
    <d v="2008-12-04T12:25:37"/>
    <x v="0"/>
    <n v="5.9638888888888886"/>
    <n v="0"/>
  </r>
  <r>
    <n v="308"/>
    <x v="4"/>
    <s v="Iteration 14"/>
    <d v="2008-12-23T13:55:28"/>
    <x v="0"/>
    <n v="5.9111111111111114"/>
    <n v="0"/>
  </r>
  <r>
    <n v="309"/>
    <x v="4"/>
    <s v="Iteration 14"/>
    <d v="2009-01-12T16:03:53"/>
    <x v="0"/>
    <n v="5.8583333333333334"/>
    <n v="0"/>
  </r>
  <r>
    <n v="310"/>
    <x v="48"/>
    <s v="Iteration 14"/>
    <d v="2008-12-03T15:33:34"/>
    <x v="0"/>
    <n v="5.9666666666666668"/>
    <n v="0"/>
  </r>
  <r>
    <n v="311"/>
    <x v="4"/>
    <s v="Iteration 14"/>
    <d v="2008-12-09T09:13:43"/>
    <x v="0"/>
    <n v="5.95"/>
    <n v="0"/>
  </r>
  <r>
    <n v="313"/>
    <x v="38"/>
    <s v="Iteration 14"/>
    <d v="2009-01-08T12:00:05"/>
    <x v="0"/>
    <n v="5.8694444444444445"/>
    <n v="0"/>
  </r>
  <r>
    <n v="314"/>
    <x v="38"/>
    <s v="Iteration 14"/>
    <d v="2009-01-08T12:00:39"/>
    <x v="0"/>
    <n v="5.8694444444444445"/>
    <n v="0"/>
  </r>
  <r>
    <n v="316"/>
    <x v="1"/>
    <s v="Iteration 16"/>
    <d v="2009-04-16T13:56:48"/>
    <x v="0"/>
    <n v="5.5972222222222223"/>
    <n v="0"/>
  </r>
  <r>
    <n v="317"/>
    <x v="36"/>
    <s v="Iteration 15"/>
    <d v="2009-01-21T10:10:28"/>
    <x v="0"/>
    <n v="5.833333333333333"/>
    <n v="0"/>
  </r>
  <r>
    <n v="318"/>
    <x v="0"/>
    <s v="Iteration 14"/>
    <d v="2008-12-22T12:37:17"/>
    <x v="0"/>
    <n v="5.9138888888888888"/>
    <n v="0"/>
  </r>
  <r>
    <n v="319"/>
    <x v="3"/>
    <s v="Iteration 14"/>
    <d v="2009-01-08T17:50:05"/>
    <x v="0"/>
    <n v="5.8694444444444445"/>
    <n v="0"/>
  </r>
  <r>
    <n v="320"/>
    <x v="3"/>
    <s v="Iteration 14"/>
    <d v="2009-01-07T15:46:18"/>
    <x v="0"/>
    <n v="5.8722222222222218"/>
    <n v="0"/>
  </r>
  <r>
    <n v="321"/>
    <x v="1"/>
    <s v="Iteration 14"/>
    <d v="2009-01-07T14:34:22"/>
    <x v="0"/>
    <n v="5.8722222222222218"/>
    <n v="0"/>
  </r>
  <r>
    <n v="322"/>
    <x v="3"/>
    <s v="Iteration 14"/>
    <d v="2009-01-09T12:57:08"/>
    <x v="0"/>
    <n v="5.8666666666666663"/>
    <n v="0"/>
  </r>
  <r>
    <n v="323"/>
    <x v="3"/>
    <s v="Iteration 14"/>
    <d v="2009-01-07T16:20:50"/>
    <x v="0"/>
    <n v="5.8722222222222218"/>
    <n v="0"/>
  </r>
  <r>
    <n v="324"/>
    <x v="3"/>
    <s v="Iteration 14"/>
    <d v="2008-12-18T09:15:26"/>
    <x v="0"/>
    <n v="5.9249999999999998"/>
    <n v="0"/>
  </r>
  <r>
    <n v="325"/>
    <x v="4"/>
    <s v="Iteration 18"/>
    <d v="2009-06-23T10:56:33"/>
    <x v="0"/>
    <n v="5.4111111111111114"/>
    <n v="0"/>
  </r>
  <r>
    <n v="331"/>
    <x v="3"/>
    <s v="Iteration 14"/>
    <d v="2009-01-13T15:26:30"/>
    <x v="0"/>
    <n v="5.8555555555555552"/>
    <n v="0"/>
  </r>
  <r>
    <n v="332"/>
    <x v="3"/>
    <s v="Iteration 14"/>
    <d v="2009-01-07T12:26:19"/>
    <x v="0"/>
    <n v="5.8722222222222218"/>
    <n v="0"/>
  </r>
  <r>
    <n v="333"/>
    <x v="3"/>
    <s v="Iteration 14"/>
    <d v="2009-01-13T15:26:45"/>
    <x v="0"/>
    <n v="5.8555555555555552"/>
    <n v="0"/>
  </r>
  <r>
    <n v="334"/>
    <x v="6"/>
    <s v="Iteration 15"/>
    <d v="2009-01-26T14:08:22"/>
    <x v="0"/>
    <n v="5.8194444444444446"/>
    <n v="0"/>
  </r>
  <r>
    <n v="335"/>
    <x v="6"/>
    <s v="Iteration 15"/>
    <d v="2009-02-20T09:14:33"/>
    <x v="0"/>
    <n v="5.7527777777777782"/>
    <n v="0"/>
  </r>
  <r>
    <n v="336"/>
    <x v="3"/>
    <s v="Iteration 14"/>
    <d v="2009-01-07T13:45:23"/>
    <x v="0"/>
    <n v="5.8722222222222218"/>
    <n v="0"/>
  </r>
  <r>
    <n v="337"/>
    <x v="48"/>
    <s v="Iteration 14"/>
    <d v="2009-01-08T10:11:05"/>
    <x v="0"/>
    <n v="5.8694444444444445"/>
    <n v="0"/>
  </r>
  <r>
    <n v="338"/>
    <x v="50"/>
    <s v="Iteration 15"/>
    <d v="2009-01-22T10:07:49"/>
    <x v="0"/>
    <n v="5.8305555555555557"/>
    <n v="0"/>
  </r>
  <r>
    <n v="339"/>
    <x v="38"/>
    <s v="Iteration 15"/>
    <d v="2009-01-21T17:16:46"/>
    <x v="0"/>
    <n v="5.833333333333333"/>
    <n v="0"/>
  </r>
  <r>
    <n v="341"/>
    <x v="3"/>
    <s v="Iteration 15"/>
    <d v="2009-01-13T16:59:30"/>
    <x v="0"/>
    <n v="5.8555555555555552"/>
    <n v="0"/>
  </r>
  <r>
    <n v="342"/>
    <x v="48"/>
    <s v="Iteration 14"/>
    <d v="2009-01-09T13:38:25"/>
    <x v="0"/>
    <n v="5.8666666666666663"/>
    <n v="0"/>
  </r>
  <r>
    <n v="351"/>
    <x v="4"/>
    <s v="Iteration 15"/>
    <d v="2009-01-21T10:09:46"/>
    <x v="0"/>
    <n v="5.833333333333333"/>
    <n v="0"/>
  </r>
  <r>
    <n v="352"/>
    <x v="4"/>
    <s v="Iteration 14"/>
    <d v="2009-01-12T16:05:49"/>
    <x v="0"/>
    <n v="5.8583333333333334"/>
    <n v="0"/>
  </r>
  <r>
    <n v="354"/>
    <x v="0"/>
    <s v="Iteration 15"/>
    <d v="2009-01-16T09:20:31"/>
    <x v="0"/>
    <n v="5.8472222222222223"/>
    <n v="0"/>
  </r>
  <r>
    <n v="355"/>
    <x v="38"/>
    <s v="Iteration 15"/>
    <d v="2009-01-22T14:15:49"/>
    <x v="0"/>
    <n v="5.8305555555555557"/>
    <n v="0"/>
  </r>
  <r>
    <n v="356"/>
    <x v="38"/>
    <s v="Iteration 15"/>
    <d v="2009-01-22T14:16:01"/>
    <x v="0"/>
    <n v="5.8305555555555557"/>
    <n v="0"/>
  </r>
  <r>
    <n v="357"/>
    <x v="38"/>
    <s v="Iteration 15"/>
    <d v="2009-02-09T15:27:34"/>
    <x v="0"/>
    <n v="5.7833333333333332"/>
    <n v="0"/>
  </r>
  <r>
    <n v="358"/>
    <x v="38"/>
    <s v="Iteration 16"/>
    <d v="2009-03-02T08:58:31"/>
    <x v="0"/>
    <n v="5.7194444444444441"/>
    <n v="0"/>
  </r>
  <r>
    <n v="361"/>
    <x v="1"/>
    <s v="Iteration 16"/>
    <d v="2009-03-01T03:00:17"/>
    <x v="0"/>
    <n v="5.7222222222222223"/>
    <n v="0"/>
  </r>
  <r>
    <n v="362"/>
    <x v="6"/>
    <s v="Iteration 15"/>
    <d v="2009-02-16T12:05:10"/>
    <x v="0"/>
    <n v="5.7638888888888893"/>
    <n v="0"/>
  </r>
  <r>
    <n v="363"/>
    <x v="3"/>
    <s v="Iteration 15"/>
    <d v="2009-01-15T14:02:13"/>
    <x v="0"/>
    <n v="5.85"/>
    <n v="0"/>
  </r>
  <r>
    <n v="365"/>
    <x v="2"/>
    <s v="Iteration 15"/>
    <d v="2009-02-17T11:05:21"/>
    <x v="0"/>
    <n v="5.7611111111111111"/>
    <n v="0"/>
  </r>
  <r>
    <n v="367"/>
    <x v="48"/>
    <s v="Iteration 15"/>
    <d v="2009-01-19T09:46:28"/>
    <x v="0"/>
    <n v="5.8388888888888886"/>
    <n v="0"/>
  </r>
  <r>
    <n v="368"/>
    <x v="0"/>
    <s v="Iteration 15"/>
    <d v="2009-01-19T12:12:08"/>
    <x v="0"/>
    <n v="5.8388888888888886"/>
    <n v="0"/>
  </r>
  <r>
    <n v="369"/>
    <x v="4"/>
    <s v="Iteration 15"/>
    <d v="2009-01-22T14:08:57"/>
    <x v="0"/>
    <n v="5.8305555555555557"/>
    <n v="0"/>
  </r>
  <r>
    <n v="370"/>
    <x v="48"/>
    <s v="Iteration 15"/>
    <d v="2009-01-30T13:45:20"/>
    <x v="0"/>
    <n v="5.8083333333333336"/>
    <n v="0"/>
  </r>
  <r>
    <n v="371"/>
    <x v="48"/>
    <s v="Iteration 15"/>
    <d v="2009-01-21T17:43:57"/>
    <x v="0"/>
    <n v="5.833333333333333"/>
    <n v="0"/>
  </r>
  <r>
    <n v="373"/>
    <x v="0"/>
    <s v="Iteration 15"/>
    <d v="2009-02-16T12:30:54"/>
    <x v="0"/>
    <n v="5.7638888888888893"/>
    <n v="0"/>
  </r>
  <r>
    <n v="375"/>
    <x v="0"/>
    <s v="Iteration 15"/>
    <d v="2009-02-16T16:19:18"/>
    <x v="0"/>
    <n v="5.7638888888888893"/>
    <n v="0"/>
  </r>
  <r>
    <n v="376"/>
    <x v="2"/>
    <s v="Iteration 15"/>
    <d v="2009-01-21T15:41:32"/>
    <x v="0"/>
    <n v="5.833333333333333"/>
    <n v="0"/>
  </r>
  <r>
    <n v="379"/>
    <x v="4"/>
    <s v="Iteration 15"/>
    <d v="2009-02-11T10:17:47"/>
    <x v="0"/>
    <n v="5.7777777777777777"/>
    <n v="0"/>
  </r>
  <r>
    <n v="381"/>
    <x v="40"/>
    <s v="Iteration 15"/>
    <d v="2009-02-17T11:05:01"/>
    <x v="0"/>
    <n v="5.7611111111111111"/>
    <n v="0"/>
  </r>
  <r>
    <n v="383"/>
    <x v="40"/>
    <s v="Iteration 15"/>
    <d v="2009-02-18T08:16:54"/>
    <x v="0"/>
    <n v="5.7583333333333337"/>
    <n v="0"/>
  </r>
  <r>
    <n v="385"/>
    <x v="0"/>
    <s v="Iteration 15"/>
    <d v="2009-01-23T13:09:01"/>
    <x v="0"/>
    <n v="5.8277777777777775"/>
    <n v="0"/>
  </r>
  <r>
    <n v="388"/>
    <x v="4"/>
    <s v="Iteration 15"/>
    <d v="2009-01-23T14:26:33"/>
    <x v="0"/>
    <n v="5.8277777777777775"/>
    <n v="0"/>
  </r>
  <r>
    <n v="389"/>
    <x v="38"/>
    <s v="Iteration 15"/>
    <d v="2009-02-26T16:14:30"/>
    <x v="0"/>
    <n v="5.7361111111111107"/>
    <n v="0"/>
  </r>
  <r>
    <n v="390"/>
    <x v="2"/>
    <s v="Iteration 15"/>
    <d v="2009-02-11T11:02:48"/>
    <x v="0"/>
    <n v="5.7777777777777777"/>
    <n v="0"/>
  </r>
  <r>
    <n v="391"/>
    <x v="0"/>
    <s v="Iteration 15"/>
    <d v="2009-01-30T13:07:36"/>
    <x v="0"/>
    <n v="5.8083333333333336"/>
    <n v="0"/>
  </r>
  <r>
    <n v="392"/>
    <x v="0"/>
    <s v="Iteration 15"/>
    <d v="2009-02-13T12:04:01"/>
    <x v="0"/>
    <n v="5.7722222222222221"/>
    <n v="0"/>
  </r>
  <r>
    <n v="393"/>
    <x v="3"/>
    <s v="Iteration 15"/>
    <d v="2009-02-16T13:22:14"/>
    <x v="0"/>
    <n v="5.7638888888888893"/>
    <n v="0"/>
  </r>
  <r>
    <n v="394"/>
    <x v="3"/>
    <s v="Iteration 15"/>
    <d v="2009-01-28T15:43:47"/>
    <x v="0"/>
    <n v="5.8138888888888891"/>
    <n v="0"/>
  </r>
  <r>
    <n v="395"/>
    <x v="4"/>
    <s v="Iteration 15"/>
    <d v="2009-02-11T10:18:01"/>
    <x v="0"/>
    <n v="5.7777777777777777"/>
    <n v="0"/>
  </r>
  <r>
    <n v="397"/>
    <x v="0"/>
    <s v="Iteration 16"/>
    <d v="2009-04-16T14:07:55"/>
    <x v="0"/>
    <n v="5.5972222222222223"/>
    <n v="0"/>
  </r>
  <r>
    <n v="398"/>
    <x v="0"/>
    <s v="Iteration 15"/>
    <d v="2009-02-16T12:30:10"/>
    <x v="0"/>
    <n v="5.7638888888888893"/>
    <n v="0"/>
  </r>
  <r>
    <n v="399"/>
    <x v="0"/>
    <s v="Iteration 15"/>
    <d v="2009-02-02T11:56:08"/>
    <x v="0"/>
    <n v="5.802777777777778"/>
    <n v="0"/>
  </r>
  <r>
    <n v="400"/>
    <x v="2"/>
    <s v="Iteration 15"/>
    <d v="2009-02-03T12:09:08"/>
    <x v="0"/>
    <n v="5.8"/>
    <n v="0"/>
  </r>
  <r>
    <n v="401"/>
    <x v="40"/>
    <s v="Iteration 15"/>
    <d v="2009-02-17T11:05:44"/>
    <x v="0"/>
    <n v="5.7611111111111111"/>
    <n v="0"/>
  </r>
  <r>
    <n v="402"/>
    <x v="6"/>
    <s v="Iteration 16"/>
    <d v="2009-04-20T09:01:12"/>
    <x v="0"/>
    <n v="5.5861111111111112"/>
    <n v="0"/>
  </r>
  <r>
    <n v="404"/>
    <x v="48"/>
    <s v="Iteration 15"/>
    <d v="2009-02-16T14:29:47"/>
    <x v="0"/>
    <n v="5.7638888888888893"/>
    <n v="0"/>
  </r>
  <r>
    <n v="406"/>
    <x v="3"/>
    <s v="Iteration 16"/>
    <d v="2009-03-12T12:57:08"/>
    <x v="0"/>
    <n v="5.6916666666666664"/>
    <n v="0"/>
  </r>
  <r>
    <n v="408"/>
    <x v="4"/>
    <s v="Iteration 15"/>
    <d v="2009-02-16T11:40:34"/>
    <x v="0"/>
    <n v="5.7638888888888893"/>
    <n v="0"/>
  </r>
  <r>
    <n v="409"/>
    <x v="7"/>
    <s v="Iteration 17"/>
    <d v="2009-05-22T11:02:12"/>
    <x v="0"/>
    <n v="5.4972222222222218"/>
    <n v="0"/>
  </r>
  <r>
    <n v="410"/>
    <x v="7"/>
    <s v="Iteration 18"/>
    <d v="2009-06-17T15:44:08"/>
    <x v="0"/>
    <n v="5.427777777777778"/>
    <n v="0"/>
  </r>
  <r>
    <n v="411"/>
    <x v="48"/>
    <s v="Iteration 15"/>
    <d v="2009-02-16T09:49:20"/>
    <x v="0"/>
    <n v="5.7638888888888893"/>
    <n v="0"/>
  </r>
  <r>
    <n v="413"/>
    <x v="3"/>
    <s v="Iteration 15"/>
    <d v="2009-02-25T11:44:11"/>
    <x v="0"/>
    <n v="5.7388888888888889"/>
    <n v="0"/>
  </r>
  <r>
    <n v="415"/>
    <x v="1"/>
    <s v="Iteration 16"/>
    <d v="2009-04-16T14:07:54"/>
    <x v="0"/>
    <n v="5.5972222222222223"/>
    <n v="0"/>
  </r>
  <r>
    <n v="416"/>
    <x v="2"/>
    <s v="Iteration 15"/>
    <d v="2009-02-16T13:41:07"/>
    <x v="0"/>
    <n v="5.7638888888888893"/>
    <n v="0"/>
  </r>
  <r>
    <n v="418"/>
    <x v="48"/>
    <s v="Iteration 15"/>
    <d v="2009-02-25T11:44:12"/>
    <x v="0"/>
    <n v="5.7388888888888889"/>
    <n v="0"/>
  </r>
  <r>
    <n v="419"/>
    <x v="6"/>
    <s v="Iteration 16"/>
    <d v="2009-03-30T15:08:48"/>
    <x v="0"/>
    <n v="5.6416666666666666"/>
    <n v="0"/>
  </r>
  <r>
    <n v="420"/>
    <x v="3"/>
    <s v="Iteration 15"/>
    <d v="2009-02-25T14:47:48"/>
    <x v="0"/>
    <n v="5.7388888888888889"/>
    <n v="0"/>
  </r>
  <r>
    <n v="421"/>
    <x v="4"/>
    <s v="Iteration 15"/>
    <d v="2009-02-25T11:44:12"/>
    <x v="0"/>
    <n v="5.7388888888888889"/>
    <n v="0"/>
  </r>
  <r>
    <n v="422"/>
    <x v="4"/>
    <s v="Iteration 15"/>
    <d v="2009-02-25T11:44:13"/>
    <x v="0"/>
    <n v="5.7388888888888889"/>
    <n v="0"/>
  </r>
  <r>
    <n v="423"/>
    <x v="48"/>
    <s v="Iteration 15"/>
    <d v="2009-02-25T11:44:13"/>
    <x v="0"/>
    <n v="5.7388888888888889"/>
    <n v="0"/>
  </r>
  <r>
    <n v="424"/>
    <x v="4"/>
    <s v="Iteration 16"/>
    <d v="2009-03-20T08:55:51"/>
    <x v="0"/>
    <n v="5.6694444444444443"/>
    <n v="0"/>
  </r>
  <r>
    <n v="425"/>
    <x v="48"/>
    <s v="Iteration 15"/>
    <d v="2009-02-25T11:44:13"/>
    <x v="0"/>
    <n v="5.7388888888888889"/>
    <n v="0"/>
  </r>
  <r>
    <n v="426"/>
    <x v="48"/>
    <s v="Iteration 15"/>
    <d v="2009-02-25T11:44:15"/>
    <x v="0"/>
    <n v="5.7388888888888889"/>
    <n v="0"/>
  </r>
  <r>
    <n v="427"/>
    <x v="38"/>
    <s v="Iteration 15"/>
    <d v="2009-02-25T11:44:16"/>
    <x v="0"/>
    <n v="5.7388888888888889"/>
    <n v="0"/>
  </r>
  <r>
    <n v="429"/>
    <x v="3"/>
    <s v="Iteration 16"/>
    <d v="2009-04-16T14:04:59"/>
    <x v="0"/>
    <n v="5.5972222222222223"/>
    <n v="0"/>
  </r>
  <r>
    <n v="430"/>
    <x v="4"/>
    <s v="Iteration 16"/>
    <d v="2009-02-27T16:00:23"/>
    <x v="0"/>
    <n v="5.7333333333333334"/>
    <n v="0"/>
  </r>
  <r>
    <n v="431"/>
    <x v="38"/>
    <s v="Iteration 15"/>
    <d v="2009-02-25T11:44:16"/>
    <x v="0"/>
    <n v="5.7388888888888889"/>
    <n v="0"/>
  </r>
  <r>
    <n v="432"/>
    <x v="1"/>
    <s v="Iteration 16"/>
    <d v="2009-02-27T00:07:13"/>
    <x v="0"/>
    <n v="5.7333333333333334"/>
    <n v="0"/>
  </r>
  <r>
    <n v="434"/>
    <x v="3"/>
    <s v="Iteration 15"/>
    <d v="2009-02-25T11:44:16"/>
    <x v="0"/>
    <n v="5.7388888888888889"/>
    <n v="0"/>
  </r>
  <r>
    <n v="435"/>
    <x v="3"/>
    <s v="Iteration 15"/>
    <d v="2009-02-25T11:44:17"/>
    <x v="0"/>
    <n v="5.7388888888888889"/>
    <n v="0"/>
  </r>
  <r>
    <n v="436"/>
    <x v="4"/>
    <s v="Iteration 16"/>
    <d v="2009-02-27T14:16:36"/>
    <x v="0"/>
    <n v="5.7333333333333334"/>
    <n v="0"/>
  </r>
  <r>
    <n v="443"/>
    <x v="3"/>
    <s v="Iteration 16"/>
    <d v="2009-03-26T11:15:17"/>
    <x v="0"/>
    <n v="5.6527777777777777"/>
    <n v="0"/>
  </r>
  <r>
    <n v="444"/>
    <x v="3"/>
    <s v="Iteration 16"/>
    <d v="2009-03-26T11:06:46"/>
    <x v="0"/>
    <n v="5.6527777777777777"/>
    <n v="0"/>
  </r>
  <r>
    <n v="445"/>
    <x v="6"/>
    <s v="Iteration 17"/>
    <d v="2009-05-19T13:19:56"/>
    <x v="0"/>
    <n v="5.5055555555555555"/>
    <n v="0"/>
  </r>
  <r>
    <n v="446"/>
    <x v="6"/>
    <s v="Iteration 18"/>
    <d v="2009-06-23T14:07:13"/>
    <x v="0"/>
    <n v="5.4111111111111114"/>
    <n v="0"/>
  </r>
  <r>
    <n v="448"/>
    <x v="3"/>
    <s v="Iteration 18"/>
    <d v="2009-06-29T13:25:28"/>
    <x v="0"/>
    <n v="5.3944444444444448"/>
    <n v="0"/>
  </r>
  <r>
    <n v="451"/>
    <x v="3"/>
    <s v="Iteration 16"/>
    <d v="2009-04-16T14:03:47"/>
    <x v="0"/>
    <n v="5.5972222222222223"/>
    <n v="0"/>
  </r>
  <r>
    <n v="454"/>
    <x v="0"/>
    <s v="Iteration 19"/>
    <d v="2009-09-17T16:55:43"/>
    <x v="0"/>
    <n v="5.177777777777778"/>
    <n v="0"/>
  </r>
  <r>
    <n v="457"/>
    <x v="2"/>
    <s v="Iteration 16"/>
    <d v="2009-03-27T15:41:27"/>
    <x v="0"/>
    <n v="5.65"/>
    <n v="0"/>
  </r>
  <r>
    <n v="458"/>
    <x v="4"/>
    <s v="Iteration 16"/>
    <d v="2009-04-15T11:44:38"/>
    <x v="0"/>
    <n v="5.6"/>
    <n v="0"/>
  </r>
  <r>
    <n v="459"/>
    <x v="4"/>
    <s v="Iteration 16"/>
    <d v="2009-04-15T11:43:21"/>
    <x v="0"/>
    <n v="5.6"/>
    <n v="0"/>
  </r>
  <r>
    <n v="462"/>
    <x v="1"/>
    <s v="Iteration 16"/>
    <d v="2009-02-26T11:45:48"/>
    <x v="0"/>
    <n v="5.7361111111111107"/>
    <n v="0"/>
  </r>
  <r>
    <n v="463"/>
    <x v="3"/>
    <s v="Iteration 16"/>
    <d v="2009-02-26T10:30:44"/>
    <x v="0"/>
    <n v="5.7361111111111107"/>
    <n v="0"/>
  </r>
  <r>
    <n v="464"/>
    <x v="4"/>
    <s v="Iteration 16"/>
    <d v="2009-03-19T09:51:03"/>
    <x v="0"/>
    <n v="5.6722222222222225"/>
    <n v="0"/>
  </r>
  <r>
    <n v="465"/>
    <x v="1"/>
    <s v="Iteration 16"/>
    <d v="2009-04-16T16:32:52"/>
    <x v="0"/>
    <n v="5.5972222222222223"/>
    <n v="0"/>
  </r>
  <r>
    <n v="466"/>
    <x v="1"/>
    <s v="Iteration 16"/>
    <d v="2009-02-26T23:51:04"/>
    <x v="0"/>
    <n v="5.7361111111111107"/>
    <n v="0"/>
  </r>
  <r>
    <n v="467"/>
    <x v="1"/>
    <s v="Iteration 16"/>
    <d v="2009-02-27T00:51:23"/>
    <x v="0"/>
    <n v="5.7333333333333334"/>
    <n v="0"/>
  </r>
  <r>
    <n v="468"/>
    <x v="1"/>
    <s v="Iteration 18"/>
    <d v="2009-06-01T13:57:59"/>
    <x v="0"/>
    <n v="5.4722222222222223"/>
    <n v="0"/>
  </r>
  <r>
    <n v="469"/>
    <x v="4"/>
    <s v="Iteration 16"/>
    <d v="2009-03-20T08:56:12"/>
    <x v="0"/>
    <n v="5.6694444444444443"/>
    <n v="0"/>
  </r>
  <r>
    <n v="471"/>
    <x v="2"/>
    <s v="Iteration 17"/>
    <d v="2009-04-24T13:57:17"/>
    <x v="0"/>
    <n v="5.5750000000000002"/>
    <n v="0"/>
  </r>
  <r>
    <n v="472"/>
    <x v="2"/>
    <s v="Iteration 16"/>
    <d v="2009-02-27T15:30:13"/>
    <x v="0"/>
    <n v="5.7333333333333334"/>
    <n v="0"/>
  </r>
  <r>
    <n v="473"/>
    <x v="4"/>
    <s v="Iteration 16"/>
    <d v="2009-03-11T10:20:45"/>
    <x v="0"/>
    <n v="5.6944444444444446"/>
    <n v="0"/>
  </r>
  <r>
    <n v="474"/>
    <x v="1"/>
    <s v="Iteration 16"/>
    <d v="2009-03-08T23:00:54"/>
    <x v="0"/>
    <n v="5.7027777777777775"/>
    <n v="0"/>
  </r>
  <r>
    <n v="475"/>
    <x v="1"/>
    <s v="Iteration 16"/>
    <d v="2009-03-05T00:31:03"/>
    <x v="0"/>
    <n v="5.7111111111111112"/>
    <n v="0"/>
  </r>
  <r>
    <n v="476"/>
    <x v="1"/>
    <s v="Iteration 16"/>
    <d v="2009-03-10T22:09:38"/>
    <x v="0"/>
    <n v="5.697222222222222"/>
    <n v="0"/>
  </r>
  <r>
    <n v="477"/>
    <x v="6"/>
    <s v="Iteration 16"/>
    <d v="2009-03-09T10:15:21"/>
    <x v="0"/>
    <n v="5.7"/>
    <n v="0"/>
  </r>
  <r>
    <n v="478"/>
    <x v="2"/>
    <s v="Iteration 16"/>
    <d v="2009-03-27T15:41:02"/>
    <x v="0"/>
    <n v="5.65"/>
    <n v="0"/>
  </r>
  <r>
    <n v="479"/>
    <x v="1"/>
    <s v="Iteration 16"/>
    <d v="2009-03-02T22:01:57"/>
    <x v="0"/>
    <n v="5.7194444444444441"/>
    <n v="0"/>
  </r>
  <r>
    <n v="480"/>
    <x v="0"/>
    <s v="Iteration 18"/>
    <d v="2009-06-08T14:52:11"/>
    <x v="0"/>
    <n v="5.4527777777777775"/>
    <n v="0"/>
  </r>
  <r>
    <n v="483"/>
    <x v="1"/>
    <s v="Iteration 16"/>
    <d v="2009-03-08T23:01:45"/>
    <x v="0"/>
    <n v="5.7027777777777775"/>
    <n v="0"/>
  </r>
  <r>
    <n v="484"/>
    <x v="1"/>
    <s v="Iteration 16"/>
    <d v="2009-04-16T14:10:21"/>
    <x v="0"/>
    <n v="5.5972222222222223"/>
    <n v="0"/>
  </r>
  <r>
    <n v="485"/>
    <x v="36"/>
    <s v="Iteration 16"/>
    <d v="2009-04-07T12:06:40"/>
    <x v="0"/>
    <n v="5.6222222222222218"/>
    <n v="0"/>
  </r>
  <r>
    <n v="490"/>
    <x v="3"/>
    <s v="Iteration 16"/>
    <d v="2009-03-11T12:40:54"/>
    <x v="0"/>
    <n v="5.6944444444444446"/>
    <n v="0"/>
  </r>
  <r>
    <n v="491"/>
    <x v="4"/>
    <s v="Iteration 24"/>
    <d v="2010-08-25T16:41:22"/>
    <x v="3"/>
    <n v="4.2388888888888889"/>
    <n v="0"/>
  </r>
  <r>
    <n v="492"/>
    <x v="3"/>
    <s v="Iteration 16"/>
    <d v="2009-03-05T12:02:33"/>
    <x v="0"/>
    <n v="5.7111111111111112"/>
    <n v="0"/>
  </r>
  <r>
    <n v="494"/>
    <x v="0"/>
    <s v="Iteration 16"/>
    <d v="2009-03-06T15:17:25"/>
    <x v="0"/>
    <n v="5.708333333333333"/>
    <n v="0"/>
  </r>
  <r>
    <n v="495"/>
    <x v="48"/>
    <s v="Iteration 16"/>
    <d v="2012-03-26T19:27:39"/>
    <x v="0"/>
    <n v="2.6527777777777777"/>
    <n v="0"/>
  </r>
  <r>
    <n v="496"/>
    <x v="48"/>
    <s v="Iteration 16"/>
    <d v="2009-03-06T12:57:49"/>
    <x v="0"/>
    <n v="5.708333333333333"/>
    <n v="0"/>
  </r>
  <r>
    <n v="498"/>
    <x v="1"/>
    <s v="Iteration 16"/>
    <d v="2009-04-16T14:11:34"/>
    <x v="0"/>
    <n v="5.5972222222222223"/>
    <n v="0"/>
  </r>
  <r>
    <n v="501"/>
    <x v="0"/>
    <s v="Iteration 18"/>
    <d v="2009-07-23T15:57:12"/>
    <x v="0"/>
    <n v="5.3277777777777775"/>
    <n v="0"/>
  </r>
  <r>
    <n v="503"/>
    <x v="3"/>
    <s v="Iteration 16"/>
    <d v="2009-04-16T14:05:45"/>
    <x v="0"/>
    <n v="5.5972222222222223"/>
    <n v="0"/>
  </r>
  <r>
    <n v="504"/>
    <x v="3"/>
    <s v="Iteration 16"/>
    <d v="2009-03-12T13:46:59"/>
    <x v="0"/>
    <n v="5.6916666666666664"/>
    <n v="0"/>
  </r>
  <r>
    <n v="505"/>
    <x v="48"/>
    <s v="Iteration 16"/>
    <d v="2009-03-13T15:04:21"/>
    <x v="0"/>
    <n v="5.6888888888888891"/>
    <n v="0"/>
  </r>
  <r>
    <n v="506"/>
    <x v="3"/>
    <s v="Iteration 16"/>
    <d v="2009-04-16T14:06:43"/>
    <x v="0"/>
    <n v="5.5972222222222223"/>
    <n v="0"/>
  </r>
  <r>
    <n v="510"/>
    <x v="3"/>
    <s v="Iteration 18"/>
    <d v="2009-06-23T16:49:21"/>
    <x v="0"/>
    <n v="5.4111111111111114"/>
    <n v="0"/>
  </r>
  <r>
    <n v="511"/>
    <x v="48"/>
    <s v="Iteration 16"/>
    <d v="2009-03-23T12:53:21"/>
    <x v="0"/>
    <n v="5.6611111111111114"/>
    <n v="0"/>
  </r>
  <r>
    <n v="512"/>
    <x v="4"/>
    <s v="Iteration 17"/>
    <d v="2009-04-17T09:36:18"/>
    <x v="0"/>
    <n v="5.5944444444444441"/>
    <n v="0"/>
  </r>
  <r>
    <n v="513"/>
    <x v="3"/>
    <s v="Iteration 16"/>
    <d v="2009-03-26T11:06:21"/>
    <x v="0"/>
    <n v="5.6527777777777777"/>
    <n v="0"/>
  </r>
  <r>
    <n v="515"/>
    <x v="4"/>
    <s v="Iteration 16"/>
    <d v="2009-04-15T11:44:59"/>
    <x v="0"/>
    <n v="5.6"/>
    <n v="0"/>
  </r>
  <r>
    <n v="516"/>
    <x v="3"/>
    <s v="Iteration 16"/>
    <d v="2009-03-26T11:24:23"/>
    <x v="0"/>
    <n v="5.6527777777777777"/>
    <n v="0"/>
  </r>
  <r>
    <n v="517"/>
    <x v="3"/>
    <s v="Iteration 16"/>
    <d v="2009-03-23T10:16:47"/>
    <x v="0"/>
    <n v="5.6611111111111114"/>
    <n v="0"/>
  </r>
  <r>
    <n v="520"/>
    <x v="0"/>
    <s v="Iteration 16"/>
    <d v="2009-04-07T15:13:36"/>
    <x v="0"/>
    <n v="5.6222222222222218"/>
    <n v="0"/>
  </r>
  <r>
    <n v="522"/>
    <x v="3"/>
    <s v="Iteration 17"/>
    <d v="2009-05-22T09:32:58"/>
    <x v="0"/>
    <n v="5.4972222222222218"/>
    <n v="0"/>
  </r>
  <r>
    <n v="523"/>
    <x v="4"/>
    <s v="Iteration 24"/>
    <d v="2010-08-25T10:25:02"/>
    <x v="33"/>
    <n v="4.2388888888888889"/>
    <n v="0"/>
  </r>
  <r>
    <n v="524"/>
    <x v="3"/>
    <s v="Iteration 16"/>
    <d v="2009-04-03T10:21:51"/>
    <x v="0"/>
    <n v="5.6333333333333337"/>
    <n v="0"/>
  </r>
  <r>
    <n v="525"/>
    <x v="48"/>
    <s v="Iteration 16"/>
    <d v="2009-03-27T12:38:12"/>
    <x v="0"/>
    <n v="5.65"/>
    <n v="0"/>
  </r>
  <r>
    <n v="526"/>
    <x v="2"/>
    <s v="Iteration 16"/>
    <d v="2009-03-27T17:25:17"/>
    <x v="0"/>
    <n v="5.65"/>
    <n v="0"/>
  </r>
  <r>
    <n v="527"/>
    <x v="36"/>
    <s v="Iteration 18"/>
    <d v="2009-07-29T10:02:11"/>
    <x v="0"/>
    <n v="5.3111111111111109"/>
    <n v="0"/>
  </r>
  <r>
    <n v="528"/>
    <x v="0"/>
    <s v="Iteration 16"/>
    <d v="2009-03-30T16:19:40"/>
    <x v="0"/>
    <n v="5.6416666666666666"/>
    <n v="0"/>
  </r>
  <r>
    <n v="529"/>
    <x v="36"/>
    <s v="Iteration 16"/>
    <d v="2009-04-19T21:48:36"/>
    <x v="0"/>
    <n v="5.5888888888888886"/>
    <n v="0"/>
  </r>
  <r>
    <n v="530"/>
    <x v="48"/>
    <s v="Iteration 16"/>
    <d v="2009-04-02T16:04:35"/>
    <x v="0"/>
    <n v="5.6361111111111111"/>
    <n v="0"/>
  </r>
  <r>
    <n v="531"/>
    <x v="48"/>
    <s v="Iteration 16"/>
    <d v="2009-04-08T15:52:48"/>
    <x v="0"/>
    <n v="5.6194444444444445"/>
    <n v="0"/>
  </r>
  <r>
    <n v="532"/>
    <x v="3"/>
    <s v="Iteration 16"/>
    <d v="2009-04-16T14:07:11"/>
    <x v="0"/>
    <n v="5.5972222222222223"/>
    <n v="0"/>
  </r>
  <r>
    <n v="533"/>
    <x v="5"/>
    <s v="Iteration 21"/>
    <d v="2010-02-05T16:00:13"/>
    <x v="0"/>
    <n v="4.7944444444444443"/>
    <n v="0"/>
  </r>
  <r>
    <n v="535"/>
    <x v="2"/>
    <s v="Iteration 16"/>
    <d v="2009-04-14T11:59:49"/>
    <x v="0"/>
    <n v="5.6027777777777779"/>
    <n v="0"/>
  </r>
  <r>
    <n v="539"/>
    <x v="5"/>
    <s v="Iteration 17"/>
    <d v="2009-05-22T11:05:44"/>
    <x v="0"/>
    <n v="5.4972222222222218"/>
    <n v="0"/>
  </r>
  <r>
    <n v="540"/>
    <x v="5"/>
    <s v="Iteration 17"/>
    <d v="2009-05-22T11:06:00"/>
    <x v="0"/>
    <n v="5.4972222222222218"/>
    <n v="0"/>
  </r>
  <r>
    <n v="541"/>
    <x v="6"/>
    <s v="Iteration 18"/>
    <d v="2009-05-29T10:51:13"/>
    <x v="0"/>
    <n v="5.4777777777777779"/>
    <n v="0"/>
  </r>
  <r>
    <n v="543"/>
    <x v="4"/>
    <s v="Iteration 18"/>
    <d v="2009-05-27T15:59:21"/>
    <x v="0"/>
    <n v="5.4833333333333334"/>
    <n v="0"/>
  </r>
  <r>
    <n v="544"/>
    <x v="5"/>
    <s v="Iteration 18"/>
    <d v="2009-06-23T09:03:19"/>
    <x v="0"/>
    <n v="5.4111111111111114"/>
    <n v="0"/>
  </r>
  <r>
    <n v="545"/>
    <x v="3"/>
    <s v="Iteration 17"/>
    <d v="2009-04-20T09:03:16"/>
    <x v="0"/>
    <n v="5.5861111111111112"/>
    <n v="0"/>
  </r>
  <r>
    <n v="546"/>
    <x v="3"/>
    <s v="Iteration 16"/>
    <d v="2009-04-17T09:02:12"/>
    <x v="0"/>
    <n v="5.5944444444444441"/>
    <n v="0"/>
  </r>
  <r>
    <n v="548"/>
    <x v="48"/>
    <s v="Iteration 16"/>
    <d v="2009-04-17T09:33:06"/>
    <x v="0"/>
    <n v="5.5944444444444441"/>
    <n v="0"/>
  </r>
  <r>
    <n v="549"/>
    <x v="4"/>
    <s v="Iteration 16"/>
    <d v="2009-04-17T15:24:16"/>
    <x v="0"/>
    <n v="5.5944444444444441"/>
    <n v="0"/>
  </r>
  <r>
    <n v="552"/>
    <x v="36"/>
    <s v="Iteration 17"/>
    <d v="2009-05-06T08:50:02"/>
    <x v="0"/>
    <n v="5.541666666666667"/>
    <n v="0"/>
  </r>
  <r>
    <n v="554"/>
    <x v="6"/>
    <s v="Iteration 18"/>
    <d v="2009-06-15T17:20:28"/>
    <x v="0"/>
    <n v="5.4333333333333336"/>
    <n v="0"/>
  </r>
  <r>
    <n v="555"/>
    <x v="4"/>
    <s v="Iteration 18"/>
    <d v="2009-06-26T14:34:06"/>
    <x v="0"/>
    <n v="5.4027777777777777"/>
    <n v="0"/>
  </r>
  <r>
    <n v="556"/>
    <x v="4"/>
    <s v="Iteration 19"/>
    <d v="2009-09-29T10:14:14"/>
    <x v="0"/>
    <n v="5.1444444444444448"/>
    <n v="0"/>
  </r>
  <r>
    <n v="557"/>
    <x v="4"/>
    <s v="Iteration 17"/>
    <d v="2009-04-23T13:32:19"/>
    <x v="0"/>
    <n v="5.5777777777777775"/>
    <n v="0"/>
  </r>
  <r>
    <n v="558"/>
    <x v="0"/>
    <s v="Iteration 17"/>
    <d v="2009-04-29T09:18:10"/>
    <x v="0"/>
    <n v="5.5611111111111109"/>
    <n v="0"/>
  </r>
  <r>
    <n v="559"/>
    <x v="4"/>
    <s v="Iteration 17"/>
    <d v="2009-04-23T13:32:02"/>
    <x v="0"/>
    <n v="5.5777777777777775"/>
    <n v="0"/>
  </r>
  <r>
    <n v="560"/>
    <x v="6"/>
    <s v="Iteration 17"/>
    <d v="2009-04-29T15:42:32"/>
    <x v="0"/>
    <n v="5.5611111111111109"/>
    <n v="0"/>
  </r>
  <r>
    <n v="561"/>
    <x v="4"/>
    <s v="Iteration 17"/>
    <d v="2009-04-24T09:50:43"/>
    <x v="0"/>
    <n v="5.5750000000000002"/>
    <n v="0"/>
  </r>
  <r>
    <n v="562"/>
    <x v="4"/>
    <s v="Iteration 17"/>
    <d v="2009-05-22T10:54:54"/>
    <x v="0"/>
    <n v="5.4972222222222218"/>
    <n v="0"/>
  </r>
  <r>
    <n v="563"/>
    <x v="6"/>
    <s v="Iteration 18"/>
    <d v="2009-06-23T14:40:15"/>
    <x v="0"/>
    <n v="5.4111111111111114"/>
    <n v="0"/>
  </r>
  <r>
    <n v="564"/>
    <x v="4"/>
    <s v="Iteration 17"/>
    <d v="2009-07-01T09:58:39"/>
    <x v="0"/>
    <n v="5.3888888888888893"/>
    <n v="0"/>
  </r>
  <r>
    <n v="565"/>
    <x v="0"/>
    <s v="Iteration 18"/>
    <d v="2009-07-20T14:01:49"/>
    <x v="0"/>
    <n v="5.3361111111111112"/>
    <n v="0"/>
  </r>
  <r>
    <n v="566"/>
    <x v="3"/>
    <s v="Iteration 17"/>
    <d v="2009-04-27T20:33:00"/>
    <x v="0"/>
    <n v="5.5666666666666664"/>
    <n v="0"/>
  </r>
  <r>
    <n v="567"/>
    <x v="4"/>
    <s v="Iteration 18"/>
    <d v="2009-06-16T13:46:16"/>
    <x v="0"/>
    <n v="5.4305555555555554"/>
    <n v="0"/>
  </r>
  <r>
    <n v="568"/>
    <x v="2"/>
    <s v="Iteration 18"/>
    <d v="2009-06-05T15:33:49"/>
    <x v="0"/>
    <n v="5.4611111111111112"/>
    <n v="0"/>
  </r>
  <r>
    <n v="569"/>
    <x v="2"/>
    <s v="Iteration 17"/>
    <d v="2009-04-24T14:26:46"/>
    <x v="0"/>
    <n v="5.5750000000000002"/>
    <n v="0"/>
  </r>
  <r>
    <n v="570"/>
    <x v="2"/>
    <s v="Iteration 18"/>
    <d v="2009-06-05T11:01:49"/>
    <x v="0"/>
    <n v="5.4611111111111112"/>
    <n v="0"/>
  </r>
  <r>
    <n v="572"/>
    <x v="4"/>
    <s v="Iteration 18"/>
    <d v="2009-06-24T16:17:25"/>
    <x v="0"/>
    <n v="5.4083333333333332"/>
    <n v="0"/>
  </r>
  <r>
    <n v="574"/>
    <x v="3"/>
    <s v="Iteration 19"/>
    <d v="2009-09-25T12:25:18"/>
    <x v="0"/>
    <n v="5.1555555555555559"/>
    <n v="0"/>
  </r>
  <r>
    <n v="575"/>
    <x v="4"/>
    <s v="Iteration 17"/>
    <d v="2009-05-01T08:40:49"/>
    <x v="0"/>
    <n v="5.5555555555555554"/>
    <n v="0"/>
  </r>
  <r>
    <n v="576"/>
    <x v="3"/>
    <s v="Iteration 17"/>
    <d v="2009-04-29T14:14:06"/>
    <x v="0"/>
    <n v="5.5611111111111109"/>
    <n v="0"/>
  </r>
  <r>
    <n v="580"/>
    <x v="4"/>
    <s v="Iteration 17"/>
    <d v="2009-05-07T14:01:45"/>
    <x v="0"/>
    <n v="5.5388888888888888"/>
    <n v="0"/>
  </r>
  <r>
    <n v="581"/>
    <x v="4"/>
    <s v="Iteration 18"/>
    <d v="2009-05-27T15:58:48"/>
    <x v="0"/>
    <n v="5.4833333333333334"/>
    <n v="0"/>
  </r>
  <r>
    <n v="582"/>
    <x v="36"/>
    <s v="Iteration 17"/>
    <d v="2009-05-05T16:37:56"/>
    <x v="0"/>
    <n v="5.5444444444444443"/>
    <n v="0"/>
  </r>
  <r>
    <n v="585"/>
    <x v="0"/>
    <s v="Iteration 17"/>
    <d v="2009-05-11T17:20:06"/>
    <x v="0"/>
    <n v="5.5277777777777777"/>
    <n v="0"/>
  </r>
  <r>
    <n v="586"/>
    <x v="0"/>
    <s v="Iteration 18"/>
    <d v="2009-06-25T15:04:27"/>
    <x v="0"/>
    <n v="5.4055555555555559"/>
    <n v="0"/>
  </r>
  <r>
    <n v="587"/>
    <x v="3"/>
    <s v="Iteration 19"/>
    <d v="2009-08-18T08:40:50"/>
    <x v="0"/>
    <n v="5.2583333333333337"/>
    <n v="0"/>
  </r>
  <r>
    <n v="588"/>
    <x v="36"/>
    <s v="Iteration 17"/>
    <d v="2009-05-22T11:04:24"/>
    <x v="0"/>
    <n v="5.4972222222222218"/>
    <n v="0"/>
  </r>
  <r>
    <n v="591"/>
    <x v="3"/>
    <s v="Iteration 19"/>
    <d v="2009-08-26T10:23:55"/>
    <x v="0"/>
    <n v="5.2361111111111107"/>
    <n v="0"/>
  </r>
  <r>
    <n v="593"/>
    <x v="7"/>
    <s v="Iteration 18"/>
    <d v="2009-06-05T10:47:43"/>
    <x v="0"/>
    <n v="5.4611111111111112"/>
    <n v="0"/>
  </r>
  <r>
    <n v="594"/>
    <x v="3"/>
    <s v="Iteration 17"/>
    <d v="2009-05-22T11:49:47"/>
    <x v="0"/>
    <n v="5.4972222222222218"/>
    <n v="0"/>
  </r>
  <r>
    <n v="595"/>
    <x v="6"/>
    <s v="Iteration 19"/>
    <d v="2009-08-28T10:04:15"/>
    <x v="0"/>
    <n v="5.2305555555555552"/>
    <n v="0"/>
  </r>
  <r>
    <n v="596"/>
    <x v="48"/>
    <s v="Iteration 18"/>
    <d v="2009-05-26T14:59:16"/>
    <x v="0"/>
    <n v="5.4861111111111107"/>
    <n v="0"/>
  </r>
  <r>
    <n v="598"/>
    <x v="7"/>
    <s v="Iteration 18"/>
    <d v="2009-07-07T18:50:34"/>
    <x v="0"/>
    <n v="5.3722222222222218"/>
    <n v="0"/>
  </r>
  <r>
    <n v="599"/>
    <x v="7"/>
    <s v="Iteration 18"/>
    <d v="2009-07-07T19:43:30"/>
    <x v="0"/>
    <n v="5.3722222222222218"/>
    <n v="0"/>
  </r>
  <r>
    <n v="600"/>
    <x v="7"/>
    <s v="Iteration 18"/>
    <d v="2009-07-16T08:48:29"/>
    <x v="0"/>
    <n v="5.3472222222222223"/>
    <n v="0"/>
  </r>
  <r>
    <n v="601"/>
    <x v="7"/>
    <s v="Iteration 18"/>
    <d v="2009-07-16T08:49:52"/>
    <x v="0"/>
    <n v="5.3472222222222223"/>
    <n v="0"/>
  </r>
  <r>
    <n v="602"/>
    <x v="7"/>
    <s v="Iteration 19"/>
    <d v="2009-08-18T17:16:13"/>
    <x v="0"/>
    <n v="5.2583333333333337"/>
    <n v="0"/>
  </r>
  <r>
    <n v="603"/>
    <x v="48"/>
    <s v="Iteration 18"/>
    <d v="2009-05-29T11:12:51"/>
    <x v="0"/>
    <n v="5.4777777777777779"/>
    <n v="0"/>
  </r>
  <r>
    <n v="604"/>
    <x v="48"/>
    <s v="Iteration 18"/>
    <d v="2009-05-29T11:12:41"/>
    <x v="0"/>
    <n v="5.4777777777777779"/>
    <n v="0"/>
  </r>
  <r>
    <n v="605"/>
    <x v="5"/>
    <s v="Iteration 18"/>
    <d v="2009-07-13T11:09:50"/>
    <x v="0"/>
    <n v="5.3555555555555552"/>
    <n v="0"/>
  </r>
  <r>
    <n v="606"/>
    <x v="4"/>
    <s v="Iteration 18"/>
    <d v="2009-06-23T14:07:57"/>
    <x v="0"/>
    <n v="5.4111111111111114"/>
    <n v="0"/>
  </r>
  <r>
    <n v="609"/>
    <x v="3"/>
    <s v="Iteration 18"/>
    <d v="2009-06-05T13:27:12"/>
    <x v="0"/>
    <n v="5.4611111111111112"/>
    <n v="0"/>
  </r>
  <r>
    <n v="610"/>
    <x v="6"/>
    <s v="Iteration 18"/>
    <d v="2009-06-25T09:48:48"/>
    <x v="0"/>
    <n v="5.4055555555555559"/>
    <n v="0"/>
  </r>
  <r>
    <n v="611"/>
    <x v="4"/>
    <s v="Iteration 19"/>
    <d v="2009-09-15T09:08:47"/>
    <x v="0"/>
    <n v="5.1833333333333336"/>
    <n v="0"/>
  </r>
  <r>
    <n v="613"/>
    <x v="4"/>
    <s v="Iteration 18"/>
    <d v="2009-07-01T15:38:38"/>
    <x v="0"/>
    <n v="5.3888888888888893"/>
    <n v="0"/>
  </r>
  <r>
    <n v="618"/>
    <x v="4"/>
    <s v="Iteration 18"/>
    <d v="2009-07-07T08:43:55"/>
    <x v="0"/>
    <n v="5.3722222222222218"/>
    <n v="0"/>
  </r>
  <r>
    <n v="620"/>
    <x v="4"/>
    <s v="Iteration 21"/>
    <d v="2010-02-08T10:30:29"/>
    <x v="0"/>
    <n v="4.7861111111111114"/>
    <n v="0"/>
  </r>
  <r>
    <n v="621"/>
    <x v="5"/>
    <s v="Iteration 18"/>
    <d v="2009-06-23T09:03:34"/>
    <x v="0"/>
    <n v="5.4111111111111114"/>
    <n v="0"/>
  </r>
  <r>
    <n v="626"/>
    <x v="36"/>
    <s v="Iteration 18"/>
    <d v="2009-06-14T22:50:56"/>
    <x v="0"/>
    <n v="5.4361111111111109"/>
    <n v="0"/>
  </r>
  <r>
    <n v="628"/>
    <x v="7"/>
    <s v="Iteration 18"/>
    <d v="2009-06-03T15:29:30"/>
    <x v="0"/>
    <n v="5.4666666666666668"/>
    <n v="0"/>
  </r>
  <r>
    <n v="629"/>
    <x v="3"/>
    <s v="Iteration 19"/>
    <d v="2009-08-26T10:26:42"/>
    <x v="0"/>
    <n v="5.2361111111111107"/>
    <n v="0"/>
  </r>
  <r>
    <n v="633"/>
    <x v="4"/>
    <s v="Iteration 18"/>
    <d v="2009-06-24T16:14:54"/>
    <x v="0"/>
    <n v="5.4083333333333332"/>
    <n v="0"/>
  </r>
  <r>
    <n v="636"/>
    <x v="3"/>
    <s v="Iteration 19"/>
    <d v="2009-09-16T14:04:01"/>
    <x v="0"/>
    <n v="5.1805555555555554"/>
    <n v="0"/>
  </r>
  <r>
    <n v="639"/>
    <x v="1"/>
    <s v="Iteration 18"/>
    <d v="2009-06-09T23:35:11"/>
    <x v="0"/>
    <n v="5.45"/>
    <n v="0"/>
  </r>
  <r>
    <n v="640"/>
    <x v="3"/>
    <s v="Iteration 18"/>
    <d v="2009-06-23T16:51:15"/>
    <x v="0"/>
    <n v="5.4111111111111114"/>
    <n v="0"/>
  </r>
  <r>
    <n v="646"/>
    <x v="3"/>
    <s v="Iteration 19"/>
    <d v="2009-08-26T10:28:36"/>
    <x v="0"/>
    <n v="5.2361111111111107"/>
    <n v="0"/>
  </r>
  <r>
    <n v="647"/>
    <x v="3"/>
    <s v="Iteration 18"/>
    <d v="2009-06-22T11:18:07"/>
    <x v="0"/>
    <n v="5.4138888888888888"/>
    <n v="0"/>
  </r>
  <r>
    <n v="651"/>
    <x v="48"/>
    <s v="Iteration 18"/>
    <d v="2009-06-18T15:17:36"/>
    <x v="0"/>
    <n v="5.4249999999999998"/>
    <n v="0"/>
  </r>
  <r>
    <n v="652"/>
    <x v="1"/>
    <s v="Iteration 18"/>
    <d v="2009-06-26T14:51:52"/>
    <x v="0"/>
    <n v="5.4027777777777777"/>
    <n v="0"/>
  </r>
  <r>
    <n v="654"/>
    <x v="48"/>
    <s v="Iteration 18"/>
    <d v="2009-06-16T09:40:03"/>
    <x v="0"/>
    <n v="5.4305555555555554"/>
    <n v="0"/>
  </r>
  <r>
    <n v="656"/>
    <x v="0"/>
    <s v="Iteration 18"/>
    <d v="2009-06-18T14:49:18"/>
    <x v="0"/>
    <n v="5.4249999999999998"/>
    <n v="0"/>
  </r>
  <r>
    <n v="657"/>
    <x v="3"/>
    <s v="Iteration 20"/>
    <d v="2009-11-25T11:49:12"/>
    <x v="0"/>
    <n v="4.9888888888888889"/>
    <n v="0"/>
  </r>
  <r>
    <n v="658"/>
    <x v="0"/>
    <s v="Iteration 19"/>
    <d v="2009-08-25T12:38:42"/>
    <x v="0"/>
    <n v="5.2388888888888889"/>
    <n v="0"/>
  </r>
  <r>
    <n v="659"/>
    <x v="0"/>
    <s v="Iteration 18"/>
    <d v="2009-06-17T14:21:52"/>
    <x v="0"/>
    <n v="5.427777777777778"/>
    <n v="0"/>
  </r>
  <r>
    <n v="661"/>
    <x v="2"/>
    <s v="Iteration 18"/>
    <d v="2009-06-18T15:03:11"/>
    <x v="0"/>
    <n v="5.4249999999999998"/>
    <n v="0"/>
  </r>
  <r>
    <n v="662"/>
    <x v="4"/>
    <s v="Iteration 18"/>
    <d v="2009-06-24T16:14:18"/>
    <x v="0"/>
    <n v="5.4083333333333332"/>
    <n v="0"/>
  </r>
  <r>
    <n v="663"/>
    <x v="0"/>
    <s v="Iteration 18"/>
    <d v="2009-06-19T11:31:02"/>
    <x v="0"/>
    <n v="5.4222222222222225"/>
    <n v="0"/>
  </r>
  <r>
    <n v="664"/>
    <x v="48"/>
    <s v="Iteration 18"/>
    <d v="2009-06-18T17:59:45"/>
    <x v="0"/>
    <n v="5.4249999999999998"/>
    <n v="0"/>
  </r>
  <r>
    <n v="665"/>
    <x v="4"/>
    <s v="Iteration 18"/>
    <d v="2009-06-23T10:55:07"/>
    <x v="0"/>
    <n v="5.4111111111111114"/>
    <n v="0"/>
  </r>
  <r>
    <n v="667"/>
    <x v="5"/>
    <s v="Iteration 18"/>
    <d v="2013-04-19T16:05:25"/>
    <x v="0"/>
    <n v="1.5888888888888888"/>
    <n v="0"/>
  </r>
  <r>
    <n v="668"/>
    <x v="3"/>
    <s v="Iteration 18"/>
    <d v="2009-06-22T11:18:07"/>
    <x v="0"/>
    <n v="5.4138888888888888"/>
    <n v="0"/>
  </r>
  <r>
    <n v="669"/>
    <x v="2"/>
    <s v="Release 2.5"/>
    <d v="2013-03-28T20:11:59"/>
    <x v="8"/>
    <n v="1.6472222222222221"/>
    <n v="0"/>
  </r>
  <r>
    <n v="671"/>
    <x v="5"/>
    <s v="Iteration 18"/>
    <d v="2009-06-25T11:38:24"/>
    <x v="0"/>
    <n v="5.4055555555555559"/>
    <n v="0"/>
  </r>
  <r>
    <n v="678"/>
    <x v="5"/>
    <s v="Iteration 18"/>
    <d v="2009-06-25T11:38:48"/>
    <x v="0"/>
    <n v="5.4055555555555559"/>
    <n v="0"/>
  </r>
  <r>
    <n v="681"/>
    <x v="4"/>
    <s v="Iteration 18"/>
    <d v="2009-06-22T14:20:03"/>
    <x v="0"/>
    <n v="5.4138888888888888"/>
    <n v="0"/>
  </r>
  <r>
    <n v="683"/>
    <x v="0"/>
    <s v="Iteration 18"/>
    <d v="2009-07-31T14:39:38"/>
    <x v="0"/>
    <n v="5.3083333333333336"/>
    <n v="0"/>
  </r>
  <r>
    <n v="685"/>
    <x v="1"/>
    <s v="Iteration 18"/>
    <d v="2009-06-19T21:15:15"/>
    <x v="0"/>
    <n v="5.4222222222222225"/>
    <n v="0"/>
  </r>
  <r>
    <n v="686"/>
    <x v="1"/>
    <s v="Iteration 18"/>
    <d v="2009-06-26T09:55:45"/>
    <x v="0"/>
    <n v="5.4027777777777777"/>
    <n v="0"/>
  </r>
  <r>
    <n v="687"/>
    <x v="1"/>
    <s v="Iteration 18"/>
    <d v="2009-06-26T09:56:09"/>
    <x v="0"/>
    <n v="5.4027777777777777"/>
    <n v="0"/>
  </r>
  <r>
    <n v="688"/>
    <x v="48"/>
    <s v="Iteration 18"/>
    <d v="2009-06-23T09:42:17"/>
    <x v="0"/>
    <n v="5.4111111111111114"/>
    <n v="0"/>
  </r>
  <r>
    <n v="690"/>
    <x v="2"/>
    <s v="Iteration 18"/>
    <d v="2009-06-24T13:04:21"/>
    <x v="0"/>
    <n v="5.4083333333333332"/>
    <n v="0"/>
  </r>
  <r>
    <n v="691"/>
    <x v="1"/>
    <s v="Iteration 18"/>
    <d v="2009-06-24T14:34:35"/>
    <x v="0"/>
    <n v="5.4083333333333332"/>
    <n v="0"/>
  </r>
  <r>
    <n v="692"/>
    <x v="1"/>
    <s v="Iteration 18"/>
    <d v="2009-06-25T09:38:41"/>
    <x v="0"/>
    <n v="5.4055555555555559"/>
    <n v="0"/>
  </r>
  <r>
    <n v="693"/>
    <x v="3"/>
    <s v="Iteration 18"/>
    <d v="2009-07-08T14:08:09"/>
    <x v="0"/>
    <n v="5.3694444444444445"/>
    <n v="0"/>
  </r>
  <r>
    <n v="696"/>
    <x v="0"/>
    <s v="Iteration 19"/>
    <d v="2009-09-25T12:17:34"/>
    <x v="0"/>
    <n v="5.1555555555555559"/>
    <n v="0"/>
  </r>
  <r>
    <n v="697"/>
    <x v="5"/>
    <s v="Iteration 18"/>
    <d v="2009-07-29T14:42:52"/>
    <x v="0"/>
    <n v="5.3111111111111109"/>
    <n v="0"/>
  </r>
  <r>
    <n v="698"/>
    <x v="5"/>
    <s v="Iteration 18"/>
    <d v="2009-07-29T14:43:10"/>
    <x v="0"/>
    <n v="5.3111111111111109"/>
    <n v="0"/>
  </r>
  <r>
    <n v="699"/>
    <x v="5"/>
    <s v="Iteration 18"/>
    <d v="2009-07-30T13:17:52"/>
    <x v="0"/>
    <n v="5.3083333333333336"/>
    <n v="0"/>
  </r>
  <r>
    <n v="700"/>
    <x v="5"/>
    <s v="Iteration 18"/>
    <d v="2009-07-30T15:40:13"/>
    <x v="0"/>
    <n v="5.3083333333333336"/>
    <n v="0"/>
  </r>
  <r>
    <n v="701"/>
    <x v="1"/>
    <s v="Iteration 18"/>
    <d v="2009-06-26T12:40:39"/>
    <x v="0"/>
    <n v="5.4027777777777777"/>
    <n v="0"/>
  </r>
  <r>
    <n v="708"/>
    <x v="5"/>
    <s v="Iteration 18"/>
    <d v="2009-07-02T12:57:55"/>
    <x v="0"/>
    <n v="5.3861111111111111"/>
    <n v="0"/>
  </r>
  <r>
    <n v="710"/>
    <x v="5"/>
    <s v="Iteration 18"/>
    <d v="2009-07-13T11:20:55"/>
    <x v="0"/>
    <n v="5.3555555555555552"/>
    <n v="0"/>
  </r>
  <r>
    <n v="712"/>
    <x v="3"/>
    <s v="Iteration 18"/>
    <d v="2009-07-10T14:41:32"/>
    <x v="0"/>
    <n v="5.3638888888888889"/>
    <n v="0"/>
  </r>
  <r>
    <n v="716"/>
    <x v="0"/>
    <s v="Iteration 18"/>
    <d v="2009-07-31T14:39:38"/>
    <x v="0"/>
    <n v="5.3083333333333336"/>
    <n v="0"/>
  </r>
  <r>
    <n v="717"/>
    <x v="0"/>
    <s v="Iteration 18"/>
    <d v="2009-07-31T14:39:38"/>
    <x v="0"/>
    <n v="5.3083333333333336"/>
    <n v="0"/>
  </r>
  <r>
    <n v="720"/>
    <x v="2"/>
    <s v="Iteration 18"/>
    <d v="2009-07-03T14:55:04"/>
    <x v="0"/>
    <n v="5.3833333333333337"/>
    <n v="0"/>
  </r>
  <r>
    <n v="721"/>
    <x v="39"/>
    <s v="Iteration 20"/>
    <d v="2009-11-04T10:37:07"/>
    <x v="0"/>
    <n v="5.0472222222222225"/>
    <n v="0"/>
  </r>
  <r>
    <n v="722"/>
    <x v="0"/>
    <s v="Iteration 19"/>
    <d v="2009-08-25T17:36:49"/>
    <x v="0"/>
    <n v="5.2388888888888889"/>
    <n v="0"/>
  </r>
  <r>
    <n v="724"/>
    <x v="6"/>
    <s v="Iteration 18"/>
    <d v="2009-07-29T09:49:01"/>
    <x v="0"/>
    <n v="5.3111111111111109"/>
    <n v="0"/>
  </r>
  <r>
    <n v="725"/>
    <x v="6"/>
    <s v="Iteration 18"/>
    <d v="2009-07-29T09:49:36"/>
    <x v="0"/>
    <n v="5.3111111111111109"/>
    <n v="0"/>
  </r>
  <r>
    <n v="727"/>
    <x v="4"/>
    <s v="Iteration 18"/>
    <d v="2009-07-09T10:22:40"/>
    <x v="0"/>
    <n v="5.3666666666666663"/>
    <n v="0"/>
  </r>
  <r>
    <n v="730"/>
    <x v="1"/>
    <s v="Iteration 19"/>
    <d v="2009-08-15T08:50:17"/>
    <x v="0"/>
    <n v="5.2666666666666666"/>
    <n v="0"/>
  </r>
  <r>
    <n v="731"/>
    <x v="6"/>
    <s v="Iteration 19"/>
    <d v="2009-08-28T10:05:57"/>
    <x v="0"/>
    <n v="5.2305555555555552"/>
    <n v="0"/>
  </r>
  <r>
    <n v="733"/>
    <x v="7"/>
    <s v="Iteration 19"/>
    <d v="2009-08-24T15:53:38"/>
    <x v="0"/>
    <n v="5.2416666666666663"/>
    <n v="0"/>
  </r>
  <r>
    <n v="735"/>
    <x v="4"/>
    <s v="Iteration 18"/>
    <d v="2009-07-20T15:41:49"/>
    <x v="0"/>
    <n v="5.3361111111111112"/>
    <n v="0"/>
  </r>
  <r>
    <n v="740"/>
    <x v="3"/>
    <s v="Iteration 18"/>
    <d v="2009-07-16T14:25:54"/>
    <x v="0"/>
    <n v="5.3472222222222223"/>
    <n v="0"/>
  </r>
  <r>
    <n v="741"/>
    <x v="3"/>
    <s v="Iteration 18"/>
    <d v="2009-07-10T15:13:37"/>
    <x v="0"/>
    <n v="5.3638888888888889"/>
    <n v="0"/>
  </r>
  <r>
    <n v="742"/>
    <x v="4"/>
    <s v="Iteration 18"/>
    <d v="2009-07-27T14:33:53"/>
    <x v="0"/>
    <n v="5.3166666666666664"/>
    <n v="0"/>
  </r>
  <r>
    <n v="743"/>
    <x v="4"/>
    <s v="Iteration 19"/>
    <d v="2009-09-08T10:52:04"/>
    <x v="0"/>
    <n v="5.2027777777777775"/>
    <n v="0"/>
  </r>
  <r>
    <n v="744"/>
    <x v="3"/>
    <s v="Iteration 18"/>
    <d v="2009-07-14T17:29:35"/>
    <x v="0"/>
    <n v="5.3527777777777779"/>
    <n v="0"/>
  </r>
  <r>
    <n v="745"/>
    <x v="36"/>
    <s v="Iteration 18"/>
    <d v="2009-07-29T09:53:52"/>
    <x v="0"/>
    <n v="5.3111111111111109"/>
    <n v="0"/>
  </r>
  <r>
    <n v="750"/>
    <x v="4"/>
    <s v="Iteration 19"/>
    <d v="2009-09-29T10:14:15"/>
    <x v="0"/>
    <n v="5.1444444444444448"/>
    <n v="0"/>
  </r>
  <r>
    <n v="751"/>
    <x v="6"/>
    <s v="Iteration 20"/>
    <d v="2009-10-06T16:59:16"/>
    <x v="0"/>
    <n v="5.125"/>
    <n v="0"/>
  </r>
  <r>
    <n v="752"/>
    <x v="5"/>
    <s v="Iteration 19"/>
    <d v="2009-09-14T10:33:30"/>
    <x v="0"/>
    <n v="5.1861111111111109"/>
    <n v="0"/>
  </r>
  <r>
    <n v="753"/>
    <x v="0"/>
    <s v="Iteration 28"/>
    <d v="2011-04-26T10:22:03"/>
    <x v="6"/>
    <n v="3.5694444444444446"/>
    <n v="0"/>
  </r>
  <r>
    <n v="755"/>
    <x v="0"/>
    <s v="Iteration 21"/>
    <d v="2010-02-08T11:01:30"/>
    <x v="0"/>
    <n v="4.7861111111111114"/>
    <n v="0"/>
  </r>
  <r>
    <n v="757"/>
    <x v="48"/>
    <s v="Iteration 18"/>
    <d v="2009-07-17T15:56:56"/>
    <x v="0"/>
    <n v="5.3444444444444441"/>
    <n v="0"/>
  </r>
  <r>
    <n v="758"/>
    <x v="48"/>
    <s v="Iteration 18"/>
    <d v="2009-07-20T12:22:59"/>
    <x v="0"/>
    <n v="5.3361111111111112"/>
    <n v="0"/>
  </r>
  <r>
    <n v="761"/>
    <x v="4"/>
    <s v="Iteration 18"/>
    <d v="2009-07-22T15:40:29"/>
    <x v="0"/>
    <n v="5.3305555555555557"/>
    <n v="0"/>
  </r>
  <r>
    <n v="762"/>
    <x v="36"/>
    <s v="Iteration 18"/>
    <d v="2009-07-29T09:53:27"/>
    <x v="0"/>
    <n v="5.3111111111111109"/>
    <n v="0"/>
  </r>
  <r>
    <n v="763"/>
    <x v="36"/>
    <s v="Iteration 18"/>
    <d v="2009-07-21T10:42:24"/>
    <x v="0"/>
    <n v="5.333333333333333"/>
    <n v="0"/>
  </r>
  <r>
    <n v="765"/>
    <x v="4"/>
    <s v="Iteration 19"/>
    <d v="2009-09-29T10:14:15"/>
    <x v="0"/>
    <n v="5.1444444444444448"/>
    <n v="0"/>
  </r>
  <r>
    <n v="766"/>
    <x v="4"/>
    <s v="Iteration 18"/>
    <d v="2009-07-27T14:34:19"/>
    <x v="0"/>
    <n v="5.3166666666666664"/>
    <n v="0"/>
  </r>
  <r>
    <n v="767"/>
    <x v="3"/>
    <s v="Iteration 19"/>
    <d v="2009-09-16T10:11:39"/>
    <x v="0"/>
    <n v="5.1805555555555554"/>
    <n v="0"/>
  </r>
  <r>
    <n v="769"/>
    <x v="7"/>
    <s v="Iteration 19"/>
    <d v="2009-09-23T11:17:30"/>
    <x v="0"/>
    <n v="5.1611111111111114"/>
    <n v="0"/>
  </r>
  <r>
    <n v="770"/>
    <x v="4"/>
    <s v="Iteration 18"/>
    <d v="2009-07-27T14:34:39"/>
    <x v="0"/>
    <n v="5.3166666666666664"/>
    <n v="0"/>
  </r>
  <r>
    <n v="772"/>
    <x v="2"/>
    <s v="Iteration 19"/>
    <d v="2009-08-06T11:45:35"/>
    <x v="0"/>
    <n v="5.291666666666667"/>
    <n v="0"/>
  </r>
  <r>
    <n v="773"/>
    <x v="0"/>
    <s v="Iteration 19"/>
    <d v="2009-08-03T16:52:16"/>
    <x v="0"/>
    <n v="5.3"/>
    <n v="0"/>
  </r>
  <r>
    <n v="776"/>
    <x v="0"/>
    <s v="Iteration 18"/>
    <d v="2009-07-31T10:31:08"/>
    <x v="0"/>
    <n v="5.3083333333333336"/>
    <n v="0"/>
  </r>
  <r>
    <n v="777"/>
    <x v="7"/>
    <s v="Iteration 20"/>
    <d v="2009-11-25T15:08:10"/>
    <x v="0"/>
    <n v="4.9888888888888889"/>
    <n v="0"/>
  </r>
  <r>
    <n v="781"/>
    <x v="5"/>
    <s v="Iteration 19"/>
    <d v="2009-08-26T10:32:37"/>
    <x v="0"/>
    <n v="5.2361111111111107"/>
    <n v="0"/>
  </r>
  <r>
    <n v="782"/>
    <x v="2"/>
    <s v="Iteration 22"/>
    <d v="2010-04-29T10:41:59"/>
    <x v="0"/>
    <n v="4.5611111111111109"/>
    <n v="0"/>
  </r>
  <r>
    <n v="785"/>
    <x v="4"/>
    <s v="Iteration 18"/>
    <d v="2009-07-30T11:45:46"/>
    <x v="0"/>
    <n v="5.3083333333333336"/>
    <n v="0"/>
  </r>
  <r>
    <n v="789"/>
    <x v="0"/>
    <s v="Iteration 21"/>
    <d v="2010-02-08T10:57:16"/>
    <x v="0"/>
    <n v="4.7861111111111114"/>
    <n v="0"/>
  </r>
  <r>
    <n v="790"/>
    <x v="0"/>
    <s v="Iteration 19"/>
    <d v="2009-08-26T13:26:36"/>
    <x v="0"/>
    <n v="5.2361111111111107"/>
    <n v="0"/>
  </r>
  <r>
    <n v="791"/>
    <x v="5"/>
    <s v="Iteration 19"/>
    <d v="2009-09-17T12:51:35"/>
    <x v="0"/>
    <n v="5.177777777777778"/>
    <n v="0"/>
  </r>
  <r>
    <n v="792"/>
    <x v="5"/>
    <s v="Iteration 19"/>
    <d v="2009-09-17T12:51:48"/>
    <x v="0"/>
    <n v="5.177777777777778"/>
    <n v="0"/>
  </r>
  <r>
    <n v="796"/>
    <x v="0"/>
    <s v="Iteration 19"/>
    <d v="2009-08-05T17:16:15"/>
    <x v="0"/>
    <n v="5.2944444444444443"/>
    <n v="0"/>
  </r>
  <r>
    <n v="797"/>
    <x v="5"/>
    <s v="Iteration 19"/>
    <d v="2009-09-09T13:54:15"/>
    <x v="0"/>
    <n v="5.2"/>
    <n v="0"/>
  </r>
  <r>
    <n v="798"/>
    <x v="5"/>
    <s v="Iteration 19"/>
    <d v="2009-08-24T14:00:38"/>
    <x v="0"/>
    <n v="5.2416666666666663"/>
    <n v="0"/>
  </r>
  <r>
    <n v="800"/>
    <x v="5"/>
    <s v="Iteration 19"/>
    <d v="2009-08-24T11:14:37"/>
    <x v="0"/>
    <n v="5.2416666666666663"/>
    <n v="0"/>
  </r>
  <r>
    <n v="801"/>
    <x v="3"/>
    <s v="Iteration 19"/>
    <d v="2009-08-28T13:01:09"/>
    <x v="0"/>
    <n v="5.2305555555555552"/>
    <n v="0"/>
  </r>
  <r>
    <n v="802"/>
    <x v="3"/>
    <s v="Iteration 19"/>
    <d v="2009-08-28T13:00:25"/>
    <x v="0"/>
    <n v="5.2305555555555552"/>
    <n v="0"/>
  </r>
  <r>
    <n v="806"/>
    <x v="0"/>
    <s v="Iteration 19"/>
    <d v="2009-08-28T17:07:56"/>
    <x v="0"/>
    <n v="5.2305555555555552"/>
    <n v="0"/>
  </r>
  <r>
    <n v="808"/>
    <x v="0"/>
    <s v="Iteration 19"/>
    <d v="2009-08-11T17:31:37"/>
    <x v="0"/>
    <n v="5.2777777777777777"/>
    <n v="0"/>
  </r>
  <r>
    <n v="809"/>
    <x v="1"/>
    <s v="Iteration 19"/>
    <d v="2009-08-15T08:50:40"/>
    <x v="0"/>
    <n v="5.2666666666666666"/>
    <n v="0"/>
  </r>
  <r>
    <n v="810"/>
    <x v="3"/>
    <s v="Iteration 19"/>
    <d v="2009-08-12T19:44:02"/>
    <x v="0"/>
    <n v="5.2750000000000004"/>
    <n v="0"/>
  </r>
  <r>
    <n v="811"/>
    <x v="1"/>
    <s v="Iteration 21"/>
    <d v="2010-01-05T10:25:06"/>
    <x v="0"/>
    <n v="4.8777777777777782"/>
    <n v="0"/>
  </r>
  <r>
    <n v="812"/>
    <x v="5"/>
    <s v="Iteration 19"/>
    <d v="2009-09-15T09:13:45"/>
    <x v="0"/>
    <n v="5.1833333333333336"/>
    <n v="0"/>
  </r>
  <r>
    <n v="814"/>
    <x v="5"/>
    <s v="Iteration 19"/>
    <d v="2009-08-14T11:20:43"/>
    <x v="0"/>
    <n v="5.2694444444444448"/>
    <n v="0"/>
  </r>
  <r>
    <n v="815"/>
    <x v="1"/>
    <s v="Iteration 20"/>
    <d v="2009-10-09T16:57:05"/>
    <x v="0"/>
    <n v="5.1166666666666663"/>
    <n v="0"/>
  </r>
  <r>
    <n v="816"/>
    <x v="3"/>
    <s v="Iteration 19"/>
    <d v="2009-09-29T10:14:15"/>
    <x v="0"/>
    <n v="5.1444444444444448"/>
    <n v="0"/>
  </r>
  <r>
    <n v="817"/>
    <x v="4"/>
    <s v="Iteration 19"/>
    <d v="2009-08-18T10:32:30"/>
    <x v="0"/>
    <n v="5.2583333333333337"/>
    <n v="0"/>
  </r>
  <r>
    <n v="819"/>
    <x v="5"/>
    <s v="Iteration 19"/>
    <d v="2009-08-14T11:20:55"/>
    <x v="0"/>
    <n v="5.2694444444444448"/>
    <n v="0"/>
  </r>
  <r>
    <n v="820"/>
    <x v="0"/>
    <s v="Iteration 19"/>
    <d v="2009-08-14T12:02:29"/>
    <x v="0"/>
    <n v="5.2694444444444448"/>
    <n v="0"/>
  </r>
  <r>
    <n v="823"/>
    <x v="2"/>
    <s v="Iteration 19"/>
    <d v="2009-09-04T17:40:07"/>
    <x v="0"/>
    <n v="5.2138888888888886"/>
    <n v="0"/>
  </r>
  <r>
    <n v="825"/>
    <x v="3"/>
    <s v="Iteration 24"/>
    <d v="2010-08-24T11:53:31"/>
    <x v="13"/>
    <n v="4.2416666666666663"/>
    <n v="0"/>
  </r>
  <r>
    <n v="826"/>
    <x v="5"/>
    <s v="Iteration 19"/>
    <d v="2009-08-24T11:20:37"/>
    <x v="0"/>
    <n v="5.2416666666666663"/>
    <n v="0"/>
  </r>
  <r>
    <n v="827"/>
    <x v="50"/>
    <s v="Iteration 19"/>
    <d v="2009-08-26T12:54:42"/>
    <x v="0"/>
    <n v="5.2361111111111107"/>
    <n v="0"/>
  </r>
  <r>
    <n v="828"/>
    <x v="3"/>
    <s v="Iteration 19"/>
    <d v="2009-08-25T14:10:07"/>
    <x v="0"/>
    <n v="5.2388888888888889"/>
    <n v="0"/>
  </r>
  <r>
    <n v="829"/>
    <x v="14"/>
    <s v="Iteration 28"/>
    <d v="2011-04-26T16:25:32"/>
    <x v="2"/>
    <n v="3.5694444444444446"/>
    <n v="0"/>
  </r>
  <r>
    <n v="830"/>
    <x v="4"/>
    <s v="Iteration 19"/>
    <d v="2009-08-20T11:20:19"/>
    <x v="0"/>
    <n v="5.2527777777777782"/>
    <n v="0"/>
  </r>
  <r>
    <n v="832"/>
    <x v="5"/>
    <s v="Iteration 19"/>
    <d v="2009-09-29T10:14:15"/>
    <x v="0"/>
    <n v="5.1444444444444448"/>
    <n v="0"/>
  </r>
  <r>
    <n v="835"/>
    <x v="7"/>
    <s v="Iteration 21"/>
    <d v="2010-02-09T10:26:38"/>
    <x v="0"/>
    <n v="4.7833333333333332"/>
    <n v="0"/>
  </r>
  <r>
    <n v="836"/>
    <x v="0"/>
    <s v="Iteration 19"/>
    <d v="2009-09-04T15:40:55"/>
    <x v="0"/>
    <n v="5.2138888888888886"/>
    <n v="0"/>
  </r>
  <r>
    <n v="837"/>
    <x v="3"/>
    <s v="Iteration 19"/>
    <d v="2009-09-16T12:07:15"/>
    <x v="0"/>
    <n v="5.1805555555555554"/>
    <n v="0"/>
  </r>
  <r>
    <n v="838"/>
    <x v="3"/>
    <s v="Iteration 19"/>
    <d v="2009-08-28T14:20:05"/>
    <x v="0"/>
    <n v="5.2305555555555552"/>
    <n v="0"/>
  </r>
  <r>
    <n v="840"/>
    <x v="7"/>
    <s v="Iteration 19"/>
    <d v="2009-09-25T12:22:03"/>
    <x v="0"/>
    <n v="5.1555555555555559"/>
    <n v="0"/>
  </r>
  <r>
    <n v="841"/>
    <x v="7"/>
    <s v="Iteration 22"/>
    <d v="2013-12-10T16:16:46"/>
    <x v="0"/>
    <n v="0.94722222222222219"/>
    <n v="1"/>
  </r>
  <r>
    <n v="842"/>
    <x v="5"/>
    <s v="Iteration 19"/>
    <d v="2009-09-29T10:14:16"/>
    <x v="0"/>
    <n v="5.1444444444444448"/>
    <n v="0"/>
  </r>
  <r>
    <n v="843"/>
    <x v="2"/>
    <s v="Iteration 21"/>
    <d v="2010-02-08T10:58:50"/>
    <x v="0"/>
    <n v="4.7861111111111114"/>
    <n v="0"/>
  </r>
  <r>
    <n v="844"/>
    <x v="3"/>
    <s v="Iteration 19"/>
    <d v="2009-09-16T10:54:39"/>
    <x v="0"/>
    <n v="5.1805555555555554"/>
    <n v="0"/>
  </r>
  <r>
    <n v="845"/>
    <x v="3"/>
    <s v="Iteration 19"/>
    <d v="2009-09-02T15:03:35"/>
    <x v="0"/>
    <n v="5.2194444444444441"/>
    <n v="0"/>
  </r>
  <r>
    <n v="846"/>
    <x v="0"/>
    <s v="Iteration 19"/>
    <d v="2009-09-07T13:41:38"/>
    <x v="0"/>
    <n v="5.2055555555555557"/>
    <n v="0"/>
  </r>
  <r>
    <n v="851"/>
    <x v="0"/>
    <s v="Iteration 22"/>
    <d v="2010-03-30T14:12:23"/>
    <x v="0"/>
    <n v="4.6416666666666666"/>
    <n v="0"/>
  </r>
  <r>
    <n v="853"/>
    <x v="4"/>
    <s v="Iteration 23"/>
    <d v="2010-06-10T15:08:31"/>
    <x v="0"/>
    <n v="4.447222222222222"/>
    <n v="0"/>
  </r>
  <r>
    <n v="854"/>
    <x v="4"/>
    <s v="Iteration 20"/>
    <d v="2009-11-25T16:55:40"/>
    <x v="0"/>
    <n v="4.9888888888888889"/>
    <n v="0"/>
  </r>
  <r>
    <n v="855"/>
    <x v="7"/>
    <s v="Iteration 22"/>
    <d v="2010-04-01T14:40:49"/>
    <x v="0"/>
    <n v="4.6388888888888893"/>
    <n v="0"/>
  </r>
  <r>
    <n v="858"/>
    <x v="4"/>
    <s v="Iteration 22"/>
    <d v="2010-04-06T09:44:38"/>
    <x v="0"/>
    <n v="4.625"/>
    <n v="0"/>
  </r>
  <r>
    <n v="861"/>
    <x v="3"/>
    <s v="Iteration 28"/>
    <d v="2011-04-27T16:57:26"/>
    <x v="7"/>
    <n v="3.5666666666666669"/>
    <n v="0"/>
  </r>
  <r>
    <n v="865"/>
    <x v="10"/>
    <s v="Iteration 21"/>
    <d v="2009-12-16T17:18:49"/>
    <x v="0"/>
    <n v="4.9305555555555554"/>
    <n v="0"/>
  </r>
  <r>
    <n v="868"/>
    <x v="0"/>
    <s v="Iteration 19"/>
    <d v="2009-09-09T12:57:18"/>
    <x v="0"/>
    <n v="5.2"/>
    <n v="0"/>
  </r>
  <r>
    <n v="869"/>
    <x v="10"/>
    <s v="Iteration 21"/>
    <d v="2009-12-16T17:18:34"/>
    <x v="0"/>
    <n v="4.9305555555555554"/>
    <n v="0"/>
  </r>
  <r>
    <n v="873"/>
    <x v="3"/>
    <s v="Iteration 19"/>
    <d v="2009-09-14T13:10:30"/>
    <x v="0"/>
    <n v="5.1861111111111109"/>
    <n v="0"/>
  </r>
  <r>
    <n v="875"/>
    <x v="36"/>
    <s v="Iteration 19"/>
    <d v="2009-09-11T18:34:04"/>
    <x v="0"/>
    <n v="5.1944444444444446"/>
    <n v="0"/>
  </r>
  <r>
    <n v="876"/>
    <x v="36"/>
    <s v="Iteration 19"/>
    <d v="2009-09-15T10:12:44"/>
    <x v="0"/>
    <n v="5.1833333333333336"/>
    <n v="0"/>
  </r>
  <r>
    <n v="877"/>
    <x v="3"/>
    <s v="Iteration 19"/>
    <d v="2009-09-29T10:14:16"/>
    <x v="0"/>
    <n v="5.1444444444444448"/>
    <n v="0"/>
  </r>
  <r>
    <n v="879"/>
    <x v="0"/>
    <s v="Iteration 19"/>
    <d v="2009-09-15T16:19:45"/>
    <x v="0"/>
    <n v="5.1833333333333336"/>
    <n v="0"/>
  </r>
  <r>
    <n v="880"/>
    <x v="3"/>
    <s v="Iteration 19"/>
    <d v="2009-09-16T10:53:42"/>
    <x v="0"/>
    <n v="5.1805555555555554"/>
    <n v="0"/>
  </r>
  <r>
    <n v="881"/>
    <x v="3"/>
    <s v="Iteration 19"/>
    <d v="2009-09-16T09:00:59"/>
    <x v="0"/>
    <n v="5.1805555555555554"/>
    <n v="0"/>
  </r>
  <r>
    <n v="882"/>
    <x v="2"/>
    <s v="Iteration 19"/>
    <d v="2009-09-16T10:56:12"/>
    <x v="0"/>
    <n v="5.1805555555555554"/>
    <n v="0"/>
  </r>
  <r>
    <n v="883"/>
    <x v="0"/>
    <s v="Iteration 22"/>
    <d v="2010-04-06T09:52:45"/>
    <x v="0"/>
    <n v="4.625"/>
    <n v="0"/>
  </r>
  <r>
    <n v="884"/>
    <x v="3"/>
    <s v="Iteration 20"/>
    <d v="2009-11-17T15:37:55"/>
    <x v="0"/>
    <n v="5.0111111111111111"/>
    <n v="0"/>
  </r>
  <r>
    <n v="885"/>
    <x v="3"/>
    <s v="Iteration 19"/>
    <d v="2009-09-18T17:26:22"/>
    <x v="0"/>
    <n v="5.1749999999999998"/>
    <n v="0"/>
  </r>
  <r>
    <n v="886"/>
    <x v="3"/>
    <s v="Iteration 19"/>
    <d v="2009-09-21T11:08:48"/>
    <x v="0"/>
    <n v="5.166666666666667"/>
    <n v="0"/>
  </r>
  <r>
    <n v="889"/>
    <x v="4"/>
    <s v="Iteration 19"/>
    <d v="2009-09-29T10:14:16"/>
    <x v="0"/>
    <n v="5.1444444444444448"/>
    <n v="0"/>
  </r>
  <r>
    <n v="890"/>
    <x v="3"/>
    <s v="Iteration 19"/>
    <d v="2009-09-16T16:43:25"/>
    <x v="0"/>
    <n v="5.1805555555555554"/>
    <n v="0"/>
  </r>
  <r>
    <n v="891"/>
    <x v="0"/>
    <s v="Iteration 19"/>
    <d v="2009-09-16T17:19:06"/>
    <x v="0"/>
    <n v="5.1805555555555554"/>
    <n v="0"/>
  </r>
  <r>
    <n v="892"/>
    <x v="1"/>
    <s v="Iteration 21"/>
    <d v="2010-01-05T10:26:33"/>
    <x v="0"/>
    <n v="4.8777777777777782"/>
    <n v="0"/>
  </r>
  <r>
    <n v="893"/>
    <x v="0"/>
    <s v="Iteration 22"/>
    <d v="2010-04-06T14:48:21"/>
    <x v="0"/>
    <n v="4.625"/>
    <n v="0"/>
  </r>
  <r>
    <n v="894"/>
    <x v="48"/>
    <s v="Iteration 19"/>
    <d v="2009-09-29T10:14:16"/>
    <x v="0"/>
    <n v="5.1444444444444448"/>
    <n v="0"/>
  </r>
  <r>
    <n v="895"/>
    <x v="3"/>
    <s v="Iteration 19"/>
    <d v="2009-09-29T10:14:17"/>
    <x v="0"/>
    <n v="5.1444444444444448"/>
    <n v="0"/>
  </r>
  <r>
    <n v="896"/>
    <x v="0"/>
    <s v="Iteration 19"/>
    <d v="2009-09-21T12:28:27"/>
    <x v="0"/>
    <n v="5.166666666666667"/>
    <n v="0"/>
  </r>
  <r>
    <n v="897"/>
    <x v="3"/>
    <s v="Iteration 19"/>
    <d v="2009-09-29T10:14:17"/>
    <x v="0"/>
    <n v="5.1444444444444448"/>
    <n v="0"/>
  </r>
  <r>
    <n v="898"/>
    <x v="0"/>
    <s v="Iteration 19"/>
    <d v="2009-09-22T10:55:45"/>
    <x v="0"/>
    <n v="5.1638888888888888"/>
    <n v="0"/>
  </r>
  <r>
    <n v="899"/>
    <x v="3"/>
    <s v="Iteration 19"/>
    <d v="2009-09-29T10:14:17"/>
    <x v="0"/>
    <n v="5.1444444444444448"/>
    <n v="0"/>
  </r>
  <r>
    <n v="901"/>
    <x v="0"/>
    <s v="Iteration 19"/>
    <d v="2009-09-23T11:46:16"/>
    <x v="0"/>
    <n v="5.1611111111111114"/>
    <n v="0"/>
  </r>
  <r>
    <n v="903"/>
    <x v="7"/>
    <s v="Iteration 21"/>
    <d v="2010-02-08T11:24:02"/>
    <x v="0"/>
    <n v="4.7861111111111114"/>
    <n v="0"/>
  </r>
  <r>
    <n v="905"/>
    <x v="6"/>
    <s v="Iteration 20"/>
    <d v="2009-09-30T07:51:16"/>
    <x v="0"/>
    <n v="5.1416666666666666"/>
    <n v="0"/>
  </r>
  <r>
    <n v="907"/>
    <x v="48"/>
    <s v="Iteration 19"/>
    <d v="2009-09-25T12:19:40"/>
    <x v="0"/>
    <n v="5.1555555555555559"/>
    <n v="0"/>
  </r>
  <r>
    <n v="908"/>
    <x v="0"/>
    <s v="Iteration 19"/>
    <d v="2009-09-25T12:18:45"/>
    <x v="0"/>
    <n v="5.1555555555555559"/>
    <n v="0"/>
  </r>
  <r>
    <n v="909"/>
    <x v="48"/>
    <s v="Iteration 19"/>
    <d v="2009-09-29T10:14:18"/>
    <x v="0"/>
    <n v="5.1444444444444448"/>
    <n v="0"/>
  </r>
  <r>
    <n v="911"/>
    <x v="48"/>
    <s v="Iteration 19"/>
    <d v="2009-09-29T10:14:18"/>
    <x v="0"/>
    <n v="5.1444444444444448"/>
    <n v="0"/>
  </r>
  <r>
    <n v="912"/>
    <x v="48"/>
    <s v="Iteration 19"/>
    <d v="2009-09-29T10:14:18"/>
    <x v="0"/>
    <n v="5.1444444444444448"/>
    <n v="0"/>
  </r>
  <r>
    <n v="913"/>
    <x v="3"/>
    <s v="Iteration 20"/>
    <d v="2009-10-01T09:33:51"/>
    <x v="0"/>
    <n v="5.1388888888888893"/>
    <n v="0"/>
  </r>
  <r>
    <n v="914"/>
    <x v="3"/>
    <s v="Iteration 20"/>
    <d v="2009-11-13T16:10:16"/>
    <x v="0"/>
    <n v="5.0222222222222221"/>
    <n v="0"/>
  </r>
  <r>
    <n v="919"/>
    <x v="3"/>
    <s v="Iteration 19"/>
    <d v="2009-09-29T10:14:18"/>
    <x v="0"/>
    <n v="5.1444444444444448"/>
    <n v="0"/>
  </r>
  <r>
    <n v="920"/>
    <x v="3"/>
    <s v="Iteration 21"/>
    <d v="2010-02-08T14:13:04"/>
    <x v="0"/>
    <n v="4.7861111111111114"/>
    <n v="0"/>
  </r>
  <r>
    <n v="921"/>
    <x v="3"/>
    <s v="Iteration 19"/>
    <d v="2009-09-29T10:14:18"/>
    <x v="0"/>
    <n v="5.1444444444444448"/>
    <n v="0"/>
  </r>
  <r>
    <n v="922"/>
    <x v="3"/>
    <s v="Iteration 19"/>
    <d v="2009-09-29T10:14:19"/>
    <x v="0"/>
    <n v="5.1444444444444448"/>
    <n v="0"/>
  </r>
  <r>
    <n v="924"/>
    <x v="3"/>
    <s v="Iteration 24"/>
    <d v="2010-08-26T11:58:45"/>
    <x v="6"/>
    <n v="4.2361111111111107"/>
    <n v="0"/>
  </r>
  <r>
    <n v="926"/>
    <x v="3"/>
    <s v="Iteration 24"/>
    <d v="2010-08-25T11:28:52"/>
    <x v="1"/>
    <n v="4.2388888888888889"/>
    <n v="0"/>
  </r>
  <r>
    <n v="927"/>
    <x v="4"/>
    <s v="Iteration 20"/>
    <d v="2009-10-02T14:29:46"/>
    <x v="0"/>
    <n v="5.1361111111111111"/>
    <n v="0"/>
  </r>
  <r>
    <n v="931"/>
    <x v="36"/>
    <s v="Iteration 20"/>
    <d v="2009-10-09T16:53:26"/>
    <x v="0"/>
    <n v="5.1166666666666663"/>
    <n v="0"/>
  </r>
  <r>
    <n v="933"/>
    <x v="48"/>
    <s v="Iteration 20"/>
    <d v="2009-11-26T16:09:00"/>
    <x v="0"/>
    <n v="4.9861111111111107"/>
    <n v="0"/>
  </r>
  <r>
    <n v="934"/>
    <x v="4"/>
    <s v="Release 3.3"/>
    <d v="2014-09-18T09:54:41"/>
    <x v="4"/>
    <n v="0.17499999999999999"/>
    <n v="1"/>
  </r>
  <r>
    <n v="935"/>
    <x v="48"/>
    <s v="Iteration 20"/>
    <d v="2009-10-05T17:10:14"/>
    <x v="0"/>
    <n v="5.1277777777777782"/>
    <n v="0"/>
  </r>
  <r>
    <n v="936"/>
    <x v="0"/>
    <s v="Iteration 20"/>
    <d v="2009-10-07T12:21:58"/>
    <x v="0"/>
    <n v="5.1222222222222218"/>
    <n v="0"/>
  </r>
  <r>
    <n v="938"/>
    <x v="6"/>
    <s v="Iteration 21"/>
    <d v="2010-02-08T12:09:21"/>
    <x v="0"/>
    <n v="4.7861111111111114"/>
    <n v="0"/>
  </r>
  <r>
    <n v="939"/>
    <x v="0"/>
    <s v="Iteration 20"/>
    <d v="2009-10-09T12:26:00"/>
    <x v="0"/>
    <n v="5.1166666666666663"/>
    <n v="0"/>
  </r>
  <r>
    <n v="940"/>
    <x v="0"/>
    <s v="Iteration 21"/>
    <d v="2010-02-05T14:41:09"/>
    <x v="0"/>
    <n v="4.7944444444444443"/>
    <n v="0"/>
  </r>
  <r>
    <n v="941"/>
    <x v="7"/>
    <s v="Iteration 20"/>
    <d v="2009-11-25T15:07:46"/>
    <x v="0"/>
    <n v="4.9888888888888889"/>
    <n v="0"/>
  </r>
  <r>
    <n v="942"/>
    <x v="7"/>
    <s v="Iteration 21"/>
    <d v="2009-12-02T11:16:08"/>
    <x v="0"/>
    <n v="4.9694444444444441"/>
    <n v="0"/>
  </r>
  <r>
    <n v="943"/>
    <x v="7"/>
    <s v="Iteration 20"/>
    <d v="2009-11-25T15:07:26"/>
    <x v="0"/>
    <n v="4.9888888888888889"/>
    <n v="0"/>
  </r>
  <r>
    <n v="945"/>
    <x v="3"/>
    <s v="Iteration 24"/>
    <d v="2010-08-25T13:45:34"/>
    <x v="11"/>
    <n v="4.2388888888888889"/>
    <n v="0"/>
  </r>
  <r>
    <n v="954"/>
    <x v="5"/>
    <s v="Iteration 23"/>
    <d v="2010-06-09T16:31:32"/>
    <x v="0"/>
    <n v="4.45"/>
    <n v="0"/>
  </r>
  <r>
    <n v="958"/>
    <x v="4"/>
    <s v="Iteration 20"/>
    <d v="2009-11-25T15:07:02"/>
    <x v="0"/>
    <n v="4.9888888888888889"/>
    <n v="0"/>
  </r>
  <r>
    <n v="960"/>
    <x v="4"/>
    <s v="Iteration 21"/>
    <d v="2010-02-08T10:10:25"/>
    <x v="0"/>
    <n v="4.7861111111111114"/>
    <n v="0"/>
  </r>
  <r>
    <n v="966"/>
    <x v="4"/>
    <s v="Iteration 30"/>
    <d v="2011-09-22T13:46:29"/>
    <x v="4"/>
    <n v="3.1638888888888888"/>
    <n v="0"/>
  </r>
  <r>
    <n v="971"/>
    <x v="4"/>
    <s v="Iteration 24"/>
    <d v="2010-08-24T20:51:32"/>
    <x v="23"/>
    <n v="4.2416666666666663"/>
    <n v="0"/>
  </r>
  <r>
    <n v="973"/>
    <x v="4"/>
    <s v="Iteration 24"/>
    <d v="2010-08-26T20:11:39"/>
    <x v="36"/>
    <n v="4.2361111111111107"/>
    <n v="0"/>
  </r>
  <r>
    <n v="975"/>
    <x v="3"/>
    <s v="Iteration 20"/>
    <d v="2009-11-13T14:51:39"/>
    <x v="0"/>
    <n v="5.0222222222222221"/>
    <n v="0"/>
  </r>
  <r>
    <n v="979"/>
    <x v="48"/>
    <s v="Iteration 20"/>
    <d v="2009-10-15T16:28:09"/>
    <x v="0"/>
    <n v="5.0999999999999996"/>
    <n v="0"/>
  </r>
  <r>
    <n v="980"/>
    <x v="3"/>
    <s v="Iteration 20"/>
    <d v="2009-11-25T14:34:25"/>
    <x v="0"/>
    <n v="4.9888888888888889"/>
    <n v="0"/>
  </r>
  <r>
    <n v="981"/>
    <x v="2"/>
    <s v="Iteration 20"/>
    <d v="2009-10-16T15:22:28"/>
    <x v="0"/>
    <n v="5.0972222222222223"/>
    <n v="0"/>
  </r>
  <r>
    <n v="983"/>
    <x v="6"/>
    <s v="Iteration 21"/>
    <d v="2010-02-08T12:29:19"/>
    <x v="0"/>
    <n v="4.7861111111111114"/>
    <n v="0"/>
  </r>
  <r>
    <n v="986"/>
    <x v="2"/>
    <s v="Iteration 20"/>
    <d v="2009-10-20T16:45:22"/>
    <x v="0"/>
    <n v="5.0861111111111112"/>
    <n v="0"/>
  </r>
  <r>
    <n v="987"/>
    <x v="3"/>
    <s v="Iteration 20"/>
    <d v="2009-10-22T09:09:07"/>
    <x v="0"/>
    <n v="5.0805555555555557"/>
    <n v="0"/>
  </r>
  <r>
    <n v="989"/>
    <x v="48"/>
    <s v="Iteration 20"/>
    <d v="2009-10-22T16:52:36"/>
    <x v="0"/>
    <n v="5.0805555555555557"/>
    <n v="0"/>
  </r>
  <r>
    <n v="991"/>
    <x v="3"/>
    <s v="Iteration 20"/>
    <d v="2009-11-25T14:38:37"/>
    <x v="0"/>
    <n v="4.9888888888888889"/>
    <n v="0"/>
  </r>
  <r>
    <n v="992"/>
    <x v="3"/>
    <s v="Iteration 20"/>
    <d v="2009-10-27T09:58:09"/>
    <x v="0"/>
    <n v="5.0666666666666664"/>
    <n v="0"/>
  </r>
  <r>
    <n v="993"/>
    <x v="48"/>
    <s v="Iteration 20"/>
    <d v="2009-10-27T11:20:35"/>
    <x v="0"/>
    <n v="5.0666666666666664"/>
    <n v="0"/>
  </r>
  <r>
    <n v="994"/>
    <x v="6"/>
    <s v="Iteration 21"/>
    <d v="2010-02-08T12:30:12"/>
    <x v="0"/>
    <n v="4.7861111111111114"/>
    <n v="0"/>
  </r>
  <r>
    <n v="995"/>
    <x v="0"/>
    <s v="Iteration 21"/>
    <d v="2010-02-08T12:39:05"/>
    <x v="0"/>
    <n v="4.7861111111111114"/>
    <n v="0"/>
  </r>
  <r>
    <n v="996"/>
    <x v="12"/>
    <s v="Release 2.1"/>
    <d v="2012-05-03T18:23:39"/>
    <x v="7"/>
    <n v="2.5499999999999998"/>
    <n v="0"/>
  </r>
  <r>
    <n v="997"/>
    <x v="0"/>
    <s v="Iteration 28"/>
    <d v="2011-04-28T19:49:11"/>
    <x v="19"/>
    <n v="3.5638888888888891"/>
    <n v="0"/>
  </r>
  <r>
    <n v="999"/>
    <x v="4"/>
    <s v="Iteration 21"/>
    <d v="2013-05-17T21:25:03"/>
    <x v="0"/>
    <n v="1.5111111111111111"/>
    <n v="0"/>
  </r>
  <r>
    <n v="1000"/>
    <x v="2"/>
    <s v="Iteration 21"/>
    <d v="2010-02-11T13:29:49"/>
    <x v="0"/>
    <n v="4.7777777777777777"/>
    <n v="0"/>
  </r>
  <r>
    <n v="1001"/>
    <x v="3"/>
    <s v="Iteration 22"/>
    <d v="2010-03-02T17:02:19"/>
    <x v="0"/>
    <n v="4.7194444444444441"/>
    <n v="0"/>
  </r>
  <r>
    <n v="1003"/>
    <x v="4"/>
    <s v="Iteration 21"/>
    <d v="2010-02-08T14:56:20"/>
    <x v="0"/>
    <n v="4.7861111111111114"/>
    <n v="0"/>
  </r>
  <r>
    <n v="1005"/>
    <x v="3"/>
    <s v="Iteration 20"/>
    <d v="2009-11-09T16:56:27"/>
    <x v="0"/>
    <n v="5.0333333333333332"/>
    <n v="0"/>
  </r>
  <r>
    <n v="1006"/>
    <x v="3"/>
    <s v="Iteration 20"/>
    <d v="2009-11-16T16:58:52"/>
    <x v="0"/>
    <n v="5.0138888888888893"/>
    <n v="0"/>
  </r>
  <r>
    <n v="1007"/>
    <x v="48"/>
    <s v="Iteration 20"/>
    <d v="2009-11-11T09:36:48"/>
    <x v="0"/>
    <n v="5.0277777777777777"/>
    <n v="0"/>
  </r>
  <r>
    <n v="1011"/>
    <x v="7"/>
    <s v="Iteration 22"/>
    <d v="2010-04-01T15:11:50"/>
    <x v="0"/>
    <n v="4.6388888888888893"/>
    <n v="0"/>
  </r>
  <r>
    <n v="1013"/>
    <x v="3"/>
    <s v="Iteration 21"/>
    <d v="2010-02-08T16:30:18"/>
    <x v="0"/>
    <n v="4.7861111111111114"/>
    <n v="0"/>
  </r>
  <r>
    <n v="1014"/>
    <x v="3"/>
    <s v="Iteration 21"/>
    <d v="2009-11-13T14:51:39"/>
    <x v="0"/>
    <n v="5.0222222222222221"/>
    <n v="0"/>
  </r>
  <r>
    <n v="1016"/>
    <x v="5"/>
    <s v="Iteration 26"/>
    <d v="2010-12-15T10:02:43"/>
    <x v="6"/>
    <n v="3.9333333333333331"/>
    <n v="0"/>
  </r>
  <r>
    <n v="1019"/>
    <x v="5"/>
    <s v="Iteration 21"/>
    <d v="2010-02-05T14:41:25"/>
    <x v="0"/>
    <n v="4.7944444444444443"/>
    <n v="0"/>
  </r>
  <r>
    <n v="1020"/>
    <x v="4"/>
    <s v="Iteration 21"/>
    <d v="2010-02-08T14:52:08"/>
    <x v="0"/>
    <n v="4.7861111111111114"/>
    <n v="0"/>
  </r>
  <r>
    <n v="1023"/>
    <x v="48"/>
    <s v="Iteration 21"/>
    <d v="2009-11-26T16:03:07"/>
    <x v="0"/>
    <n v="4.9861111111111107"/>
    <n v="0"/>
  </r>
  <r>
    <n v="1024"/>
    <x v="4"/>
    <s v="Iteration 27"/>
    <d v="2011-02-16T09:55:40"/>
    <x v="4"/>
    <n v="3.7638888888888888"/>
    <n v="0"/>
  </r>
  <r>
    <n v="1025"/>
    <x v="1"/>
    <s v="Iteration 21"/>
    <d v="2010-02-08T14:06:12"/>
    <x v="0"/>
    <n v="4.7861111111111114"/>
    <n v="0"/>
  </r>
  <r>
    <n v="1026"/>
    <x v="4"/>
    <s v="Iteration 21"/>
    <d v="2010-02-08T14:57:09"/>
    <x v="0"/>
    <n v="4.7861111111111114"/>
    <n v="0"/>
  </r>
  <r>
    <n v="1027"/>
    <x v="3"/>
    <s v="Iteration 20"/>
    <d v="2009-11-25T16:26:41"/>
    <x v="0"/>
    <n v="4.9888888888888889"/>
    <n v="0"/>
  </r>
  <r>
    <n v="1028"/>
    <x v="3"/>
    <s v="Iteration 20"/>
    <d v="2009-11-23T16:43:46"/>
    <x v="0"/>
    <n v="4.9944444444444445"/>
    <n v="0"/>
  </r>
  <r>
    <n v="1029"/>
    <x v="3"/>
    <s v="Iteration 20"/>
    <d v="2009-11-23T10:22:46"/>
    <x v="0"/>
    <n v="4.9944444444444445"/>
    <n v="0"/>
  </r>
  <r>
    <n v="1030"/>
    <x v="3"/>
    <s v="Iteration 21"/>
    <d v="2010-02-08T10:09:05"/>
    <x v="0"/>
    <n v="4.7861111111111114"/>
    <n v="0"/>
  </r>
  <r>
    <n v="1031"/>
    <x v="5"/>
    <s v="Iteration 23"/>
    <d v="2010-06-10T13:48:18"/>
    <x v="0"/>
    <n v="4.447222222222222"/>
    <n v="0"/>
  </r>
  <r>
    <n v="1032"/>
    <x v="5"/>
    <s v="Iteration 22"/>
    <d v="2010-04-01T11:48:31"/>
    <x v="0"/>
    <n v="4.6388888888888893"/>
    <n v="0"/>
  </r>
  <r>
    <n v="1033"/>
    <x v="4"/>
    <s v="Iteration 21"/>
    <d v="2010-02-08T15:07:37"/>
    <x v="0"/>
    <n v="4.7861111111111114"/>
    <n v="0"/>
  </r>
  <r>
    <n v="1037"/>
    <x v="0"/>
    <s v="Release 2.0"/>
    <d v="2012-01-18T16:34:52"/>
    <x v="19"/>
    <n v="2.8416666666666668"/>
    <n v="0"/>
  </r>
  <r>
    <n v="1038"/>
    <x v="3"/>
    <s v="Iteration 21"/>
    <d v="2010-02-08T10:17:04"/>
    <x v="0"/>
    <n v="4.7861111111111114"/>
    <n v="0"/>
  </r>
  <r>
    <n v="1040"/>
    <x v="3"/>
    <s v="Iteration 22"/>
    <d v="2010-04-01T14:09:29"/>
    <x v="0"/>
    <n v="4.6388888888888893"/>
    <n v="0"/>
  </r>
  <r>
    <n v="1041"/>
    <x v="4"/>
    <s v="Iteration 28"/>
    <d v="2011-05-03T11:32:24"/>
    <x v="6"/>
    <n v="3.55"/>
    <n v="0"/>
  </r>
  <r>
    <n v="1043"/>
    <x v="5"/>
    <s v="Iteration 23"/>
    <d v="2010-06-09T14:33:27"/>
    <x v="0"/>
    <n v="4.45"/>
    <n v="0"/>
  </r>
  <r>
    <n v="1044"/>
    <x v="6"/>
    <s v="Iteration 21"/>
    <d v="2010-02-08T15:14:59"/>
    <x v="0"/>
    <n v="4.7861111111111114"/>
    <n v="0"/>
  </r>
  <r>
    <n v="1046"/>
    <x v="3"/>
    <s v="Iteration 22"/>
    <d v="2010-04-01T13:12:23"/>
    <x v="0"/>
    <n v="4.6388888888888893"/>
    <n v="0"/>
  </r>
  <r>
    <n v="1049"/>
    <x v="7"/>
    <s v="Iteration 22"/>
    <d v="2010-02-03T16:13:28"/>
    <x v="0"/>
    <n v="4.8"/>
    <n v="0"/>
  </r>
  <r>
    <n v="1051"/>
    <x v="0"/>
    <s v="Iteration 21"/>
    <d v="2010-02-05T14:46:54"/>
    <x v="0"/>
    <n v="4.7944444444444443"/>
    <n v="0"/>
  </r>
  <r>
    <n v="1052"/>
    <x v="3"/>
    <s v="Iteration 22"/>
    <d v="2010-04-01T15:31:25"/>
    <x v="0"/>
    <n v="4.6388888888888893"/>
    <n v="0"/>
  </r>
  <r>
    <n v="1053"/>
    <x v="3"/>
    <s v="Iteration 22"/>
    <d v="2010-04-01T15:39:55"/>
    <x v="0"/>
    <n v="4.6388888888888893"/>
    <n v="0"/>
  </r>
  <r>
    <n v="1054"/>
    <x v="4"/>
    <s v="Iteration 22"/>
    <d v="2010-04-06T10:09:52"/>
    <x v="0"/>
    <n v="4.625"/>
    <n v="0"/>
  </r>
  <r>
    <n v="1057"/>
    <x v="0"/>
    <s v="Iteration 21"/>
    <d v="2010-02-05T14:56:24"/>
    <x v="0"/>
    <n v="4.7944444444444443"/>
    <n v="0"/>
  </r>
  <r>
    <n v="1058"/>
    <x v="4"/>
    <s v="Iteration 24"/>
    <d v="2010-08-26T15:20:14"/>
    <x v="10"/>
    <n v="4.2361111111111107"/>
    <n v="0"/>
  </r>
  <r>
    <n v="1059"/>
    <x v="2"/>
    <s v="Iteration 21"/>
    <d v="2009-12-07T15:22:29"/>
    <x v="0"/>
    <n v="4.9555555555555557"/>
    <n v="0"/>
  </r>
  <r>
    <n v="1062"/>
    <x v="4"/>
    <s v="Iteration 21"/>
    <d v="2010-02-09T10:35:00"/>
    <x v="0"/>
    <n v="4.7833333333333332"/>
    <n v="0"/>
  </r>
  <r>
    <n v="1063"/>
    <x v="4"/>
    <s v="Iteration 21"/>
    <d v="2010-02-08T15:44:20"/>
    <x v="0"/>
    <n v="4.7861111111111114"/>
    <n v="0"/>
  </r>
  <r>
    <n v="1064"/>
    <x v="5"/>
    <s v="Iteration 21"/>
    <d v="2010-02-08T14:08:06"/>
    <x v="0"/>
    <n v="4.7861111111111114"/>
    <n v="0"/>
  </r>
  <r>
    <n v="1065"/>
    <x v="3"/>
    <s v="Iteration 22"/>
    <d v="2010-04-01T15:44:01"/>
    <x v="0"/>
    <n v="4.6388888888888893"/>
    <n v="0"/>
  </r>
  <r>
    <n v="1066"/>
    <x v="0"/>
    <s v="Iteration 21"/>
    <d v="2010-02-08T16:42:56"/>
    <x v="0"/>
    <n v="4.7861111111111114"/>
    <n v="0"/>
  </r>
  <r>
    <n v="1067"/>
    <x v="0"/>
    <s v="Iteration 21"/>
    <d v="2010-02-08T15:59:01"/>
    <x v="0"/>
    <n v="4.7861111111111114"/>
    <n v="0"/>
  </r>
  <r>
    <n v="1069"/>
    <x v="7"/>
    <s v="Iteration 22"/>
    <d v="2010-04-07T08:27:18"/>
    <x v="0"/>
    <n v="4.6222222222222218"/>
    <n v="0"/>
  </r>
  <r>
    <n v="1072"/>
    <x v="5"/>
    <s v="Iteration 22"/>
    <d v="2010-04-01T13:19:34"/>
    <x v="0"/>
    <n v="4.6388888888888893"/>
    <n v="0"/>
  </r>
  <r>
    <n v="1075"/>
    <x v="5"/>
    <s v="Iteration 22"/>
    <d v="2010-04-01T13:52:15"/>
    <x v="0"/>
    <n v="4.6388888888888893"/>
    <n v="0"/>
  </r>
  <r>
    <n v="1076"/>
    <x v="5"/>
    <s v="Iteration 22"/>
    <d v="2010-04-01T13:54:53"/>
    <x v="0"/>
    <n v="4.6388888888888893"/>
    <n v="0"/>
  </r>
  <r>
    <n v="1077"/>
    <x v="3"/>
    <s v="Iteration 21"/>
    <d v="2010-02-08T16:55:20"/>
    <x v="0"/>
    <n v="4.7861111111111114"/>
    <n v="0"/>
  </r>
  <r>
    <n v="1078"/>
    <x v="3"/>
    <s v="Iteration 21"/>
    <d v="2010-02-09T09:07:31"/>
    <x v="0"/>
    <n v="4.7833333333333332"/>
    <n v="0"/>
  </r>
  <r>
    <n v="1079"/>
    <x v="2"/>
    <s v="Iteration 23"/>
    <d v="2010-04-29T10:41:39"/>
    <x v="0"/>
    <n v="4.5611111111111109"/>
    <n v="0"/>
  </r>
  <r>
    <n v="1080"/>
    <x v="6"/>
    <s v="Iteration 21"/>
    <d v="2010-02-08T16:06:06"/>
    <x v="0"/>
    <n v="4.7861111111111114"/>
    <n v="0"/>
  </r>
  <r>
    <n v="1082"/>
    <x v="3"/>
    <s v="Iteration 21"/>
    <d v="2010-02-09T09:32:40"/>
    <x v="0"/>
    <n v="4.7833333333333332"/>
    <n v="0"/>
  </r>
  <r>
    <n v="1087"/>
    <x v="4"/>
    <s v="Iteration 21"/>
    <d v="2010-02-09T14:12:17"/>
    <x v="0"/>
    <n v="4.7833333333333332"/>
    <n v="0"/>
  </r>
  <r>
    <n v="1088"/>
    <x v="3"/>
    <s v="Iteration 21"/>
    <d v="2010-02-08T10:23:54"/>
    <x v="0"/>
    <n v="4.7861111111111114"/>
    <n v="0"/>
  </r>
  <r>
    <n v="1089"/>
    <x v="0"/>
    <s v="Iteration 21"/>
    <d v="2010-02-05T15:07:06"/>
    <x v="0"/>
    <n v="4.7944444444444443"/>
    <n v="0"/>
  </r>
  <r>
    <n v="1090"/>
    <x v="3"/>
    <s v="Iteration 21"/>
    <d v="2010-02-09T12:58:12"/>
    <x v="0"/>
    <n v="4.7833333333333332"/>
    <n v="0"/>
  </r>
  <r>
    <n v="1091"/>
    <x v="4"/>
    <s v="Iteration 22"/>
    <d v="2010-04-01T17:01:10"/>
    <x v="0"/>
    <n v="4.6388888888888893"/>
    <n v="0"/>
  </r>
  <r>
    <n v="1094"/>
    <x v="7"/>
    <s v="Iteration 22"/>
    <d v="2010-04-01T15:58:21"/>
    <x v="0"/>
    <n v="4.6388888888888893"/>
    <n v="0"/>
  </r>
  <r>
    <n v="1096"/>
    <x v="0"/>
    <s v="Iteration 21"/>
    <d v="2010-02-05T15:39:14"/>
    <x v="0"/>
    <n v="4.7944444444444443"/>
    <n v="0"/>
  </r>
  <r>
    <n v="1097"/>
    <x v="36"/>
    <s v="Iteration 21"/>
    <d v="2010-02-15T11:57:01"/>
    <x v="0"/>
    <n v="4.7666666666666666"/>
    <n v="0"/>
  </r>
  <r>
    <n v="1098"/>
    <x v="4"/>
    <s v="Iteration 22"/>
    <d v="2010-04-06T10:31:56"/>
    <x v="0"/>
    <n v="4.625"/>
    <n v="0"/>
  </r>
  <r>
    <n v="1101"/>
    <x v="0"/>
    <s v="Iteration 21"/>
    <d v="2010-02-09T10:16:47"/>
    <x v="0"/>
    <n v="4.7833333333333332"/>
    <n v="0"/>
  </r>
  <r>
    <n v="1107"/>
    <x v="6"/>
    <s v="Iteration 23"/>
    <d v="2010-06-10T13:58:07"/>
    <x v="0"/>
    <n v="4.447222222222222"/>
    <n v="0"/>
  </r>
  <r>
    <n v="1108"/>
    <x v="6"/>
    <s v="Iteration 22"/>
    <d v="2010-04-01T16:04:46"/>
    <x v="0"/>
    <n v="4.6388888888888893"/>
    <n v="0"/>
  </r>
  <r>
    <n v="1110"/>
    <x v="4"/>
    <s v="Iteration 22"/>
    <d v="2010-04-07T08:58:18"/>
    <x v="0"/>
    <n v="4.6222222222222218"/>
    <n v="0"/>
  </r>
  <r>
    <n v="1117"/>
    <x v="3"/>
    <s v="Iteration 22"/>
    <d v="2010-04-01T16:12:29"/>
    <x v="0"/>
    <n v="4.6388888888888893"/>
    <n v="0"/>
  </r>
  <r>
    <n v="1118"/>
    <x v="0"/>
    <s v="Iteration 22"/>
    <d v="2010-03-29T16:27:50"/>
    <x v="0"/>
    <n v="4.6444444444444448"/>
    <n v="0"/>
  </r>
  <r>
    <n v="1121"/>
    <x v="4"/>
    <s v="Iteration 22"/>
    <d v="2010-04-06T11:24:29"/>
    <x v="0"/>
    <n v="4.625"/>
    <n v="0"/>
  </r>
  <r>
    <n v="1126"/>
    <x v="4"/>
    <s v="Iteration 22"/>
    <d v="2010-04-06T11:27:38"/>
    <x v="0"/>
    <n v="4.625"/>
    <n v="0"/>
  </r>
  <r>
    <n v="1127"/>
    <x v="0"/>
    <s v="Iteration 22"/>
    <d v="2010-02-15T16:40:33"/>
    <x v="0"/>
    <n v="4.7666666666666666"/>
    <n v="0"/>
  </r>
  <r>
    <n v="1129"/>
    <x v="4"/>
    <s v="Iteration 22"/>
    <d v="2010-04-01T16:15:49"/>
    <x v="0"/>
    <n v="4.6388888888888893"/>
    <n v="0"/>
  </r>
  <r>
    <n v="1132"/>
    <x v="6"/>
    <s v="Iteration 23"/>
    <d v="2010-06-08T14:22:36"/>
    <x v="0"/>
    <n v="4.4527777777777775"/>
    <n v="0"/>
  </r>
  <r>
    <n v="1135"/>
    <x v="6"/>
    <s v="Iteration 22"/>
    <d v="2010-04-01T16:08:39"/>
    <x v="0"/>
    <n v="4.6388888888888893"/>
    <n v="0"/>
  </r>
  <r>
    <n v="1136"/>
    <x v="7"/>
    <s v="Iteration 24"/>
    <d v="2010-08-25T11:36:43"/>
    <x v="1"/>
    <n v="4.2388888888888889"/>
    <n v="0"/>
  </r>
  <r>
    <n v="1137"/>
    <x v="7"/>
    <s v="Iteration 22"/>
    <d v="2010-04-06T11:59:15"/>
    <x v="0"/>
    <n v="4.625"/>
    <n v="0"/>
  </r>
  <r>
    <n v="1138"/>
    <x v="3"/>
    <s v="Iteration 24"/>
    <d v="2010-08-25T11:39:59"/>
    <x v="6"/>
    <n v="4.2388888888888889"/>
    <n v="0"/>
  </r>
  <r>
    <n v="1140"/>
    <x v="7"/>
    <s v="Iteration 24"/>
    <d v="2010-08-24T12:00:53"/>
    <x v="6"/>
    <n v="4.2416666666666663"/>
    <n v="0"/>
  </r>
  <r>
    <n v="1141"/>
    <x v="6"/>
    <s v="Iteration 22"/>
    <d v="2010-04-06T08:49:03"/>
    <x v="0"/>
    <n v="4.625"/>
    <n v="0"/>
  </r>
  <r>
    <n v="1142"/>
    <x v="6"/>
    <s v="Iteration 23"/>
    <d v="2010-06-10T15:50:33"/>
    <x v="0"/>
    <n v="4.447222222222222"/>
    <n v="0"/>
  </r>
  <r>
    <n v="1143"/>
    <x v="0"/>
    <s v="Iteration 22"/>
    <d v="2010-03-30T09:16:33"/>
    <x v="0"/>
    <n v="4.6416666666666666"/>
    <n v="0"/>
  </r>
  <r>
    <n v="1148"/>
    <x v="7"/>
    <s v="Iteration 20"/>
    <d v="2010-03-17T15:43:26"/>
    <x v="0"/>
    <n v="4.677777777777778"/>
    <n v="0"/>
  </r>
  <r>
    <n v="1149"/>
    <x v="2"/>
    <s v="Iteration 22"/>
    <d v="2010-03-11T10:50:54"/>
    <x v="0"/>
    <n v="4.6944444444444446"/>
    <n v="0"/>
  </r>
  <r>
    <n v="1150"/>
    <x v="2"/>
    <s v="Iteration 22"/>
    <d v="2010-03-12T10:45:09"/>
    <x v="0"/>
    <n v="4.6916666666666664"/>
    <n v="0"/>
  </r>
  <r>
    <n v="1151"/>
    <x v="3"/>
    <s v="Iteration 22"/>
    <d v="2010-04-06T09:03:37"/>
    <x v="0"/>
    <n v="4.625"/>
    <n v="0"/>
  </r>
  <r>
    <n v="1152"/>
    <x v="3"/>
    <s v="Iteration 22"/>
    <d v="2010-04-06T09:12:11"/>
    <x v="0"/>
    <n v="4.625"/>
    <n v="0"/>
  </r>
  <r>
    <n v="1153"/>
    <x v="3"/>
    <s v="Iteration 22"/>
    <d v="2010-04-06T09:16:53"/>
    <x v="0"/>
    <n v="4.625"/>
    <n v="0"/>
  </r>
  <r>
    <n v="1155"/>
    <x v="0"/>
    <s v="Iteration 22"/>
    <d v="2010-03-30T10:10:16"/>
    <x v="0"/>
    <n v="4.6416666666666666"/>
    <n v="0"/>
  </r>
  <r>
    <n v="1156"/>
    <x v="3"/>
    <s v="Iteration 22"/>
    <d v="2010-04-01T15:04:35"/>
    <x v="0"/>
    <n v="4.6388888888888893"/>
    <n v="0"/>
  </r>
  <r>
    <n v="1157"/>
    <x v="3"/>
    <s v="Iteration 22"/>
    <d v="2010-04-06T11:44:36"/>
    <x v="0"/>
    <n v="4.625"/>
    <n v="0"/>
  </r>
  <r>
    <n v="1158"/>
    <x v="0"/>
    <s v="Iteration 22"/>
    <d v="2010-03-29T18:09:00"/>
    <x v="0"/>
    <n v="4.6444444444444448"/>
    <n v="0"/>
  </r>
  <r>
    <n v="1160"/>
    <x v="6"/>
    <s v="Iteration 22"/>
    <d v="2010-04-06T09:20:43"/>
    <x v="0"/>
    <n v="4.625"/>
    <n v="0"/>
  </r>
  <r>
    <n v="1163"/>
    <x v="3"/>
    <s v="Iteration 23"/>
    <d v="2010-06-10T15:33:38"/>
    <x v="0"/>
    <n v="4.447222222222222"/>
    <n v="0"/>
  </r>
  <r>
    <n v="1164"/>
    <x v="7"/>
    <s v="Iteration 23"/>
    <d v="2010-06-11T08:32:28"/>
    <x v="0"/>
    <n v="4.4444444444444446"/>
    <n v="0"/>
  </r>
  <r>
    <n v="1165"/>
    <x v="7"/>
    <s v="Iteration 22"/>
    <d v="2010-04-06T13:15:08"/>
    <x v="0"/>
    <n v="4.625"/>
    <n v="0"/>
  </r>
  <r>
    <n v="1166"/>
    <x v="7"/>
    <s v="Iteration 24"/>
    <d v="2010-08-25T11:54:20"/>
    <x v="6"/>
    <n v="4.2388888888888889"/>
    <n v="0"/>
  </r>
  <r>
    <n v="1168"/>
    <x v="0"/>
    <s v="Iteration 22"/>
    <d v="2010-04-06T14:04:42"/>
    <x v="0"/>
    <n v="4.625"/>
    <n v="0"/>
  </r>
  <r>
    <n v="1169"/>
    <x v="0"/>
    <s v="Iteration 22"/>
    <d v="2010-04-06T14:08:31"/>
    <x v="0"/>
    <n v="4.625"/>
    <n v="0"/>
  </r>
  <r>
    <n v="1170"/>
    <x v="0"/>
    <s v="Iteration 22"/>
    <d v="2010-04-01T14:30:13"/>
    <x v="0"/>
    <n v="4.6388888888888893"/>
    <n v="0"/>
  </r>
  <r>
    <n v="1171"/>
    <x v="6"/>
    <s v="Iteration 23"/>
    <d v="2010-06-10T17:05:22"/>
    <x v="0"/>
    <n v="4.447222222222222"/>
    <n v="0"/>
  </r>
  <r>
    <n v="1173"/>
    <x v="4"/>
    <s v="Iteration 23"/>
    <d v="2010-06-09T09:48:44"/>
    <x v="0"/>
    <n v="4.45"/>
    <n v="0"/>
  </r>
  <r>
    <n v="1174"/>
    <x v="0"/>
    <s v="Iteration 22"/>
    <d v="2010-04-06T17:10:09"/>
    <x v="0"/>
    <n v="4.625"/>
    <n v="0"/>
  </r>
  <r>
    <n v="1175"/>
    <x v="5"/>
    <s v="Iteration 25"/>
    <d v="2010-11-03T12:37:48"/>
    <x v="6"/>
    <n v="4.05"/>
    <n v="0"/>
  </r>
  <r>
    <n v="1179"/>
    <x v="6"/>
    <s v="Iteration 23"/>
    <d v="2010-06-09T10:45:28"/>
    <x v="0"/>
    <n v="4.45"/>
    <n v="0"/>
  </r>
  <r>
    <n v="1180"/>
    <x v="6"/>
    <s v="Iteration 24"/>
    <d v="2010-08-26T09:11:28"/>
    <x v="4"/>
    <n v="4.2361111111111107"/>
    <n v="0"/>
  </r>
  <r>
    <n v="1181"/>
    <x v="2"/>
    <s v="Iteration 24"/>
    <d v="2010-08-24T17:20:40"/>
    <x v="19"/>
    <n v="4.2416666666666663"/>
    <n v="0"/>
  </r>
  <r>
    <n v="1182"/>
    <x v="2"/>
    <s v="Iteration 24"/>
    <d v="2010-08-25T13:07:16"/>
    <x v="4"/>
    <n v="4.2388888888888889"/>
    <n v="0"/>
  </r>
  <r>
    <n v="1184"/>
    <x v="4"/>
    <s v="Iteration 23"/>
    <d v="2010-06-10T09:05:15"/>
    <x v="0"/>
    <n v="4.447222222222222"/>
    <n v="0"/>
  </r>
  <r>
    <n v="1185"/>
    <x v="3"/>
    <s v="Iteration 24"/>
    <d v="2010-08-25T15:12:11"/>
    <x v="8"/>
    <n v="4.2388888888888889"/>
    <n v="0"/>
  </r>
  <r>
    <n v="1189"/>
    <x v="36"/>
    <s v="Iteration 22"/>
    <d v="2010-04-08T08:42:55"/>
    <x v="0"/>
    <n v="4.6194444444444445"/>
    <n v="0"/>
  </r>
  <r>
    <n v="1191"/>
    <x v="4"/>
    <s v="Iteration 23"/>
    <d v="2010-04-08T14:06:56"/>
    <x v="0"/>
    <n v="4.6194444444444445"/>
    <n v="0"/>
  </r>
  <r>
    <n v="1193"/>
    <x v="3"/>
    <s v="Iteration 23"/>
    <d v="2010-06-11T12:23:00"/>
    <x v="0"/>
    <n v="4.4444444444444446"/>
    <n v="0"/>
  </r>
  <r>
    <n v="1194"/>
    <x v="4"/>
    <s v="Iteration 23"/>
    <d v="2010-04-09T14:48:29"/>
    <x v="0"/>
    <n v="4.6166666666666663"/>
    <n v="0"/>
  </r>
  <r>
    <n v="1195"/>
    <x v="3"/>
    <s v="Iteration 23"/>
    <d v="2010-06-09T14:56:20"/>
    <x v="0"/>
    <n v="4.45"/>
    <n v="0"/>
  </r>
  <r>
    <n v="1196"/>
    <x v="3"/>
    <s v="Iteration 23"/>
    <d v="2010-06-11T16:12:14"/>
    <x v="0"/>
    <n v="4.4444444444444446"/>
    <n v="0"/>
  </r>
  <r>
    <n v="1197"/>
    <x v="36"/>
    <s v="Iteration 23"/>
    <d v="2010-06-06T20:53:46"/>
    <x v="0"/>
    <n v="4.458333333333333"/>
    <n v="0"/>
  </r>
  <r>
    <n v="1199"/>
    <x v="4"/>
    <s v="Iteration 24"/>
    <d v="2010-08-25T18:48:10"/>
    <x v="3"/>
    <n v="4.2388888888888889"/>
    <n v="0"/>
  </r>
  <r>
    <n v="1201"/>
    <x v="3"/>
    <s v="Iteration 23"/>
    <d v="2010-04-19T08:57:29"/>
    <x v="0"/>
    <n v="4.5888888888888886"/>
    <n v="0"/>
  </r>
  <r>
    <n v="1203"/>
    <x v="4"/>
    <s v="Iteration 23"/>
    <d v="2010-06-08T12:05:17"/>
    <x v="0"/>
    <n v="4.4527777777777775"/>
    <n v="0"/>
  </r>
  <r>
    <n v="1204"/>
    <x v="3"/>
    <s v="Iteration 24"/>
    <d v="2010-08-25T15:43:51"/>
    <x v="10"/>
    <n v="4.2388888888888889"/>
    <n v="0"/>
  </r>
  <r>
    <n v="1205"/>
    <x v="6"/>
    <s v="Iteration 23"/>
    <d v="2010-06-10T16:06:21"/>
    <x v="0"/>
    <n v="4.447222222222222"/>
    <n v="0"/>
  </r>
  <r>
    <n v="1206"/>
    <x v="4"/>
    <s v="Iteration 23"/>
    <d v="2010-06-08T12:13:49"/>
    <x v="0"/>
    <n v="4.4527777777777775"/>
    <n v="0"/>
  </r>
  <r>
    <n v="1207"/>
    <x v="1"/>
    <s v="Iteration 23"/>
    <d v="2010-06-09T10:10:34"/>
    <x v="0"/>
    <n v="4.45"/>
    <n v="0"/>
  </r>
  <r>
    <n v="1208"/>
    <x v="3"/>
    <s v="Iteration 23"/>
    <d v="2010-06-11T11:50:34"/>
    <x v="0"/>
    <n v="4.4444444444444446"/>
    <n v="0"/>
  </r>
  <r>
    <n v="1209"/>
    <x v="1"/>
    <s v="Iteration 23"/>
    <d v="2010-06-09T10:11:46"/>
    <x v="0"/>
    <n v="4.45"/>
    <n v="0"/>
  </r>
  <r>
    <n v="1210"/>
    <x v="7"/>
    <s v="Iteration 23"/>
    <d v="2010-06-10T16:11:12"/>
    <x v="0"/>
    <n v="4.447222222222222"/>
    <n v="0"/>
  </r>
  <r>
    <n v="1211"/>
    <x v="4"/>
    <s v="Iteration 23"/>
    <d v="2010-05-11T15:59:09"/>
    <x v="0"/>
    <n v="4.5277777777777777"/>
    <n v="0"/>
  </r>
  <r>
    <n v="1216"/>
    <x v="2"/>
    <s v="Iteration 23"/>
    <d v="2010-04-23T12:06:19"/>
    <x v="0"/>
    <n v="4.5777777777777775"/>
    <n v="0"/>
  </r>
  <r>
    <n v="1218"/>
    <x v="3"/>
    <s v="Iteration 23"/>
    <d v="2010-06-08T15:00:15"/>
    <x v="0"/>
    <n v="4.4527777777777775"/>
    <n v="0"/>
  </r>
  <r>
    <n v="1221"/>
    <x v="3"/>
    <s v="Iteration 23"/>
    <d v="2010-06-10T17:07:25"/>
    <x v="0"/>
    <n v="4.447222222222222"/>
    <n v="0"/>
  </r>
  <r>
    <n v="1222"/>
    <x v="0"/>
    <s v="Iteration 23"/>
    <d v="2010-06-08T16:43:16"/>
    <x v="0"/>
    <n v="4.4527777777777775"/>
    <n v="0"/>
  </r>
  <r>
    <n v="1223"/>
    <x v="6"/>
    <s v="Iteration 23"/>
    <d v="2010-06-11T09:30:56"/>
    <x v="0"/>
    <n v="4.4444444444444446"/>
    <n v="0"/>
  </r>
  <r>
    <n v="1224"/>
    <x v="3"/>
    <s v="Iteration 28"/>
    <d v="2011-04-27T12:22:00"/>
    <x v="6"/>
    <n v="3.5666666666666669"/>
    <n v="0"/>
  </r>
  <r>
    <n v="1226"/>
    <x v="0"/>
    <s v="Iteration 23"/>
    <d v="2010-06-09T14:01:39"/>
    <x v="0"/>
    <n v="4.45"/>
    <n v="0"/>
  </r>
  <r>
    <n v="1227"/>
    <x v="0"/>
    <s v="Iteration 23"/>
    <d v="2010-06-08T14:36:24"/>
    <x v="0"/>
    <n v="4.4527777777777775"/>
    <n v="0"/>
  </r>
  <r>
    <n v="1229"/>
    <x v="6"/>
    <s v="Iteration 23"/>
    <d v="2010-06-10T16:24:33"/>
    <x v="0"/>
    <n v="4.447222222222222"/>
    <n v="0"/>
  </r>
  <r>
    <n v="1230"/>
    <x v="4"/>
    <s v="Iteration 23"/>
    <d v="2010-06-09T09:43:53"/>
    <x v="0"/>
    <n v="4.45"/>
    <n v="0"/>
  </r>
  <r>
    <n v="1231"/>
    <x v="7"/>
    <s v="Iteration 23"/>
    <d v="2010-06-11T18:56:04"/>
    <x v="0"/>
    <n v="4.4444444444444446"/>
    <n v="0"/>
  </r>
  <r>
    <n v="1232"/>
    <x v="3"/>
    <s v="Iteration 23"/>
    <d v="2010-06-11T10:43:23"/>
    <x v="0"/>
    <n v="4.4444444444444446"/>
    <n v="0"/>
  </r>
  <r>
    <n v="1233"/>
    <x v="6"/>
    <s v="Iteration 23"/>
    <d v="2010-06-10T17:02:57"/>
    <x v="0"/>
    <n v="4.447222222222222"/>
    <n v="0"/>
  </r>
  <r>
    <n v="1234"/>
    <x v="7"/>
    <s v="Iteration 23"/>
    <d v="2010-05-05T12:05:06"/>
    <x v="0"/>
    <n v="4.5444444444444443"/>
    <n v="0"/>
  </r>
  <r>
    <n v="1235"/>
    <x v="3"/>
    <s v="Iteration 23"/>
    <d v="2010-06-11T13:29:58"/>
    <x v="0"/>
    <n v="4.4444444444444446"/>
    <n v="0"/>
  </r>
  <r>
    <n v="1236"/>
    <x v="3"/>
    <s v="Iteration 23"/>
    <d v="2010-06-11T11:40:16"/>
    <x v="0"/>
    <n v="4.4444444444444446"/>
    <n v="0"/>
  </r>
  <r>
    <n v="1237"/>
    <x v="7"/>
    <s v="Iteration 23"/>
    <d v="2010-06-09T14:20:28"/>
    <x v="0"/>
    <n v="4.45"/>
    <n v="0"/>
  </r>
  <r>
    <n v="1239"/>
    <x v="18"/>
    <s v="Iteration 23"/>
    <d v="2010-06-10T16:33:06"/>
    <x v="0"/>
    <n v="4.447222222222222"/>
    <n v="0"/>
  </r>
  <r>
    <n v="1240"/>
    <x v="16"/>
    <s v="Iteration 23"/>
    <d v="2010-06-14T12:16:59"/>
    <x v="0"/>
    <n v="4.4361111111111109"/>
    <n v="0"/>
  </r>
  <r>
    <n v="1241"/>
    <x v="7"/>
    <s v="Iteration 23"/>
    <d v="2010-06-10T16:22:12"/>
    <x v="0"/>
    <n v="4.447222222222222"/>
    <n v="0"/>
  </r>
  <r>
    <n v="1242"/>
    <x v="40"/>
    <s v="Iteration 23"/>
    <d v="2010-06-14T12:15:28"/>
    <x v="0"/>
    <n v="4.4361111111111109"/>
    <n v="0"/>
  </r>
  <r>
    <n v="1243"/>
    <x v="4"/>
    <s v="Iteration 23"/>
    <d v="2010-06-09T09:45:53"/>
    <x v="0"/>
    <n v="4.45"/>
    <n v="0"/>
  </r>
  <r>
    <n v="1244"/>
    <x v="36"/>
    <s v="Iteration 23"/>
    <d v="2010-06-06T20:54:18"/>
    <x v="0"/>
    <n v="4.458333333333333"/>
    <n v="0"/>
  </r>
  <r>
    <n v="1246"/>
    <x v="6"/>
    <s v="Iteration 23"/>
    <d v="2010-06-10T16:38:03"/>
    <x v="0"/>
    <n v="4.447222222222222"/>
    <n v="0"/>
  </r>
  <r>
    <n v="1247"/>
    <x v="3"/>
    <s v="Iteration 23"/>
    <d v="2010-06-09T14:19:45"/>
    <x v="0"/>
    <n v="4.45"/>
    <n v="0"/>
  </r>
  <r>
    <n v="1248"/>
    <x v="3"/>
    <s v="Iteration 23"/>
    <d v="2010-06-11T13:39:24"/>
    <x v="0"/>
    <n v="4.4444444444444446"/>
    <n v="0"/>
  </r>
  <r>
    <n v="1249"/>
    <x v="6"/>
    <s v="Iteration 23"/>
    <d v="2010-06-10T15:34:11"/>
    <x v="0"/>
    <n v="4.447222222222222"/>
    <n v="0"/>
  </r>
  <r>
    <n v="1253"/>
    <x v="36"/>
    <s v="Iteration 23"/>
    <d v="2010-06-06T20:54:42"/>
    <x v="0"/>
    <n v="4.458333333333333"/>
    <n v="0"/>
  </r>
  <r>
    <n v="1254"/>
    <x v="6"/>
    <s v="Iteration 23"/>
    <d v="2010-06-11T09:19:05"/>
    <x v="0"/>
    <n v="4.4444444444444446"/>
    <n v="0"/>
  </r>
  <r>
    <n v="1255"/>
    <x v="48"/>
    <s v="Iteration 24"/>
    <d v="2010-08-25T16:27:28"/>
    <x v="5"/>
    <n v="4.2388888888888889"/>
    <n v="0"/>
  </r>
  <r>
    <n v="1256"/>
    <x v="11"/>
    <s v="Iteration 23"/>
    <d v="2010-06-11T09:15:42"/>
    <x v="0"/>
    <n v="4.4444444444444446"/>
    <n v="0"/>
  </r>
  <r>
    <n v="1259"/>
    <x v="10"/>
    <s v="Iteration 24"/>
    <d v="2010-08-25T13:56:26"/>
    <x v="36"/>
    <n v="4.2388888888888889"/>
    <n v="0"/>
  </r>
  <r>
    <n v="1260"/>
    <x v="7"/>
    <s v="Iteration 24"/>
    <d v="2010-08-27T11:04:17"/>
    <x v="13"/>
    <n v="4.2333333333333334"/>
    <n v="0"/>
  </r>
  <r>
    <n v="1267"/>
    <x v="11"/>
    <s v="Iteration 24"/>
    <d v="2010-08-26T10:48:24"/>
    <x v="4"/>
    <n v="4.2361111111111107"/>
    <n v="0"/>
  </r>
  <r>
    <n v="1268"/>
    <x v="12"/>
    <s v="Iteration 23"/>
    <d v="2010-05-21T15:54:06"/>
    <x v="0"/>
    <n v="4.5"/>
    <n v="0"/>
  </r>
  <r>
    <n v="1271"/>
    <x v="12"/>
    <s v="Iteration 23"/>
    <d v="2010-05-24T21:34:31"/>
    <x v="0"/>
    <n v="4.4916666666666663"/>
    <n v="0"/>
  </r>
  <r>
    <n v="1272"/>
    <x v="12"/>
    <s v="Iteration 23"/>
    <d v="2010-05-24T19:17:20"/>
    <x v="0"/>
    <n v="4.4916666666666663"/>
    <n v="0"/>
  </r>
  <r>
    <n v="1274"/>
    <x v="12"/>
    <s v="Iteration 23"/>
    <d v="2010-05-24T19:42:33"/>
    <x v="0"/>
    <n v="4.4916666666666663"/>
    <n v="0"/>
  </r>
  <r>
    <n v="1275"/>
    <x v="12"/>
    <s v="Iteration 23"/>
    <d v="2010-05-24T21:45:57"/>
    <x v="0"/>
    <n v="4.4916666666666663"/>
    <n v="0"/>
  </r>
  <r>
    <n v="1276"/>
    <x v="12"/>
    <s v="Iteration 23"/>
    <d v="2010-05-25T15:04:33"/>
    <x v="0"/>
    <n v="4.4888888888888889"/>
    <n v="0"/>
  </r>
  <r>
    <n v="1277"/>
    <x v="12"/>
    <s v="Iteration 23"/>
    <d v="2010-05-25T15:32:25"/>
    <x v="0"/>
    <n v="4.4888888888888889"/>
    <n v="0"/>
  </r>
  <r>
    <n v="1279"/>
    <x v="12"/>
    <s v="Iteration 25"/>
    <d v="2010-11-04T13:46:05"/>
    <x v="5"/>
    <n v="4.0472222222222225"/>
    <n v="0"/>
  </r>
  <r>
    <n v="1280"/>
    <x v="12"/>
    <s v="Iteration 23"/>
    <d v="2010-05-25T20:37:09"/>
    <x v="0"/>
    <n v="4.4888888888888889"/>
    <n v="0"/>
  </r>
  <r>
    <n v="1282"/>
    <x v="12"/>
    <s v="Iteration 23"/>
    <d v="2010-05-25T20:37:09"/>
    <x v="0"/>
    <n v="4.4888888888888889"/>
    <n v="0"/>
  </r>
  <r>
    <n v="1283"/>
    <x v="12"/>
    <s v="Iteration 23"/>
    <d v="2010-05-26T18:22:54"/>
    <x v="0"/>
    <n v="4.4861111111111107"/>
    <n v="0"/>
  </r>
  <r>
    <n v="1286"/>
    <x v="0"/>
    <s v="Iteration 23"/>
    <d v="2010-06-11T09:12:08"/>
    <x v="0"/>
    <n v="4.4444444444444446"/>
    <n v="0"/>
  </r>
  <r>
    <n v="1287"/>
    <x v="12"/>
    <s v="Iteration 23"/>
    <d v="2010-05-26T18:47:09"/>
    <x v="0"/>
    <n v="4.4861111111111107"/>
    <n v="0"/>
  </r>
  <r>
    <n v="1288"/>
    <x v="12"/>
    <s v="Iteration 23"/>
    <d v="2010-05-26T20:24:38"/>
    <x v="0"/>
    <n v="4.4861111111111107"/>
    <n v="0"/>
  </r>
  <r>
    <n v="1289"/>
    <x v="5"/>
    <s v="Iteration 25"/>
    <d v="2010-11-02T15:06:11"/>
    <x v="6"/>
    <n v="4.052777777777778"/>
    <n v="0"/>
  </r>
  <r>
    <n v="1290"/>
    <x v="6"/>
    <s v="Iteration 23"/>
    <d v="2010-06-11T09:10:53"/>
    <x v="0"/>
    <n v="4.4444444444444446"/>
    <n v="0"/>
  </r>
  <r>
    <n v="1291"/>
    <x v="12"/>
    <s v="Iteration 23"/>
    <d v="2010-06-14T09:33:26"/>
    <x v="0"/>
    <n v="4.4361111111111109"/>
    <n v="0"/>
  </r>
  <r>
    <n v="1292"/>
    <x v="0"/>
    <s v="Iteration 23"/>
    <d v="2010-06-11T09:02:15"/>
    <x v="0"/>
    <n v="4.4444444444444446"/>
    <n v="0"/>
  </r>
  <r>
    <n v="1293"/>
    <x v="0"/>
    <s v="Iteration 23"/>
    <d v="2010-06-08T15:37:22"/>
    <x v="0"/>
    <n v="4.4527777777777775"/>
    <n v="0"/>
  </r>
  <r>
    <n v="1294"/>
    <x v="7"/>
    <s v="Iteration 27"/>
    <d v="2011-02-17T16:24:30"/>
    <x v="6"/>
    <n v="3.7611111111111111"/>
    <n v="0"/>
  </r>
  <r>
    <n v="1296"/>
    <x v="11"/>
    <s v="Iteration 24"/>
    <d v="2010-08-26T10:50:29"/>
    <x v="4"/>
    <n v="4.2361111111111107"/>
    <n v="0"/>
  </r>
  <r>
    <n v="1299"/>
    <x v="3"/>
    <s v="Iteration 24"/>
    <d v="2010-08-24T11:22:24"/>
    <x v="6"/>
    <n v="4.2416666666666663"/>
    <n v="0"/>
  </r>
  <r>
    <n v="1300"/>
    <x v="0"/>
    <s v="Iteration 23"/>
    <d v="2010-06-10T09:39:46"/>
    <x v="0"/>
    <n v="4.447222222222222"/>
    <n v="0"/>
  </r>
  <r>
    <n v="1303"/>
    <x v="11"/>
    <s v="Iteration 24"/>
    <d v="2010-08-24T18:58:18"/>
    <x v="23"/>
    <n v="4.2416666666666663"/>
    <n v="0"/>
  </r>
  <r>
    <n v="1304"/>
    <x v="3"/>
    <s v="Iteration 25"/>
    <d v="2010-11-04T08:48:39"/>
    <x v="13"/>
    <n v="4.0472222222222225"/>
    <n v="0"/>
  </r>
  <r>
    <n v="1307"/>
    <x v="6"/>
    <s v="Iteration 24"/>
    <d v="2010-08-25T13:05:48"/>
    <x v="1"/>
    <n v="4.2388888888888889"/>
    <n v="0"/>
  </r>
  <r>
    <n v="1309"/>
    <x v="6"/>
    <s v="Iteration 24"/>
    <d v="2010-08-24T20:22:55"/>
    <x v="19"/>
    <n v="4.2416666666666663"/>
    <n v="0"/>
  </r>
  <r>
    <n v="1311"/>
    <x v="11"/>
    <s v="Iteration 24"/>
    <d v="2010-08-25T11:13:50"/>
    <x v="1"/>
    <n v="4.2388888888888889"/>
    <n v="0"/>
  </r>
  <r>
    <n v="1313"/>
    <x v="12"/>
    <s v="Iteration 24"/>
    <d v="2010-08-24T21:02:52"/>
    <x v="5"/>
    <n v="4.2416666666666663"/>
    <n v="0"/>
  </r>
  <r>
    <n v="1316"/>
    <x v="3"/>
    <s v="Iteration 24"/>
    <d v="2010-08-25T12:49:17"/>
    <x v="6"/>
    <n v="4.2388888888888889"/>
    <n v="0"/>
  </r>
  <r>
    <n v="1317"/>
    <x v="5"/>
    <s v="Iteration 24"/>
    <d v="2010-08-26T14:08:59"/>
    <x v="7"/>
    <n v="4.2361111111111107"/>
    <n v="0"/>
  </r>
  <r>
    <n v="1318"/>
    <x v="5"/>
    <s v="Iteration 24"/>
    <d v="2010-08-26T14:09:51"/>
    <x v="7"/>
    <n v="4.2361111111111107"/>
    <n v="0"/>
  </r>
  <r>
    <n v="1319"/>
    <x v="2"/>
    <s v="Iteration 30"/>
    <d v="2011-09-20T10:12:39"/>
    <x v="4"/>
    <n v="3.1694444444444443"/>
    <n v="0"/>
  </r>
  <r>
    <n v="1321"/>
    <x v="11"/>
    <s v="Iteration 24"/>
    <d v="2010-08-24T16:15:37"/>
    <x v="11"/>
    <n v="4.2416666666666663"/>
    <n v="0"/>
  </r>
  <r>
    <n v="1322"/>
    <x v="7"/>
    <s v="Iteration 20"/>
    <d v="2011-08-31T10:18:19"/>
    <x v="0"/>
    <n v="3.2250000000000001"/>
    <n v="0"/>
  </r>
  <r>
    <n v="1323"/>
    <x v="6"/>
    <s v="Iteration 20"/>
    <d v="2011-08-31T10:18:19"/>
    <x v="0"/>
    <n v="3.2250000000000001"/>
    <n v="0"/>
  </r>
  <r>
    <n v="1325"/>
    <x v="12"/>
    <s v="Iteration 24"/>
    <d v="2010-08-25T13:29:39"/>
    <x v="1"/>
    <n v="4.2388888888888889"/>
    <n v="0"/>
  </r>
  <r>
    <n v="1326"/>
    <x v="10"/>
    <s v="Iteration 24"/>
    <d v="2010-08-24T18:20:37"/>
    <x v="19"/>
    <n v="4.2416666666666663"/>
    <n v="0"/>
  </r>
  <r>
    <n v="1333"/>
    <x v="0"/>
    <s v="Iteration 24"/>
    <d v="2010-08-25T11:42:13"/>
    <x v="33"/>
    <n v="4.2388888888888889"/>
    <n v="0"/>
  </r>
  <r>
    <n v="1336"/>
    <x v="0"/>
    <s v="Iteration 24"/>
    <d v="2010-08-24T19:10:30"/>
    <x v="5"/>
    <n v="4.2416666666666663"/>
    <n v="0"/>
  </r>
  <r>
    <n v="1337"/>
    <x v="12"/>
    <s v="Iteration 24"/>
    <d v="2010-08-24T11:28:44"/>
    <x v="6"/>
    <n v="4.2416666666666663"/>
    <n v="0"/>
  </r>
  <r>
    <n v="1338"/>
    <x v="0"/>
    <s v="Iteration 24"/>
    <d v="2010-08-25T16:29:45"/>
    <x v="5"/>
    <n v="4.2388888888888889"/>
    <n v="0"/>
  </r>
  <r>
    <n v="1339"/>
    <x v="12"/>
    <s v="Iteration 24"/>
    <d v="2010-08-25T19:22:18"/>
    <x v="3"/>
    <n v="4.2388888888888889"/>
    <n v="0"/>
  </r>
  <r>
    <n v="1341"/>
    <x v="6"/>
    <s v="Iteration 24"/>
    <d v="2010-08-25T21:37:00"/>
    <x v="5"/>
    <n v="4.2388888888888889"/>
    <n v="0"/>
  </r>
  <r>
    <n v="1342"/>
    <x v="6"/>
    <s v="Iteration 24"/>
    <d v="2010-08-25T21:52:50"/>
    <x v="5"/>
    <n v="4.2388888888888889"/>
    <n v="0"/>
  </r>
  <r>
    <n v="1344"/>
    <x v="6"/>
    <s v="Iteration 24"/>
    <d v="2010-08-25T16:09:17"/>
    <x v="8"/>
    <n v="4.2388888888888889"/>
    <n v="0"/>
  </r>
  <r>
    <n v="1346"/>
    <x v="4"/>
    <s v="Iteration 24"/>
    <d v="2010-08-25T15:28:31"/>
    <x v="8"/>
    <n v="4.2388888888888889"/>
    <n v="0"/>
  </r>
  <r>
    <n v="1347"/>
    <x v="4"/>
    <s v="Iteration 24"/>
    <d v="2010-08-25T19:40:41"/>
    <x v="7"/>
    <n v="4.2388888888888889"/>
    <n v="0"/>
  </r>
  <r>
    <n v="1351"/>
    <x v="0"/>
    <s v="Iteration 24"/>
    <d v="2010-08-24T18:38:21"/>
    <x v="5"/>
    <n v="4.2416666666666663"/>
    <n v="0"/>
  </r>
  <r>
    <n v="1353"/>
    <x v="0"/>
    <s v="Iteration 27"/>
    <d v="2011-02-15T16:39:17"/>
    <x v="2"/>
    <n v="3.7666666666666666"/>
    <n v="0"/>
  </r>
  <r>
    <n v="1357"/>
    <x v="12"/>
    <s v="Iteration 24"/>
    <d v="2010-08-27T13:00:57"/>
    <x v="1"/>
    <n v="4.2333333333333334"/>
    <n v="0"/>
  </r>
  <r>
    <n v="1358"/>
    <x v="12"/>
    <s v="Iteration 24"/>
    <d v="2010-08-26T16:41:09"/>
    <x v="4"/>
    <n v="4.2361111111111107"/>
    <n v="0"/>
  </r>
  <r>
    <n v="1359"/>
    <x v="12"/>
    <s v="Iteration 24"/>
    <d v="2010-08-25T19:41:06"/>
    <x v="3"/>
    <n v="4.2388888888888889"/>
    <n v="0"/>
  </r>
  <r>
    <n v="1361"/>
    <x v="11"/>
    <s v="Iteration 24"/>
    <d v="2010-08-25T18:17:30"/>
    <x v="19"/>
    <n v="4.2388888888888889"/>
    <n v="0"/>
  </r>
  <r>
    <n v="1362"/>
    <x v="9"/>
    <s v="Iteration 24"/>
    <d v="2010-08-25T13:45:47"/>
    <x v="1"/>
    <n v="4.2388888888888889"/>
    <n v="0"/>
  </r>
  <r>
    <n v="1364"/>
    <x v="7"/>
    <s v="Iteration 25"/>
    <d v="2010-11-03T17:15:46"/>
    <x v="4"/>
    <n v="4.05"/>
    <n v="0"/>
  </r>
  <r>
    <n v="1365"/>
    <x v="12"/>
    <s v="Iteration 24"/>
    <d v="2010-08-25T19:43:26"/>
    <x v="3"/>
    <n v="4.2388888888888889"/>
    <n v="0"/>
  </r>
  <r>
    <n v="1366"/>
    <x v="6"/>
    <s v="Iteration 24"/>
    <d v="2010-08-25T13:50:19"/>
    <x v="1"/>
    <n v="4.2388888888888889"/>
    <n v="0"/>
  </r>
  <r>
    <n v="1368"/>
    <x v="0"/>
    <s v="Iteration 24"/>
    <d v="2010-08-24T21:58:27"/>
    <x v="19"/>
    <n v="4.2416666666666663"/>
    <n v="0"/>
  </r>
  <r>
    <n v="1369"/>
    <x v="7"/>
    <s v="Iteration 24"/>
    <d v="2010-08-25T15:34:06"/>
    <x v="1"/>
    <n v="4.2388888888888889"/>
    <n v="0"/>
  </r>
  <r>
    <n v="1370"/>
    <x v="11"/>
    <s v="Iteration 24"/>
    <d v="2010-08-25T22:18:38"/>
    <x v="8"/>
    <n v="4.2388888888888889"/>
    <n v="0"/>
  </r>
  <r>
    <n v="1372"/>
    <x v="0"/>
    <s v="Iteration 24"/>
    <d v="2010-08-25T15:10:23"/>
    <x v="1"/>
    <n v="4.2388888888888889"/>
    <n v="0"/>
  </r>
  <r>
    <n v="1374"/>
    <x v="3"/>
    <s v="Iteration 24"/>
    <d v="2010-08-25T19:29:25"/>
    <x v="23"/>
    <n v="4.2388888888888889"/>
    <n v="0"/>
  </r>
  <r>
    <n v="1375"/>
    <x v="3"/>
    <s v="Iteration 24"/>
    <d v="2010-08-25T10:22:19"/>
    <x v="6"/>
    <n v="4.2388888888888889"/>
    <n v="0"/>
  </r>
  <r>
    <n v="1376"/>
    <x v="12"/>
    <s v="Iteration 24"/>
    <d v="2010-08-25T19:52:30"/>
    <x v="3"/>
    <n v="4.2388888888888889"/>
    <n v="0"/>
  </r>
  <r>
    <n v="1377"/>
    <x v="4"/>
    <s v="Iteration 24"/>
    <d v="2010-08-25T14:28:54"/>
    <x v="19"/>
    <n v="4.2388888888888889"/>
    <n v="0"/>
  </r>
  <r>
    <n v="1378"/>
    <x v="6"/>
    <s v="Iteration 24"/>
    <d v="2010-08-26T08:41:38"/>
    <x v="6"/>
    <n v="4.2361111111111107"/>
    <n v="0"/>
  </r>
  <r>
    <n v="1382"/>
    <x v="12"/>
    <s v="Iteration 25"/>
    <d v="2010-11-03T12:32:28"/>
    <x v="1"/>
    <n v="4.05"/>
    <n v="0"/>
  </r>
  <r>
    <n v="1384"/>
    <x v="12"/>
    <s v="Iteration 25"/>
    <d v="2010-11-03T12:50:16"/>
    <x v="1"/>
    <n v="4.05"/>
    <n v="0"/>
  </r>
  <r>
    <n v="1385"/>
    <x v="9"/>
    <s v="Iteration 24"/>
    <d v="2010-08-25T22:06:59"/>
    <x v="8"/>
    <n v="4.2388888888888889"/>
    <n v="0"/>
  </r>
  <r>
    <n v="1387"/>
    <x v="11"/>
    <s v="Iteration 24"/>
    <d v="2010-08-25T20:14:40"/>
    <x v="36"/>
    <n v="4.2388888888888889"/>
    <n v="0"/>
  </r>
  <r>
    <n v="1389"/>
    <x v="0"/>
    <s v="Iteration 25"/>
    <d v="2010-11-03T17:19:42"/>
    <x v="4"/>
    <n v="4.05"/>
    <n v="0"/>
  </r>
  <r>
    <n v="1391"/>
    <x v="12"/>
    <s v="Iteration 24"/>
    <d v="2010-08-25T20:25:10"/>
    <x v="3"/>
    <n v="4.2388888888888889"/>
    <n v="0"/>
  </r>
  <r>
    <n v="1392"/>
    <x v="15"/>
    <s v="Iteration 24"/>
    <d v="2010-08-26T12:37:00"/>
    <x v="6"/>
    <n v="4.2361111111111107"/>
    <n v="0"/>
  </r>
  <r>
    <n v="1394"/>
    <x v="4"/>
    <s v="Iteration 24"/>
    <d v="2010-08-25T12:59:10"/>
    <x v="6"/>
    <n v="4.2388888888888889"/>
    <n v="0"/>
  </r>
  <r>
    <n v="1395"/>
    <x v="3"/>
    <s v="Iteration 24"/>
    <d v="2010-08-25T12:24:37"/>
    <x v="6"/>
    <n v="4.2388888888888889"/>
    <n v="0"/>
  </r>
  <r>
    <n v="1398"/>
    <x v="3"/>
    <s v="Iteration 24"/>
    <d v="2010-08-26T14:23:25"/>
    <x v="19"/>
    <n v="4.2361111111111107"/>
    <n v="0"/>
  </r>
  <r>
    <n v="1399"/>
    <x v="7"/>
    <s v="Iteration 28"/>
    <d v="2011-06-27T09:24:48"/>
    <x v="11"/>
    <n v="3.4"/>
    <n v="0"/>
  </r>
  <r>
    <n v="1401"/>
    <x v="3"/>
    <s v="Iteration 24"/>
    <d v="2010-08-27T08:34:48"/>
    <x v="11"/>
    <n v="4.2333333333333334"/>
    <n v="0"/>
  </r>
  <r>
    <n v="1402"/>
    <x v="9"/>
    <s v="Iteration 24"/>
    <d v="2010-08-26T16:44:05"/>
    <x v="4"/>
    <n v="4.2361111111111107"/>
    <n v="0"/>
  </r>
  <r>
    <n v="1403"/>
    <x v="6"/>
    <s v="Iteration 27"/>
    <d v="2011-02-15T09:29:45"/>
    <x v="6"/>
    <n v="3.7666666666666666"/>
    <n v="0"/>
  </r>
  <r>
    <n v="1404"/>
    <x v="10"/>
    <s v="Iteration 29"/>
    <d v="2011-06-27T16:57:21"/>
    <x v="3"/>
    <n v="3.4"/>
    <n v="0"/>
  </r>
  <r>
    <n v="1405"/>
    <x v="4"/>
    <s v="Iteration 24"/>
    <d v="2010-08-25T16:21:27"/>
    <x v="23"/>
    <n v="4.2388888888888889"/>
    <n v="0"/>
  </r>
  <r>
    <n v="1406"/>
    <x v="12"/>
    <s v="Iteration 24"/>
    <d v="2010-08-25T20:29:45"/>
    <x v="3"/>
    <n v="4.2388888888888889"/>
    <n v="0"/>
  </r>
  <r>
    <n v="1407"/>
    <x v="6"/>
    <s v="Iteration 25"/>
    <d v="2010-11-03T13:12:12"/>
    <x v="1"/>
    <n v="4.05"/>
    <n v="0"/>
  </r>
  <r>
    <n v="1408"/>
    <x v="15"/>
    <s v="Iteration 24"/>
    <d v="2010-08-26T18:58:45"/>
    <x v="14"/>
    <n v="4.2361111111111107"/>
    <n v="0"/>
  </r>
  <r>
    <n v="1409"/>
    <x v="15"/>
    <s v="Iteration 24"/>
    <d v="2010-08-24T16:25:50"/>
    <x v="19"/>
    <n v="4.2416666666666663"/>
    <n v="0"/>
  </r>
  <r>
    <n v="1411"/>
    <x v="11"/>
    <s v="Iteration 24"/>
    <d v="2010-08-25T10:48:24"/>
    <x v="6"/>
    <n v="4.2388888888888889"/>
    <n v="0"/>
  </r>
  <r>
    <n v="1413"/>
    <x v="12"/>
    <s v="Iteration 24"/>
    <d v="2010-08-25T19:15:46"/>
    <x v="3"/>
    <n v="4.2388888888888889"/>
    <n v="0"/>
  </r>
  <r>
    <n v="1415"/>
    <x v="3"/>
    <s v="Iteration 26"/>
    <d v="2010-12-15T22:39:25"/>
    <x v="19"/>
    <n v="3.9333333333333331"/>
    <n v="0"/>
  </r>
  <r>
    <n v="1416"/>
    <x v="3"/>
    <s v="Iteration 24"/>
    <d v="2010-08-25T20:43:01"/>
    <x v="3"/>
    <n v="4.2388888888888889"/>
    <n v="0"/>
  </r>
  <r>
    <n v="1420"/>
    <x v="10"/>
    <s v="Iteration 25"/>
    <d v="2010-11-04T20:15:35"/>
    <x v="9"/>
    <n v="4.0472222222222225"/>
    <n v="0"/>
  </r>
  <r>
    <n v="1421"/>
    <x v="15"/>
    <s v="Iteration 25"/>
    <d v="2010-11-04T11:30:19"/>
    <x v="4"/>
    <n v="4.0472222222222225"/>
    <n v="0"/>
  </r>
  <r>
    <n v="1423"/>
    <x v="6"/>
    <s v="Iteration 24"/>
    <d v="2010-08-25T21:09:08"/>
    <x v="3"/>
    <n v="4.2388888888888889"/>
    <n v="0"/>
  </r>
  <r>
    <n v="1424"/>
    <x v="6"/>
    <s v="Iteration 24"/>
    <d v="2010-08-25T20:16:02"/>
    <x v="23"/>
    <n v="4.2388888888888889"/>
    <n v="0"/>
  </r>
  <r>
    <n v="1425"/>
    <x v="10"/>
    <s v="Iteration 25"/>
    <d v="2010-11-03T16:56:25"/>
    <x v="9"/>
    <n v="4.05"/>
    <n v="0"/>
  </r>
  <r>
    <n v="1426"/>
    <x v="48"/>
    <s v="Iteration 24"/>
    <d v="2010-08-25T20:11:47"/>
    <x v="19"/>
    <n v="4.2388888888888889"/>
    <n v="0"/>
  </r>
  <r>
    <n v="1427"/>
    <x v="7"/>
    <s v="Iteration 25"/>
    <d v="2010-11-04T10:16:26"/>
    <x v="4"/>
    <n v="4.0472222222222225"/>
    <n v="0"/>
  </r>
  <r>
    <n v="1428"/>
    <x v="21"/>
    <s v="Iteration 24"/>
    <d v="2010-08-25T20:15:10"/>
    <x v="3"/>
    <n v="4.2388888888888889"/>
    <n v="0"/>
  </r>
  <r>
    <n v="1432"/>
    <x v="21"/>
    <s v="Iteration 24"/>
    <d v="2010-08-26T18:29:37"/>
    <x v="3"/>
    <n v="4.2361111111111107"/>
    <n v="0"/>
  </r>
  <r>
    <n v="1433"/>
    <x v="8"/>
    <s v="Iteration 24"/>
    <d v="2010-08-25T16:04:21"/>
    <x v="8"/>
    <n v="4.2388888888888889"/>
    <n v="0"/>
  </r>
  <r>
    <n v="1434"/>
    <x v="8"/>
    <s v="Iteration 24"/>
    <d v="2010-08-25T16:05:14"/>
    <x v="8"/>
    <n v="4.2388888888888889"/>
    <n v="0"/>
  </r>
  <r>
    <n v="1436"/>
    <x v="4"/>
    <s v="Iteration 24"/>
    <d v="2010-08-25T21:21:27"/>
    <x v="8"/>
    <n v="4.2388888888888889"/>
    <n v="0"/>
  </r>
  <r>
    <n v="1437"/>
    <x v="5"/>
    <s v="Iteration 24"/>
    <d v="2010-08-24T22:17:03"/>
    <x v="8"/>
    <n v="4.2416666666666663"/>
    <n v="0"/>
  </r>
  <r>
    <n v="1438"/>
    <x v="3"/>
    <s v="Iteration 24"/>
    <d v="2010-08-26T11:44:58"/>
    <x v="6"/>
    <n v="4.2361111111111107"/>
    <n v="0"/>
  </r>
  <r>
    <n v="1439"/>
    <x v="4"/>
    <s v="Iteration 24"/>
    <d v="2010-08-24T18:35:52"/>
    <x v="19"/>
    <n v="4.2416666666666663"/>
    <n v="0"/>
  </r>
  <r>
    <n v="1440"/>
    <x v="12"/>
    <s v="Iteration 24"/>
    <d v="2010-08-25T15:08:26"/>
    <x v="8"/>
    <n v="4.2388888888888889"/>
    <n v="0"/>
  </r>
  <r>
    <n v="1441"/>
    <x v="12"/>
    <s v="Iteration 24"/>
    <d v="2010-08-26T16:55:05"/>
    <x v="7"/>
    <n v="4.2361111111111107"/>
    <n v="0"/>
  </r>
  <r>
    <n v="1442"/>
    <x v="15"/>
    <s v="Iteration 24"/>
    <d v="2010-08-26T20:51:05"/>
    <x v="7"/>
    <n v="4.2361111111111107"/>
    <n v="0"/>
  </r>
  <r>
    <n v="1444"/>
    <x v="4"/>
    <s v="Iteration 24"/>
    <d v="2010-08-25T09:31:20"/>
    <x v="33"/>
    <n v="4.2388888888888889"/>
    <n v="0"/>
  </r>
  <r>
    <n v="1448"/>
    <x v="4"/>
    <s v="Iteration 24"/>
    <d v="2010-08-25T13:39:10"/>
    <x v="33"/>
    <n v="4.2388888888888889"/>
    <n v="0"/>
  </r>
  <r>
    <n v="1449"/>
    <x v="4"/>
    <s v="Iteration 24"/>
    <d v="2010-08-25T15:41:33"/>
    <x v="6"/>
    <n v="4.2388888888888889"/>
    <n v="0"/>
  </r>
  <r>
    <n v="1454"/>
    <x v="4"/>
    <s v="Release 2.0"/>
    <d v="2012-01-09T16:08:57"/>
    <x v="18"/>
    <n v="2.8666666666666667"/>
    <n v="0"/>
  </r>
  <r>
    <n v="1455"/>
    <x v="12"/>
    <s v="Iteration 25"/>
    <d v="2010-11-03T13:36:29"/>
    <x v="1"/>
    <n v="4.05"/>
    <n v="0"/>
  </r>
  <r>
    <n v="1456"/>
    <x v="12"/>
    <s v="Iteration 24"/>
    <d v="2010-08-25T18:29:02"/>
    <x v="36"/>
    <n v="4.2388888888888889"/>
    <n v="0"/>
  </r>
  <r>
    <n v="1459"/>
    <x v="3"/>
    <s v="Iteration 29"/>
    <d v="2011-06-27T18:15:06"/>
    <x v="3"/>
    <n v="3.4"/>
    <n v="0"/>
  </r>
  <r>
    <n v="1460"/>
    <x v="11"/>
    <s v="Iteration 24"/>
    <d v="2010-08-25T19:40:51"/>
    <x v="36"/>
    <n v="4.2388888888888889"/>
    <n v="0"/>
  </r>
  <r>
    <n v="1461"/>
    <x v="12"/>
    <s v="Iteration 24"/>
    <d v="2010-08-25T09:23:22"/>
    <x v="6"/>
    <n v="4.2388888888888889"/>
    <n v="0"/>
  </r>
  <r>
    <n v="1463"/>
    <x v="10"/>
    <s v="Iteration 24"/>
    <d v="2010-08-25T15:53:17"/>
    <x v="36"/>
    <n v="4.2388888888888889"/>
    <n v="0"/>
  </r>
  <r>
    <n v="1464"/>
    <x v="12"/>
    <s v="Iteration 24"/>
    <d v="2010-08-25T21:18:17"/>
    <x v="36"/>
    <n v="4.2388888888888889"/>
    <n v="0"/>
  </r>
  <r>
    <n v="1465"/>
    <x v="12"/>
    <s v="Iteration 24"/>
    <d v="2010-08-26T11:24:46"/>
    <x v="6"/>
    <n v="4.2361111111111107"/>
    <n v="0"/>
  </r>
  <r>
    <n v="1466"/>
    <x v="11"/>
    <s v="Iteration 24"/>
    <d v="2010-08-26T17:39:09"/>
    <x v="4"/>
    <n v="4.2361111111111107"/>
    <n v="0"/>
  </r>
  <r>
    <n v="1467"/>
    <x v="12"/>
    <s v="Iteration 24"/>
    <d v="2010-08-25T21:29:09"/>
    <x v="3"/>
    <n v="4.2388888888888889"/>
    <n v="0"/>
  </r>
  <r>
    <n v="1468"/>
    <x v="4"/>
    <s v="Iteration 24"/>
    <d v="2010-08-25T13:38:51"/>
    <x v="33"/>
    <n v="4.2388888888888889"/>
    <n v="0"/>
  </r>
  <r>
    <n v="1470"/>
    <x v="12"/>
    <s v="Iteration 24"/>
    <d v="2010-08-25T21:17:02"/>
    <x v="3"/>
    <n v="4.2388888888888889"/>
    <n v="0"/>
  </r>
  <r>
    <n v="1471"/>
    <x v="12"/>
    <s v="Iteration 24"/>
    <d v="2010-08-25T20:25:39"/>
    <x v="7"/>
    <n v="4.2388888888888889"/>
    <n v="0"/>
  </r>
  <r>
    <n v="1472"/>
    <x v="3"/>
    <s v="Iteration 25"/>
    <d v="2010-11-02T16:42:08"/>
    <x v="6"/>
    <n v="4.052777777777778"/>
    <n v="0"/>
  </r>
  <r>
    <n v="1473"/>
    <x v="3"/>
    <s v="Iteration 24"/>
    <d v="2010-08-25T20:57:13"/>
    <x v="23"/>
    <n v="4.2388888888888889"/>
    <n v="0"/>
  </r>
  <r>
    <n v="1475"/>
    <x v="12"/>
    <s v="Iteration 24"/>
    <d v="2010-08-25T21:11:33"/>
    <x v="3"/>
    <n v="4.2388888888888889"/>
    <n v="0"/>
  </r>
  <r>
    <n v="1477"/>
    <x v="27"/>
    <s v="Iteration 24"/>
    <d v="2010-08-25T19:45:33"/>
    <x v="10"/>
    <n v="4.2388888888888889"/>
    <n v="0"/>
  </r>
  <r>
    <n v="1478"/>
    <x v="12"/>
    <s v="Iteration 24"/>
    <d v="2010-08-25T21:19:17"/>
    <x v="3"/>
    <n v="4.2388888888888889"/>
    <n v="0"/>
  </r>
  <r>
    <n v="1480"/>
    <x v="12"/>
    <s v="Iteration 24"/>
    <d v="2010-08-25T16:11:52"/>
    <x v="8"/>
    <n v="4.2388888888888889"/>
    <n v="0"/>
  </r>
  <r>
    <n v="1483"/>
    <x v="8"/>
    <s v="Iteration 24"/>
    <d v="2010-08-25T12:21:02"/>
    <x v="4"/>
    <n v="4.2388888888888889"/>
    <n v="0"/>
  </r>
  <r>
    <n v="1485"/>
    <x v="12"/>
    <s v="Iteration 24"/>
    <d v="2010-08-26T17:45:03"/>
    <x v="4"/>
    <n v="4.2361111111111107"/>
    <n v="0"/>
  </r>
  <r>
    <n v="1486"/>
    <x v="6"/>
    <s v="Iteration 24"/>
    <d v="2010-08-27T10:36:14"/>
    <x v="14"/>
    <n v="4.2333333333333334"/>
    <n v="0"/>
  </r>
  <r>
    <n v="1487"/>
    <x v="9"/>
    <s v="Iteration 24"/>
    <d v="2010-08-26T17:08:41"/>
    <x v="23"/>
    <n v="4.2361111111111107"/>
    <n v="0"/>
  </r>
  <r>
    <n v="1488"/>
    <x v="3"/>
    <s v="Iteration 24"/>
    <d v="2010-08-24T20:05:37"/>
    <x v="23"/>
    <n v="4.2416666666666663"/>
    <n v="0"/>
  </r>
  <r>
    <n v="1489"/>
    <x v="21"/>
    <s v="Iteration 24"/>
    <d v="2010-08-25T16:08:19"/>
    <x v="36"/>
    <n v="4.2388888888888889"/>
    <n v="0"/>
  </r>
  <r>
    <n v="1491"/>
    <x v="10"/>
    <s v="Iteration 24"/>
    <d v="2010-08-26T17:53:45"/>
    <x v="4"/>
    <n v="4.2361111111111107"/>
    <n v="0"/>
  </r>
  <r>
    <n v="1494"/>
    <x v="10"/>
    <s v="Iteration 24"/>
    <d v="2010-08-24T20:43:45"/>
    <x v="36"/>
    <n v="4.2416666666666663"/>
    <n v="0"/>
  </r>
  <r>
    <n v="1495"/>
    <x v="9"/>
    <s v="Iteration 25"/>
    <d v="2010-11-03T14:00:34"/>
    <x v="1"/>
    <n v="4.05"/>
    <n v="0"/>
  </r>
  <r>
    <n v="1496"/>
    <x v="27"/>
    <s v="Iteration 24"/>
    <d v="2010-08-25T17:05:21"/>
    <x v="10"/>
    <n v="4.2388888888888889"/>
    <n v="0"/>
  </r>
  <r>
    <n v="1498"/>
    <x v="3"/>
    <s v="Iteration 24"/>
    <d v="2010-08-25T16:07:45"/>
    <x v="5"/>
    <n v="4.2388888888888889"/>
    <n v="0"/>
  </r>
  <r>
    <n v="1499"/>
    <x v="5"/>
    <s v="Iteration 24"/>
    <d v="2010-08-27T13:00:37"/>
    <x v="8"/>
    <n v="4.2333333333333334"/>
    <n v="0"/>
  </r>
  <r>
    <n v="1500"/>
    <x v="12"/>
    <s v="Iteration 24"/>
    <d v="2010-08-25T16:59:54"/>
    <x v="36"/>
    <n v="4.2388888888888889"/>
    <n v="0"/>
  </r>
  <r>
    <n v="1501"/>
    <x v="8"/>
    <s v="Iteration 24"/>
    <d v="2010-08-25T22:29:18"/>
    <x v="36"/>
    <n v="4.2388888888888889"/>
    <n v="0"/>
  </r>
  <r>
    <n v="1502"/>
    <x v="12"/>
    <s v="Iteration 24"/>
    <d v="2010-08-25T12:32:25"/>
    <x v="4"/>
    <n v="4.2388888888888889"/>
    <n v="0"/>
  </r>
  <r>
    <n v="1503"/>
    <x v="12"/>
    <s v="Iteration 24"/>
    <d v="2010-08-26T14:05:29"/>
    <x v="10"/>
    <n v="4.2361111111111107"/>
    <n v="0"/>
  </r>
  <r>
    <n v="1504"/>
    <x v="9"/>
    <s v="Iteration 24"/>
    <d v="2010-08-26T14:54:21"/>
    <x v="19"/>
    <n v="4.2361111111111107"/>
    <n v="0"/>
  </r>
  <r>
    <n v="1505"/>
    <x v="8"/>
    <s v="Iteration 24"/>
    <d v="2010-08-25T20:02:08"/>
    <x v="10"/>
    <n v="4.2388888888888889"/>
    <n v="0"/>
  </r>
  <r>
    <n v="1506"/>
    <x v="10"/>
    <s v="Iteration 24"/>
    <d v="2010-08-25T20:51:24"/>
    <x v="36"/>
    <n v="4.2388888888888889"/>
    <n v="0"/>
  </r>
  <r>
    <n v="1508"/>
    <x v="9"/>
    <s v="Iteration 24"/>
    <d v="2010-08-26T21:25:29"/>
    <x v="8"/>
    <n v="4.2361111111111107"/>
    <n v="0"/>
  </r>
  <r>
    <n v="1509"/>
    <x v="0"/>
    <s v="Iteration 24"/>
    <d v="2010-08-26T16:38:23"/>
    <x v="23"/>
    <n v="4.2361111111111107"/>
    <n v="0"/>
  </r>
  <r>
    <n v="1511"/>
    <x v="12"/>
    <s v="Iteration 24"/>
    <d v="2010-08-25T21:25:19"/>
    <x v="3"/>
    <n v="4.2388888888888889"/>
    <n v="0"/>
  </r>
  <r>
    <n v="1512"/>
    <x v="10"/>
    <s v="Iteration 24"/>
    <d v="2010-08-24T20:45:34"/>
    <x v="36"/>
    <n v="4.2416666666666663"/>
    <n v="0"/>
  </r>
  <r>
    <n v="1513"/>
    <x v="12"/>
    <s v="Iteration 25"/>
    <d v="2010-11-03T13:15:20"/>
    <x v="10"/>
    <n v="4.05"/>
    <n v="0"/>
  </r>
  <r>
    <n v="1514"/>
    <x v="9"/>
    <s v="Iteration 25"/>
    <d v="2010-11-03T16:57:08"/>
    <x v="1"/>
    <n v="4.05"/>
    <n v="0"/>
  </r>
  <r>
    <n v="1515"/>
    <x v="3"/>
    <s v="Iteration 24"/>
    <d v="2010-08-24T22:08:00"/>
    <x v="23"/>
    <n v="4.2416666666666663"/>
    <n v="0"/>
  </r>
  <r>
    <n v="1518"/>
    <x v="4"/>
    <s v="Iteration 24"/>
    <d v="2010-08-25T14:23:41"/>
    <x v="6"/>
    <n v="4.2388888888888889"/>
    <n v="0"/>
  </r>
  <r>
    <n v="1520"/>
    <x v="10"/>
    <s v="Iteration 24"/>
    <d v="2010-08-25T16:17:02"/>
    <x v="36"/>
    <n v="4.2388888888888889"/>
    <n v="0"/>
  </r>
  <r>
    <n v="1522"/>
    <x v="10"/>
    <s v="Iteration 28"/>
    <d v="2011-04-29T03:06:33"/>
    <x v="9"/>
    <n v="3.5611111111111109"/>
    <n v="0"/>
  </r>
  <r>
    <n v="1524"/>
    <x v="0"/>
    <s v="Iteration 26"/>
    <d v="2010-12-15T21:10:45"/>
    <x v="3"/>
    <n v="3.9333333333333331"/>
    <n v="0"/>
  </r>
  <r>
    <n v="1525"/>
    <x v="12"/>
    <s v="Iteration 27"/>
    <d v="2011-02-15T14:11:15"/>
    <x v="11"/>
    <n v="3.7666666666666666"/>
    <n v="0"/>
  </r>
  <r>
    <n v="1527"/>
    <x v="5"/>
    <s v="Iteration 25"/>
    <d v="2010-11-02T15:01:16"/>
    <x v="11"/>
    <n v="4.052777777777778"/>
    <n v="0"/>
  </r>
  <r>
    <n v="1528"/>
    <x v="15"/>
    <s v="Iteration 25"/>
    <d v="2010-11-02T15:28:59"/>
    <x v="6"/>
    <n v="4.052777777777778"/>
    <n v="0"/>
  </r>
  <r>
    <n v="1529"/>
    <x v="9"/>
    <s v="Iteration 24"/>
    <d v="2010-08-26T19:02:51"/>
    <x v="23"/>
    <n v="4.2361111111111107"/>
    <n v="0"/>
  </r>
  <r>
    <n v="1532"/>
    <x v="6"/>
    <s v="Iteration 25"/>
    <d v="2010-11-03T16:54:42"/>
    <x v="3"/>
    <n v="4.05"/>
    <n v="0"/>
  </r>
  <r>
    <n v="1535"/>
    <x v="5"/>
    <s v="Iteration 24"/>
    <d v="2010-08-25T15:05:51"/>
    <x v="19"/>
    <n v="4.2388888888888889"/>
    <n v="0"/>
  </r>
  <r>
    <n v="1538"/>
    <x v="5"/>
    <s v="Iteration 26"/>
    <d v="2010-12-20T13:27:39"/>
    <x v="1"/>
    <n v="3.9194444444444443"/>
    <n v="0"/>
  </r>
  <r>
    <n v="1540"/>
    <x v="21"/>
    <s v="Iteration 25"/>
    <d v="2010-11-03T17:24:11"/>
    <x v="4"/>
    <n v="4.05"/>
    <n v="0"/>
  </r>
  <r>
    <n v="1541"/>
    <x v="12"/>
    <s v="Iteration 25"/>
    <d v="2010-11-02T14:58:54"/>
    <x v="6"/>
    <n v="4.052777777777778"/>
    <n v="0"/>
  </r>
  <r>
    <n v="1545"/>
    <x v="4"/>
    <s v="Iteration 24"/>
    <d v="2010-08-27T14:29:00"/>
    <x v="6"/>
    <n v="4.2333333333333334"/>
    <n v="0"/>
  </r>
  <r>
    <n v="1546"/>
    <x v="6"/>
    <s v="Iteration 26"/>
    <d v="2010-12-15T14:13:28"/>
    <x v="11"/>
    <n v="3.9333333333333331"/>
    <n v="0"/>
  </r>
  <r>
    <n v="1547"/>
    <x v="6"/>
    <s v="Iteration 27"/>
    <d v="2011-02-15T14:42:07"/>
    <x v="11"/>
    <n v="3.7666666666666666"/>
    <n v="0"/>
  </r>
  <r>
    <n v="1550"/>
    <x v="5"/>
    <s v="Iteration 25"/>
    <d v="2010-11-02T14:40:20"/>
    <x v="7"/>
    <n v="4.052777777777778"/>
    <n v="0"/>
  </r>
  <r>
    <n v="1551"/>
    <x v="5"/>
    <s v="Iteration 27"/>
    <d v="2011-02-15T10:34:13"/>
    <x v="6"/>
    <n v="3.7666666666666666"/>
    <n v="0"/>
  </r>
  <r>
    <n v="1552"/>
    <x v="3"/>
    <s v="Iteration 24"/>
    <d v="2010-08-26T16:41:53"/>
    <x v="19"/>
    <n v="4.2361111111111107"/>
    <n v="0"/>
  </r>
  <r>
    <n v="1554"/>
    <x v="9"/>
    <s v="Iteration 24"/>
    <d v="2010-08-26T18:02:49"/>
    <x v="4"/>
    <n v="4.2361111111111107"/>
    <n v="0"/>
  </r>
  <r>
    <n v="1559"/>
    <x v="10"/>
    <s v="Iteration 24"/>
    <d v="2010-08-27T09:59:00"/>
    <x v="1"/>
    <n v="4.2333333333333334"/>
    <n v="0"/>
  </r>
  <r>
    <n v="1560"/>
    <x v="4"/>
    <s v="Iteration 25"/>
    <d v="2010-11-02T10:02:54"/>
    <x v="6"/>
    <n v="4.052777777777778"/>
    <n v="0"/>
  </r>
  <r>
    <n v="1561"/>
    <x v="7"/>
    <s v="Iteration 25"/>
    <d v="2010-11-02T10:26:39"/>
    <x v="33"/>
    <n v="4.052777777777778"/>
    <n v="0"/>
  </r>
  <r>
    <n v="1562"/>
    <x v="4"/>
    <s v="Iteration 24"/>
    <d v="2010-08-27T14:55:32"/>
    <x v="11"/>
    <n v="4.2333333333333334"/>
    <n v="0"/>
  </r>
  <r>
    <n v="1564"/>
    <x v="2"/>
    <s v="Iteration 27"/>
    <d v="2011-02-14T16:54:02"/>
    <x v="11"/>
    <n v="3.7694444444444444"/>
    <n v="0"/>
  </r>
  <r>
    <n v="1566"/>
    <x v="7"/>
    <s v="Iteration 25"/>
    <d v="2010-11-02T09:56:39"/>
    <x v="6"/>
    <n v="4.052777777777778"/>
    <n v="0"/>
  </r>
  <r>
    <n v="1568"/>
    <x v="0"/>
    <s v="Iteration 25"/>
    <d v="2010-11-03T12:03:48"/>
    <x v="6"/>
    <n v="4.05"/>
    <n v="0"/>
  </r>
  <r>
    <n v="1570"/>
    <x v="7"/>
    <s v="Iteration 25"/>
    <d v="2010-11-04T16:41:14"/>
    <x v="1"/>
    <n v="4.0472222222222225"/>
    <n v="0"/>
  </r>
  <r>
    <n v="1575"/>
    <x v="12"/>
    <s v="Iteration 25"/>
    <d v="2010-11-02T14:34:58"/>
    <x v="6"/>
    <n v="4.052777777777778"/>
    <n v="0"/>
  </r>
  <r>
    <n v="1576"/>
    <x v="6"/>
    <s v="Iteration 25"/>
    <d v="2010-11-02T11:57:55"/>
    <x v="1"/>
    <n v="4.052777777777778"/>
    <n v="0"/>
  </r>
  <r>
    <n v="1578"/>
    <x v="12"/>
    <s v="Iteration 25"/>
    <d v="2010-11-02T16:48:27"/>
    <x v="6"/>
    <n v="4.052777777777778"/>
    <n v="0"/>
  </r>
  <r>
    <n v="1581"/>
    <x v="12"/>
    <s v="Iteration 25"/>
    <d v="2010-11-03T12:52:27"/>
    <x v="6"/>
    <n v="4.05"/>
    <n v="0"/>
  </r>
  <r>
    <n v="1582"/>
    <x v="6"/>
    <s v="Iteration 25"/>
    <d v="2010-11-05T09:48:05"/>
    <x v="6"/>
    <n v="4.0444444444444443"/>
    <n v="0"/>
  </r>
  <r>
    <n v="1583"/>
    <x v="4"/>
    <s v="Iteration 25"/>
    <d v="2010-11-02T16:03:00"/>
    <x v="13"/>
    <n v="4.052777777777778"/>
    <n v="0"/>
  </r>
  <r>
    <n v="1584"/>
    <x v="4"/>
    <s v="Iteration 25"/>
    <d v="2010-11-03T11:38:25"/>
    <x v="13"/>
    <n v="4.05"/>
    <n v="0"/>
  </r>
  <r>
    <n v="1585"/>
    <x v="9"/>
    <s v="Iteration 25"/>
    <d v="2010-11-03T15:01:31"/>
    <x v="13"/>
    <n v="4.05"/>
    <n v="0"/>
  </r>
  <r>
    <n v="1586"/>
    <x v="12"/>
    <s v="Iteration 25"/>
    <d v="2010-11-03T16:08:15"/>
    <x v="10"/>
    <n v="4.05"/>
    <n v="0"/>
  </r>
  <r>
    <n v="1587"/>
    <x v="12"/>
    <s v="Iteration 25"/>
    <d v="2010-11-02T13:03:54"/>
    <x v="6"/>
    <n v="4.052777777777778"/>
    <n v="0"/>
  </r>
  <r>
    <n v="1588"/>
    <x v="12"/>
    <s v="Iteration 25"/>
    <d v="2010-11-02T14:18:57"/>
    <x v="10"/>
    <n v="4.052777777777778"/>
    <n v="0"/>
  </r>
  <r>
    <n v="1589"/>
    <x v="12"/>
    <s v="Iteration 25"/>
    <d v="2010-11-03T12:31:21"/>
    <x v="6"/>
    <n v="4.05"/>
    <n v="0"/>
  </r>
  <r>
    <n v="1590"/>
    <x v="12"/>
    <s v="Iteration 25"/>
    <d v="2010-11-03T13:20:16"/>
    <x v="10"/>
    <n v="4.05"/>
    <n v="0"/>
  </r>
  <r>
    <n v="1593"/>
    <x v="21"/>
    <s v="Iteration 25"/>
    <d v="2010-11-03T14:59:33"/>
    <x v="4"/>
    <n v="4.05"/>
    <n v="0"/>
  </r>
  <r>
    <n v="1594"/>
    <x v="4"/>
    <s v="Iteration 27"/>
    <d v="2011-02-15T12:52:40"/>
    <x v="4"/>
    <n v="3.7666666666666666"/>
    <n v="0"/>
  </r>
  <r>
    <n v="1596"/>
    <x v="12"/>
    <s v="Iteration 25"/>
    <d v="2010-11-02T15:49:22"/>
    <x v="5"/>
    <n v="4.052777777777778"/>
    <n v="0"/>
  </r>
  <r>
    <n v="1597"/>
    <x v="4"/>
    <s v="Iteration 25"/>
    <d v="2010-11-02T10:20:27"/>
    <x v="6"/>
    <n v="4.052777777777778"/>
    <n v="0"/>
  </r>
  <r>
    <n v="1598"/>
    <x v="6"/>
    <s v="Iteration 25"/>
    <d v="2010-11-02T15:23:45"/>
    <x v="1"/>
    <n v="4.052777777777778"/>
    <n v="0"/>
  </r>
  <r>
    <n v="1599"/>
    <x v="4"/>
    <s v="Iteration 25"/>
    <d v="2010-11-02T11:12:09"/>
    <x v="13"/>
    <n v="4.052777777777778"/>
    <n v="0"/>
  </r>
  <r>
    <n v="1600"/>
    <x v="9"/>
    <s v="Iteration 25"/>
    <d v="2010-11-04T10:26:16"/>
    <x v="13"/>
    <n v="4.0472222222222225"/>
    <n v="0"/>
  </r>
  <r>
    <n v="1603"/>
    <x v="12"/>
    <s v="Iteration 25"/>
    <d v="2010-11-02T14:54:07"/>
    <x v="6"/>
    <n v="4.052777777777778"/>
    <n v="0"/>
  </r>
  <r>
    <n v="1604"/>
    <x v="0"/>
    <s v="Iteration 25"/>
    <d v="2010-11-02T13:53:49"/>
    <x v="19"/>
    <n v="4.052777777777778"/>
    <n v="0"/>
  </r>
  <r>
    <n v="1605"/>
    <x v="12"/>
    <s v="Iteration 25"/>
    <d v="2010-11-03T17:49:18"/>
    <x v="10"/>
    <n v="4.05"/>
    <n v="0"/>
  </r>
  <r>
    <n v="1608"/>
    <x v="21"/>
    <s v="Iteration 25"/>
    <d v="2010-11-02T20:22:13"/>
    <x v="19"/>
    <n v="4.052777777777778"/>
    <n v="0"/>
  </r>
  <r>
    <n v="1609"/>
    <x v="9"/>
    <s v="Iteration 25"/>
    <d v="2010-11-02T21:50:23"/>
    <x v="8"/>
    <n v="4.052777777777778"/>
    <n v="0"/>
  </r>
  <r>
    <n v="1610"/>
    <x v="6"/>
    <s v="Iteration 27"/>
    <d v="2011-02-15T10:36:34"/>
    <x v="11"/>
    <n v="3.7666666666666666"/>
    <n v="0"/>
  </r>
  <r>
    <n v="1611"/>
    <x v="9"/>
    <s v="Iteration 25"/>
    <d v="2010-11-04T11:07:23"/>
    <x v="1"/>
    <n v="4.0472222222222225"/>
    <n v="0"/>
  </r>
  <r>
    <n v="1612"/>
    <x v="12"/>
    <s v="Iteration 25"/>
    <d v="2010-11-03T16:01:50"/>
    <x v="10"/>
    <n v="4.05"/>
    <n v="0"/>
  </r>
  <r>
    <n v="1614"/>
    <x v="9"/>
    <s v="Iteration 25"/>
    <d v="2010-11-03T09:52:39"/>
    <x v="13"/>
    <n v="4.05"/>
    <n v="0"/>
  </r>
  <r>
    <n v="1615"/>
    <x v="21"/>
    <s v="Iteration 25"/>
    <d v="2010-11-02T13:37:51"/>
    <x v="19"/>
    <n v="4.052777777777778"/>
    <n v="0"/>
  </r>
  <r>
    <n v="1617"/>
    <x v="12"/>
    <s v="Iteration 25"/>
    <d v="2010-11-03T18:29:45"/>
    <x v="5"/>
    <n v="4.05"/>
    <n v="0"/>
  </r>
  <r>
    <n v="1618"/>
    <x v="21"/>
    <s v="Iteration 25"/>
    <d v="2010-11-03T15:59:29"/>
    <x v="6"/>
    <n v="4.05"/>
    <n v="0"/>
  </r>
  <r>
    <n v="1619"/>
    <x v="15"/>
    <s v="Iteration 20"/>
    <d v="2011-08-31T10:18:20"/>
    <x v="0"/>
    <n v="3.2250000000000001"/>
    <n v="0"/>
  </r>
  <r>
    <n v="1620"/>
    <x v="21"/>
    <s v="Iteration 25"/>
    <d v="2010-11-02T17:36:45"/>
    <x v="19"/>
    <n v="4.052777777777778"/>
    <n v="0"/>
  </r>
  <r>
    <n v="1621"/>
    <x v="12"/>
    <s v="Iteration 25"/>
    <d v="2010-11-03T14:00:43"/>
    <x v="10"/>
    <n v="4.05"/>
    <n v="0"/>
  </r>
  <r>
    <n v="1622"/>
    <x v="12"/>
    <s v="Iteration 25"/>
    <d v="2010-11-03T15:51:57"/>
    <x v="10"/>
    <n v="4.05"/>
    <n v="0"/>
  </r>
  <r>
    <n v="1623"/>
    <x v="9"/>
    <s v="Iteration 25"/>
    <d v="2010-11-02T16:04:31"/>
    <x v="10"/>
    <n v="4.052777777777778"/>
    <n v="0"/>
  </r>
  <r>
    <n v="1633"/>
    <x v="16"/>
    <s v="Iteration 28"/>
    <d v="2011-05-02T18:36:42"/>
    <x v="5"/>
    <n v="3.5527777777777776"/>
    <n v="0"/>
  </r>
  <r>
    <n v="1634"/>
    <x v="12"/>
    <s v="Iteration 25"/>
    <d v="2010-11-02T10:32:49"/>
    <x v="6"/>
    <n v="4.052777777777778"/>
    <n v="0"/>
  </r>
  <r>
    <n v="1635"/>
    <x v="27"/>
    <s v="Release 2.4"/>
    <d v="2013-02-04T11:08:23"/>
    <x v="11"/>
    <n v="1.7972222222222223"/>
    <n v="0"/>
  </r>
  <r>
    <n v="1640"/>
    <x v="18"/>
    <s v="Iteration 27"/>
    <d v="2011-02-16T09:56:00"/>
    <x v="2"/>
    <n v="3.7638888888888888"/>
    <n v="0"/>
  </r>
  <r>
    <n v="1642"/>
    <x v="16"/>
    <s v="Iteration 28"/>
    <d v="2011-04-27T11:44:36"/>
    <x v="6"/>
    <n v="3.5666666666666669"/>
    <n v="0"/>
  </r>
  <r>
    <n v="1644"/>
    <x v="40"/>
    <s v="Release 2.0"/>
    <d v="2012-01-11T22:18:38"/>
    <x v="19"/>
    <n v="2.8611111111111112"/>
    <n v="0"/>
  </r>
  <r>
    <n v="1645"/>
    <x v="21"/>
    <s v="Iteration 25"/>
    <d v="2010-11-03T18:14:42"/>
    <x v="3"/>
    <n v="4.05"/>
    <n v="0"/>
  </r>
  <r>
    <n v="1646"/>
    <x v="3"/>
    <s v="Iteration 25"/>
    <d v="2010-11-03T13:38:14"/>
    <x v="6"/>
    <n v="4.05"/>
    <n v="0"/>
  </r>
  <r>
    <n v="1648"/>
    <x v="12"/>
    <s v="Iteration 25"/>
    <d v="2010-11-03T18:19:26"/>
    <x v="3"/>
    <n v="4.05"/>
    <n v="0"/>
  </r>
  <r>
    <n v="1649"/>
    <x v="9"/>
    <s v="Iteration 25"/>
    <d v="2010-11-02T16:22:55"/>
    <x v="19"/>
    <n v="4.052777777777778"/>
    <n v="0"/>
  </r>
  <r>
    <n v="1650"/>
    <x v="15"/>
    <s v="Iteration 25"/>
    <d v="2010-11-02T15:53:00"/>
    <x v="8"/>
    <n v="4.052777777777778"/>
    <n v="0"/>
  </r>
  <r>
    <n v="1652"/>
    <x v="10"/>
    <s v="Iteration 26"/>
    <d v="2010-12-15T14:10:50"/>
    <x v="11"/>
    <n v="3.9333333333333331"/>
    <n v="0"/>
  </r>
  <r>
    <n v="1653"/>
    <x v="7"/>
    <s v="Iteration 25"/>
    <d v="2010-11-02T11:08:33"/>
    <x v="6"/>
    <n v="4.052777777777778"/>
    <n v="0"/>
  </r>
  <r>
    <n v="1656"/>
    <x v="10"/>
    <s v="Iteration 27"/>
    <d v="2011-02-15T19:50:19"/>
    <x v="19"/>
    <n v="3.7666666666666666"/>
    <n v="0"/>
  </r>
  <r>
    <n v="1657"/>
    <x v="3"/>
    <s v="Iteration 25"/>
    <d v="2010-11-02T11:28:29"/>
    <x v="6"/>
    <n v="4.052777777777778"/>
    <n v="0"/>
  </r>
  <r>
    <n v="1658"/>
    <x v="9"/>
    <s v="Iteration 25"/>
    <d v="2010-11-02T20:25:52"/>
    <x v="5"/>
    <n v="4.052777777777778"/>
    <n v="0"/>
  </r>
  <r>
    <n v="1659"/>
    <x v="12"/>
    <s v="Iteration 25"/>
    <d v="2010-11-03T18:02:22"/>
    <x v="10"/>
    <n v="4.05"/>
    <n v="0"/>
  </r>
  <r>
    <n v="1660"/>
    <x v="12"/>
    <s v="Iteration 25"/>
    <d v="2010-11-02T20:41:47"/>
    <x v="5"/>
    <n v="4.052777777777778"/>
    <n v="0"/>
  </r>
  <r>
    <n v="1661"/>
    <x v="12"/>
    <s v="Iteration 25"/>
    <d v="2010-11-03T18:06:37"/>
    <x v="10"/>
    <n v="4.05"/>
    <n v="0"/>
  </r>
  <r>
    <n v="1662"/>
    <x v="12"/>
    <s v="Iteration 25"/>
    <d v="2010-11-03T16:40:10"/>
    <x v="10"/>
    <n v="4.05"/>
    <n v="0"/>
  </r>
  <r>
    <n v="1664"/>
    <x v="12"/>
    <s v="Iteration 25"/>
    <d v="2010-11-03T18:04:42"/>
    <x v="10"/>
    <n v="4.05"/>
    <n v="0"/>
  </r>
  <r>
    <n v="1666"/>
    <x v="2"/>
    <s v="Iteration 25"/>
    <d v="2010-11-02T15:59:45"/>
    <x v="19"/>
    <n v="4.052777777777778"/>
    <n v="0"/>
  </r>
  <r>
    <n v="1667"/>
    <x v="9"/>
    <s v="Iteration 25"/>
    <d v="2010-11-02T19:55:31"/>
    <x v="5"/>
    <n v="4.052777777777778"/>
    <n v="0"/>
  </r>
  <r>
    <n v="1669"/>
    <x v="9"/>
    <s v="Iteration 25"/>
    <d v="2010-11-02T20:14:36"/>
    <x v="5"/>
    <n v="4.052777777777778"/>
    <n v="0"/>
  </r>
  <r>
    <n v="1670"/>
    <x v="12"/>
    <s v="Iteration 25"/>
    <d v="2010-11-02T14:51:53"/>
    <x v="6"/>
    <n v="4.052777777777778"/>
    <n v="0"/>
  </r>
  <r>
    <n v="1671"/>
    <x v="30"/>
    <s v="Release 2.6"/>
    <d v="2013-07-12T16:05:12"/>
    <x v="26"/>
    <n v="1.3583333333333334"/>
    <n v="0"/>
  </r>
  <r>
    <n v="1672"/>
    <x v="3"/>
    <s v="Iteration 25"/>
    <d v="2010-11-02T13:40:03"/>
    <x v="6"/>
    <n v="4.052777777777778"/>
    <n v="0"/>
  </r>
  <r>
    <n v="1673"/>
    <x v="9"/>
    <s v="Iteration 25"/>
    <d v="2010-11-02T15:35:14"/>
    <x v="4"/>
    <n v="4.052777777777778"/>
    <n v="0"/>
  </r>
  <r>
    <n v="1674"/>
    <x v="6"/>
    <s v="Iteration 25"/>
    <d v="2010-11-03T15:16:49"/>
    <x v="10"/>
    <n v="4.05"/>
    <n v="0"/>
  </r>
  <r>
    <n v="1678"/>
    <x v="12"/>
    <s v="Iteration 25"/>
    <d v="2010-11-02T13:34:26"/>
    <x v="5"/>
    <n v="4.052777777777778"/>
    <n v="0"/>
  </r>
  <r>
    <n v="1679"/>
    <x v="12"/>
    <s v="Iteration 25"/>
    <d v="2010-11-02T13:55:22"/>
    <x v="5"/>
    <n v="4.052777777777778"/>
    <n v="0"/>
  </r>
  <r>
    <n v="1680"/>
    <x v="12"/>
    <s v="Iteration 25"/>
    <d v="2010-11-02T17:15:27"/>
    <x v="11"/>
    <n v="4.052777777777778"/>
    <n v="0"/>
  </r>
  <r>
    <n v="1681"/>
    <x v="9"/>
    <s v="Iteration 25"/>
    <d v="2010-11-03T21:09:50"/>
    <x v="7"/>
    <n v="4.05"/>
    <n v="0"/>
  </r>
  <r>
    <n v="1684"/>
    <x v="9"/>
    <s v="Iteration 25"/>
    <d v="2010-11-03T19:15:31"/>
    <x v="5"/>
    <n v="4.05"/>
    <n v="0"/>
  </r>
  <r>
    <n v="1685"/>
    <x v="9"/>
    <s v="Iteration 27"/>
    <d v="2011-02-15T14:48:52"/>
    <x v="11"/>
    <n v="3.7666666666666666"/>
    <n v="0"/>
  </r>
  <r>
    <n v="1686"/>
    <x v="7"/>
    <s v="Iteration 25"/>
    <d v="2010-11-05T11:56:25"/>
    <x v="6"/>
    <n v="4.0444444444444443"/>
    <n v="0"/>
  </r>
  <r>
    <n v="1687"/>
    <x v="3"/>
    <s v="Iteration 25"/>
    <d v="2010-11-03T13:23:51"/>
    <x v="6"/>
    <n v="4.05"/>
    <n v="0"/>
  </r>
  <r>
    <n v="1690"/>
    <x v="9"/>
    <s v="Iteration 25"/>
    <d v="2010-11-02T20:14:41"/>
    <x v="19"/>
    <n v="4.052777777777778"/>
    <n v="0"/>
  </r>
  <r>
    <n v="1692"/>
    <x v="3"/>
    <s v="Iteration 25"/>
    <d v="2010-11-04T14:16:53"/>
    <x v="1"/>
    <n v="4.0472222222222225"/>
    <n v="0"/>
  </r>
  <r>
    <n v="1694"/>
    <x v="3"/>
    <s v="Iteration 25"/>
    <d v="2010-11-02T12:38:13"/>
    <x v="6"/>
    <n v="4.052777777777778"/>
    <n v="0"/>
  </r>
  <r>
    <n v="1696"/>
    <x v="21"/>
    <s v="Iteration 25"/>
    <d v="2010-11-02T17:22:29"/>
    <x v="19"/>
    <n v="4.052777777777778"/>
    <n v="0"/>
  </r>
  <r>
    <n v="1697"/>
    <x v="15"/>
    <s v="Iteration 25"/>
    <d v="2010-11-03T13:39:56"/>
    <x v="6"/>
    <n v="4.05"/>
    <n v="0"/>
  </r>
  <r>
    <n v="1698"/>
    <x v="9"/>
    <s v="Iteration 25"/>
    <d v="2010-11-02T14:07:02"/>
    <x v="5"/>
    <n v="4.052777777777778"/>
    <n v="0"/>
  </r>
  <r>
    <n v="1699"/>
    <x v="5"/>
    <s v="Iteration 25"/>
    <d v="2010-11-02T21:32:12"/>
    <x v="7"/>
    <n v="4.052777777777778"/>
    <n v="0"/>
  </r>
  <r>
    <n v="1700"/>
    <x v="9"/>
    <s v="Iteration 25"/>
    <d v="2010-11-03T14:02:12"/>
    <x v="5"/>
    <n v="4.05"/>
    <n v="0"/>
  </r>
  <r>
    <n v="1701"/>
    <x v="8"/>
    <s v="Iteration 25"/>
    <d v="2010-11-02T14:39:08"/>
    <x v="6"/>
    <n v="4.052777777777778"/>
    <n v="0"/>
  </r>
  <r>
    <n v="1702"/>
    <x v="3"/>
    <s v="Iteration 25"/>
    <d v="2010-11-02T20:22:06"/>
    <x v="5"/>
    <n v="4.052777777777778"/>
    <n v="0"/>
  </r>
  <r>
    <n v="1704"/>
    <x v="5"/>
    <s v="Iteration 27"/>
    <d v="2011-02-15T09:25:07"/>
    <x v="6"/>
    <n v="3.7666666666666666"/>
    <n v="0"/>
  </r>
  <r>
    <n v="1706"/>
    <x v="8"/>
    <s v="Iteration 25"/>
    <d v="2010-11-04T19:35:44"/>
    <x v="9"/>
    <n v="4.0472222222222225"/>
    <n v="0"/>
  </r>
  <r>
    <n v="1707"/>
    <x v="12"/>
    <m/>
    <d v="2013-07-22T15:40:02"/>
    <x v="6"/>
    <n v="1.3305555555555555"/>
    <n v="0"/>
  </r>
  <r>
    <n v="1709"/>
    <x v="3"/>
    <s v="Iteration 25"/>
    <d v="2010-11-03T19:50:22"/>
    <x v="7"/>
    <n v="4.05"/>
    <n v="0"/>
  </r>
  <r>
    <n v="1710"/>
    <x v="11"/>
    <s v="Iteration 25"/>
    <d v="2010-11-03T15:05:55"/>
    <x v="10"/>
    <n v="4.05"/>
    <n v="0"/>
  </r>
  <r>
    <n v="1711"/>
    <x v="3"/>
    <s v="Iteration 25"/>
    <d v="2010-11-03T19:49:07"/>
    <x v="7"/>
    <n v="4.05"/>
    <n v="0"/>
  </r>
  <r>
    <n v="1712"/>
    <x v="6"/>
    <s v="Iteration 25"/>
    <d v="2010-11-02T18:53:40"/>
    <x v="5"/>
    <n v="4.052777777777778"/>
    <n v="0"/>
  </r>
  <r>
    <n v="1716"/>
    <x v="12"/>
    <s v="Iteration 25"/>
    <d v="2010-11-03T14:59:48"/>
    <x v="10"/>
    <n v="4.05"/>
    <n v="0"/>
  </r>
  <r>
    <n v="1718"/>
    <x v="15"/>
    <s v="Iteration 25"/>
    <d v="2010-11-03T16:02:46"/>
    <x v="6"/>
    <n v="4.05"/>
    <n v="0"/>
  </r>
  <r>
    <n v="1719"/>
    <x v="9"/>
    <s v="Iteration 25"/>
    <d v="2010-11-04T10:02:45"/>
    <x v="1"/>
    <n v="4.0472222222222225"/>
    <n v="0"/>
  </r>
  <r>
    <n v="1720"/>
    <x v="15"/>
    <s v="Iteration 26"/>
    <d v="2010-12-15T21:50:36"/>
    <x v="3"/>
    <n v="3.9333333333333331"/>
    <n v="0"/>
  </r>
  <r>
    <n v="1721"/>
    <x v="12"/>
    <s v="Iteration 25"/>
    <d v="2010-11-02T14:07:42"/>
    <x v="10"/>
    <n v="4.052777777777778"/>
    <n v="0"/>
  </r>
  <r>
    <n v="1722"/>
    <x v="12"/>
    <s v="Iteration 25"/>
    <d v="2010-11-02T16:18:39"/>
    <x v="10"/>
    <n v="4.052777777777778"/>
    <n v="0"/>
  </r>
  <r>
    <n v="1724"/>
    <x v="9"/>
    <s v="Iteration 25"/>
    <d v="2010-11-04T10:18:10"/>
    <x v="1"/>
    <n v="4.0472222222222225"/>
    <n v="0"/>
  </r>
  <r>
    <n v="1725"/>
    <x v="6"/>
    <s v="Iteration 25"/>
    <d v="2010-11-02T19:16:42"/>
    <x v="5"/>
    <n v="4.052777777777778"/>
    <n v="0"/>
  </r>
  <r>
    <n v="1726"/>
    <x v="6"/>
    <s v="Iteration 25"/>
    <d v="2010-11-04T10:04:56"/>
    <x v="6"/>
    <n v="4.0472222222222225"/>
    <n v="0"/>
  </r>
  <r>
    <n v="1730"/>
    <x v="3"/>
    <s v="Iteration 25"/>
    <d v="2010-11-03T15:35:14"/>
    <x v="10"/>
    <n v="4.05"/>
    <n v="0"/>
  </r>
  <r>
    <n v="1734"/>
    <x v="12"/>
    <s v="Iteration 25"/>
    <d v="2010-11-02T15:50:46"/>
    <x v="10"/>
    <n v="4.052777777777778"/>
    <n v="0"/>
  </r>
  <r>
    <n v="1735"/>
    <x v="3"/>
    <s v="Iteration 25"/>
    <d v="2010-11-02T20:34:04"/>
    <x v="19"/>
    <n v="4.052777777777778"/>
    <n v="0"/>
  </r>
  <r>
    <n v="1736"/>
    <x v="15"/>
    <s v="Iteration 25"/>
    <d v="2010-11-02T11:42:33"/>
    <x v="6"/>
    <n v="4.052777777777778"/>
    <n v="0"/>
  </r>
  <r>
    <n v="1739"/>
    <x v="9"/>
    <s v="Iteration 25"/>
    <d v="2010-11-02T16:06:43"/>
    <x v="19"/>
    <n v="4.052777777777778"/>
    <n v="0"/>
  </r>
  <r>
    <n v="1740"/>
    <x v="12"/>
    <s v="Iteration 26"/>
    <d v="2010-12-15T21:28:06"/>
    <x v="3"/>
    <n v="3.9333333333333331"/>
    <n v="0"/>
  </r>
  <r>
    <n v="1742"/>
    <x v="15"/>
    <s v="Iteration 27"/>
    <d v="2011-02-16T10:26:34"/>
    <x v="4"/>
    <n v="3.7638888888888888"/>
    <n v="0"/>
  </r>
  <r>
    <n v="1744"/>
    <x v="0"/>
    <s v="Iteration 25"/>
    <d v="2010-11-03T10:22:59"/>
    <x v="4"/>
    <n v="4.05"/>
    <n v="0"/>
  </r>
  <r>
    <n v="1745"/>
    <x v="9"/>
    <s v="Iteration 25"/>
    <d v="2010-11-03T11:05:15"/>
    <x v="4"/>
    <n v="4.05"/>
    <n v="0"/>
  </r>
  <r>
    <n v="1747"/>
    <x v="7"/>
    <s v="Iteration 26"/>
    <d v="2010-12-16T11:25:01"/>
    <x v="13"/>
    <n v="3.9305555555555554"/>
    <n v="0"/>
  </r>
  <r>
    <n v="1748"/>
    <x v="5"/>
    <s v="Iteration 25"/>
    <d v="2010-11-02T15:35:02"/>
    <x v="6"/>
    <n v="4.052777777777778"/>
    <n v="0"/>
  </r>
  <r>
    <n v="1749"/>
    <x v="12"/>
    <s v="Iteration 25"/>
    <d v="2010-11-02T14:10:22"/>
    <x v="10"/>
    <n v="4.052777777777778"/>
    <n v="0"/>
  </r>
  <r>
    <n v="1751"/>
    <x v="6"/>
    <s v="Iteration 25"/>
    <d v="2010-11-02T14:52:27"/>
    <x v="19"/>
    <n v="4.052777777777778"/>
    <n v="0"/>
  </r>
  <r>
    <n v="1752"/>
    <x v="0"/>
    <s v="Iteration 25"/>
    <d v="2010-11-02T21:26:37"/>
    <x v="8"/>
    <n v="4.052777777777778"/>
    <n v="0"/>
  </r>
  <r>
    <n v="1754"/>
    <x v="11"/>
    <s v="Iteration 25"/>
    <d v="2010-11-02T22:10:18"/>
    <x v="19"/>
    <n v="4.052777777777778"/>
    <n v="0"/>
  </r>
  <r>
    <n v="1755"/>
    <x v="21"/>
    <s v="Iteration 28"/>
    <d v="2011-04-29T15:06:26"/>
    <x v="19"/>
    <n v="3.5611111111111109"/>
    <n v="0"/>
  </r>
  <r>
    <n v="1758"/>
    <x v="11"/>
    <s v="Iteration 25"/>
    <d v="2010-11-03T11:13:44"/>
    <x v="4"/>
    <n v="4.05"/>
    <n v="0"/>
  </r>
  <r>
    <n v="1759"/>
    <x v="8"/>
    <s v="Iteration 25"/>
    <d v="2010-11-03T16:13:33"/>
    <x v="10"/>
    <n v="4.05"/>
    <n v="0"/>
  </r>
  <r>
    <n v="1760"/>
    <x v="8"/>
    <s v="Iteration 25"/>
    <d v="2010-11-02T16:26:12"/>
    <x v="10"/>
    <n v="4.052777777777778"/>
    <n v="0"/>
  </r>
  <r>
    <n v="1761"/>
    <x v="21"/>
    <s v="Iteration 25"/>
    <d v="2010-11-03T17:07:57"/>
    <x v="4"/>
    <n v="4.05"/>
    <n v="0"/>
  </r>
  <r>
    <n v="1762"/>
    <x v="3"/>
    <s v="Iteration 29"/>
    <d v="2011-06-27T16:28:35"/>
    <x v="8"/>
    <n v="3.4"/>
    <n v="0"/>
  </r>
  <r>
    <n v="1763"/>
    <x v="12"/>
    <s v="Iteration 26"/>
    <d v="2010-12-15T22:03:36"/>
    <x v="9"/>
    <n v="3.9333333333333331"/>
    <n v="0"/>
  </r>
  <r>
    <n v="1764"/>
    <x v="12"/>
    <s v="Iteration 25"/>
    <d v="2010-11-03T13:23:41"/>
    <x v="5"/>
    <n v="4.05"/>
    <n v="0"/>
  </r>
  <r>
    <n v="1767"/>
    <x v="7"/>
    <s v="Iteration 20"/>
    <d v="2011-08-31T10:18:20"/>
    <x v="0"/>
    <n v="3.2250000000000001"/>
    <n v="0"/>
  </r>
  <r>
    <n v="1769"/>
    <x v="15"/>
    <s v="Iteration 25"/>
    <d v="2010-11-04T16:10:50"/>
    <x v="4"/>
    <n v="4.0472222222222225"/>
    <n v="0"/>
  </r>
  <r>
    <n v="1772"/>
    <x v="9"/>
    <s v="Iteration 27"/>
    <d v="2011-02-16T15:19:12"/>
    <x v="1"/>
    <n v="3.7638888888888888"/>
    <n v="0"/>
  </r>
  <r>
    <n v="1773"/>
    <x v="15"/>
    <s v="Release 2.0"/>
    <d v="2012-01-10T09:50:50"/>
    <x v="18"/>
    <n v="2.8638888888888889"/>
    <n v="0"/>
  </r>
  <r>
    <n v="1774"/>
    <x v="7"/>
    <s v="Iteration 27"/>
    <d v="2011-02-15T11:37:27"/>
    <x v="34"/>
    <n v="3.7666666666666666"/>
    <n v="0"/>
  </r>
  <r>
    <n v="1775"/>
    <x v="3"/>
    <s v="Iteration 25"/>
    <d v="2010-11-04T15:15:02"/>
    <x v="14"/>
    <n v="4.0472222222222225"/>
    <n v="0"/>
  </r>
  <r>
    <n v="1776"/>
    <x v="7"/>
    <s v="Iteration 26"/>
    <d v="2010-12-16T13:33:19"/>
    <x v="4"/>
    <n v="3.9305555555555554"/>
    <n v="0"/>
  </r>
  <r>
    <n v="1779"/>
    <x v="3"/>
    <s v="Iteration 25"/>
    <d v="2010-11-03T09:34:13"/>
    <x v="6"/>
    <n v="4.05"/>
    <n v="0"/>
  </r>
  <r>
    <n v="1781"/>
    <x v="12"/>
    <s v="Iteration 26"/>
    <d v="2010-12-16T12:45:36"/>
    <x v="4"/>
    <n v="3.9305555555555554"/>
    <n v="0"/>
  </r>
  <r>
    <n v="1784"/>
    <x v="12"/>
    <s v="Iteration 25"/>
    <d v="2010-11-03T13:00:32"/>
    <x v="6"/>
    <n v="4.05"/>
    <n v="0"/>
  </r>
  <r>
    <n v="1786"/>
    <x v="5"/>
    <s v="Iteration 27"/>
    <d v="2011-02-15T12:37:22"/>
    <x v="6"/>
    <n v="3.7666666666666666"/>
    <n v="0"/>
  </r>
  <r>
    <n v="1787"/>
    <x v="11"/>
    <s v="Iteration 28"/>
    <d v="2011-04-26T16:23:20"/>
    <x v="6"/>
    <n v="3.5694444444444446"/>
    <n v="0"/>
  </r>
  <r>
    <n v="1792"/>
    <x v="15"/>
    <s v="Iteration 27"/>
    <d v="2011-02-15T14:42:45"/>
    <x v="34"/>
    <n v="3.7666666666666666"/>
    <n v="0"/>
  </r>
  <r>
    <n v="1794"/>
    <x v="12"/>
    <s v="Iteration 25"/>
    <d v="2010-11-03T13:53:15"/>
    <x v="5"/>
    <n v="4.05"/>
    <n v="0"/>
  </r>
  <r>
    <n v="1795"/>
    <x v="12"/>
    <s v="Iteration 25"/>
    <d v="2010-11-03T12:22:30"/>
    <x v="6"/>
    <n v="4.05"/>
    <n v="0"/>
  </r>
  <r>
    <n v="1796"/>
    <x v="3"/>
    <s v="Iteration 25"/>
    <d v="2010-11-03T15:47:43"/>
    <x v="7"/>
    <n v="4.05"/>
    <n v="0"/>
  </r>
  <r>
    <n v="1797"/>
    <x v="5"/>
    <s v="Iteration 28"/>
    <d v="2011-04-26T11:16:20"/>
    <x v="6"/>
    <n v="3.5694444444444446"/>
    <n v="0"/>
  </r>
  <r>
    <n v="1801"/>
    <x v="9"/>
    <s v="Iteration 25"/>
    <d v="2010-11-04T10:39:30"/>
    <x v="13"/>
    <n v="4.0472222222222225"/>
    <n v="0"/>
  </r>
  <r>
    <n v="1802"/>
    <x v="12"/>
    <s v="Iteration 26"/>
    <d v="2010-12-15T21:52:18"/>
    <x v="3"/>
    <n v="3.9333333333333331"/>
    <n v="0"/>
  </r>
  <r>
    <n v="1803"/>
    <x v="6"/>
    <s v="Iteration 27"/>
    <d v="2011-02-16T14:33:32"/>
    <x v="6"/>
    <n v="3.7638888888888888"/>
    <n v="0"/>
  </r>
  <r>
    <n v="1812"/>
    <x v="12"/>
    <s v="Iteration 25"/>
    <d v="2010-11-04T18:24:32"/>
    <x v="10"/>
    <n v="4.0472222222222225"/>
    <n v="0"/>
  </r>
  <r>
    <n v="1813"/>
    <x v="6"/>
    <s v="Iteration 27"/>
    <d v="2011-02-15T09:48:53"/>
    <x v="6"/>
    <n v="3.7666666666666666"/>
    <n v="0"/>
  </r>
  <r>
    <n v="1817"/>
    <x v="6"/>
    <s v="Iteration 27"/>
    <d v="2011-02-15T09:56:02"/>
    <x v="6"/>
    <n v="3.7666666666666666"/>
    <n v="0"/>
  </r>
  <r>
    <n v="1818"/>
    <x v="6"/>
    <s v="Iteration 25"/>
    <d v="2010-11-03T16:28:09"/>
    <x v="6"/>
    <n v="4.05"/>
    <n v="0"/>
  </r>
  <r>
    <n v="1820"/>
    <x v="5"/>
    <s v="Iteration 25"/>
    <d v="2010-11-04T17:01:06"/>
    <x v="6"/>
    <n v="4.0472222222222225"/>
    <n v="0"/>
  </r>
  <r>
    <n v="1822"/>
    <x v="12"/>
    <s v="Iteration 28"/>
    <d v="2011-04-29T03:41:27"/>
    <x v="9"/>
    <n v="3.5611111111111109"/>
    <n v="0"/>
  </r>
  <r>
    <n v="1824"/>
    <x v="24"/>
    <s v="Release 3.1"/>
    <d v="2014-02-05T18:38:16"/>
    <x v="7"/>
    <n v="0.7944444444444444"/>
    <n v="1"/>
  </r>
  <r>
    <n v="1825"/>
    <x v="8"/>
    <s v="Iteration 25"/>
    <d v="2010-11-04T13:49:41"/>
    <x v="11"/>
    <n v="4.0472222222222225"/>
    <n v="0"/>
  </r>
  <r>
    <n v="1827"/>
    <x v="4"/>
    <s v="Iteration 25"/>
    <d v="2010-11-03T17:27:43"/>
    <x v="4"/>
    <n v="4.05"/>
    <n v="0"/>
  </r>
  <r>
    <n v="1828"/>
    <x v="10"/>
    <s v="Iteration 25"/>
    <d v="2010-11-03T21:04:26"/>
    <x v="5"/>
    <n v="4.05"/>
    <n v="0"/>
  </r>
  <r>
    <n v="1830"/>
    <x v="4"/>
    <s v="Iteration 26"/>
    <d v="2010-12-15T13:21:53"/>
    <x v="10"/>
    <n v="3.9333333333333331"/>
    <n v="0"/>
  </r>
  <r>
    <n v="1836"/>
    <x v="3"/>
    <s v="Release 2.1"/>
    <d v="2012-04-30T18:24:00"/>
    <x v="8"/>
    <n v="2.5583333333333331"/>
    <n v="0"/>
  </r>
  <r>
    <n v="1838"/>
    <x v="9"/>
    <s v="Iteration 26"/>
    <d v="2010-12-16T12:10:07"/>
    <x v="4"/>
    <n v="3.9305555555555554"/>
    <n v="0"/>
  </r>
  <r>
    <n v="1839"/>
    <x v="28"/>
    <s v="Release 2.6"/>
    <d v="2013-07-25T13:04:07"/>
    <x v="10"/>
    <n v="1.3222222222222222"/>
    <n v="0"/>
  </r>
  <r>
    <n v="1840"/>
    <x v="3"/>
    <s v="Iteration 25"/>
    <d v="2010-11-04T14:07:34"/>
    <x v="23"/>
    <n v="4.0472222222222225"/>
    <n v="0"/>
  </r>
  <r>
    <n v="1841"/>
    <x v="3"/>
    <s v="Iteration 28"/>
    <d v="2011-04-27T14:32:01"/>
    <x v="6"/>
    <n v="3.5666666666666669"/>
    <n v="0"/>
  </r>
  <r>
    <n v="1843"/>
    <x v="3"/>
    <s v="Iteration 26"/>
    <d v="2010-12-14T16:31:41"/>
    <x v="6"/>
    <n v="3.9361111111111109"/>
    <n v="0"/>
  </r>
  <r>
    <n v="1845"/>
    <x v="7"/>
    <s v="Iteration 27"/>
    <d v="2011-02-15T16:20:20"/>
    <x v="34"/>
    <n v="3.7666666666666666"/>
    <n v="0"/>
  </r>
  <r>
    <n v="1847"/>
    <x v="15"/>
    <s v="Iteration 26"/>
    <d v="2010-12-15T16:59:31"/>
    <x v="5"/>
    <n v="3.9333333333333331"/>
    <n v="0"/>
  </r>
  <r>
    <n v="1848"/>
    <x v="10"/>
    <s v="Iteration 26"/>
    <d v="2010-12-14T15:50:14"/>
    <x v="6"/>
    <n v="3.9361111111111109"/>
    <n v="0"/>
  </r>
  <r>
    <n v="1849"/>
    <x v="6"/>
    <s v="Iteration 27"/>
    <d v="2011-02-15T16:28:31"/>
    <x v="6"/>
    <n v="3.7666666666666666"/>
    <n v="0"/>
  </r>
  <r>
    <n v="1851"/>
    <x v="9"/>
    <s v="Iteration 26"/>
    <d v="2010-12-15T22:29:21"/>
    <x v="5"/>
    <n v="3.9333333333333331"/>
    <n v="0"/>
  </r>
  <r>
    <n v="1852"/>
    <x v="9"/>
    <s v="Iteration 26"/>
    <d v="2010-12-16T16:09:37"/>
    <x v="4"/>
    <n v="3.9305555555555554"/>
    <n v="0"/>
  </r>
  <r>
    <n v="1853"/>
    <x v="9"/>
    <s v="Iteration 26"/>
    <d v="2010-12-16T21:04:36"/>
    <x v="5"/>
    <n v="3.9305555555555554"/>
    <n v="0"/>
  </r>
  <r>
    <n v="1854"/>
    <x v="9"/>
    <s v="Iteration 26"/>
    <d v="2010-12-15T18:34:46"/>
    <x v="19"/>
    <n v="3.9333333333333331"/>
    <n v="0"/>
  </r>
  <r>
    <n v="1855"/>
    <x v="12"/>
    <s v="Iteration 26"/>
    <d v="2010-12-15T13:28:20"/>
    <x v="6"/>
    <n v="3.9333333333333331"/>
    <n v="0"/>
  </r>
  <r>
    <n v="1856"/>
    <x v="11"/>
    <s v="Iteration 26"/>
    <d v="2010-12-15T14:59:08"/>
    <x v="6"/>
    <n v="3.9333333333333331"/>
    <n v="0"/>
  </r>
  <r>
    <n v="1858"/>
    <x v="9"/>
    <s v="Iteration 26"/>
    <d v="2010-12-16T20:26:47"/>
    <x v="5"/>
    <n v="3.9305555555555554"/>
    <n v="0"/>
  </r>
  <r>
    <n v="1859"/>
    <x v="12"/>
    <s v="Iteration 26"/>
    <d v="2010-12-15T16:32:47"/>
    <x v="9"/>
    <n v="3.9333333333333331"/>
    <n v="0"/>
  </r>
  <r>
    <n v="1872"/>
    <x v="12"/>
    <s v="Iteration 26"/>
    <d v="2010-12-15T12:49:45"/>
    <x v="6"/>
    <n v="3.9333333333333331"/>
    <n v="0"/>
  </r>
  <r>
    <n v="1873"/>
    <x v="6"/>
    <s v="Iteration 26"/>
    <d v="2010-12-15T13:42:24"/>
    <x v="10"/>
    <n v="3.9333333333333331"/>
    <n v="0"/>
  </r>
  <r>
    <n v="1876"/>
    <x v="6"/>
    <s v="Iteration 26"/>
    <d v="2010-12-15T14:27:01"/>
    <x v="10"/>
    <n v="3.9333333333333331"/>
    <n v="0"/>
  </r>
  <r>
    <n v="1878"/>
    <x v="11"/>
    <s v="Iteration 26"/>
    <d v="2010-12-15T16:34:29"/>
    <x v="10"/>
    <n v="3.9333333333333331"/>
    <n v="0"/>
  </r>
  <r>
    <n v="1879"/>
    <x v="15"/>
    <s v="Iteration 26"/>
    <d v="2010-12-15T20:01:14"/>
    <x v="19"/>
    <n v="3.9333333333333331"/>
    <n v="0"/>
  </r>
  <r>
    <n v="1884"/>
    <x v="12"/>
    <s v="Iteration 26"/>
    <d v="2010-12-16T09:50:07"/>
    <x v="6"/>
    <n v="3.9305555555555554"/>
    <n v="0"/>
  </r>
  <r>
    <n v="1885"/>
    <x v="21"/>
    <s v="Iteration 26"/>
    <d v="2010-12-15T21:52:07"/>
    <x v="5"/>
    <n v="3.9333333333333331"/>
    <n v="0"/>
  </r>
  <r>
    <n v="1887"/>
    <x v="21"/>
    <s v="Iteration 26"/>
    <d v="2010-12-15T21:20:03"/>
    <x v="19"/>
    <n v="3.9333333333333331"/>
    <n v="0"/>
  </r>
  <r>
    <n v="1888"/>
    <x v="21"/>
    <s v="Iteration 26"/>
    <d v="2010-12-15T19:14:24"/>
    <x v="19"/>
    <n v="3.9333333333333331"/>
    <n v="0"/>
  </r>
  <r>
    <n v="1889"/>
    <x v="11"/>
    <s v="Iteration 26"/>
    <d v="2010-12-15T21:44:09"/>
    <x v="19"/>
    <n v="3.9333333333333331"/>
    <n v="0"/>
  </r>
  <r>
    <n v="1890"/>
    <x v="11"/>
    <s v="Iteration 27"/>
    <d v="2011-02-15T15:44:42"/>
    <x v="4"/>
    <n v="3.7666666666666666"/>
    <n v="0"/>
  </r>
  <r>
    <n v="1891"/>
    <x v="3"/>
    <s v="Iteration 26"/>
    <d v="2010-12-15T12:26:50"/>
    <x v="6"/>
    <n v="3.9333333333333331"/>
    <n v="0"/>
  </r>
  <r>
    <n v="1892"/>
    <x v="8"/>
    <s v="Iteration 26"/>
    <d v="2010-12-15T11:22:12"/>
    <x v="6"/>
    <n v="3.9333333333333331"/>
    <n v="0"/>
  </r>
  <r>
    <n v="1893"/>
    <x v="8"/>
    <s v="Iteration 26"/>
    <d v="2010-12-15T11:36:17"/>
    <x v="6"/>
    <n v="3.9333333333333331"/>
    <n v="0"/>
  </r>
  <r>
    <n v="1897"/>
    <x v="10"/>
    <s v="Iteration 26"/>
    <d v="2010-12-16T11:42:18"/>
    <x v="6"/>
    <n v="3.9305555555555554"/>
    <n v="0"/>
  </r>
  <r>
    <n v="1898"/>
    <x v="3"/>
    <s v="Iteration 26"/>
    <d v="2010-12-15T16:11:17"/>
    <x v="6"/>
    <n v="3.9333333333333331"/>
    <n v="0"/>
  </r>
  <r>
    <n v="1900"/>
    <x v="9"/>
    <s v="Iteration 26"/>
    <d v="2010-12-16T16:30:41"/>
    <x v="10"/>
    <n v="3.9305555555555554"/>
    <n v="0"/>
  </r>
  <r>
    <n v="1907"/>
    <x v="12"/>
    <s v="Iteration 26"/>
    <d v="2010-12-16T12:10:48"/>
    <x v="10"/>
    <n v="3.9305555555555554"/>
    <n v="0"/>
  </r>
  <r>
    <n v="1908"/>
    <x v="12"/>
    <s v="Iteration 26"/>
    <d v="2010-12-16T12:42:02"/>
    <x v="6"/>
    <n v="3.9305555555555554"/>
    <n v="0"/>
  </r>
  <r>
    <n v="1910"/>
    <x v="12"/>
    <s v="Iteration 26"/>
    <d v="2010-12-14T20:59:21"/>
    <x v="7"/>
    <n v="3.9361111111111109"/>
    <n v="0"/>
  </r>
  <r>
    <n v="1911"/>
    <x v="3"/>
    <s v="Iteration 27"/>
    <d v="2011-02-15T15:35:51"/>
    <x v="19"/>
    <n v="3.7666666666666666"/>
    <n v="0"/>
  </r>
  <r>
    <n v="1912"/>
    <x v="6"/>
    <s v="Iteration 26"/>
    <d v="2010-12-13T20:14:14"/>
    <x v="7"/>
    <n v="3.9388888888888891"/>
    <n v="0"/>
  </r>
  <r>
    <n v="1913"/>
    <x v="0"/>
    <s v="Iteration 27"/>
    <d v="2011-02-15T14:03:29"/>
    <x v="6"/>
    <n v="3.7666666666666666"/>
    <n v="0"/>
  </r>
  <r>
    <n v="1914"/>
    <x v="14"/>
    <s v="Iteration 27"/>
    <d v="2011-02-15T14:14:05"/>
    <x v="6"/>
    <n v="3.7666666666666666"/>
    <n v="0"/>
  </r>
  <r>
    <n v="1915"/>
    <x v="21"/>
    <s v="Iteration 27"/>
    <d v="2011-02-15T14:16:04"/>
    <x v="6"/>
    <n v="3.7666666666666666"/>
    <n v="0"/>
  </r>
  <r>
    <n v="1916"/>
    <x v="0"/>
    <s v="Iteration 27"/>
    <d v="2011-02-15T14:19:08"/>
    <x v="6"/>
    <n v="3.7666666666666666"/>
    <n v="0"/>
  </r>
  <r>
    <n v="1917"/>
    <x v="6"/>
    <s v="Iteration 28"/>
    <d v="2011-04-26T16:46:02"/>
    <x v="6"/>
    <n v="3.5694444444444446"/>
    <n v="0"/>
  </r>
  <r>
    <n v="1919"/>
    <x v="9"/>
    <s v="Iteration 26"/>
    <d v="2010-12-16T11:07:25"/>
    <x v="13"/>
    <n v="3.9305555555555554"/>
    <n v="0"/>
  </r>
  <r>
    <n v="1921"/>
    <x v="9"/>
    <s v="Iteration 26"/>
    <d v="2010-12-17T09:43:58"/>
    <x v="1"/>
    <n v="3.9277777777777776"/>
    <n v="0"/>
  </r>
  <r>
    <n v="1925"/>
    <x v="3"/>
    <s v="Iteration 27"/>
    <d v="2011-02-16T15:38:18"/>
    <x v="2"/>
    <n v="3.7638888888888888"/>
    <n v="0"/>
  </r>
  <r>
    <n v="1927"/>
    <x v="15"/>
    <s v="Iteration 27"/>
    <d v="2011-02-16T15:51:32"/>
    <x v="14"/>
    <n v="3.7638888888888888"/>
    <n v="0"/>
  </r>
  <r>
    <n v="1928"/>
    <x v="12"/>
    <s v="Iteration 26"/>
    <d v="2010-12-16T14:52:50"/>
    <x v="6"/>
    <n v="3.9305555555555554"/>
    <n v="0"/>
  </r>
  <r>
    <n v="1929"/>
    <x v="10"/>
    <s v="Iteration 26"/>
    <d v="2010-12-15T18:45:47"/>
    <x v="19"/>
    <n v="3.9333333333333331"/>
    <n v="0"/>
  </r>
  <r>
    <n v="1930"/>
    <x v="11"/>
    <s v="Iteration 26"/>
    <d v="2010-12-15T14:43:18"/>
    <x v="6"/>
    <n v="3.9333333333333331"/>
    <n v="0"/>
  </r>
  <r>
    <n v="1932"/>
    <x v="11"/>
    <s v="Iteration 26"/>
    <d v="2010-12-15T21:55:18"/>
    <x v="19"/>
    <n v="3.9333333333333331"/>
    <n v="0"/>
  </r>
  <r>
    <n v="1935"/>
    <x v="3"/>
    <s v="Iteration 26"/>
    <d v="2010-12-15T14:13:36"/>
    <x v="6"/>
    <n v="3.9333333333333331"/>
    <n v="0"/>
  </r>
  <r>
    <n v="1937"/>
    <x v="7"/>
    <s v="Iteration 26"/>
    <d v="2010-12-15T13:34:22"/>
    <x v="10"/>
    <n v="3.9333333333333331"/>
    <n v="0"/>
  </r>
  <r>
    <n v="1939"/>
    <x v="4"/>
    <s v="Iteration 27"/>
    <d v="2011-02-15T10:20:58"/>
    <x v="6"/>
    <n v="3.7666666666666666"/>
    <n v="0"/>
  </r>
  <r>
    <n v="1941"/>
    <x v="10"/>
    <s v="Iteration 26"/>
    <d v="2010-12-15T16:41:21"/>
    <x v="10"/>
    <n v="3.9333333333333331"/>
    <n v="0"/>
  </r>
  <r>
    <n v="1943"/>
    <x v="14"/>
    <s v="Iteration 26"/>
    <d v="2010-12-16T10:00:09"/>
    <x v="6"/>
    <n v="3.9305555555555554"/>
    <n v="0"/>
  </r>
  <r>
    <n v="1944"/>
    <x v="0"/>
    <s v="Release 2.0"/>
    <d v="2012-01-12T00:24:53"/>
    <x v="9"/>
    <n v="2.8583333333333334"/>
    <n v="0"/>
  </r>
  <r>
    <n v="1945"/>
    <x v="12"/>
    <s v="Iteration 26"/>
    <d v="2010-12-16T15:28:43"/>
    <x v="6"/>
    <n v="3.9305555555555554"/>
    <n v="0"/>
  </r>
  <r>
    <n v="1946"/>
    <x v="15"/>
    <s v="Iteration 26"/>
    <d v="2010-12-16T11:35:38"/>
    <x v="6"/>
    <n v="3.9305555555555554"/>
    <n v="0"/>
  </r>
  <r>
    <n v="1948"/>
    <x v="11"/>
    <s v="Iteration 26"/>
    <d v="2010-12-15T13:47:16"/>
    <x v="10"/>
    <n v="3.9333333333333331"/>
    <n v="0"/>
  </r>
  <r>
    <n v="1952"/>
    <x v="4"/>
    <s v="Iteration 26"/>
    <d v="2010-12-15T13:45:48"/>
    <x v="13"/>
    <n v="3.9333333333333331"/>
    <n v="0"/>
  </r>
  <r>
    <n v="1953"/>
    <x v="6"/>
    <s v="Iteration 27"/>
    <d v="2011-02-15T13:00:05"/>
    <x v="4"/>
    <n v="3.7666666666666666"/>
    <n v="0"/>
  </r>
  <r>
    <n v="1954"/>
    <x v="12"/>
    <s v="Iteration 26"/>
    <d v="2010-12-15T19:50:50"/>
    <x v="5"/>
    <n v="3.9333333333333331"/>
    <n v="0"/>
  </r>
  <r>
    <n v="1955"/>
    <x v="12"/>
    <s v="Iteration 26"/>
    <d v="2010-12-16T18:56:05"/>
    <x v="5"/>
    <n v="3.9305555555555554"/>
    <n v="0"/>
  </r>
  <r>
    <n v="1956"/>
    <x v="12"/>
    <s v="Iteration 26"/>
    <d v="2010-12-15T19:06:24"/>
    <x v="3"/>
    <n v="3.9333333333333331"/>
    <n v="0"/>
  </r>
  <r>
    <n v="1957"/>
    <x v="12"/>
    <s v="Iteration 26"/>
    <d v="2010-12-15T19:07:00"/>
    <x v="3"/>
    <n v="3.9333333333333331"/>
    <n v="0"/>
  </r>
  <r>
    <n v="1959"/>
    <x v="12"/>
    <s v="Iteration 26"/>
    <d v="2010-12-16T15:57:35"/>
    <x v="6"/>
    <n v="3.9305555555555554"/>
    <n v="0"/>
  </r>
  <r>
    <n v="1960"/>
    <x v="15"/>
    <s v="Iteration 26"/>
    <d v="2012-10-08T16:32:12"/>
    <x v="6"/>
    <n v="2.1194444444444445"/>
    <n v="0"/>
  </r>
  <r>
    <n v="1962"/>
    <x v="9"/>
    <s v="Iteration 26"/>
    <d v="2010-12-17T05:11:23"/>
    <x v="8"/>
    <n v="3.9277777777777776"/>
    <n v="0"/>
  </r>
  <r>
    <n v="1964"/>
    <x v="6"/>
    <s v="Iteration 26"/>
    <d v="2010-12-15T18:41:52"/>
    <x v="19"/>
    <n v="3.9333333333333331"/>
    <n v="0"/>
  </r>
  <r>
    <n v="1968"/>
    <x v="12"/>
    <s v="Iteration 26"/>
    <d v="2010-12-15T20:15:33"/>
    <x v="8"/>
    <n v="3.9333333333333331"/>
    <n v="0"/>
  </r>
  <r>
    <n v="1969"/>
    <x v="12"/>
    <s v="Iteration 27"/>
    <d v="2011-02-15T15:05:26"/>
    <x v="4"/>
    <n v="3.7666666666666666"/>
    <n v="0"/>
  </r>
  <r>
    <n v="1971"/>
    <x v="10"/>
    <s v="Iteration 26"/>
    <d v="2010-12-15T14:11:56"/>
    <x v="11"/>
    <n v="3.9333333333333331"/>
    <n v="0"/>
  </r>
  <r>
    <n v="1972"/>
    <x v="4"/>
    <s v="Iteration 27"/>
    <d v="2011-02-15T12:05:18"/>
    <x v="34"/>
    <n v="3.7666666666666666"/>
    <n v="0"/>
  </r>
  <r>
    <n v="1973"/>
    <x v="12"/>
    <s v="Iteration 26"/>
    <d v="2010-12-16T13:54:07"/>
    <x v="3"/>
    <n v="3.9305555555555554"/>
    <n v="0"/>
  </r>
  <r>
    <n v="1974"/>
    <x v="12"/>
    <s v="Iteration 26"/>
    <d v="2010-12-16T15:28:48"/>
    <x v="10"/>
    <n v="3.9305555555555554"/>
    <n v="0"/>
  </r>
  <r>
    <n v="1975"/>
    <x v="12"/>
    <s v="Iteration 26"/>
    <d v="2010-12-16T19:27:37"/>
    <x v="5"/>
    <n v="3.9305555555555554"/>
    <n v="0"/>
  </r>
  <r>
    <n v="1976"/>
    <x v="16"/>
    <s v="Iteration 26"/>
    <d v="2010-12-16T16:05:16"/>
    <x v="6"/>
    <n v="3.9305555555555554"/>
    <n v="0"/>
  </r>
  <r>
    <n v="1977"/>
    <x v="16"/>
    <s v="Iteration 28"/>
    <d v="2011-05-02T22:23:28"/>
    <x v="7"/>
    <n v="3.5527777777777776"/>
    <n v="0"/>
  </r>
  <r>
    <n v="1978"/>
    <x v="16"/>
    <s v="Iteration 28"/>
    <d v="2011-05-04T22:52:39"/>
    <x v="8"/>
    <n v="3.5472222222222221"/>
    <n v="0"/>
  </r>
  <r>
    <n v="1979"/>
    <x v="12"/>
    <s v="Iteration 26"/>
    <d v="2010-12-15T16:57:47"/>
    <x v="5"/>
    <n v="3.9333333333333331"/>
    <n v="0"/>
  </r>
  <r>
    <n v="1982"/>
    <x v="12"/>
    <s v="Iteration 26"/>
    <d v="2010-12-15T18:25:16"/>
    <x v="9"/>
    <n v="3.9333333333333331"/>
    <n v="0"/>
  </r>
  <r>
    <n v="1983"/>
    <x v="12"/>
    <s v="Iteration 26"/>
    <d v="2010-12-16T13:57:28"/>
    <x v="3"/>
    <n v="3.9305555555555554"/>
    <n v="0"/>
  </r>
  <r>
    <n v="1984"/>
    <x v="12"/>
    <s v="Iteration 26"/>
    <d v="2010-12-15T18:17:52"/>
    <x v="9"/>
    <n v="3.9333333333333331"/>
    <n v="0"/>
  </r>
  <r>
    <n v="1986"/>
    <x v="9"/>
    <s v="Iteration 26"/>
    <d v="2010-12-15T19:44:07"/>
    <x v="8"/>
    <n v="3.9333333333333331"/>
    <n v="0"/>
  </r>
  <r>
    <n v="1988"/>
    <x v="9"/>
    <s v="Iteration 26"/>
    <d v="2010-12-15T22:52:43"/>
    <x v="19"/>
    <n v="3.9333333333333331"/>
    <n v="0"/>
  </r>
  <r>
    <n v="1990"/>
    <x v="3"/>
    <s v="Iteration 27"/>
    <d v="2011-02-15T10:59:09"/>
    <x v="6"/>
    <n v="3.7666666666666666"/>
    <n v="0"/>
  </r>
  <r>
    <n v="1993"/>
    <x v="9"/>
    <s v="Iteration 26"/>
    <d v="2010-12-16T17:51:16"/>
    <x v="14"/>
    <n v="3.9305555555555554"/>
    <n v="0"/>
  </r>
  <r>
    <n v="1994"/>
    <x v="7"/>
    <s v="Iteration 27"/>
    <d v="2011-02-14T15:49:52"/>
    <x v="11"/>
    <n v="3.7694444444444444"/>
    <n v="0"/>
  </r>
  <r>
    <n v="1997"/>
    <x v="6"/>
    <s v="Iteration 26"/>
    <d v="2010-12-15T19:50:28"/>
    <x v="19"/>
    <n v="3.9333333333333331"/>
    <n v="0"/>
  </r>
  <r>
    <n v="1998"/>
    <x v="9"/>
    <s v="Iteration 26"/>
    <d v="2010-12-16T09:33:41"/>
    <x v="13"/>
    <n v="3.9305555555555554"/>
    <n v="0"/>
  </r>
  <r>
    <n v="1999"/>
    <x v="9"/>
    <s v="Iteration 26"/>
    <d v="2010-12-15T18:48:44"/>
    <x v="19"/>
    <n v="3.9333333333333331"/>
    <n v="0"/>
  </r>
  <r>
    <n v="2001"/>
    <x v="21"/>
    <s v="Iteration 26"/>
    <d v="2010-12-09T02:43:09"/>
    <x v="8"/>
    <n v="3.95"/>
    <n v="0"/>
  </r>
  <r>
    <n v="2002"/>
    <x v="0"/>
    <s v="Iteration 26"/>
    <d v="2010-12-15T12:59:36"/>
    <x v="6"/>
    <n v="3.9333333333333331"/>
    <n v="0"/>
  </r>
  <r>
    <n v="2003"/>
    <x v="11"/>
    <s v="Iteration 26"/>
    <d v="2010-12-15T19:43:16"/>
    <x v="8"/>
    <n v="3.9333333333333331"/>
    <n v="0"/>
  </r>
  <r>
    <n v="2004"/>
    <x v="7"/>
    <s v="Iteration 26"/>
    <d v="2010-12-16T12:07:37"/>
    <x v="6"/>
    <n v="3.9305555555555554"/>
    <n v="0"/>
  </r>
  <r>
    <n v="2007"/>
    <x v="15"/>
    <s v="Iteration 26"/>
    <d v="2010-12-16T11:37:05"/>
    <x v="6"/>
    <n v="3.9305555555555554"/>
    <n v="0"/>
  </r>
  <r>
    <n v="2008"/>
    <x v="21"/>
    <s v="Iteration 27"/>
    <d v="2011-02-16T15:33:32"/>
    <x v="4"/>
    <n v="3.7638888888888888"/>
    <n v="0"/>
  </r>
  <r>
    <n v="2009"/>
    <x v="21"/>
    <s v="Iteration 26"/>
    <d v="2010-12-15T10:09:26"/>
    <x v="6"/>
    <n v="3.9333333333333331"/>
    <n v="0"/>
  </r>
  <r>
    <n v="2011"/>
    <x v="12"/>
    <s v="Iteration 26"/>
    <d v="2010-12-16T15:58:45"/>
    <x v="9"/>
    <n v="3.9305555555555554"/>
    <n v="0"/>
  </r>
  <r>
    <n v="2013"/>
    <x v="12"/>
    <s v="Iteration 26"/>
    <d v="2010-12-17T13:58:50"/>
    <x v="5"/>
    <n v="3.9277777777777776"/>
    <n v="0"/>
  </r>
  <r>
    <n v="2015"/>
    <x v="15"/>
    <s v="Iteration 26"/>
    <d v="2010-12-16T11:33:47"/>
    <x v="6"/>
    <n v="3.9305555555555554"/>
    <n v="0"/>
  </r>
  <r>
    <n v="2017"/>
    <x v="21"/>
    <s v="Iteration 26"/>
    <d v="2010-12-15T10:21:58"/>
    <x v="13"/>
    <n v="3.9333333333333331"/>
    <n v="0"/>
  </r>
  <r>
    <n v="2019"/>
    <x v="15"/>
    <s v="Iteration 26"/>
    <d v="2010-12-17T14:42:06"/>
    <x v="5"/>
    <n v="3.9277777777777776"/>
    <n v="0"/>
  </r>
  <r>
    <n v="2023"/>
    <x v="21"/>
    <s v="Iteration 27"/>
    <d v="2011-02-17T19:04:10"/>
    <x v="9"/>
    <n v="3.7611111111111111"/>
    <n v="0"/>
  </r>
  <r>
    <n v="2025"/>
    <x v="3"/>
    <s v="Iteration 26"/>
    <d v="2010-12-15T15:46:53"/>
    <x v="6"/>
    <n v="3.9333333333333331"/>
    <n v="0"/>
  </r>
  <r>
    <n v="2031"/>
    <x v="15"/>
    <s v="Iteration 27"/>
    <d v="2011-02-16T15:06:55"/>
    <x v="4"/>
    <n v="3.7638888888888888"/>
    <n v="0"/>
  </r>
  <r>
    <n v="2032"/>
    <x v="19"/>
    <s v="Release 2.1"/>
    <d v="2012-05-01T14:22:17"/>
    <x v="1"/>
    <n v="2.5555555555555554"/>
    <n v="0"/>
  </r>
  <r>
    <n v="2033"/>
    <x v="12"/>
    <s v="Iteration 27"/>
    <d v="2011-02-16T17:00:23"/>
    <x v="10"/>
    <n v="3.7638888888888888"/>
    <n v="0"/>
  </r>
  <r>
    <n v="2034"/>
    <x v="12"/>
    <s v="Iteration 26"/>
    <d v="2010-12-15T21:54:16"/>
    <x v="3"/>
    <n v="3.9333333333333331"/>
    <n v="0"/>
  </r>
  <r>
    <n v="2035"/>
    <x v="15"/>
    <s v="Iteration 27"/>
    <d v="2011-02-16T10:48:29"/>
    <x v="4"/>
    <n v="3.7638888888888888"/>
    <n v="0"/>
  </r>
  <r>
    <n v="2038"/>
    <x v="12"/>
    <s v="Iteration 26"/>
    <d v="2010-12-16T16:06:36"/>
    <x v="10"/>
    <n v="3.9305555555555554"/>
    <n v="0"/>
  </r>
  <r>
    <n v="2039"/>
    <x v="0"/>
    <s v="Iteration 26"/>
    <d v="2010-12-10T14:39:26"/>
    <x v="5"/>
    <n v="3.9472222222222224"/>
    <n v="0"/>
  </r>
  <r>
    <n v="2042"/>
    <x v="12"/>
    <s v="Iteration 27"/>
    <d v="2011-02-16T15:30:58"/>
    <x v="9"/>
    <n v="3.7638888888888888"/>
    <n v="0"/>
  </r>
  <r>
    <n v="2043"/>
    <x v="12"/>
    <s v="Iteration 26"/>
    <d v="2010-12-15T17:04:15"/>
    <x v="10"/>
    <n v="3.9333333333333331"/>
    <n v="0"/>
  </r>
  <r>
    <n v="2046"/>
    <x v="6"/>
    <s v="Iteration 27"/>
    <d v="2011-02-16T11:16:35"/>
    <x v="6"/>
    <n v="3.7638888888888888"/>
    <n v="0"/>
  </r>
  <r>
    <n v="2047"/>
    <x v="7"/>
    <s v="Iteration 26"/>
    <d v="2010-12-16T11:46:40"/>
    <x v="6"/>
    <n v="3.9305555555555554"/>
    <n v="0"/>
  </r>
  <r>
    <n v="2054"/>
    <x v="12"/>
    <s v="Iteration 26"/>
    <d v="2010-12-16T13:53:27"/>
    <x v="13"/>
    <n v="3.9305555555555554"/>
    <n v="0"/>
  </r>
  <r>
    <n v="2055"/>
    <x v="11"/>
    <s v="Iteration 26"/>
    <d v="2010-12-14T16:57:10"/>
    <x v="6"/>
    <n v="3.9361111111111109"/>
    <n v="0"/>
  </r>
  <r>
    <n v="2056"/>
    <x v="7"/>
    <s v="Iteration 26"/>
    <d v="2010-12-16T12:18:57"/>
    <x v="6"/>
    <n v="3.9305555555555554"/>
    <n v="0"/>
  </r>
  <r>
    <n v="2058"/>
    <x v="14"/>
    <s v="Iteration 26"/>
    <d v="2010-12-15T13:25:11"/>
    <x v="6"/>
    <n v="3.9333333333333331"/>
    <n v="0"/>
  </r>
  <r>
    <n v="2059"/>
    <x v="9"/>
    <s v="Iteration 26"/>
    <d v="2010-12-16T10:17:58"/>
    <x v="13"/>
    <n v="3.9305555555555554"/>
    <n v="0"/>
  </r>
  <r>
    <n v="2060"/>
    <x v="9"/>
    <s v="Iteration 26"/>
    <d v="2010-12-16T10:23:46"/>
    <x v="13"/>
    <n v="3.9305555555555554"/>
    <n v="0"/>
  </r>
  <r>
    <n v="2064"/>
    <x v="12"/>
    <s v="Iteration 26"/>
    <d v="2010-12-16T15:55:59"/>
    <x v="3"/>
    <n v="3.9305555555555554"/>
    <n v="0"/>
  </r>
  <r>
    <n v="2065"/>
    <x v="12"/>
    <s v="Iteration 26"/>
    <d v="2010-12-16T14:06:54"/>
    <x v="3"/>
    <n v="3.9305555555555554"/>
    <n v="0"/>
  </r>
  <r>
    <n v="2066"/>
    <x v="0"/>
    <s v="Iteration 27"/>
    <d v="2011-02-15T10:38:24"/>
    <x v="6"/>
    <n v="3.7666666666666666"/>
    <n v="0"/>
  </r>
  <r>
    <n v="2069"/>
    <x v="12"/>
    <s v="Iteration 26"/>
    <d v="2010-12-16T10:08:17"/>
    <x v="6"/>
    <n v="3.9305555555555554"/>
    <n v="0"/>
  </r>
  <r>
    <n v="2074"/>
    <x v="12"/>
    <s v="Iteration 27"/>
    <d v="2011-02-16T13:18:05"/>
    <x v="10"/>
    <n v="3.7638888888888888"/>
    <n v="0"/>
  </r>
  <r>
    <n v="2075"/>
    <x v="10"/>
    <s v="Release 2.0"/>
    <d v="2012-01-23T20:07:43"/>
    <x v="5"/>
    <n v="2.8277777777777779"/>
    <n v="0"/>
  </r>
  <r>
    <n v="2078"/>
    <x v="15"/>
    <s v="Iteration 27"/>
    <d v="2011-02-15T20:25:55"/>
    <x v="19"/>
    <n v="3.7666666666666666"/>
    <n v="0"/>
  </r>
  <r>
    <n v="2081"/>
    <x v="0"/>
    <s v="Iteration 26"/>
    <d v="2010-12-16T18:23:53"/>
    <x v="14"/>
    <n v="3.9305555555555554"/>
    <n v="0"/>
  </r>
  <r>
    <n v="2086"/>
    <x v="4"/>
    <s v="Iteration 27"/>
    <d v="2011-02-15T10:28:46"/>
    <x v="6"/>
    <n v="3.7666666666666666"/>
    <n v="0"/>
  </r>
  <r>
    <n v="2087"/>
    <x v="3"/>
    <s v="Iteration 26"/>
    <d v="2010-12-16T15:44:40"/>
    <x v="23"/>
    <n v="3.9305555555555554"/>
    <n v="0"/>
  </r>
  <r>
    <n v="2090"/>
    <x v="3"/>
    <s v="Iteration 26"/>
    <d v="2010-12-17T12:25:50"/>
    <x v="6"/>
    <n v="3.9277777777777776"/>
    <n v="0"/>
  </r>
  <r>
    <n v="2095"/>
    <x v="0"/>
    <s v="Iteration 27"/>
    <d v="2011-02-15T09:20:00"/>
    <x v="6"/>
    <n v="3.7666666666666666"/>
    <n v="0"/>
  </r>
  <r>
    <n v="2104"/>
    <x v="12"/>
    <s v="Iteration 27"/>
    <d v="2011-02-14T16:52:54"/>
    <x v="11"/>
    <n v="3.7694444444444444"/>
    <n v="0"/>
  </r>
  <r>
    <n v="2105"/>
    <x v="0"/>
    <s v="Iteration 26"/>
    <d v="2010-12-17T18:58:24"/>
    <x v="3"/>
    <n v="3.9277777777777776"/>
    <n v="0"/>
  </r>
  <r>
    <n v="2111"/>
    <x v="12"/>
    <s v="Iteration 27"/>
    <d v="2011-02-16T16:02:08"/>
    <x v="9"/>
    <n v="3.7638888888888888"/>
    <n v="0"/>
  </r>
  <r>
    <n v="2113"/>
    <x v="10"/>
    <s v="Iteration 27"/>
    <d v="2011-02-17T14:15:46"/>
    <x v="6"/>
    <n v="3.7611111111111111"/>
    <n v="0"/>
  </r>
  <r>
    <n v="2114"/>
    <x v="48"/>
    <s v="Iteration 26"/>
    <d v="2010-12-17T20:58:04"/>
    <x v="8"/>
    <n v="3.9277777777777776"/>
    <n v="0"/>
  </r>
  <r>
    <n v="2116"/>
    <x v="6"/>
    <s v="Iteration 27"/>
    <d v="2011-02-15T14:46:58"/>
    <x v="11"/>
    <n v="3.7666666666666666"/>
    <n v="0"/>
  </r>
  <r>
    <n v="2117"/>
    <x v="3"/>
    <s v="Iteration 27"/>
    <d v="2011-02-15T14:53:20"/>
    <x v="11"/>
    <n v="3.7666666666666666"/>
    <n v="0"/>
  </r>
  <r>
    <n v="2118"/>
    <x v="11"/>
    <s v="Iteration 27"/>
    <d v="2011-02-16T13:10:00"/>
    <x v="11"/>
    <n v="3.7638888888888888"/>
    <n v="0"/>
  </r>
  <r>
    <n v="2119"/>
    <x v="15"/>
    <s v="Iteration 27"/>
    <d v="2011-02-17T14:15:21"/>
    <x v="4"/>
    <n v="3.7611111111111111"/>
    <n v="0"/>
  </r>
  <r>
    <n v="2122"/>
    <x v="9"/>
    <s v="Iteration 27"/>
    <d v="2011-02-17T09:30:28"/>
    <x v="1"/>
    <n v="3.7611111111111111"/>
    <n v="0"/>
  </r>
  <r>
    <n v="2124"/>
    <x v="21"/>
    <s v="Iteration 27"/>
    <d v="2011-02-17T10:27:36"/>
    <x v="6"/>
    <n v="3.7611111111111111"/>
    <n v="0"/>
  </r>
  <r>
    <n v="2125"/>
    <x v="2"/>
    <s v="Iteration 29"/>
    <d v="2011-06-27T14:11:33"/>
    <x v="4"/>
    <n v="3.4"/>
    <n v="0"/>
  </r>
  <r>
    <n v="2126"/>
    <x v="2"/>
    <s v="Iteration 29"/>
    <d v="2011-06-28T08:05:29"/>
    <x v="4"/>
    <n v="3.3972222222222221"/>
    <n v="0"/>
  </r>
  <r>
    <n v="2127"/>
    <x v="2"/>
    <s v="Iteration 29"/>
    <d v="2011-06-28T08:10:49"/>
    <x v="4"/>
    <n v="3.3972222222222221"/>
    <n v="0"/>
  </r>
  <r>
    <n v="2128"/>
    <x v="2"/>
    <s v="Iteration 29"/>
    <d v="2011-06-27T18:05:40"/>
    <x v="9"/>
    <n v="3.4"/>
    <n v="0"/>
  </r>
  <r>
    <n v="2129"/>
    <x v="15"/>
    <s v="Iteration 27"/>
    <d v="2011-02-17T10:13:33"/>
    <x v="6"/>
    <n v="3.7611111111111111"/>
    <n v="0"/>
  </r>
  <r>
    <n v="2136"/>
    <x v="5"/>
    <s v="Iteration 27"/>
    <d v="2011-02-15T17:12:00"/>
    <x v="34"/>
    <n v="3.7666666666666666"/>
    <n v="0"/>
  </r>
  <r>
    <n v="2137"/>
    <x v="4"/>
    <s v="Iteration 27"/>
    <d v="2011-02-17T11:13:47"/>
    <x v="2"/>
    <n v="3.7611111111111111"/>
    <n v="0"/>
  </r>
  <r>
    <n v="2141"/>
    <x v="2"/>
    <s v="Iteration 27"/>
    <d v="2011-02-14T16:51:03"/>
    <x v="11"/>
    <n v="3.7694444444444444"/>
    <n v="0"/>
  </r>
  <r>
    <n v="2158"/>
    <x v="7"/>
    <s v="Iteration 30"/>
    <d v="2011-09-19T14:11:19"/>
    <x v="13"/>
    <n v="3.1722222222222221"/>
    <n v="0"/>
  </r>
  <r>
    <n v="2160"/>
    <x v="7"/>
    <s v="Iteration 27"/>
    <d v="2011-02-15T16:17:58"/>
    <x v="34"/>
    <n v="3.7666666666666666"/>
    <n v="0"/>
  </r>
  <r>
    <n v="2163"/>
    <x v="15"/>
    <s v="Iteration 27"/>
    <d v="2011-02-16T15:28:44"/>
    <x v="34"/>
    <n v="3.7638888888888888"/>
    <n v="0"/>
  </r>
  <r>
    <n v="2165"/>
    <x v="9"/>
    <s v="Iteration 27"/>
    <d v="2011-02-15T14:54:51"/>
    <x v="11"/>
    <n v="3.7666666666666666"/>
    <n v="0"/>
  </r>
  <r>
    <n v="2166"/>
    <x v="9"/>
    <s v="Iteration 27"/>
    <d v="2011-02-15T14:55:32"/>
    <x v="11"/>
    <n v="3.7666666666666666"/>
    <n v="0"/>
  </r>
  <r>
    <n v="2172"/>
    <x v="11"/>
    <s v="Iteration 27"/>
    <d v="2011-02-15T15:47:28"/>
    <x v="19"/>
    <n v="3.7666666666666666"/>
    <n v="0"/>
  </r>
  <r>
    <n v="2174"/>
    <x v="9"/>
    <s v="Iteration 27"/>
    <d v="2011-02-15T13:04:50"/>
    <x v="4"/>
    <n v="3.7666666666666666"/>
    <n v="0"/>
  </r>
  <r>
    <n v="2175"/>
    <x v="9"/>
    <s v="Iteration 27"/>
    <d v="2011-02-15T12:27:58"/>
    <x v="34"/>
    <n v="3.7666666666666666"/>
    <n v="0"/>
  </r>
  <r>
    <n v="2176"/>
    <x v="18"/>
    <s v="Iteration 27"/>
    <d v="2011-02-15T17:00:16"/>
    <x v="2"/>
    <n v="3.7666666666666666"/>
    <n v="0"/>
  </r>
  <r>
    <n v="2179"/>
    <x v="11"/>
    <s v="Iteration 27"/>
    <d v="2011-02-17T15:57:52"/>
    <x v="9"/>
    <n v="3.7611111111111111"/>
    <n v="0"/>
  </r>
  <r>
    <n v="2180"/>
    <x v="10"/>
    <s v="Iteration 29"/>
    <d v="2011-06-30T22:56:12"/>
    <x v="5"/>
    <n v="3.3916666666666666"/>
    <n v="0"/>
  </r>
  <r>
    <n v="2187"/>
    <x v="12"/>
    <s v="Iteration 27"/>
    <d v="2011-02-16T17:40:52"/>
    <x v="7"/>
    <n v="3.7638888888888888"/>
    <n v="0"/>
  </r>
  <r>
    <n v="2191"/>
    <x v="12"/>
    <s v="Iteration 27"/>
    <d v="2011-02-16T09:48:38"/>
    <x v="2"/>
    <n v="3.7638888888888888"/>
    <n v="0"/>
  </r>
  <r>
    <n v="2192"/>
    <x v="9"/>
    <s v="Iteration 27"/>
    <d v="2011-02-16T15:59:27"/>
    <x v="1"/>
    <n v="3.7638888888888888"/>
    <n v="0"/>
  </r>
  <r>
    <n v="2193"/>
    <x v="21"/>
    <s v="Iteration 27"/>
    <d v="2011-02-16T17:44:26"/>
    <x v="7"/>
    <n v="3.7638888888888888"/>
    <n v="0"/>
  </r>
  <r>
    <n v="2195"/>
    <x v="2"/>
    <s v="Iteration 27"/>
    <d v="2011-02-15T11:42:09"/>
    <x v="6"/>
    <n v="3.7666666666666666"/>
    <n v="0"/>
  </r>
  <r>
    <n v="2196"/>
    <x v="3"/>
    <s v="Iteration 27"/>
    <d v="2011-02-15T19:22:46"/>
    <x v="19"/>
    <n v="3.7666666666666666"/>
    <n v="0"/>
  </r>
  <r>
    <n v="2197"/>
    <x v="7"/>
    <s v="Iteration 29"/>
    <d v="2011-06-29T11:43:01"/>
    <x v="4"/>
    <n v="3.3944444444444444"/>
    <n v="0"/>
  </r>
  <r>
    <n v="2201"/>
    <x v="21"/>
    <s v="Iteration 27"/>
    <d v="2011-02-15T13:08:28"/>
    <x v="4"/>
    <n v="3.7666666666666666"/>
    <n v="0"/>
  </r>
  <r>
    <n v="2202"/>
    <x v="3"/>
    <s v="Iteration 27"/>
    <d v="2011-02-15T09:58:58"/>
    <x v="6"/>
    <n v="3.7666666666666666"/>
    <n v="0"/>
  </r>
  <r>
    <n v="2205"/>
    <x v="14"/>
    <s v="Iteration 27"/>
    <d v="2011-02-15T15:27:14"/>
    <x v="4"/>
    <n v="3.7666666666666666"/>
    <n v="0"/>
  </r>
  <r>
    <n v="2206"/>
    <x v="21"/>
    <s v="Iteration 27"/>
    <d v="2011-02-16T17:06:56"/>
    <x v="11"/>
    <n v="3.7638888888888888"/>
    <n v="0"/>
  </r>
  <r>
    <n v="2210"/>
    <x v="0"/>
    <s v="Iteration 27"/>
    <d v="2011-02-16T14:56:00"/>
    <x v="6"/>
    <n v="3.7638888888888888"/>
    <n v="0"/>
  </r>
  <r>
    <n v="2217"/>
    <x v="7"/>
    <s v="Iteration 30"/>
    <d v="2011-09-20T10:30:33"/>
    <x v="13"/>
    <n v="3.1694444444444443"/>
    <n v="0"/>
  </r>
  <r>
    <n v="2219"/>
    <x v="7"/>
    <s v="Iteration 30"/>
    <d v="2011-09-20T09:52:48"/>
    <x v="13"/>
    <n v="3.1694444444444443"/>
    <n v="0"/>
  </r>
  <r>
    <n v="2222"/>
    <x v="12"/>
    <s v="Iteration 27"/>
    <d v="2011-02-16T17:32:31"/>
    <x v="7"/>
    <n v="3.7638888888888888"/>
    <n v="0"/>
  </r>
  <r>
    <n v="2223"/>
    <x v="9"/>
    <s v="Iteration 27"/>
    <d v="2011-02-16T18:49:51"/>
    <x v="7"/>
    <n v="3.7638888888888888"/>
    <n v="0"/>
  </r>
  <r>
    <n v="2226"/>
    <x v="15"/>
    <s v="Iteration 27"/>
    <d v="2011-02-17T14:26:59"/>
    <x v="1"/>
    <n v="3.7611111111111111"/>
    <n v="0"/>
  </r>
  <r>
    <n v="2227"/>
    <x v="11"/>
    <s v="Iteration 27"/>
    <d v="2011-02-15T13:14:03"/>
    <x v="4"/>
    <n v="3.7666666666666666"/>
    <n v="0"/>
  </r>
  <r>
    <n v="2230"/>
    <x v="14"/>
    <s v="Iteration 29"/>
    <d v="2011-06-28T19:11:16"/>
    <x v="16"/>
    <n v="3.3972222222222221"/>
    <n v="0"/>
  </r>
  <r>
    <n v="2231"/>
    <x v="9"/>
    <s v="Iteration 27"/>
    <d v="2011-02-16T15:54:25"/>
    <x v="9"/>
    <n v="3.7638888888888888"/>
    <n v="0"/>
  </r>
  <r>
    <n v="2232"/>
    <x v="9"/>
    <s v="Iteration 27"/>
    <d v="2011-02-16T17:00:41"/>
    <x v="2"/>
    <n v="3.7638888888888888"/>
    <n v="0"/>
  </r>
  <r>
    <n v="2233"/>
    <x v="3"/>
    <s v="Release 2.0"/>
    <d v="2012-02-01T15:58:04"/>
    <x v="8"/>
    <n v="2.8055555555555554"/>
    <n v="0"/>
  </r>
  <r>
    <n v="2234"/>
    <x v="3"/>
    <s v="Iteration 27"/>
    <d v="2011-02-17T09:43:41"/>
    <x v="6"/>
    <n v="3.7611111111111111"/>
    <n v="0"/>
  </r>
  <r>
    <n v="2237"/>
    <x v="3"/>
    <s v="Iteration 27"/>
    <d v="2011-02-15T14:07:00"/>
    <x v="34"/>
    <n v="3.7666666666666666"/>
    <n v="0"/>
  </r>
  <r>
    <n v="2238"/>
    <x v="7"/>
    <s v="Iteration 27"/>
    <d v="2011-02-15T11:29:02"/>
    <x v="6"/>
    <n v="3.7666666666666666"/>
    <n v="0"/>
  </r>
  <r>
    <n v="2239"/>
    <x v="12"/>
    <s v="Iteration 30"/>
    <d v="2011-09-20T09:20:04"/>
    <x v="1"/>
    <n v="3.1694444444444443"/>
    <n v="0"/>
  </r>
  <r>
    <n v="2244"/>
    <x v="12"/>
    <s v="Iteration 27"/>
    <d v="2011-02-16T12:05:55"/>
    <x v="6"/>
    <n v="3.7638888888888888"/>
    <n v="0"/>
  </r>
  <r>
    <n v="2248"/>
    <x v="4"/>
    <s v="Iteration 28"/>
    <d v="2011-04-27T11:49:42"/>
    <x v="6"/>
    <n v="3.5666666666666669"/>
    <n v="0"/>
  </r>
  <r>
    <n v="2249"/>
    <x v="4"/>
    <s v="Iteration 30"/>
    <d v="2011-09-19T16:49:56"/>
    <x v="19"/>
    <n v="3.1722222222222221"/>
    <n v="0"/>
  </r>
  <r>
    <n v="2250"/>
    <x v="3"/>
    <s v="Iteration 27"/>
    <d v="2011-02-15T10:16:43"/>
    <x v="6"/>
    <n v="3.7666666666666666"/>
    <n v="0"/>
  </r>
  <r>
    <n v="2251"/>
    <x v="7"/>
    <s v="Iteration 28"/>
    <d v="2011-05-03T20:31:55"/>
    <x v="5"/>
    <n v="3.55"/>
    <n v="0"/>
  </r>
  <r>
    <n v="2255"/>
    <x v="9"/>
    <s v="Iteration 27"/>
    <d v="2011-02-15T15:45:27"/>
    <x v="19"/>
    <n v="3.7666666666666666"/>
    <n v="0"/>
  </r>
  <r>
    <n v="2256"/>
    <x v="3"/>
    <s v="Iteration 27"/>
    <d v="2011-02-16T18:01:41"/>
    <x v="7"/>
    <n v="3.7638888888888888"/>
    <n v="0"/>
  </r>
  <r>
    <n v="2257"/>
    <x v="0"/>
    <s v="Iteration 27"/>
    <d v="2011-02-15T16:07:37"/>
    <x v="6"/>
    <n v="3.7666666666666666"/>
    <n v="0"/>
  </r>
  <r>
    <n v="2261"/>
    <x v="15"/>
    <s v="Iteration 27"/>
    <d v="2011-02-15T15:23:27"/>
    <x v="4"/>
    <n v="3.7666666666666666"/>
    <n v="0"/>
  </r>
  <r>
    <n v="2263"/>
    <x v="9"/>
    <s v="Iteration 27"/>
    <d v="2011-02-17T10:33:31"/>
    <x v="14"/>
    <n v="3.7611111111111111"/>
    <n v="0"/>
  </r>
  <r>
    <n v="2265"/>
    <x v="12"/>
    <s v="Iteration 30"/>
    <d v="2011-09-20T15:06:30"/>
    <x v="3"/>
    <n v="3.1694444444444443"/>
    <n v="0"/>
  </r>
  <r>
    <n v="2267"/>
    <x v="3"/>
    <s v="Iteration 27"/>
    <d v="2011-02-16T16:56:08"/>
    <x v="6"/>
    <n v="3.7638888888888888"/>
    <n v="0"/>
  </r>
  <r>
    <n v="2269"/>
    <x v="12"/>
    <s v="Iteration 27"/>
    <d v="2011-02-15T15:18:16"/>
    <x v="4"/>
    <n v="3.7666666666666666"/>
    <n v="0"/>
  </r>
  <r>
    <n v="2270"/>
    <x v="15"/>
    <s v="Iteration 27"/>
    <d v="2011-02-17T08:57:38"/>
    <x v="4"/>
    <n v="3.7611111111111111"/>
    <n v="0"/>
  </r>
  <r>
    <n v="2271"/>
    <x v="3"/>
    <s v="Iteration 27"/>
    <d v="2011-02-16T13:48:10"/>
    <x v="11"/>
    <n v="3.7638888888888888"/>
    <n v="0"/>
  </r>
  <r>
    <n v="2274"/>
    <x v="9"/>
    <s v="Iteration 27"/>
    <d v="2011-02-17T09:44:42"/>
    <x v="2"/>
    <n v="3.7611111111111111"/>
    <n v="0"/>
  </r>
  <r>
    <n v="2276"/>
    <x v="2"/>
    <s v="Iteration 27"/>
    <d v="2011-02-18T09:10:55"/>
    <x v="2"/>
    <n v="3.7583333333333333"/>
    <n v="0"/>
  </r>
  <r>
    <n v="2277"/>
    <x v="12"/>
    <s v="Iteration 27"/>
    <d v="2011-02-16T10:12:46"/>
    <x v="6"/>
    <n v="3.7638888888888888"/>
    <n v="0"/>
  </r>
  <r>
    <n v="2280"/>
    <x v="6"/>
    <s v="Iteration 27"/>
    <d v="2011-02-15T16:57:24"/>
    <x v="19"/>
    <n v="3.7666666666666666"/>
    <n v="0"/>
  </r>
  <r>
    <n v="2283"/>
    <x v="9"/>
    <s v="Iteration 27"/>
    <d v="2011-02-17T10:02:40"/>
    <x v="2"/>
    <n v="3.7611111111111111"/>
    <n v="0"/>
  </r>
  <r>
    <n v="2288"/>
    <x v="8"/>
    <s v="Iteration 28"/>
    <d v="2011-04-28T13:47:36"/>
    <x v="6"/>
    <n v="3.5638888888888891"/>
    <n v="0"/>
  </r>
  <r>
    <n v="2289"/>
    <x v="9"/>
    <s v="Iteration 27"/>
    <d v="2011-02-17T10:33:39"/>
    <x v="2"/>
    <n v="3.7611111111111111"/>
    <n v="0"/>
  </r>
  <r>
    <n v="2290"/>
    <x v="9"/>
    <s v="Iteration 27"/>
    <d v="2011-02-17T13:30:41"/>
    <x v="1"/>
    <n v="3.7611111111111111"/>
    <n v="0"/>
  </r>
  <r>
    <n v="2292"/>
    <x v="14"/>
    <s v="Release 2.0"/>
    <d v="2012-01-10T19:06:58"/>
    <x v="5"/>
    <n v="2.8638888888888889"/>
    <n v="0"/>
  </r>
  <r>
    <n v="2294"/>
    <x v="15"/>
    <s v="Iteration 29"/>
    <d v="2011-06-28T22:25:50"/>
    <x v="8"/>
    <n v="3.3972222222222221"/>
    <n v="0"/>
  </r>
  <r>
    <n v="2295"/>
    <x v="12"/>
    <s v="Iteration 27"/>
    <d v="2011-02-16T16:23:07"/>
    <x v="6"/>
    <n v="3.7638888888888888"/>
    <n v="0"/>
  </r>
  <r>
    <n v="2298"/>
    <x v="6"/>
    <s v="Iteration 27"/>
    <d v="2011-02-15T18:24:03"/>
    <x v="10"/>
    <n v="3.7666666666666666"/>
    <n v="0"/>
  </r>
  <r>
    <n v="2299"/>
    <x v="6"/>
    <s v="Iteration 27"/>
    <d v="2011-02-14T16:41:19"/>
    <x v="8"/>
    <n v="3.7694444444444444"/>
    <n v="0"/>
  </r>
  <r>
    <n v="2300"/>
    <x v="6"/>
    <s v="Iteration 27"/>
    <d v="2011-02-16T12:59:20"/>
    <x v="10"/>
    <n v="3.7638888888888888"/>
    <n v="0"/>
  </r>
  <r>
    <n v="2301"/>
    <x v="4"/>
    <s v="Iteration 28"/>
    <d v="2011-04-26T10:42:20"/>
    <x v="6"/>
    <n v="3.5694444444444446"/>
    <n v="0"/>
  </r>
  <r>
    <n v="2302"/>
    <x v="3"/>
    <s v="Iteration 28"/>
    <d v="2011-04-26T11:14:32"/>
    <x v="6"/>
    <n v="3.5694444444444446"/>
    <n v="0"/>
  </r>
  <r>
    <n v="2303"/>
    <x v="13"/>
    <s v="Iteration 30"/>
    <d v="2011-09-21T11:20:13"/>
    <x v="13"/>
    <n v="3.1666666666666665"/>
    <n v="0"/>
  </r>
  <r>
    <n v="2307"/>
    <x v="15"/>
    <s v="Iteration 27"/>
    <d v="2011-02-16T09:50:06"/>
    <x v="4"/>
    <n v="3.7638888888888888"/>
    <n v="0"/>
  </r>
  <r>
    <n v="2309"/>
    <x v="0"/>
    <s v="Release 2.0"/>
    <d v="2012-01-10T20:26:10"/>
    <x v="5"/>
    <n v="2.8638888888888889"/>
    <n v="0"/>
  </r>
  <r>
    <n v="2310"/>
    <x v="2"/>
    <s v="Iteration 27"/>
    <d v="2011-02-15T11:35:08"/>
    <x v="6"/>
    <n v="3.7666666666666666"/>
    <n v="0"/>
  </r>
  <r>
    <n v="2315"/>
    <x v="3"/>
    <s v="Iteration 27"/>
    <d v="2011-02-16T16:11:14"/>
    <x v="6"/>
    <n v="3.7638888888888888"/>
    <n v="0"/>
  </r>
  <r>
    <n v="2317"/>
    <x v="12"/>
    <s v="Iteration 27"/>
    <d v="2011-02-15T21:11:00"/>
    <x v="10"/>
    <n v="3.7666666666666666"/>
    <n v="0"/>
  </r>
  <r>
    <n v="2318"/>
    <x v="6"/>
    <s v="Iteration 27"/>
    <d v="2011-02-16T17:29:08"/>
    <x v="11"/>
    <n v="3.7638888888888888"/>
    <n v="0"/>
  </r>
  <r>
    <n v="2320"/>
    <x v="11"/>
    <s v="Release 2.1"/>
    <d v="2012-04-30T20:31:59"/>
    <x v="8"/>
    <n v="2.5583333333333331"/>
    <n v="0"/>
  </r>
  <r>
    <n v="2321"/>
    <x v="3"/>
    <s v="Iteration 27"/>
    <d v="2011-02-16T18:09:50"/>
    <x v="7"/>
    <n v="3.7638888888888888"/>
    <n v="0"/>
  </r>
  <r>
    <n v="2322"/>
    <x v="10"/>
    <s v="Iteration 27"/>
    <d v="2011-02-17T09:06:55"/>
    <x v="4"/>
    <n v="3.7611111111111111"/>
    <n v="0"/>
  </r>
  <r>
    <n v="2323"/>
    <x v="2"/>
    <s v="Iteration 27"/>
    <d v="2011-02-17T14:14:13"/>
    <x v="4"/>
    <n v="3.7611111111111111"/>
    <n v="0"/>
  </r>
  <r>
    <n v="2326"/>
    <x v="10"/>
    <s v="Iteration 27"/>
    <d v="2011-02-17T22:02:14"/>
    <x v="9"/>
    <n v="3.7611111111111111"/>
    <n v="0"/>
  </r>
  <r>
    <n v="2327"/>
    <x v="9"/>
    <s v="Iteration 27"/>
    <d v="2011-02-17T15:19:31"/>
    <x v="14"/>
    <n v="3.7611111111111111"/>
    <n v="0"/>
  </r>
  <r>
    <n v="2331"/>
    <x v="9"/>
    <s v="Iteration 27"/>
    <d v="2011-02-16T16:36:03"/>
    <x v="2"/>
    <n v="3.7638888888888888"/>
    <n v="0"/>
  </r>
  <r>
    <n v="2333"/>
    <x v="0"/>
    <s v="Iteration 27"/>
    <d v="2011-02-16T11:32:23"/>
    <x v="2"/>
    <n v="3.7638888888888888"/>
    <n v="0"/>
  </r>
  <r>
    <n v="2334"/>
    <x v="12"/>
    <s v="Iteration 27"/>
    <d v="2011-02-16T13:28:28"/>
    <x v="10"/>
    <n v="3.7638888888888888"/>
    <n v="0"/>
  </r>
  <r>
    <n v="2336"/>
    <x v="12"/>
    <s v="Iteration 27"/>
    <d v="2011-02-16T11:44:22"/>
    <x v="2"/>
    <n v="3.7638888888888888"/>
    <n v="0"/>
  </r>
  <r>
    <n v="2337"/>
    <x v="7"/>
    <s v="Iteration 28"/>
    <d v="2011-05-04T23:09:33"/>
    <x v="8"/>
    <n v="3.5472222222222221"/>
    <n v="0"/>
  </r>
  <r>
    <n v="2339"/>
    <x v="9"/>
    <s v="Iteration 28"/>
    <d v="2011-04-27T14:18:05"/>
    <x v="13"/>
    <n v="3.5666666666666669"/>
    <n v="0"/>
  </r>
  <r>
    <n v="2340"/>
    <x v="9"/>
    <s v="Iteration 28"/>
    <d v="2011-04-27T09:40:01"/>
    <x v="13"/>
    <n v="3.5666666666666669"/>
    <n v="0"/>
  </r>
  <r>
    <n v="2343"/>
    <x v="11"/>
    <s v="Iteration 27"/>
    <d v="2011-02-16T14:46:41"/>
    <x v="4"/>
    <n v="3.7638888888888888"/>
    <n v="0"/>
  </r>
  <r>
    <n v="2344"/>
    <x v="12"/>
    <s v="Iteration 27"/>
    <d v="2011-02-15T15:00:29"/>
    <x v="6"/>
    <n v="3.7666666666666666"/>
    <n v="0"/>
  </r>
  <r>
    <n v="2346"/>
    <x v="3"/>
    <s v="Iteration 27"/>
    <d v="2011-02-16T10:47:54"/>
    <x v="6"/>
    <n v="3.7638888888888888"/>
    <n v="0"/>
  </r>
  <r>
    <n v="2347"/>
    <x v="9"/>
    <s v="Iteration 27"/>
    <d v="2011-02-17T12:02:35"/>
    <x v="14"/>
    <n v="3.7611111111111111"/>
    <n v="0"/>
  </r>
  <r>
    <n v="2350"/>
    <x v="15"/>
    <s v="Iteration 27"/>
    <d v="2011-02-17T13:55:19"/>
    <x v="4"/>
    <n v="3.7611111111111111"/>
    <n v="0"/>
  </r>
  <r>
    <n v="2351"/>
    <x v="15"/>
    <s v="Iteration 29"/>
    <d v="2011-06-29T15:11:36"/>
    <x v="14"/>
    <n v="3.3944444444444444"/>
    <n v="0"/>
  </r>
  <r>
    <n v="2352"/>
    <x v="3"/>
    <s v="Iteration 27"/>
    <d v="2011-02-16T11:09:33"/>
    <x v="6"/>
    <n v="3.7638888888888888"/>
    <n v="0"/>
  </r>
  <r>
    <n v="2353"/>
    <x v="11"/>
    <s v="Iteration 27"/>
    <d v="2011-02-16T14:45:40"/>
    <x v="4"/>
    <n v="3.7638888888888888"/>
    <n v="0"/>
  </r>
  <r>
    <n v="2354"/>
    <x v="11"/>
    <s v="Iteration 27"/>
    <d v="2011-02-16T11:35:25"/>
    <x v="4"/>
    <n v="3.7638888888888888"/>
    <n v="0"/>
  </r>
  <r>
    <n v="2355"/>
    <x v="12"/>
    <s v="Iteration 28"/>
    <d v="2011-04-26T15:37:46"/>
    <x v="6"/>
    <n v="3.5694444444444446"/>
    <n v="0"/>
  </r>
  <r>
    <n v="2358"/>
    <x v="21"/>
    <s v="Iteration 27"/>
    <d v="2011-02-16T14:58:45"/>
    <x v="4"/>
    <n v="3.7638888888888888"/>
    <n v="0"/>
  </r>
  <r>
    <n v="2359"/>
    <x v="2"/>
    <s v="Iteration 27"/>
    <d v="2011-02-17T15:32:22"/>
    <x v="2"/>
    <n v="3.7611111111111111"/>
    <n v="0"/>
  </r>
  <r>
    <n v="2360"/>
    <x v="12"/>
    <s v="Iteration 27"/>
    <d v="2011-02-15T12:50:57"/>
    <x v="11"/>
    <n v="3.7666666666666666"/>
    <n v="0"/>
  </r>
  <r>
    <n v="2361"/>
    <x v="12"/>
    <s v="Iteration 27"/>
    <d v="2011-02-16T12:01:37"/>
    <x v="6"/>
    <n v="3.7638888888888888"/>
    <n v="0"/>
  </r>
  <r>
    <n v="2364"/>
    <x v="12"/>
    <s v="Iteration 27"/>
    <d v="2011-02-16T14:50:46"/>
    <x v="10"/>
    <n v="3.7638888888888888"/>
    <n v="0"/>
  </r>
  <r>
    <n v="2365"/>
    <x v="6"/>
    <s v="Iteration 28"/>
    <d v="2011-04-28T14:56:16"/>
    <x v="6"/>
    <n v="3.5638888888888891"/>
    <n v="0"/>
  </r>
  <r>
    <n v="2368"/>
    <x v="6"/>
    <s v="Iteration 27"/>
    <d v="2011-02-16T14:53:22"/>
    <x v="6"/>
    <n v="3.7638888888888888"/>
    <n v="0"/>
  </r>
  <r>
    <n v="2370"/>
    <x v="3"/>
    <s v="Iteration 27"/>
    <d v="2011-02-17T15:15:39"/>
    <x v="13"/>
    <n v="3.7611111111111111"/>
    <n v="0"/>
  </r>
  <r>
    <n v="2371"/>
    <x v="9"/>
    <s v="Iteration 28"/>
    <d v="2011-04-27T22:44:04"/>
    <x v="19"/>
    <n v="3.5666666666666669"/>
    <n v="0"/>
  </r>
  <r>
    <n v="2374"/>
    <x v="15"/>
    <s v="Iteration 27"/>
    <d v="2011-02-16T11:12:03"/>
    <x v="6"/>
    <n v="3.7638888888888888"/>
    <n v="0"/>
  </r>
  <r>
    <n v="2375"/>
    <x v="6"/>
    <s v="Iteration 28"/>
    <d v="2011-04-26T10:53:56"/>
    <x v="6"/>
    <n v="3.5694444444444446"/>
    <n v="0"/>
  </r>
  <r>
    <n v="2376"/>
    <x v="15"/>
    <s v="Iteration 27"/>
    <d v="2011-02-18T13:57:24"/>
    <x v="14"/>
    <n v="3.7583333333333333"/>
    <n v="0"/>
  </r>
  <r>
    <n v="2378"/>
    <x v="13"/>
    <s v="Release 2.0"/>
    <d v="2012-01-10T14:00:49"/>
    <x v="13"/>
    <n v="2.8638888888888889"/>
    <n v="0"/>
  </r>
  <r>
    <n v="2379"/>
    <x v="21"/>
    <s v="Iteration 30"/>
    <d v="2011-09-20T16:15:58"/>
    <x v="19"/>
    <n v="3.1694444444444443"/>
    <n v="0"/>
  </r>
  <r>
    <n v="2380"/>
    <x v="6"/>
    <s v="Iteration 29"/>
    <d v="2011-06-28T03:47:38"/>
    <x v="8"/>
    <n v="3.3972222222222221"/>
    <n v="0"/>
  </r>
  <r>
    <n v="2381"/>
    <x v="18"/>
    <s v="Iteration 29"/>
    <d v="2011-06-29T15:12:11"/>
    <x v="13"/>
    <n v="3.3944444444444444"/>
    <n v="0"/>
  </r>
  <r>
    <n v="2389"/>
    <x v="4"/>
    <s v="Release 3.1"/>
    <d v="2013-11-25T16:52:41"/>
    <x v="26"/>
    <n v="0.98888888888888893"/>
    <n v="1"/>
  </r>
  <r>
    <n v="2394"/>
    <x v="3"/>
    <s v="Iteration 28"/>
    <d v="2011-04-26T22:33:27"/>
    <x v="7"/>
    <n v="3.5694444444444446"/>
    <n v="0"/>
  </r>
  <r>
    <n v="2395"/>
    <x v="15"/>
    <s v="Iteration 27"/>
    <d v="2011-02-16T16:49:57"/>
    <x v="34"/>
    <n v="3.7638888888888888"/>
    <n v="0"/>
  </r>
  <r>
    <n v="2396"/>
    <x v="15"/>
    <s v="Iteration 28"/>
    <d v="2011-04-28T19:24:59"/>
    <x v="19"/>
    <n v="3.5638888888888891"/>
    <n v="0"/>
  </r>
  <r>
    <n v="2398"/>
    <x v="12"/>
    <s v="Iteration 27"/>
    <d v="2011-02-15T18:15:17"/>
    <x v="10"/>
    <n v="3.7666666666666666"/>
    <n v="0"/>
  </r>
  <r>
    <n v="2399"/>
    <x v="15"/>
    <s v="Iteration 27"/>
    <d v="2011-02-16T16:27:14"/>
    <x v="34"/>
    <n v="3.7638888888888888"/>
    <n v="0"/>
  </r>
  <r>
    <n v="2400"/>
    <x v="12"/>
    <s v="Iteration 28"/>
    <d v="2011-05-02T17:01:59"/>
    <x v="10"/>
    <n v="3.5527777777777776"/>
    <n v="0"/>
  </r>
  <r>
    <n v="2401"/>
    <x v="9"/>
    <s v="Iteration 27"/>
    <d v="2011-02-17T11:39:39"/>
    <x v="2"/>
    <n v="3.7611111111111111"/>
    <n v="0"/>
  </r>
  <r>
    <n v="2403"/>
    <x v="9"/>
    <s v="Iteration 27"/>
    <d v="2011-02-16T14:57:04"/>
    <x v="4"/>
    <n v="3.7638888888888888"/>
    <n v="0"/>
  </r>
  <r>
    <n v="2406"/>
    <x v="3"/>
    <s v="Iteration 28"/>
    <d v="2011-04-28T02:34:51"/>
    <x v="8"/>
    <n v="3.5638888888888891"/>
    <n v="0"/>
  </r>
  <r>
    <n v="2407"/>
    <x v="14"/>
    <s v="Iteration 27"/>
    <d v="2011-02-15T11:11:08"/>
    <x v="6"/>
    <n v="3.7666666666666666"/>
    <n v="0"/>
  </r>
  <r>
    <n v="2408"/>
    <x v="12"/>
    <s v="Iteration 27"/>
    <d v="2011-02-15T16:50:27"/>
    <x v="2"/>
    <n v="3.7666666666666666"/>
    <n v="0"/>
  </r>
  <r>
    <n v="2415"/>
    <x v="17"/>
    <s v="Release 2.2"/>
    <d v="2012-08-06T20:37:53"/>
    <x v="16"/>
    <n v="2.2916666666666665"/>
    <n v="0"/>
  </r>
  <r>
    <n v="2418"/>
    <x v="4"/>
    <s v="Iteration 28"/>
    <d v="2011-04-26T16:03:58"/>
    <x v="2"/>
    <n v="3.5694444444444446"/>
    <n v="0"/>
  </r>
  <r>
    <n v="2421"/>
    <x v="11"/>
    <s v="Iteration 27"/>
    <d v="2011-02-15T18:40:11"/>
    <x v="19"/>
    <n v="3.7666666666666666"/>
    <n v="0"/>
  </r>
  <r>
    <n v="2422"/>
    <x v="21"/>
    <s v="Iteration 27"/>
    <d v="2011-02-17T19:39:11"/>
    <x v="19"/>
    <n v="3.7611111111111111"/>
    <n v="0"/>
  </r>
  <r>
    <n v="2424"/>
    <x v="6"/>
    <s v="Iteration 28"/>
    <d v="2011-04-27T11:11:20"/>
    <x v="6"/>
    <n v="3.5666666666666669"/>
    <n v="0"/>
  </r>
  <r>
    <n v="2425"/>
    <x v="6"/>
    <s v="Iteration 30"/>
    <d v="2011-09-22T10:42:29"/>
    <x v="18"/>
    <n v="3.1638888888888888"/>
    <n v="0"/>
  </r>
  <r>
    <n v="2432"/>
    <x v="15"/>
    <s v="Iteration 28"/>
    <d v="2011-04-28T01:01:42"/>
    <x v="9"/>
    <n v="3.5638888888888891"/>
    <n v="0"/>
  </r>
  <r>
    <n v="2434"/>
    <x v="14"/>
    <s v="Iteration 29"/>
    <d v="2011-06-27T16:25:07"/>
    <x v="8"/>
    <n v="3.4"/>
    <n v="0"/>
  </r>
  <r>
    <n v="2438"/>
    <x v="15"/>
    <s v="Iteration 30"/>
    <d v="2011-09-21T18:59:38"/>
    <x v="7"/>
    <n v="3.1666666666666665"/>
    <n v="0"/>
  </r>
  <r>
    <n v="2439"/>
    <x v="4"/>
    <s v="Iteration 30"/>
    <d v="2011-09-21T22:38:20"/>
    <x v="8"/>
    <n v="3.1666666666666665"/>
    <n v="0"/>
  </r>
  <r>
    <n v="2440"/>
    <x v="21"/>
    <s v="Iteration 28"/>
    <d v="2011-04-27T22:19:48"/>
    <x v="19"/>
    <n v="3.5666666666666669"/>
    <n v="0"/>
  </r>
  <r>
    <n v="2443"/>
    <x v="3"/>
    <s v="Iteration 28"/>
    <d v="2011-04-26T15:09:27"/>
    <x v="6"/>
    <n v="3.5694444444444446"/>
    <n v="0"/>
  </r>
  <r>
    <n v="2446"/>
    <x v="6"/>
    <s v="Iteration 28"/>
    <d v="2011-05-02T13:34:41"/>
    <x v="10"/>
    <n v="3.5527777777777776"/>
    <n v="0"/>
  </r>
  <r>
    <n v="2452"/>
    <x v="12"/>
    <s v="Iteration 28"/>
    <d v="2011-05-02T15:02:59"/>
    <x v="10"/>
    <n v="3.5527777777777776"/>
    <n v="0"/>
  </r>
  <r>
    <n v="2454"/>
    <x v="0"/>
    <s v="Iteration 28"/>
    <d v="2011-04-26T14:20:26"/>
    <x v="6"/>
    <n v="3.5694444444444446"/>
    <n v="0"/>
  </r>
  <r>
    <n v="2459"/>
    <x v="3"/>
    <s v="Iteration 27"/>
    <d v="2011-02-17T14:15:32"/>
    <x v="2"/>
    <n v="3.7611111111111111"/>
    <n v="0"/>
  </r>
  <r>
    <n v="2461"/>
    <x v="21"/>
    <s v="Iteration 28"/>
    <d v="2011-04-28T20:30:57"/>
    <x v="19"/>
    <n v="3.5638888888888891"/>
    <n v="0"/>
  </r>
  <r>
    <n v="2466"/>
    <x v="16"/>
    <s v="Iteration 28"/>
    <d v="2011-04-28T13:41:30"/>
    <x v="1"/>
    <n v="3.5638888888888891"/>
    <n v="0"/>
  </r>
  <r>
    <n v="2467"/>
    <x v="16"/>
    <s v="Iteration 28"/>
    <d v="2011-04-28T14:36:29"/>
    <x v="1"/>
    <n v="3.5638888888888891"/>
    <n v="0"/>
  </r>
  <r>
    <n v="2470"/>
    <x v="22"/>
    <s v="Release 2.3"/>
    <d v="2012-11-02T16:45:19"/>
    <x v="11"/>
    <n v="2.0527777777777776"/>
    <n v="0"/>
  </r>
  <r>
    <n v="2471"/>
    <x v="15"/>
    <s v="Iteration 28"/>
    <d v="2011-04-28T20:38:42"/>
    <x v="19"/>
    <n v="3.5638888888888891"/>
    <n v="0"/>
  </r>
  <r>
    <n v="2472"/>
    <x v="0"/>
    <s v="Iteration 27"/>
    <d v="2011-02-18T09:10:22"/>
    <x v="6"/>
    <n v="3.7583333333333333"/>
    <n v="0"/>
  </r>
  <r>
    <n v="2476"/>
    <x v="0"/>
    <s v="Iteration 28"/>
    <d v="2011-04-26T14:54:37"/>
    <x v="6"/>
    <n v="3.5694444444444446"/>
    <n v="0"/>
  </r>
  <r>
    <n v="2480"/>
    <x v="19"/>
    <s v="Release 3.2"/>
    <d v="2014-04-21T21:10:37"/>
    <x v="3"/>
    <n v="0.58333333333333337"/>
    <n v="1"/>
  </r>
  <r>
    <n v="2486"/>
    <x v="3"/>
    <s v="Iteration 28"/>
    <d v="2011-04-27T08:52:36"/>
    <x v="1"/>
    <n v="3.5666666666666669"/>
    <n v="0"/>
  </r>
  <r>
    <n v="2493"/>
    <x v="3"/>
    <s v="Iteration 28"/>
    <d v="2011-04-27T12:22:03"/>
    <x v="1"/>
    <n v="3.5666666666666669"/>
    <n v="0"/>
  </r>
  <r>
    <n v="2494"/>
    <x v="4"/>
    <s v="Iteration 28"/>
    <d v="2011-04-26T15:57:49"/>
    <x v="2"/>
    <n v="3.5694444444444446"/>
    <n v="0"/>
  </r>
  <r>
    <n v="2495"/>
    <x v="15"/>
    <s v="Iteration 28"/>
    <d v="2011-04-28T14:34:22"/>
    <x v="6"/>
    <n v="3.5638888888888891"/>
    <n v="0"/>
  </r>
  <r>
    <n v="2496"/>
    <x v="4"/>
    <s v="Iteration 28"/>
    <d v="2011-04-28T01:36:47"/>
    <x v="9"/>
    <n v="3.5638888888888891"/>
    <n v="0"/>
  </r>
  <r>
    <n v="2500"/>
    <x v="4"/>
    <s v="Iteration 28"/>
    <d v="2011-04-27T14:59:02"/>
    <x v="6"/>
    <n v="3.5666666666666669"/>
    <n v="0"/>
  </r>
  <r>
    <n v="2502"/>
    <x v="11"/>
    <s v="Iteration 28"/>
    <d v="2011-05-04T18:52:38"/>
    <x v="10"/>
    <n v="3.5472222222222221"/>
    <n v="0"/>
  </r>
  <r>
    <n v="2510"/>
    <x v="10"/>
    <s v="Iteration 28"/>
    <d v="2011-05-01T10:45:59"/>
    <x v="9"/>
    <n v="3.5555555555555554"/>
    <n v="0"/>
  </r>
  <r>
    <n v="2512"/>
    <x v="9"/>
    <s v="Iteration 28"/>
    <d v="2011-04-28T13:28:07"/>
    <x v="1"/>
    <n v="3.5638888888888891"/>
    <n v="0"/>
  </r>
  <r>
    <n v="2513"/>
    <x v="16"/>
    <s v="Iteration 28"/>
    <d v="2011-05-03T14:03:02"/>
    <x v="5"/>
    <n v="3.55"/>
    <n v="0"/>
  </r>
  <r>
    <n v="2515"/>
    <x v="9"/>
    <s v="Iteration 28"/>
    <d v="2011-05-03T12:21:04"/>
    <x v="2"/>
    <n v="3.55"/>
    <n v="0"/>
  </r>
  <r>
    <n v="2516"/>
    <x v="9"/>
    <s v="Iteration 28"/>
    <d v="2011-04-26T16:40:05"/>
    <x v="2"/>
    <n v="3.5694444444444446"/>
    <n v="0"/>
  </r>
  <r>
    <n v="2517"/>
    <x v="4"/>
    <s v="Iteration 28"/>
    <d v="2011-04-27T14:53:18"/>
    <x v="6"/>
    <n v="3.5666666666666669"/>
    <n v="0"/>
  </r>
  <r>
    <n v="2520"/>
    <x v="0"/>
    <s v="Release 2.1"/>
    <d v="2012-04-30T18:22:53"/>
    <x v="8"/>
    <n v="2.5583333333333331"/>
    <n v="0"/>
  </r>
  <r>
    <n v="2523"/>
    <x v="21"/>
    <s v="Iteration 28"/>
    <d v="2011-05-03T17:05:31"/>
    <x v="8"/>
    <n v="3.55"/>
    <n v="0"/>
  </r>
  <r>
    <n v="2524"/>
    <x v="21"/>
    <s v="Iteration 28"/>
    <d v="2011-05-03T18:10:41"/>
    <x v="8"/>
    <n v="3.55"/>
    <n v="0"/>
  </r>
  <r>
    <n v="2527"/>
    <x v="9"/>
    <s v="Iteration 28"/>
    <d v="2011-05-03T15:34:50"/>
    <x v="5"/>
    <n v="3.55"/>
    <n v="0"/>
  </r>
  <r>
    <n v="2528"/>
    <x v="3"/>
    <s v="Iteration 28"/>
    <d v="2011-04-28T16:34:34"/>
    <x v="6"/>
    <n v="3.5638888888888891"/>
    <n v="0"/>
  </r>
  <r>
    <n v="2529"/>
    <x v="15"/>
    <s v="Iteration 28"/>
    <d v="2011-04-29T20:20:11"/>
    <x v="19"/>
    <n v="3.5611111111111109"/>
    <n v="0"/>
  </r>
  <r>
    <n v="2532"/>
    <x v="3"/>
    <s v="Iteration 28"/>
    <d v="2011-04-27T20:06:04"/>
    <x v="19"/>
    <n v="3.5666666666666669"/>
    <n v="0"/>
  </r>
  <r>
    <n v="2534"/>
    <x v="4"/>
    <s v="Iteration 28"/>
    <d v="2011-04-27T09:27:05"/>
    <x v="6"/>
    <n v="3.5666666666666669"/>
    <n v="0"/>
  </r>
  <r>
    <n v="2537"/>
    <x v="4"/>
    <s v="Release 2.0"/>
    <d v="2012-01-12T16:51:04"/>
    <x v="10"/>
    <n v="2.8583333333333334"/>
    <n v="0"/>
  </r>
  <r>
    <n v="2539"/>
    <x v="21"/>
    <s v="Iteration 28"/>
    <d v="2011-04-29T20:41:20"/>
    <x v="19"/>
    <n v="3.5611111111111109"/>
    <n v="0"/>
  </r>
  <r>
    <n v="2548"/>
    <x v="15"/>
    <s v="Iteration 28"/>
    <d v="2011-04-26T14:30:44"/>
    <x v="6"/>
    <n v="3.5694444444444446"/>
    <n v="0"/>
  </r>
  <r>
    <n v="2549"/>
    <x v="12"/>
    <s v="Iteration 28"/>
    <d v="2011-05-02T17:04:44"/>
    <x v="10"/>
    <n v="3.5527777777777776"/>
    <n v="0"/>
  </r>
  <r>
    <n v="2550"/>
    <x v="2"/>
    <s v="Release 2.5"/>
    <d v="2013-01-24T10:45:36"/>
    <x v="11"/>
    <n v="1.825"/>
    <n v="0"/>
  </r>
  <r>
    <n v="2552"/>
    <x v="9"/>
    <s v="Iteration 28"/>
    <d v="2011-05-03T18:21:31"/>
    <x v="5"/>
    <n v="3.55"/>
    <n v="0"/>
  </r>
  <r>
    <n v="2553"/>
    <x v="21"/>
    <s v="Iteration 28"/>
    <d v="2011-04-28T01:31:46"/>
    <x v="9"/>
    <n v="3.5638888888888891"/>
    <n v="0"/>
  </r>
  <r>
    <n v="2555"/>
    <x v="12"/>
    <s v="Iteration 28"/>
    <d v="2011-05-02T17:06:40"/>
    <x v="10"/>
    <n v="3.5527777777777776"/>
    <n v="0"/>
  </r>
  <r>
    <n v="2556"/>
    <x v="3"/>
    <s v="Iteration 28"/>
    <d v="2011-05-04T17:07:48"/>
    <x v="2"/>
    <n v="3.5472222222222221"/>
    <n v="0"/>
  </r>
  <r>
    <n v="2557"/>
    <x v="3"/>
    <s v="Release 2.2"/>
    <d v="2012-08-06T16:59:36"/>
    <x v="8"/>
    <n v="2.2916666666666665"/>
    <n v="0"/>
  </r>
  <r>
    <n v="2558"/>
    <x v="15"/>
    <s v="Iteration 28"/>
    <d v="2011-04-28T19:30:37"/>
    <x v="19"/>
    <n v="3.5638888888888891"/>
    <n v="0"/>
  </r>
  <r>
    <n v="2559"/>
    <x v="21"/>
    <s v="Iteration 28"/>
    <d v="2011-05-03T18:13:49"/>
    <x v="8"/>
    <n v="3.55"/>
    <n v="0"/>
  </r>
  <r>
    <n v="2561"/>
    <x v="12"/>
    <s v="Iteration 28"/>
    <d v="2011-05-02T17:18:37"/>
    <x v="10"/>
    <n v="3.5527777777777776"/>
    <n v="0"/>
  </r>
  <r>
    <n v="2563"/>
    <x v="7"/>
    <s v="Iteration 28"/>
    <d v="2011-04-27T12:06:43"/>
    <x v="6"/>
    <n v="3.5666666666666669"/>
    <n v="0"/>
  </r>
  <r>
    <n v="2564"/>
    <x v="9"/>
    <s v="Iteration 28"/>
    <d v="2011-05-03T17:25:16"/>
    <x v="4"/>
    <n v="3.55"/>
    <n v="0"/>
  </r>
  <r>
    <n v="2565"/>
    <x v="0"/>
    <s v="Iteration 28"/>
    <d v="2011-05-03T15:23:51"/>
    <x v="8"/>
    <n v="3.55"/>
    <n v="0"/>
  </r>
  <r>
    <n v="2566"/>
    <x v="9"/>
    <s v="Iteration 28"/>
    <d v="2011-04-29T19:03:47"/>
    <x v="19"/>
    <n v="3.5611111111111109"/>
    <n v="0"/>
  </r>
  <r>
    <n v="2571"/>
    <x v="3"/>
    <s v="Iteration 28"/>
    <d v="2011-04-27T15:26:59"/>
    <x v="6"/>
    <n v="3.5666666666666669"/>
    <n v="0"/>
  </r>
  <r>
    <n v="2572"/>
    <x v="12"/>
    <s v="Iteration 28"/>
    <d v="2011-05-02T15:52:12"/>
    <x v="9"/>
    <n v="3.5527777777777776"/>
    <n v="0"/>
  </r>
  <r>
    <n v="2574"/>
    <x v="2"/>
    <s v="Iteration 29"/>
    <d v="2011-06-28T16:26:28"/>
    <x v="4"/>
    <n v="3.3972222222222221"/>
    <n v="0"/>
  </r>
  <r>
    <n v="2577"/>
    <x v="4"/>
    <s v="Iteration 30"/>
    <d v="2011-09-19T19:50:03"/>
    <x v="16"/>
    <n v="3.1722222222222221"/>
    <n v="0"/>
  </r>
  <r>
    <n v="2579"/>
    <x v="6"/>
    <s v="Iteration 30"/>
    <d v="2011-09-21T11:46:47"/>
    <x v="18"/>
    <n v="3.1666666666666665"/>
    <n v="0"/>
  </r>
  <r>
    <n v="2581"/>
    <x v="21"/>
    <s v="Iteration 28"/>
    <d v="2011-05-04T16:17:03"/>
    <x v="5"/>
    <n v="3.5472222222222221"/>
    <n v="0"/>
  </r>
  <r>
    <n v="2584"/>
    <x v="12"/>
    <s v="Iteration 29"/>
    <d v="2011-06-28T11:31:46"/>
    <x v="4"/>
    <n v="3.3972222222222221"/>
    <n v="0"/>
  </r>
  <r>
    <n v="2586"/>
    <x v="15"/>
    <s v="Iteration 29"/>
    <d v="2011-06-28T04:27:30"/>
    <x v="8"/>
    <n v="3.3972222222222221"/>
    <n v="0"/>
  </r>
  <r>
    <n v="2587"/>
    <x v="4"/>
    <s v="Iteration 29"/>
    <d v="2011-06-27T11:21:20"/>
    <x v="11"/>
    <n v="3.4"/>
    <n v="0"/>
  </r>
  <r>
    <n v="2592"/>
    <x v="15"/>
    <s v="Iteration 28"/>
    <d v="2011-04-27T16:40:10"/>
    <x v="6"/>
    <n v="3.5666666666666669"/>
    <n v="0"/>
  </r>
  <r>
    <n v="2593"/>
    <x v="21"/>
    <s v="Iteration 28"/>
    <d v="2011-04-26T14:22:35"/>
    <x v="6"/>
    <n v="3.5694444444444446"/>
    <n v="0"/>
  </r>
  <r>
    <n v="2594"/>
    <x v="12"/>
    <s v="Iteration 28"/>
    <d v="2011-05-02T13:44:54"/>
    <x v="10"/>
    <n v="3.5527777777777776"/>
    <n v="0"/>
  </r>
  <r>
    <n v="2596"/>
    <x v="3"/>
    <s v="Iteration 30"/>
    <d v="2011-09-19T15:46:45"/>
    <x v="8"/>
    <n v="3.1722222222222221"/>
    <n v="0"/>
  </r>
  <r>
    <n v="2598"/>
    <x v="7"/>
    <s v="Iteration 28"/>
    <d v="2011-05-03T11:43:02"/>
    <x v="13"/>
    <n v="3.55"/>
    <n v="0"/>
  </r>
  <r>
    <n v="2600"/>
    <x v="0"/>
    <s v="Iteration 28"/>
    <d v="2011-04-27T10:33:00"/>
    <x v="6"/>
    <n v="3.5666666666666669"/>
    <n v="0"/>
  </r>
  <r>
    <n v="2602"/>
    <x v="3"/>
    <s v="Iteration 28"/>
    <d v="2011-04-27T16:36:57"/>
    <x v="6"/>
    <n v="3.5666666666666669"/>
    <n v="0"/>
  </r>
  <r>
    <n v="2605"/>
    <x v="21"/>
    <s v="Iteration 28"/>
    <d v="2011-04-29T20:17:45"/>
    <x v="19"/>
    <n v="3.5611111111111109"/>
    <n v="0"/>
  </r>
  <r>
    <n v="2606"/>
    <x v="7"/>
    <s v="Iteration 28"/>
    <d v="2011-04-28T08:11:56"/>
    <x v="13"/>
    <n v="3.5638888888888891"/>
    <n v="0"/>
  </r>
  <r>
    <n v="2607"/>
    <x v="16"/>
    <s v="Iteration 28"/>
    <d v="2011-04-27T22:20:30"/>
    <x v="19"/>
    <n v="3.5666666666666669"/>
    <n v="0"/>
  </r>
  <r>
    <n v="2608"/>
    <x v="4"/>
    <s v="Iteration 28"/>
    <d v="2011-04-26T15:58:34"/>
    <x v="6"/>
    <n v="3.5694444444444446"/>
    <n v="0"/>
  </r>
  <r>
    <n v="2611"/>
    <x v="10"/>
    <s v="Iteration 28"/>
    <d v="2011-04-27T11:12:38"/>
    <x v="1"/>
    <n v="3.5666666666666669"/>
    <n v="0"/>
  </r>
  <r>
    <n v="2614"/>
    <x v="21"/>
    <s v="Iteration 30"/>
    <d v="2011-09-21T18:12:53"/>
    <x v="5"/>
    <n v="3.1666666666666665"/>
    <n v="0"/>
  </r>
  <r>
    <n v="2618"/>
    <x v="36"/>
    <s v="Iteration 28"/>
    <d v="2011-04-26T15:39:23"/>
    <x v="6"/>
    <n v="3.5694444444444446"/>
    <n v="0"/>
  </r>
  <r>
    <n v="2622"/>
    <x v="4"/>
    <s v="Iteration 28"/>
    <d v="2011-04-26T16:36:20"/>
    <x v="6"/>
    <n v="3.5694444444444446"/>
    <n v="0"/>
  </r>
  <r>
    <n v="2624"/>
    <x v="12"/>
    <s v="Iteration 28"/>
    <d v="2011-04-27T15:14:02"/>
    <x v="6"/>
    <n v="3.5666666666666669"/>
    <n v="0"/>
  </r>
  <r>
    <n v="2626"/>
    <x v="12"/>
    <s v="Iteration 28"/>
    <d v="2011-05-02T18:32:15"/>
    <x v="10"/>
    <n v="3.5527777777777776"/>
    <n v="0"/>
  </r>
  <r>
    <n v="2628"/>
    <x v="15"/>
    <s v="Iteration 28"/>
    <d v="2011-05-03T18:09:42"/>
    <x v="8"/>
    <n v="3.55"/>
    <n v="0"/>
  </r>
  <r>
    <n v="2631"/>
    <x v="9"/>
    <s v="Iteration 28"/>
    <d v="2011-04-29T01:37:44"/>
    <x v="8"/>
    <n v="3.5611111111111109"/>
    <n v="0"/>
  </r>
  <r>
    <n v="2638"/>
    <x v="12"/>
    <s v="Iteration 28"/>
    <d v="2011-05-03T14:18:01"/>
    <x v="13"/>
    <n v="3.55"/>
    <n v="0"/>
  </r>
  <r>
    <n v="2640"/>
    <x v="15"/>
    <s v="Iteration 28"/>
    <d v="2011-05-04T18:38:26"/>
    <x v="5"/>
    <n v="3.5472222222222221"/>
    <n v="0"/>
  </r>
  <r>
    <n v="2641"/>
    <x v="6"/>
    <s v="Iteration 28"/>
    <d v="2011-04-27T15:16:36"/>
    <x v="1"/>
    <n v="3.5666666666666669"/>
    <n v="0"/>
  </r>
  <r>
    <n v="2642"/>
    <x v="9"/>
    <s v="Iteration 28"/>
    <d v="2011-04-28T02:39:52"/>
    <x v="8"/>
    <n v="3.5638888888888891"/>
    <n v="0"/>
  </r>
  <r>
    <n v="2643"/>
    <x v="9"/>
    <s v="Iteration 28"/>
    <d v="2011-04-28T19:37:56"/>
    <x v="19"/>
    <n v="3.5638888888888891"/>
    <n v="0"/>
  </r>
  <r>
    <n v="2646"/>
    <x v="9"/>
    <s v="Iteration 28"/>
    <d v="2011-04-27T09:44:32"/>
    <x v="13"/>
    <n v="3.5666666666666669"/>
    <n v="0"/>
  </r>
  <r>
    <n v="2648"/>
    <x v="15"/>
    <s v="Iteration 28"/>
    <d v="2011-05-03T18:35:38"/>
    <x v="8"/>
    <n v="3.55"/>
    <n v="0"/>
  </r>
  <r>
    <n v="2649"/>
    <x v="12"/>
    <s v="Iteration 28"/>
    <d v="2011-05-02T20:57:13"/>
    <x v="10"/>
    <n v="3.5527777777777776"/>
    <n v="0"/>
  </r>
  <r>
    <n v="2653"/>
    <x v="0"/>
    <s v="Release 2.0"/>
    <d v="2012-01-11T23:08:52"/>
    <x v="19"/>
    <n v="2.8611111111111112"/>
    <n v="0"/>
  </r>
  <r>
    <n v="2654"/>
    <x v="0"/>
    <s v="Release 2.0"/>
    <d v="2012-01-09T17:22:49"/>
    <x v="19"/>
    <n v="2.8666666666666667"/>
    <n v="0"/>
  </r>
  <r>
    <n v="2655"/>
    <x v="0"/>
    <s v="Release 2.0"/>
    <d v="2012-01-10T16:32:16"/>
    <x v="15"/>
    <n v="2.8638888888888889"/>
    <n v="0"/>
  </r>
  <r>
    <n v="2656"/>
    <x v="0"/>
    <s v="Release 2.0"/>
    <d v="2012-01-12T11:53:03"/>
    <x v="11"/>
    <n v="2.8583333333333334"/>
    <n v="0"/>
  </r>
  <r>
    <n v="2657"/>
    <x v="0"/>
    <s v="Release 2.0"/>
    <d v="2012-01-12T12:09:51"/>
    <x v="11"/>
    <n v="2.8583333333333334"/>
    <n v="0"/>
  </r>
  <r>
    <n v="2658"/>
    <x v="0"/>
    <s v="Release 2.0"/>
    <d v="2012-01-11T16:07:14"/>
    <x v="13"/>
    <n v="2.8611111111111112"/>
    <n v="0"/>
  </r>
  <r>
    <n v="2666"/>
    <x v="12"/>
    <s v="Iteration 28"/>
    <d v="2011-05-03T11:11:20"/>
    <x v="2"/>
    <n v="3.55"/>
    <n v="0"/>
  </r>
  <r>
    <n v="2668"/>
    <x v="21"/>
    <s v="Iteration 29"/>
    <d v="2011-06-27T20:14:10"/>
    <x v="3"/>
    <n v="3.4"/>
    <n v="0"/>
  </r>
  <r>
    <n v="2670"/>
    <x v="6"/>
    <s v="Iteration 28"/>
    <d v="2011-05-02T03:31:26"/>
    <x v="8"/>
    <n v="3.5527777777777776"/>
    <n v="0"/>
  </r>
  <r>
    <n v="2672"/>
    <x v="6"/>
    <s v="Iteration 28"/>
    <d v="2011-04-28T13:05:23"/>
    <x v="6"/>
    <n v="3.5638888888888891"/>
    <n v="0"/>
  </r>
  <r>
    <n v="2673"/>
    <x v="3"/>
    <s v="Iteration 28"/>
    <d v="2011-05-03T10:36:21"/>
    <x v="6"/>
    <n v="3.55"/>
    <n v="0"/>
  </r>
  <r>
    <n v="2677"/>
    <x v="12"/>
    <s v="Iteration 28"/>
    <d v="2011-05-04T22:40:21"/>
    <x v="8"/>
    <n v="3.5472222222222221"/>
    <n v="0"/>
  </r>
  <r>
    <n v="2678"/>
    <x v="9"/>
    <s v="Iteration 28"/>
    <d v="2011-04-29T19:38:42"/>
    <x v="19"/>
    <n v="3.5611111111111109"/>
    <n v="0"/>
  </r>
  <r>
    <n v="2680"/>
    <x v="15"/>
    <s v="Iteration 28"/>
    <d v="2011-04-28T19:35:54"/>
    <x v="19"/>
    <n v="3.5638888888888891"/>
    <n v="0"/>
  </r>
  <r>
    <n v="2681"/>
    <x v="15"/>
    <s v="Iteration 28"/>
    <d v="2011-04-28T19:27:54"/>
    <x v="19"/>
    <n v="3.5638888888888891"/>
    <n v="0"/>
  </r>
  <r>
    <n v="2683"/>
    <x v="12"/>
    <s v="Iteration 28"/>
    <d v="2011-05-02T19:02:48"/>
    <x v="10"/>
    <n v="3.5527777777777776"/>
    <n v="0"/>
  </r>
  <r>
    <n v="2688"/>
    <x v="12"/>
    <s v="Iteration 28"/>
    <d v="2011-04-27T15:09:43"/>
    <x v="6"/>
    <n v="3.5666666666666669"/>
    <n v="0"/>
  </r>
  <r>
    <n v="2689"/>
    <x v="12"/>
    <s v="Iteration 28"/>
    <d v="2011-05-02T18:28:34"/>
    <x v="7"/>
    <n v="3.5527777777777776"/>
    <n v="0"/>
  </r>
  <r>
    <n v="2690"/>
    <x v="15"/>
    <s v="Iteration 28"/>
    <d v="2011-04-28T19:43:19"/>
    <x v="19"/>
    <n v="3.5638888888888891"/>
    <n v="0"/>
  </r>
  <r>
    <n v="2694"/>
    <x v="6"/>
    <s v="Iteration 28"/>
    <d v="2011-04-27T15:49:42"/>
    <x v="1"/>
    <n v="3.5666666666666669"/>
    <n v="0"/>
  </r>
  <r>
    <n v="2695"/>
    <x v="6"/>
    <s v="Release 2.0"/>
    <d v="2012-01-12T16:25:37"/>
    <x v="18"/>
    <n v="2.8583333333333334"/>
    <n v="0"/>
  </r>
  <r>
    <n v="2697"/>
    <x v="2"/>
    <s v="Release 2.2"/>
    <d v="2012-08-14T19:44:27"/>
    <x v="4"/>
    <n v="2.2694444444444444"/>
    <n v="0"/>
  </r>
  <r>
    <n v="2698"/>
    <x v="3"/>
    <s v="Iteration 28"/>
    <d v="2011-04-26T16:51:39"/>
    <x v="6"/>
    <n v="3.5694444444444446"/>
    <n v="0"/>
  </r>
  <r>
    <n v="2699"/>
    <x v="0"/>
    <s v="Iteration 28"/>
    <d v="2011-04-27T10:10:16"/>
    <x v="6"/>
    <n v="3.5666666666666669"/>
    <n v="0"/>
  </r>
  <r>
    <n v="2702"/>
    <x v="4"/>
    <s v="Release 2.1"/>
    <d v="2012-05-02T16:50:01"/>
    <x v="35"/>
    <n v="2.5527777777777776"/>
    <n v="0"/>
  </r>
  <r>
    <n v="2704"/>
    <x v="4"/>
    <s v="Iteration 29"/>
    <d v="2011-06-27T15:30:19"/>
    <x v="10"/>
    <n v="3.4"/>
    <n v="0"/>
  </r>
  <r>
    <n v="2706"/>
    <x v="4"/>
    <s v="Iteration 28"/>
    <d v="2011-05-02T22:25:45"/>
    <x v="7"/>
    <n v="3.5527777777777776"/>
    <n v="0"/>
  </r>
  <r>
    <n v="2708"/>
    <x v="21"/>
    <s v="Iteration 29"/>
    <d v="2011-06-28T18:13:07"/>
    <x v="19"/>
    <n v="3.3972222222222221"/>
    <n v="0"/>
  </r>
  <r>
    <n v="2709"/>
    <x v="2"/>
    <s v="Iteration 29"/>
    <d v="2011-06-30T10:28:26"/>
    <x v="2"/>
    <n v="3.3916666666666666"/>
    <n v="0"/>
  </r>
  <r>
    <n v="2710"/>
    <x v="14"/>
    <s v="Release 2.6"/>
    <d v="2013-06-10T12:27:55"/>
    <x v="11"/>
    <n v="1.4472222222222222"/>
    <n v="0"/>
  </r>
  <r>
    <n v="2712"/>
    <x v="3"/>
    <s v="Iteration 28"/>
    <d v="2011-04-27T15:48:27"/>
    <x v="6"/>
    <n v="3.5666666666666669"/>
    <n v="0"/>
  </r>
  <r>
    <n v="2716"/>
    <x v="15"/>
    <s v="Iteration 28"/>
    <d v="2011-04-27T15:28:09"/>
    <x v="6"/>
    <n v="3.5666666666666669"/>
    <n v="0"/>
  </r>
  <r>
    <n v="2717"/>
    <x v="21"/>
    <s v="Iteration 29"/>
    <d v="2011-06-27T18:43:49"/>
    <x v="19"/>
    <n v="3.4"/>
    <n v="0"/>
  </r>
  <r>
    <n v="2718"/>
    <x v="12"/>
    <s v="Iteration 28"/>
    <d v="2011-05-02T16:30:37"/>
    <x v="5"/>
    <n v="3.5527777777777776"/>
    <n v="0"/>
  </r>
  <r>
    <n v="2719"/>
    <x v="12"/>
    <s v="Iteration 28"/>
    <d v="2011-05-04T22:52:04"/>
    <x v="8"/>
    <n v="3.5472222222222221"/>
    <n v="0"/>
  </r>
  <r>
    <n v="2720"/>
    <x v="4"/>
    <s v="Release 2.0"/>
    <d v="2012-01-12T17:21:55"/>
    <x v="10"/>
    <n v="2.8583333333333334"/>
    <n v="0"/>
  </r>
  <r>
    <n v="2723"/>
    <x v="15"/>
    <s v="Iteration 28"/>
    <d v="2011-04-28T19:42:05"/>
    <x v="19"/>
    <n v="3.5638888888888891"/>
    <n v="0"/>
  </r>
  <r>
    <n v="2725"/>
    <x v="15"/>
    <s v="Iteration 28"/>
    <d v="2011-04-28T19:45:12"/>
    <x v="19"/>
    <n v="3.5638888888888891"/>
    <n v="0"/>
  </r>
  <r>
    <n v="2727"/>
    <x v="15"/>
    <s v="Iteration 28"/>
    <d v="2011-04-27T15:05:22"/>
    <x v="6"/>
    <n v="3.5666666666666669"/>
    <n v="0"/>
  </r>
  <r>
    <n v="2728"/>
    <x v="10"/>
    <s v="Iteration 28"/>
    <d v="2011-05-02T20:12:04"/>
    <x v="7"/>
    <n v="3.5527777777777776"/>
    <n v="0"/>
  </r>
  <r>
    <n v="2729"/>
    <x v="21"/>
    <s v="Iteration 29"/>
    <d v="2011-06-29T16:06:40"/>
    <x v="16"/>
    <n v="3.3944444444444444"/>
    <n v="0"/>
  </r>
  <r>
    <n v="2730"/>
    <x v="10"/>
    <s v="Iteration 28"/>
    <d v="2011-05-01T17:36:23"/>
    <x v="9"/>
    <n v="3.5555555555555554"/>
    <n v="0"/>
  </r>
  <r>
    <n v="2731"/>
    <x v="9"/>
    <s v="Iteration 28"/>
    <d v="2011-05-02T03:34:12"/>
    <x v="8"/>
    <n v="3.5527777777777776"/>
    <n v="0"/>
  </r>
  <r>
    <n v="2732"/>
    <x v="2"/>
    <s v="Iteration 29"/>
    <d v="2011-06-28T09:55:21"/>
    <x v="13"/>
    <n v="3.3972222222222221"/>
    <n v="0"/>
  </r>
  <r>
    <n v="2736"/>
    <x v="3"/>
    <s v="Iteration 29"/>
    <d v="2011-06-27T20:15:00"/>
    <x v="5"/>
    <n v="3.4"/>
    <n v="0"/>
  </r>
  <r>
    <n v="2737"/>
    <x v="11"/>
    <s v="Iteration 28"/>
    <d v="2011-05-03T18:35:04"/>
    <x v="9"/>
    <n v="3.55"/>
    <n v="0"/>
  </r>
  <r>
    <n v="2738"/>
    <x v="0"/>
    <s v="Release 2.5"/>
    <d v="2013-03-01T10:46:04"/>
    <x v="4"/>
    <n v="1.7222222222222223"/>
    <n v="0"/>
  </r>
  <r>
    <n v="2739"/>
    <x v="6"/>
    <s v="Iteration 28"/>
    <d v="2011-05-03T11:44:40"/>
    <x v="2"/>
    <n v="3.55"/>
    <n v="0"/>
  </r>
  <r>
    <n v="2740"/>
    <x v="6"/>
    <s v="Iteration 28"/>
    <d v="2011-04-27T10:19:34"/>
    <x v="6"/>
    <n v="3.5666666666666669"/>
    <n v="0"/>
  </r>
  <r>
    <n v="2741"/>
    <x v="6"/>
    <s v="Iteration 28"/>
    <d v="2011-04-28T13:55:24"/>
    <x v="6"/>
    <n v="3.5638888888888891"/>
    <n v="0"/>
  </r>
  <r>
    <n v="2742"/>
    <x v="6"/>
    <s v="Iteration 29"/>
    <d v="2011-06-27T18:44:31"/>
    <x v="5"/>
    <n v="3.4"/>
    <n v="0"/>
  </r>
  <r>
    <n v="2745"/>
    <x v="18"/>
    <s v="Iteration 29"/>
    <d v="2011-06-28T17:06:24"/>
    <x v="9"/>
    <n v="3.3972222222222221"/>
    <n v="0"/>
  </r>
  <r>
    <n v="2747"/>
    <x v="21"/>
    <s v="Iteration 28"/>
    <d v="2011-04-29T20:09:28"/>
    <x v="19"/>
    <n v="3.5611111111111109"/>
    <n v="0"/>
  </r>
  <r>
    <n v="2751"/>
    <x v="12"/>
    <s v="Iteration 28"/>
    <d v="2011-05-02T21:23:57"/>
    <x v="5"/>
    <n v="3.5527777777777776"/>
    <n v="0"/>
  </r>
  <r>
    <n v="2752"/>
    <x v="0"/>
    <s v="Iteration 28"/>
    <d v="2011-05-04T21:59:14"/>
    <x v="5"/>
    <n v="3.5472222222222221"/>
    <n v="0"/>
  </r>
  <r>
    <n v="2753"/>
    <x v="0"/>
    <s v="Iteration 28"/>
    <d v="2011-04-28T02:32:50"/>
    <x v="8"/>
    <n v="3.5638888888888891"/>
    <n v="0"/>
  </r>
  <r>
    <n v="2758"/>
    <x v="7"/>
    <s v="Iteration 29"/>
    <d v="2011-06-28T22:04:57"/>
    <x v="23"/>
    <n v="3.3972222222222221"/>
    <n v="0"/>
  </r>
  <r>
    <n v="2759"/>
    <x v="9"/>
    <s v="Iteration 28"/>
    <d v="2011-05-03T14:18:09"/>
    <x v="5"/>
    <n v="3.55"/>
    <n v="0"/>
  </r>
  <r>
    <n v="2760"/>
    <x v="10"/>
    <s v="Iteration 28"/>
    <d v="2011-05-04T09:05:17"/>
    <x v="13"/>
    <n v="3.5472222222222221"/>
    <n v="0"/>
  </r>
  <r>
    <n v="2761"/>
    <x v="15"/>
    <s v="Iteration 28"/>
    <d v="2011-04-27T22:19:59"/>
    <x v="19"/>
    <n v="3.5666666666666669"/>
    <n v="0"/>
  </r>
  <r>
    <n v="2762"/>
    <x v="12"/>
    <s v="Iteration 29"/>
    <d v="2011-06-27T15:43:40"/>
    <x v="2"/>
    <n v="3.4"/>
    <n v="0"/>
  </r>
  <r>
    <n v="2763"/>
    <x v="21"/>
    <s v="Iteration 29"/>
    <d v="2011-06-27T20:39:13"/>
    <x v="3"/>
    <n v="3.4"/>
    <n v="0"/>
  </r>
  <r>
    <n v="2764"/>
    <x v="4"/>
    <s v="Iteration 28"/>
    <d v="2011-05-27T09:51:01"/>
    <x v="13"/>
    <n v="3.4833333333333334"/>
    <n v="0"/>
  </r>
  <r>
    <n v="2765"/>
    <x v="21"/>
    <s v="Iteration 28"/>
    <d v="2011-05-15T19:40:51"/>
    <x v="9"/>
    <n v="3.5166666666666666"/>
    <n v="0"/>
  </r>
  <r>
    <n v="2767"/>
    <x v="12"/>
    <s v="Iteration 28"/>
    <d v="2011-05-02T21:18:23"/>
    <x v="5"/>
    <n v="3.5527777777777776"/>
    <n v="0"/>
  </r>
  <r>
    <n v="2768"/>
    <x v="16"/>
    <s v="Iteration 28"/>
    <d v="2011-05-02T18:42:05"/>
    <x v="5"/>
    <n v="3.5527777777777776"/>
    <n v="0"/>
  </r>
  <r>
    <n v="2771"/>
    <x v="4"/>
    <s v="Iteration 28"/>
    <d v="2011-04-28T01:28:06"/>
    <x v="9"/>
    <n v="3.5638888888888891"/>
    <n v="0"/>
  </r>
  <r>
    <n v="2774"/>
    <x v="16"/>
    <s v="Iteration 29"/>
    <d v="2011-06-27T18:17:50"/>
    <x v="19"/>
    <n v="3.4"/>
    <n v="0"/>
  </r>
  <r>
    <n v="2776"/>
    <x v="7"/>
    <s v="Iteration 28"/>
    <d v="2011-05-03T18:26:57"/>
    <x v="5"/>
    <n v="3.55"/>
    <n v="0"/>
  </r>
  <r>
    <n v="2777"/>
    <x v="3"/>
    <s v="Iteration 28"/>
    <d v="2011-04-27T16:21:10"/>
    <x v="6"/>
    <n v="3.5666666666666669"/>
    <n v="0"/>
  </r>
  <r>
    <n v="2780"/>
    <x v="7"/>
    <s v="Iteration 30"/>
    <d v="2011-09-19T09:49:22"/>
    <x v="13"/>
    <n v="3.1722222222222221"/>
    <n v="0"/>
  </r>
  <r>
    <n v="2781"/>
    <x v="10"/>
    <s v="Iteration 28"/>
    <d v="2011-05-03T20:34:41"/>
    <x v="5"/>
    <n v="3.55"/>
    <n v="0"/>
  </r>
  <r>
    <n v="2782"/>
    <x v="12"/>
    <s v="Iteration 28"/>
    <d v="2011-05-02T20:59:50"/>
    <x v="5"/>
    <n v="3.5527777777777776"/>
    <n v="0"/>
  </r>
  <r>
    <n v="2783"/>
    <x v="2"/>
    <s v="Iteration 29"/>
    <d v="2011-06-29T17:08:47"/>
    <x v="8"/>
    <n v="3.3944444444444444"/>
    <n v="0"/>
  </r>
  <r>
    <n v="2784"/>
    <x v="12"/>
    <s v="Iteration 29"/>
    <d v="2011-06-28T18:02:03"/>
    <x v="10"/>
    <n v="3.3972222222222221"/>
    <n v="0"/>
  </r>
  <r>
    <n v="2787"/>
    <x v="9"/>
    <s v="Iteration 28"/>
    <d v="2011-05-04T08:53:12"/>
    <x v="13"/>
    <n v="3.5472222222222221"/>
    <n v="0"/>
  </r>
  <r>
    <n v="2789"/>
    <x v="14"/>
    <s v="Iteration 28"/>
    <d v="2011-04-28T16:50:15"/>
    <x v="19"/>
    <n v="3.5638888888888891"/>
    <n v="0"/>
  </r>
  <r>
    <n v="2792"/>
    <x v="7"/>
    <s v="Iteration 28"/>
    <d v="2011-05-03T14:40:16"/>
    <x v="6"/>
    <n v="3.55"/>
    <n v="0"/>
  </r>
  <r>
    <n v="2797"/>
    <x v="12"/>
    <s v="Iteration 29"/>
    <d v="2011-06-27T08:50:51"/>
    <x v="2"/>
    <n v="3.4"/>
    <n v="0"/>
  </r>
  <r>
    <n v="2800"/>
    <x v="3"/>
    <s v="Iteration 28"/>
    <d v="2011-04-26T10:04:09"/>
    <x v="6"/>
    <n v="3.5694444444444446"/>
    <n v="0"/>
  </r>
  <r>
    <n v="2801"/>
    <x v="4"/>
    <s v="Iteration 28"/>
    <d v="2011-04-26T16:15:37"/>
    <x v="6"/>
    <n v="3.5694444444444446"/>
    <n v="0"/>
  </r>
  <r>
    <n v="2802"/>
    <x v="4"/>
    <s v="Iteration 28"/>
    <d v="2011-05-02T14:58:05"/>
    <x v="19"/>
    <n v="3.5527777777777776"/>
    <n v="0"/>
  </r>
  <r>
    <n v="2804"/>
    <x v="12"/>
    <s v="Iteration 28"/>
    <d v="2011-04-28T16:13:57"/>
    <x v="6"/>
    <n v="3.5638888888888891"/>
    <n v="0"/>
  </r>
  <r>
    <n v="2805"/>
    <x v="9"/>
    <s v="Iteration 28"/>
    <d v="2011-05-03T09:10:52"/>
    <x v="14"/>
    <n v="3.55"/>
    <n v="0"/>
  </r>
  <r>
    <n v="2806"/>
    <x v="3"/>
    <s v="Iteration 28"/>
    <d v="2011-04-29T01:55:43"/>
    <x v="9"/>
    <n v="3.5611111111111109"/>
    <n v="0"/>
  </r>
  <r>
    <n v="2807"/>
    <x v="9"/>
    <s v="Iteration 28"/>
    <d v="2011-05-03T09:15:17"/>
    <x v="13"/>
    <n v="3.55"/>
    <n v="0"/>
  </r>
  <r>
    <n v="2809"/>
    <x v="6"/>
    <s v="Iteration 28"/>
    <d v="2011-04-28T11:56:09"/>
    <x v="6"/>
    <n v="3.5638888888888891"/>
    <n v="0"/>
  </r>
  <r>
    <n v="2812"/>
    <x v="12"/>
    <s v="Iteration 28"/>
    <d v="2011-05-02T15:40:36"/>
    <x v="9"/>
    <n v="3.5527777777777776"/>
    <n v="0"/>
  </r>
  <r>
    <n v="2813"/>
    <x v="12"/>
    <s v="Iteration 28"/>
    <d v="2011-04-26T11:48:07"/>
    <x v="6"/>
    <n v="3.5694444444444446"/>
    <n v="0"/>
  </r>
  <r>
    <n v="2814"/>
    <x v="0"/>
    <s v="Iteration 28"/>
    <d v="2011-04-29T20:28:27"/>
    <x v="19"/>
    <n v="3.5611111111111109"/>
    <n v="0"/>
  </r>
  <r>
    <n v="2817"/>
    <x v="16"/>
    <s v="Iteration 28"/>
    <d v="2011-05-04T00:33:45"/>
    <x v="19"/>
    <n v="3.5472222222222221"/>
    <n v="0"/>
  </r>
  <r>
    <n v="2818"/>
    <x v="10"/>
    <s v="Iteration 28"/>
    <d v="2011-05-05T08:26:43"/>
    <x v="6"/>
    <n v="3.5444444444444443"/>
    <n v="0"/>
  </r>
  <r>
    <n v="2821"/>
    <x v="7"/>
    <s v="Iteration 28"/>
    <d v="2011-05-03T16:30:37"/>
    <x v="5"/>
    <n v="3.55"/>
    <n v="0"/>
  </r>
  <r>
    <n v="2822"/>
    <x v="10"/>
    <s v="Iteration 29"/>
    <d v="2011-06-27T19:49:28"/>
    <x v="5"/>
    <n v="3.4"/>
    <n v="0"/>
  </r>
  <r>
    <n v="2823"/>
    <x v="10"/>
    <s v="Iteration 28"/>
    <d v="2011-04-27T14:16:26"/>
    <x v="6"/>
    <n v="3.5666666666666669"/>
    <n v="0"/>
  </r>
  <r>
    <n v="2826"/>
    <x v="10"/>
    <s v="Iteration 28"/>
    <d v="2011-04-29T00:04:08"/>
    <x v="9"/>
    <n v="3.5611111111111109"/>
    <n v="0"/>
  </r>
  <r>
    <n v="2827"/>
    <x v="11"/>
    <s v="Iteration 28"/>
    <d v="2011-05-02T21:23:59"/>
    <x v="10"/>
    <n v="3.5527777777777776"/>
    <n v="0"/>
  </r>
  <r>
    <n v="2828"/>
    <x v="7"/>
    <s v="Iteration 30"/>
    <d v="2011-09-20T15:01:14"/>
    <x v="13"/>
    <n v="3.1694444444444443"/>
    <n v="0"/>
  </r>
  <r>
    <n v="2835"/>
    <x v="12"/>
    <s v="Iteration 29"/>
    <d v="2011-06-27T11:42:40"/>
    <x v="2"/>
    <n v="3.4"/>
    <n v="0"/>
  </r>
  <r>
    <n v="2838"/>
    <x v="12"/>
    <s v="Iteration 28"/>
    <d v="2011-04-30T08:21:14"/>
    <x v="9"/>
    <n v="3.5583333333333331"/>
    <n v="0"/>
  </r>
  <r>
    <n v="2839"/>
    <x v="3"/>
    <s v="Iteration 28"/>
    <d v="2011-04-26T15:25:12"/>
    <x v="6"/>
    <n v="3.5694444444444446"/>
    <n v="0"/>
  </r>
  <r>
    <n v="2840"/>
    <x v="12"/>
    <s v="Iteration 28"/>
    <d v="2011-05-02T13:47:47"/>
    <x v="10"/>
    <n v="3.5527777777777776"/>
    <n v="0"/>
  </r>
  <r>
    <n v="2841"/>
    <x v="12"/>
    <s v="Iteration 29"/>
    <d v="2011-06-27T16:58:12"/>
    <x v="10"/>
    <n v="3.4"/>
    <n v="0"/>
  </r>
  <r>
    <n v="2844"/>
    <x v="16"/>
    <s v="Iteration 28"/>
    <d v="2011-04-29T20:37:15"/>
    <x v="19"/>
    <n v="3.5611111111111109"/>
    <n v="0"/>
  </r>
  <r>
    <n v="2846"/>
    <x v="15"/>
    <s v="Iteration 29"/>
    <d v="2011-06-28T21:57:38"/>
    <x v="8"/>
    <n v="3.3972222222222221"/>
    <n v="0"/>
  </r>
  <r>
    <n v="2853"/>
    <x v="16"/>
    <s v="Iteration 28"/>
    <d v="2011-04-29T19:02:38"/>
    <x v="19"/>
    <n v="3.5611111111111109"/>
    <n v="0"/>
  </r>
  <r>
    <n v="2855"/>
    <x v="3"/>
    <s v="Iteration 30"/>
    <d v="2011-09-20T09:43:01"/>
    <x v="1"/>
    <n v="3.1694444444444443"/>
    <n v="0"/>
  </r>
  <r>
    <n v="2856"/>
    <x v="6"/>
    <s v="Release 2.1"/>
    <d v="2012-05-01T21:32:25"/>
    <x v="5"/>
    <n v="2.5555555555555554"/>
    <n v="0"/>
  </r>
  <r>
    <n v="2866"/>
    <x v="4"/>
    <s v="Iteration 28"/>
    <d v="2011-05-03T21:46:32"/>
    <x v="8"/>
    <n v="3.55"/>
    <n v="0"/>
  </r>
  <r>
    <n v="2867"/>
    <x v="10"/>
    <s v="Iteration 28"/>
    <d v="2011-04-28T10:21:45"/>
    <x v="6"/>
    <n v="3.5638888888888891"/>
    <n v="0"/>
  </r>
  <r>
    <n v="2869"/>
    <x v="2"/>
    <s v="Iteration 29"/>
    <d v="2011-06-27T19:05:14"/>
    <x v="5"/>
    <n v="3.4"/>
    <n v="0"/>
  </r>
  <r>
    <n v="2873"/>
    <x v="12"/>
    <s v="Iteration 29"/>
    <d v="2011-06-27T16:19:41"/>
    <x v="10"/>
    <n v="3.4"/>
    <n v="0"/>
  </r>
  <r>
    <n v="2874"/>
    <x v="12"/>
    <s v="Iteration 29"/>
    <d v="2011-06-27T15:38:45"/>
    <x v="10"/>
    <n v="3.4"/>
    <n v="0"/>
  </r>
  <r>
    <n v="2876"/>
    <x v="9"/>
    <s v="Iteration 28"/>
    <d v="2011-05-03T17:10:55"/>
    <x v="4"/>
    <n v="3.55"/>
    <n v="0"/>
  </r>
  <r>
    <n v="2878"/>
    <x v="9"/>
    <s v="Iteration 28"/>
    <d v="2011-05-03T14:10:31"/>
    <x v="5"/>
    <n v="3.55"/>
    <n v="0"/>
  </r>
  <r>
    <n v="2880"/>
    <x v="0"/>
    <s v="Release 2.1"/>
    <d v="2012-05-01T19:14:00"/>
    <x v="5"/>
    <n v="2.5555555555555554"/>
    <n v="0"/>
  </r>
  <r>
    <n v="2883"/>
    <x v="3"/>
    <s v="Release 2.3"/>
    <d v="2012-10-30T14:00:21"/>
    <x v="11"/>
    <n v="2.0583333333333331"/>
    <n v="0"/>
  </r>
  <r>
    <n v="2885"/>
    <x v="7"/>
    <s v="Iteration 29"/>
    <d v="2011-06-28T22:07:49"/>
    <x v="23"/>
    <n v="3.3972222222222221"/>
    <n v="0"/>
  </r>
  <r>
    <n v="2887"/>
    <x v="11"/>
    <s v="Iteration 29"/>
    <d v="2011-06-27T13:47:30"/>
    <x v="4"/>
    <n v="3.4"/>
    <n v="0"/>
  </r>
  <r>
    <n v="2888"/>
    <x v="8"/>
    <s v="Iteration 30"/>
    <d v="2011-09-19T15:35:58"/>
    <x v="8"/>
    <n v="3.1722222222222221"/>
    <n v="0"/>
  </r>
  <r>
    <n v="2889"/>
    <x v="14"/>
    <s v="Iteration 29"/>
    <d v="2011-06-27T15:06:13"/>
    <x v="5"/>
    <n v="3.4"/>
    <n v="0"/>
  </r>
  <r>
    <n v="2891"/>
    <x v="12"/>
    <s v="Iteration 29"/>
    <d v="2011-06-27T15:28:05"/>
    <x v="10"/>
    <n v="3.4"/>
    <n v="0"/>
  </r>
  <r>
    <n v="2893"/>
    <x v="12"/>
    <s v="Iteration 29"/>
    <d v="2011-06-29T11:18:41"/>
    <x v="2"/>
    <n v="3.3944444444444444"/>
    <n v="0"/>
  </r>
  <r>
    <n v="2894"/>
    <x v="3"/>
    <s v="Iteration 28"/>
    <d v="2011-05-05T10:23:16"/>
    <x v="6"/>
    <n v="3.5444444444444443"/>
    <n v="0"/>
  </r>
  <r>
    <n v="2904"/>
    <x v="9"/>
    <s v="Iteration 28"/>
    <d v="2011-05-05T11:18:01"/>
    <x v="1"/>
    <n v="3.5444444444444443"/>
    <n v="0"/>
  </r>
  <r>
    <n v="2907"/>
    <x v="2"/>
    <s v="Iteration 29"/>
    <d v="2011-06-28T11:12:54"/>
    <x v="4"/>
    <n v="3.3972222222222221"/>
    <n v="0"/>
  </r>
  <r>
    <n v="2909"/>
    <x v="2"/>
    <s v="Iteration 29"/>
    <d v="2011-06-28T16:17:07"/>
    <x v="4"/>
    <n v="3.3972222222222221"/>
    <n v="0"/>
  </r>
  <r>
    <n v="2910"/>
    <x v="2"/>
    <s v="Iteration 29"/>
    <d v="2011-06-28T11:35:55"/>
    <x v="4"/>
    <n v="3.3972222222222221"/>
    <n v="0"/>
  </r>
  <r>
    <n v="2911"/>
    <x v="2"/>
    <s v="Iteration 29"/>
    <d v="2011-06-27T16:21:35"/>
    <x v="14"/>
    <n v="3.4"/>
    <n v="0"/>
  </r>
  <r>
    <n v="2916"/>
    <x v="2"/>
    <s v="Iteration 29"/>
    <d v="2011-06-28T10:55:55"/>
    <x v="4"/>
    <n v="3.3972222222222221"/>
    <n v="0"/>
  </r>
  <r>
    <n v="2917"/>
    <x v="16"/>
    <s v="Iteration 29"/>
    <d v="2011-06-27T18:05:34"/>
    <x v="19"/>
    <n v="3.4"/>
    <n v="0"/>
  </r>
  <r>
    <n v="2918"/>
    <x v="16"/>
    <s v="Iteration 29"/>
    <d v="2011-06-28T19:16:45"/>
    <x v="19"/>
    <n v="3.3972222222222221"/>
    <n v="0"/>
  </r>
  <r>
    <n v="2919"/>
    <x v="16"/>
    <s v="Iteration 29"/>
    <d v="2011-06-27T17:07:04"/>
    <x v="19"/>
    <n v="3.4"/>
    <n v="0"/>
  </r>
  <r>
    <n v="2920"/>
    <x v="12"/>
    <s v="Iteration 29"/>
    <d v="2011-06-27T11:29:57"/>
    <x v="11"/>
    <n v="3.4"/>
    <n v="0"/>
  </r>
  <r>
    <n v="2924"/>
    <x v="10"/>
    <s v="Iteration 28"/>
    <d v="2011-05-05T22:32:25"/>
    <x v="9"/>
    <n v="3.5444444444444443"/>
    <n v="0"/>
  </r>
  <r>
    <n v="2928"/>
    <x v="6"/>
    <s v="Iteration 29"/>
    <d v="2011-06-27T11:25:40"/>
    <x v="11"/>
    <n v="3.4"/>
    <n v="0"/>
  </r>
  <r>
    <n v="2929"/>
    <x v="2"/>
    <s v="Iteration 29"/>
    <d v="2011-06-28T03:48:28"/>
    <x v="8"/>
    <n v="3.3972222222222221"/>
    <n v="0"/>
  </r>
  <r>
    <n v="2943"/>
    <x v="18"/>
    <s v="Iteration 29"/>
    <d v="2011-06-27T18:13:54"/>
    <x v="19"/>
    <n v="3.4"/>
    <n v="0"/>
  </r>
  <r>
    <n v="2944"/>
    <x v="3"/>
    <s v="Release 2.1"/>
    <d v="2012-05-01T22:13:47"/>
    <x v="8"/>
    <n v="2.5555555555555554"/>
    <n v="0"/>
  </r>
  <r>
    <n v="2946"/>
    <x v="4"/>
    <s v="Iteration 29"/>
    <d v="2011-06-28T11:12:41"/>
    <x v="13"/>
    <n v="3.3972222222222221"/>
    <n v="0"/>
  </r>
  <r>
    <n v="2948"/>
    <x v="3"/>
    <s v="Iteration 30"/>
    <d v="2011-09-20T13:12:06"/>
    <x v="1"/>
    <n v="3.1694444444444443"/>
    <n v="0"/>
  </r>
  <r>
    <n v="2951"/>
    <x v="12"/>
    <s v="Iteration 29"/>
    <d v="2011-06-27T16:32:19"/>
    <x v="10"/>
    <n v="3.4"/>
    <n v="0"/>
  </r>
  <r>
    <n v="2954"/>
    <x v="51"/>
    <s v="Iteration 30"/>
    <d v="2011-09-19T20:37:25"/>
    <x v="10"/>
    <n v="3.1722222222222221"/>
    <n v="0"/>
  </r>
  <r>
    <n v="2958"/>
    <x v="8"/>
    <s v="Iteration 29"/>
    <d v="2011-06-27T08:12:09"/>
    <x v="2"/>
    <n v="3.4"/>
    <n v="0"/>
  </r>
  <r>
    <n v="2959"/>
    <x v="8"/>
    <s v="Iteration 29"/>
    <d v="2011-06-27T08:09:58"/>
    <x v="2"/>
    <n v="3.4"/>
    <n v="0"/>
  </r>
  <r>
    <n v="2960"/>
    <x v="8"/>
    <s v="Iteration 29"/>
    <d v="2011-06-27T08:14:21"/>
    <x v="2"/>
    <n v="3.4"/>
    <n v="0"/>
  </r>
  <r>
    <n v="2962"/>
    <x v="8"/>
    <s v="Release 2.0"/>
    <d v="2012-01-09T17:14:22"/>
    <x v="2"/>
    <n v="2.8666666666666667"/>
    <n v="0"/>
  </r>
  <r>
    <n v="2963"/>
    <x v="8"/>
    <s v="Iteration 29"/>
    <d v="2011-06-27T08:16:59"/>
    <x v="2"/>
    <n v="3.4"/>
    <n v="0"/>
  </r>
  <r>
    <n v="2965"/>
    <x v="8"/>
    <s v="Iteration 29"/>
    <d v="2011-06-27T08:18:38"/>
    <x v="2"/>
    <n v="3.4"/>
    <n v="0"/>
  </r>
  <r>
    <n v="2966"/>
    <x v="8"/>
    <s v="Iteration 30"/>
    <d v="2011-09-20T09:37:36"/>
    <x v="2"/>
    <n v="3.1694444444444443"/>
    <n v="0"/>
  </r>
  <r>
    <n v="2969"/>
    <x v="36"/>
    <s v="Iteration 29"/>
    <d v="2011-06-27T04:43:27"/>
    <x v="8"/>
    <n v="3.4"/>
    <n v="0"/>
  </r>
  <r>
    <n v="2970"/>
    <x v="8"/>
    <s v="Iteration 29"/>
    <d v="2011-06-28T21:34:27"/>
    <x v="8"/>
    <n v="3.3972222222222221"/>
    <n v="0"/>
  </r>
  <r>
    <n v="2971"/>
    <x v="6"/>
    <s v="Iteration 29"/>
    <d v="2011-06-27T19:51:28"/>
    <x v="19"/>
    <n v="3.4"/>
    <n v="0"/>
  </r>
  <r>
    <n v="2972"/>
    <x v="6"/>
    <s v="Iteration 29"/>
    <d v="2011-06-28T18:32:55"/>
    <x v="10"/>
    <n v="3.3972222222222221"/>
    <n v="0"/>
  </r>
  <r>
    <n v="2974"/>
    <x v="13"/>
    <s v="Iteration 30"/>
    <d v="2011-09-22T11:22:39"/>
    <x v="4"/>
    <n v="3.1638888888888888"/>
    <n v="0"/>
  </r>
  <r>
    <n v="2975"/>
    <x v="6"/>
    <s v="Iteration 29"/>
    <d v="2011-06-27T19:52:58"/>
    <x v="19"/>
    <n v="3.4"/>
    <n v="0"/>
  </r>
  <r>
    <n v="2979"/>
    <x v="12"/>
    <s v="Iteration 29"/>
    <d v="2011-06-27T19:00:50"/>
    <x v="10"/>
    <n v="3.4"/>
    <n v="0"/>
  </r>
  <r>
    <n v="2981"/>
    <x v="3"/>
    <s v="Iteration 29"/>
    <d v="2011-06-27T13:58:58"/>
    <x v="2"/>
    <n v="3.4"/>
    <n v="0"/>
  </r>
  <r>
    <n v="2982"/>
    <x v="21"/>
    <s v="Iteration 29"/>
    <d v="2011-06-27T15:43:54"/>
    <x v="5"/>
    <n v="3.4"/>
    <n v="0"/>
  </r>
  <r>
    <n v="2985"/>
    <x v="4"/>
    <s v="Iteration 29"/>
    <d v="2011-06-29T11:45:46"/>
    <x v="2"/>
    <n v="3.3944444444444444"/>
    <n v="0"/>
  </r>
  <r>
    <n v="2987"/>
    <x v="12"/>
    <s v="Iteration 29"/>
    <d v="2011-06-27T18:45:26"/>
    <x v="10"/>
    <n v="3.4"/>
    <n v="0"/>
  </r>
  <r>
    <n v="2988"/>
    <x v="21"/>
    <s v="Iteration 30"/>
    <d v="2011-09-20T14:50:12"/>
    <x v="3"/>
    <n v="3.1694444444444443"/>
    <n v="0"/>
  </r>
  <r>
    <n v="2989"/>
    <x v="12"/>
    <s v="Iteration 29"/>
    <d v="2011-06-27T19:16:26"/>
    <x v="10"/>
    <n v="3.4"/>
    <n v="0"/>
  </r>
  <r>
    <n v="2990"/>
    <x v="0"/>
    <s v="Iteration 29"/>
    <d v="2011-06-27T15:17:59"/>
    <x v="5"/>
    <n v="3.4"/>
    <n v="0"/>
  </r>
  <r>
    <n v="2995"/>
    <x v="16"/>
    <s v="Iteration 29"/>
    <d v="2011-06-27T17:08:13"/>
    <x v="19"/>
    <n v="3.4"/>
    <n v="0"/>
  </r>
  <r>
    <n v="2998"/>
    <x v="12"/>
    <s v="Iteration 29"/>
    <d v="2011-06-27T18:56:07"/>
    <x v="10"/>
    <n v="3.4"/>
    <n v="0"/>
  </r>
  <r>
    <n v="2999"/>
    <x v="12"/>
    <s v="Iteration 29"/>
    <d v="2011-06-27T18:17:17"/>
    <x v="9"/>
    <n v="3.4"/>
    <n v="0"/>
  </r>
  <r>
    <n v="3002"/>
    <x v="10"/>
    <s v="Iteration 29"/>
    <d v="2011-06-27T10:06:04"/>
    <x v="4"/>
    <n v="3.4"/>
    <n v="0"/>
  </r>
  <r>
    <n v="3004"/>
    <x v="12"/>
    <s v="Iteration 29"/>
    <d v="2011-06-27T18:53:41"/>
    <x v="10"/>
    <n v="3.4"/>
    <n v="0"/>
  </r>
  <r>
    <n v="3005"/>
    <x v="29"/>
    <s v="Release 2.6"/>
    <d v="2013-07-12T16:14:50"/>
    <x v="25"/>
    <n v="1.3583333333333334"/>
    <n v="0"/>
  </r>
  <r>
    <n v="3006"/>
    <x v="21"/>
    <s v="Iteration 29"/>
    <d v="2011-06-28T22:24:00"/>
    <x v="8"/>
    <n v="3.3972222222222221"/>
    <n v="0"/>
  </r>
  <r>
    <n v="3007"/>
    <x v="15"/>
    <s v="Iteration 30"/>
    <d v="2011-09-20T19:26:19"/>
    <x v="5"/>
    <n v="3.1694444444444443"/>
    <n v="0"/>
  </r>
  <r>
    <n v="3008"/>
    <x v="11"/>
    <s v="Iteration 30"/>
    <d v="2011-09-21T14:29:36"/>
    <x v="4"/>
    <n v="3.1666666666666665"/>
    <n v="0"/>
  </r>
  <r>
    <n v="3009"/>
    <x v="14"/>
    <s v="Release 2.0"/>
    <d v="2012-01-10T15:15:19"/>
    <x v="5"/>
    <n v="2.8638888888888889"/>
    <n v="0"/>
  </r>
  <r>
    <n v="3015"/>
    <x v="6"/>
    <s v="Release 2.0"/>
    <d v="2012-02-03T15:00:21"/>
    <x v="0"/>
    <n v="2.8"/>
    <n v="0"/>
  </r>
  <r>
    <n v="3016"/>
    <x v="2"/>
    <s v="Iteration 29"/>
    <d v="2011-06-28T16:47:25"/>
    <x v="4"/>
    <n v="3.3972222222222221"/>
    <n v="0"/>
  </r>
  <r>
    <n v="3017"/>
    <x v="6"/>
    <s v="Iteration 29"/>
    <d v="2011-06-27T16:27:38"/>
    <x v="14"/>
    <n v="3.4"/>
    <n v="0"/>
  </r>
  <r>
    <n v="3018"/>
    <x v="21"/>
    <s v="Iteration 29"/>
    <d v="2011-06-28T19:13:50"/>
    <x v="19"/>
    <n v="3.3972222222222221"/>
    <n v="0"/>
  </r>
  <r>
    <n v="3021"/>
    <x v="11"/>
    <s v="Iteration 29"/>
    <d v="2011-06-28T19:48:00"/>
    <x v="10"/>
    <n v="3.3972222222222221"/>
    <n v="0"/>
  </r>
  <r>
    <n v="3022"/>
    <x v="24"/>
    <s v="Release 3.0"/>
    <d v="2013-09-06T14:52:15"/>
    <x v="1"/>
    <n v="1.2083333333333333"/>
    <n v="0"/>
  </r>
  <r>
    <n v="3025"/>
    <x v="12"/>
    <s v="Iteration 29"/>
    <d v="2011-06-27T12:13:26"/>
    <x v="2"/>
    <n v="3.4"/>
    <n v="0"/>
  </r>
  <r>
    <n v="3030"/>
    <x v="3"/>
    <s v="Release 2.1"/>
    <d v="2012-05-02T17:15:14"/>
    <x v="9"/>
    <n v="2.5527777777777776"/>
    <n v="0"/>
  </r>
  <r>
    <n v="3033"/>
    <x v="3"/>
    <s v="Iteration 29"/>
    <d v="2011-06-28T22:03:22"/>
    <x v="8"/>
    <n v="3.3972222222222221"/>
    <n v="0"/>
  </r>
  <r>
    <n v="3034"/>
    <x v="3"/>
    <s v="Iteration 29"/>
    <d v="2011-06-27T16:27:53"/>
    <x v="8"/>
    <n v="3.4"/>
    <n v="0"/>
  </r>
  <r>
    <n v="3035"/>
    <x v="4"/>
    <s v="Iteration 29"/>
    <d v="2011-06-27T12:52:38"/>
    <x v="13"/>
    <n v="3.4"/>
    <n v="0"/>
  </r>
  <r>
    <n v="3037"/>
    <x v="16"/>
    <s v="Iteration 29"/>
    <d v="2011-06-30T13:30:21"/>
    <x v="1"/>
    <n v="3.3916666666666666"/>
    <n v="0"/>
  </r>
  <r>
    <n v="3041"/>
    <x v="4"/>
    <s v="Iteration 29"/>
    <d v="2011-06-27T15:31:38"/>
    <x v="10"/>
    <n v="3.4"/>
    <n v="0"/>
  </r>
  <r>
    <n v="3047"/>
    <x v="2"/>
    <s v="Iteration 29"/>
    <d v="2011-06-28T16:36:55"/>
    <x v="4"/>
    <n v="3.3972222222222221"/>
    <n v="0"/>
  </r>
  <r>
    <n v="3049"/>
    <x v="6"/>
    <s v="Iteration 29"/>
    <d v="2011-06-29T10:34:07"/>
    <x v="4"/>
    <n v="3.3944444444444444"/>
    <n v="0"/>
  </r>
  <r>
    <n v="3050"/>
    <x v="16"/>
    <s v="Iteration 29"/>
    <d v="2011-06-27T16:55:16"/>
    <x v="19"/>
    <n v="3.4"/>
    <n v="0"/>
  </r>
  <r>
    <n v="3059"/>
    <x v="7"/>
    <s v="Iteration 29"/>
    <d v="2011-06-28T10:05:03"/>
    <x v="4"/>
    <n v="3.3972222222222221"/>
    <n v="0"/>
  </r>
  <r>
    <n v="3060"/>
    <x v="15"/>
    <s v="Iteration 29"/>
    <d v="2011-06-28T18:38:34"/>
    <x v="19"/>
    <n v="3.3972222222222221"/>
    <n v="0"/>
  </r>
  <r>
    <n v="3065"/>
    <x v="2"/>
    <s v="Iteration 29"/>
    <d v="2011-06-30T10:31:40"/>
    <x v="2"/>
    <n v="3.3916666666666666"/>
    <n v="0"/>
  </r>
  <r>
    <n v="3066"/>
    <x v="0"/>
    <s v="Iteration 30"/>
    <d v="2011-09-21T19:16:15"/>
    <x v="3"/>
    <n v="3.1666666666666665"/>
    <n v="0"/>
  </r>
  <r>
    <n v="3067"/>
    <x v="3"/>
    <s v="Iteration 29"/>
    <d v="2011-06-28T18:55:04"/>
    <x v="19"/>
    <n v="3.3972222222222221"/>
    <n v="0"/>
  </r>
  <r>
    <n v="3068"/>
    <x v="2"/>
    <s v="Iteration 29"/>
    <d v="2011-06-27T22:44:26"/>
    <x v="5"/>
    <n v="3.4"/>
    <n v="0"/>
  </r>
  <r>
    <n v="3069"/>
    <x v="8"/>
    <s v="Iteration 29"/>
    <d v="2011-06-27T08:22:59"/>
    <x v="2"/>
    <n v="3.4"/>
    <n v="0"/>
  </r>
  <r>
    <n v="3070"/>
    <x v="16"/>
    <s v="Iteration 29"/>
    <d v="2011-06-27T14:47:18"/>
    <x v="5"/>
    <n v="3.4"/>
    <n v="0"/>
  </r>
  <r>
    <n v="3071"/>
    <x v="8"/>
    <s v="Iteration 29"/>
    <d v="2011-06-27T08:24:36"/>
    <x v="2"/>
    <n v="3.4"/>
    <n v="0"/>
  </r>
  <r>
    <n v="3072"/>
    <x v="15"/>
    <s v="Iteration 29"/>
    <d v="2011-06-28T04:04:18"/>
    <x v="8"/>
    <n v="3.3972222222222221"/>
    <n v="0"/>
  </r>
  <r>
    <n v="3073"/>
    <x v="12"/>
    <s v="Iteration 29"/>
    <d v="2011-06-28T16:59:10"/>
    <x v="9"/>
    <n v="3.3972222222222221"/>
    <n v="0"/>
  </r>
  <r>
    <n v="3079"/>
    <x v="13"/>
    <s v="Iteration 30"/>
    <d v="2011-09-19T16:35:20"/>
    <x v="23"/>
    <n v="3.1722222222222221"/>
    <n v="0"/>
  </r>
  <r>
    <n v="3081"/>
    <x v="3"/>
    <s v="Iteration 29"/>
    <d v="2011-05-25T16:31:16"/>
    <x v="9"/>
    <n v="3.4888888888888889"/>
    <n v="0"/>
  </r>
  <r>
    <n v="3082"/>
    <x v="3"/>
    <s v="Iteration 29"/>
    <d v="2011-06-27T22:08:42"/>
    <x v="5"/>
    <n v="3.4"/>
    <n v="0"/>
  </r>
  <r>
    <n v="3083"/>
    <x v="4"/>
    <s v="Iteration 30"/>
    <d v="2011-09-20T18:46:32"/>
    <x v="19"/>
    <n v="3.1694444444444443"/>
    <n v="0"/>
  </r>
  <r>
    <n v="3086"/>
    <x v="11"/>
    <s v="Iteration 29"/>
    <d v="2011-06-27T18:02:13"/>
    <x v="5"/>
    <n v="3.4"/>
    <n v="0"/>
  </r>
  <r>
    <n v="3087"/>
    <x v="12"/>
    <s v="Iteration 29"/>
    <d v="2011-06-27T21:09:03"/>
    <x v="9"/>
    <n v="3.4"/>
    <n v="0"/>
  </r>
  <r>
    <n v="3089"/>
    <x v="12"/>
    <s v="Iteration 29"/>
    <d v="2011-06-28T17:00:35"/>
    <x v="9"/>
    <n v="3.3972222222222221"/>
    <n v="0"/>
  </r>
  <r>
    <n v="3092"/>
    <x v="7"/>
    <s v="Iteration 30"/>
    <d v="2011-09-19T09:53:08"/>
    <x v="13"/>
    <n v="3.1722222222222221"/>
    <n v="0"/>
  </r>
  <r>
    <n v="3095"/>
    <x v="2"/>
    <s v="Release 2.5"/>
    <d v="2013-04-19T16:05:25"/>
    <x v="8"/>
    <n v="1.5888888888888888"/>
    <n v="0"/>
  </r>
  <r>
    <n v="3096"/>
    <x v="0"/>
    <s v="Iteration 29"/>
    <d v="2011-06-28T16:03:45"/>
    <x v="16"/>
    <n v="3.3972222222222221"/>
    <n v="0"/>
  </r>
  <r>
    <n v="3098"/>
    <x v="6"/>
    <s v="Iteration 30"/>
    <d v="2011-09-22T11:35:23"/>
    <x v="18"/>
    <n v="3.1638888888888888"/>
    <n v="0"/>
  </r>
  <r>
    <n v="3102"/>
    <x v="14"/>
    <s v="Iteration 29"/>
    <d v="2011-06-28T20:42:43"/>
    <x v="5"/>
    <n v="3.3972222222222221"/>
    <n v="0"/>
  </r>
  <r>
    <n v="3105"/>
    <x v="7"/>
    <s v="Iteration 29"/>
    <d v="2011-06-28T21:51:29"/>
    <x v="23"/>
    <n v="3.3972222222222221"/>
    <n v="0"/>
  </r>
  <r>
    <n v="3113"/>
    <x v="4"/>
    <s v="Iteration 29"/>
    <d v="2011-06-28T09:57:06"/>
    <x v="4"/>
    <n v="3.3972222222222221"/>
    <n v="0"/>
  </r>
  <r>
    <n v="3114"/>
    <x v="16"/>
    <s v="Iteration 29"/>
    <d v="2011-06-27T16:47:05"/>
    <x v="19"/>
    <n v="3.4"/>
    <n v="0"/>
  </r>
  <r>
    <n v="3115"/>
    <x v="16"/>
    <s v="Iteration 29"/>
    <d v="2011-06-29T16:12:15"/>
    <x v="4"/>
    <n v="3.3944444444444444"/>
    <n v="0"/>
  </r>
  <r>
    <n v="3117"/>
    <x v="2"/>
    <s v="Iteration 29"/>
    <d v="2011-06-28T12:21:53"/>
    <x v="4"/>
    <n v="3.3972222222222221"/>
    <n v="0"/>
  </r>
  <r>
    <n v="3118"/>
    <x v="0"/>
    <s v="Iteration 29"/>
    <d v="2011-06-27T19:32:16"/>
    <x v="19"/>
    <n v="3.4"/>
    <n v="0"/>
  </r>
  <r>
    <n v="3120"/>
    <x v="16"/>
    <s v="Iteration 29"/>
    <d v="2011-06-27T16:53:55"/>
    <x v="19"/>
    <n v="3.4"/>
    <n v="0"/>
  </r>
  <r>
    <n v="3123"/>
    <x v="11"/>
    <s v="Iteration 29"/>
    <d v="2011-06-28T18:35:12"/>
    <x v="8"/>
    <n v="3.3972222222222221"/>
    <n v="0"/>
  </r>
  <r>
    <n v="3124"/>
    <x v="12"/>
    <s v="Iteration 29"/>
    <d v="2011-06-27T18:21:36"/>
    <x v="9"/>
    <n v="3.4"/>
    <n v="0"/>
  </r>
  <r>
    <n v="3127"/>
    <x v="14"/>
    <s v="Iteration 30"/>
    <d v="2011-09-21T18:53:53"/>
    <x v="8"/>
    <n v="3.1666666666666665"/>
    <n v="0"/>
  </r>
  <r>
    <n v="3129"/>
    <x v="12"/>
    <s v="Iteration 29"/>
    <d v="2011-06-28T17:34:14"/>
    <x v="10"/>
    <n v="3.3972222222222221"/>
    <n v="0"/>
  </r>
  <r>
    <n v="3131"/>
    <x v="12"/>
    <s v="Release 2.0"/>
    <d v="2012-01-09T17:17:16"/>
    <x v="16"/>
    <n v="2.8666666666666667"/>
    <n v="0"/>
  </r>
  <r>
    <n v="3133"/>
    <x v="3"/>
    <s v="Iteration 29"/>
    <d v="2011-06-27T15:05:33"/>
    <x v="13"/>
    <n v="3.4"/>
    <n v="0"/>
  </r>
  <r>
    <n v="3134"/>
    <x v="12"/>
    <s v="Iteration 29"/>
    <d v="2011-06-27T12:10:08"/>
    <x v="2"/>
    <n v="3.4"/>
    <n v="0"/>
  </r>
  <r>
    <n v="3137"/>
    <x v="12"/>
    <s v="Iteration 29"/>
    <d v="2011-06-27T15:54:40"/>
    <x v="2"/>
    <n v="3.4"/>
    <n v="0"/>
  </r>
  <r>
    <n v="3138"/>
    <x v="10"/>
    <s v="Iteration 29"/>
    <d v="2011-06-29T16:13:05"/>
    <x v="3"/>
    <n v="3.3944444444444444"/>
    <n v="0"/>
  </r>
  <r>
    <n v="3139"/>
    <x v="0"/>
    <s v="Iteration 29"/>
    <d v="2011-06-27T15:07:22"/>
    <x v="19"/>
    <n v="3.4"/>
    <n v="0"/>
  </r>
  <r>
    <n v="3149"/>
    <x v="23"/>
    <s v="Iteration 29"/>
    <d v="2011-06-28T16:13:42"/>
    <x v="5"/>
    <n v="3.3972222222222221"/>
    <n v="0"/>
  </r>
  <r>
    <n v="3150"/>
    <x v="16"/>
    <s v="Iteration 29"/>
    <d v="2011-06-27T16:05:39"/>
    <x v="19"/>
    <n v="3.4"/>
    <n v="0"/>
  </r>
  <r>
    <n v="3151"/>
    <x v="3"/>
    <s v="Iteration 29"/>
    <d v="2011-06-28T09:53:34"/>
    <x v="13"/>
    <n v="3.3972222222222221"/>
    <n v="0"/>
  </r>
  <r>
    <n v="3156"/>
    <x v="2"/>
    <s v="Iteration 29"/>
    <d v="2011-06-28T12:13:01"/>
    <x v="4"/>
    <n v="3.3972222222222221"/>
    <n v="0"/>
  </r>
  <r>
    <n v="3157"/>
    <x v="3"/>
    <s v="Iteration 29"/>
    <d v="2011-06-27T14:05:40"/>
    <x v="2"/>
    <n v="3.4"/>
    <n v="0"/>
  </r>
  <r>
    <n v="3158"/>
    <x v="15"/>
    <s v="Iteration 29"/>
    <d v="2011-06-28T09:31:50"/>
    <x v="4"/>
    <n v="3.3972222222222221"/>
    <n v="0"/>
  </r>
  <r>
    <n v="3160"/>
    <x v="10"/>
    <s v="Iteration 29"/>
    <d v="2011-06-27T20:23:16"/>
    <x v="19"/>
    <n v="3.4"/>
    <n v="0"/>
  </r>
  <r>
    <n v="3161"/>
    <x v="15"/>
    <s v="Iteration 29"/>
    <d v="2011-06-28T17:01:08"/>
    <x v="4"/>
    <n v="3.3972222222222221"/>
    <n v="0"/>
  </r>
  <r>
    <n v="3162"/>
    <x v="15"/>
    <s v="Iteration 29"/>
    <d v="2011-06-28T18:46:01"/>
    <x v="19"/>
    <n v="3.3972222222222221"/>
    <n v="0"/>
  </r>
  <r>
    <n v="3163"/>
    <x v="15"/>
    <s v="Iteration 29"/>
    <d v="2011-06-29T16:21:22"/>
    <x v="16"/>
    <n v="3.3944444444444444"/>
    <n v="0"/>
  </r>
  <r>
    <n v="3164"/>
    <x v="23"/>
    <s v="Iteration 29"/>
    <d v="2011-06-28T18:56:25"/>
    <x v="5"/>
    <n v="3.3972222222222221"/>
    <n v="0"/>
  </r>
  <r>
    <n v="3165"/>
    <x v="6"/>
    <s v="Iteration 29"/>
    <d v="2011-06-27T19:10:08"/>
    <x v="19"/>
    <n v="3.4"/>
    <n v="0"/>
  </r>
  <r>
    <n v="3166"/>
    <x v="2"/>
    <s v="Iteration 30"/>
    <d v="2011-09-20T22:53:41"/>
    <x v="7"/>
    <n v="3.1694444444444443"/>
    <n v="0"/>
  </r>
  <r>
    <n v="3170"/>
    <x v="3"/>
    <s v="Iteration 29"/>
    <d v="2011-06-28T21:51:36"/>
    <x v="8"/>
    <n v="3.3972222222222221"/>
    <n v="0"/>
  </r>
  <r>
    <n v="3172"/>
    <x v="15"/>
    <s v="Iteration 29"/>
    <d v="2011-06-28T18:34:00"/>
    <x v="19"/>
    <n v="3.3972222222222221"/>
    <n v="0"/>
  </r>
  <r>
    <n v="3178"/>
    <x v="27"/>
    <s v="Iteration 29"/>
    <d v="2011-06-29T16:09:28"/>
    <x v="9"/>
    <n v="3.3944444444444444"/>
    <n v="0"/>
  </r>
  <r>
    <n v="3179"/>
    <x v="11"/>
    <s v="Iteration 29"/>
    <d v="2011-06-28T20:01:39"/>
    <x v="16"/>
    <n v="3.3972222222222221"/>
    <n v="0"/>
  </r>
  <r>
    <n v="3180"/>
    <x v="11"/>
    <s v="Iteration 29"/>
    <d v="2011-06-27T19:08:19"/>
    <x v="19"/>
    <n v="3.4"/>
    <n v="0"/>
  </r>
  <r>
    <n v="3183"/>
    <x v="15"/>
    <s v="Iteration 30"/>
    <d v="2011-09-21T14:51:08"/>
    <x v="4"/>
    <n v="3.1666666666666665"/>
    <n v="0"/>
  </r>
  <r>
    <n v="3186"/>
    <x v="12"/>
    <s v="Iteration 29"/>
    <d v="2011-06-28T16:22:17"/>
    <x v="16"/>
    <n v="3.3972222222222221"/>
    <n v="0"/>
  </r>
  <r>
    <n v="3187"/>
    <x v="0"/>
    <s v="Iteration 30"/>
    <d v="2011-09-19T16:46:15"/>
    <x v="23"/>
    <n v="3.1722222222222221"/>
    <n v="0"/>
  </r>
  <r>
    <n v="3189"/>
    <x v="24"/>
    <s v="Release 3.0"/>
    <d v="2013-08-09T15:30:43"/>
    <x v="4"/>
    <n v="1.2833333333333334"/>
    <n v="0"/>
  </r>
  <r>
    <n v="3190"/>
    <x v="11"/>
    <s v="Release 2.0"/>
    <d v="2012-01-24T22:15:44"/>
    <x v="7"/>
    <n v="2.8250000000000002"/>
    <n v="0"/>
  </r>
  <r>
    <n v="3193"/>
    <x v="21"/>
    <s v="Iteration 29"/>
    <d v="2011-06-29T14:11:02"/>
    <x v="5"/>
    <n v="3.3944444444444444"/>
    <n v="0"/>
  </r>
  <r>
    <n v="3197"/>
    <x v="3"/>
    <s v="Iteration 30"/>
    <d v="2011-09-21T20:56:13"/>
    <x v="8"/>
    <n v="3.1666666666666665"/>
    <n v="0"/>
  </r>
  <r>
    <n v="3198"/>
    <x v="2"/>
    <s v="Iteration 29"/>
    <d v="2011-06-30T10:35:18"/>
    <x v="2"/>
    <n v="3.3916666666666666"/>
    <n v="0"/>
  </r>
  <r>
    <n v="3200"/>
    <x v="15"/>
    <s v="Iteration 30"/>
    <d v="2011-09-21T15:34:03"/>
    <x v="4"/>
    <n v="3.1666666666666665"/>
    <n v="0"/>
  </r>
  <r>
    <n v="3201"/>
    <x v="6"/>
    <s v="Iteration 29"/>
    <d v="2011-06-28T17:10:16"/>
    <x v="1"/>
    <n v="3.3972222222222221"/>
    <n v="0"/>
  </r>
  <r>
    <n v="3203"/>
    <x v="12"/>
    <s v="Iteration 30"/>
    <d v="2011-09-20T15:25:45"/>
    <x v="1"/>
    <n v="3.1694444444444443"/>
    <n v="0"/>
  </r>
  <r>
    <n v="3204"/>
    <x v="3"/>
    <s v="Release 2.0"/>
    <d v="2012-01-09T14:37:56"/>
    <x v="13"/>
    <n v="2.8666666666666667"/>
    <n v="0"/>
  </r>
  <r>
    <n v="3205"/>
    <x v="27"/>
    <s v="Iteration 30"/>
    <d v="2011-09-20T16:33:36"/>
    <x v="19"/>
    <n v="3.1694444444444443"/>
    <n v="0"/>
  </r>
  <r>
    <n v="3209"/>
    <x v="15"/>
    <s v="Iteration 30"/>
    <d v="2011-09-21T20:03:40"/>
    <x v="3"/>
    <n v="3.1666666666666665"/>
    <n v="0"/>
  </r>
  <r>
    <n v="3210"/>
    <x v="8"/>
    <s v="Iteration 29"/>
    <d v="2011-06-27T10:55:22"/>
    <x v="2"/>
    <n v="3.4"/>
    <n v="0"/>
  </r>
  <r>
    <n v="3213"/>
    <x v="4"/>
    <s v="Iteration 29"/>
    <d v="2011-06-27T13:49:24"/>
    <x v="13"/>
    <n v="3.4"/>
    <n v="0"/>
  </r>
  <r>
    <n v="3217"/>
    <x v="12"/>
    <s v="Iteration 30"/>
    <d v="2011-09-19T20:27:50"/>
    <x v="7"/>
    <n v="3.1722222222222221"/>
    <n v="0"/>
  </r>
  <r>
    <n v="3219"/>
    <x v="14"/>
    <s v="Release 2.5"/>
    <d v="2013-05-16T22:39:06"/>
    <x v="16"/>
    <n v="1.5138888888888888"/>
    <n v="0"/>
  </r>
  <r>
    <n v="3220"/>
    <x v="3"/>
    <s v="Iteration 29"/>
    <d v="2011-06-28T12:12:53"/>
    <x v="2"/>
    <n v="3.3972222222222221"/>
    <n v="0"/>
  </r>
  <r>
    <n v="3221"/>
    <x v="2"/>
    <s v="Iteration 29"/>
    <d v="2011-06-28T09:32:13"/>
    <x v="4"/>
    <n v="3.3972222222222221"/>
    <n v="0"/>
  </r>
  <r>
    <n v="3223"/>
    <x v="15"/>
    <s v="Iteration 29"/>
    <d v="2011-06-28T21:15:11"/>
    <x v="8"/>
    <n v="3.3972222222222221"/>
    <n v="0"/>
  </r>
  <r>
    <n v="3224"/>
    <x v="11"/>
    <s v="Iteration 29"/>
    <d v="2011-06-27T20:07:14"/>
    <x v="19"/>
    <n v="3.4"/>
    <n v="0"/>
  </r>
  <r>
    <n v="3227"/>
    <x v="15"/>
    <s v="Release 2.0"/>
    <d v="2012-01-09T14:34:27"/>
    <x v="13"/>
    <n v="2.8666666666666667"/>
    <n v="0"/>
  </r>
  <r>
    <n v="3228"/>
    <x v="8"/>
    <s v="Release 2.6"/>
    <d v="2013-07-25T10:55:03"/>
    <x v="4"/>
    <n v="1.3222222222222222"/>
    <n v="0"/>
  </r>
  <r>
    <n v="3229"/>
    <x v="21"/>
    <s v="Iteration 29"/>
    <d v="2011-06-29T19:47:11"/>
    <x v="16"/>
    <n v="3.3944444444444444"/>
    <n v="0"/>
  </r>
  <r>
    <n v="3230"/>
    <x v="4"/>
    <s v="Iteration 29"/>
    <d v="2011-06-27T09:31:38"/>
    <x v="13"/>
    <n v="3.4"/>
    <n v="0"/>
  </r>
  <r>
    <n v="3232"/>
    <x v="12"/>
    <s v="Iteration 30"/>
    <d v="2011-09-19T20:19:55"/>
    <x v="5"/>
    <n v="3.1722222222222221"/>
    <n v="0"/>
  </r>
  <r>
    <n v="3233"/>
    <x v="16"/>
    <s v="Iteration 29"/>
    <d v="2011-06-27T15:55:41"/>
    <x v="19"/>
    <n v="3.4"/>
    <n v="0"/>
  </r>
  <r>
    <n v="3234"/>
    <x v="7"/>
    <s v="Iteration 30"/>
    <d v="2011-09-19T09:54:43"/>
    <x v="13"/>
    <n v="3.1722222222222221"/>
    <n v="0"/>
  </r>
  <r>
    <n v="3235"/>
    <x v="16"/>
    <s v="Iteration 29"/>
    <d v="2011-06-27T15:57:07"/>
    <x v="19"/>
    <n v="3.4"/>
    <n v="0"/>
  </r>
  <r>
    <n v="3237"/>
    <x v="16"/>
    <s v="Iteration 29"/>
    <d v="2011-06-27T15:57:38"/>
    <x v="19"/>
    <n v="3.4"/>
    <n v="0"/>
  </r>
  <r>
    <n v="3238"/>
    <x v="27"/>
    <s v="Iteration 30"/>
    <d v="2011-09-20T19:12:37"/>
    <x v="19"/>
    <n v="3.1694444444444443"/>
    <n v="0"/>
  </r>
  <r>
    <n v="3242"/>
    <x v="8"/>
    <s v="Iteration 30"/>
    <d v="2011-09-20T12:32:40"/>
    <x v="2"/>
    <n v="3.1694444444444443"/>
    <n v="0"/>
  </r>
  <r>
    <n v="3244"/>
    <x v="12"/>
    <s v="Iteration 30"/>
    <d v="2011-09-19T20:37:55"/>
    <x v="3"/>
    <n v="3.1722222222222221"/>
    <n v="0"/>
  </r>
  <r>
    <n v="3247"/>
    <x v="16"/>
    <s v="Iteration 30"/>
    <d v="2011-09-19T20:28:08"/>
    <x v="19"/>
    <n v="3.1722222222222221"/>
    <n v="0"/>
  </r>
  <r>
    <n v="3248"/>
    <x v="16"/>
    <s v="Iteration 30"/>
    <d v="2011-09-20T17:03:50"/>
    <x v="5"/>
    <n v="3.1694444444444443"/>
    <n v="0"/>
  </r>
  <r>
    <n v="3249"/>
    <x v="15"/>
    <s v="Iteration 29"/>
    <d v="2011-06-28T17:02:12"/>
    <x v="4"/>
    <n v="3.3972222222222221"/>
    <n v="0"/>
  </r>
  <r>
    <n v="3250"/>
    <x v="16"/>
    <s v="Iteration 30"/>
    <d v="2011-09-19T19:30:18"/>
    <x v="7"/>
    <n v="3.1722222222222221"/>
    <n v="0"/>
  </r>
  <r>
    <n v="3254"/>
    <x v="23"/>
    <s v="Release 2.0"/>
    <d v="2012-01-11T16:45:29"/>
    <x v="35"/>
    <n v="2.8611111111111112"/>
    <n v="0"/>
  </r>
  <r>
    <n v="3258"/>
    <x v="15"/>
    <s v="Iteration 29"/>
    <d v="2011-06-28T18:27:59"/>
    <x v="19"/>
    <n v="3.3972222222222221"/>
    <n v="0"/>
  </r>
  <r>
    <n v="3259"/>
    <x v="15"/>
    <s v="Iteration 30"/>
    <d v="2011-09-20T10:52:33"/>
    <x v="4"/>
    <n v="3.1694444444444443"/>
    <n v="0"/>
  </r>
  <r>
    <n v="3262"/>
    <x v="4"/>
    <s v="Iteration 29"/>
    <d v="2011-06-30T13:31:37"/>
    <x v="5"/>
    <n v="3.3916666666666666"/>
    <n v="0"/>
  </r>
  <r>
    <n v="3263"/>
    <x v="4"/>
    <s v="Iteration 30"/>
    <d v="2011-09-20T15:29:32"/>
    <x v="7"/>
    <n v="3.1694444444444443"/>
    <n v="0"/>
  </r>
  <r>
    <n v="3268"/>
    <x v="3"/>
    <s v="Iteration 30"/>
    <d v="2011-09-19T19:34:43"/>
    <x v="16"/>
    <n v="3.1722222222222221"/>
    <n v="0"/>
  </r>
  <r>
    <n v="3269"/>
    <x v="13"/>
    <s v="Iteration 30"/>
    <d v="2011-09-20T13:57:16"/>
    <x v="1"/>
    <n v="3.1694444444444443"/>
    <n v="0"/>
  </r>
  <r>
    <n v="3270"/>
    <x v="15"/>
    <s v="Iteration 29"/>
    <d v="2011-06-29T16:27:31"/>
    <x v="4"/>
    <n v="3.3944444444444444"/>
    <n v="0"/>
  </r>
  <r>
    <n v="3271"/>
    <x v="12"/>
    <s v="Iteration 30"/>
    <d v="2011-09-22T20:14:38"/>
    <x v="8"/>
    <n v="3.1638888888888888"/>
    <n v="0"/>
  </r>
  <r>
    <n v="3272"/>
    <x v="3"/>
    <s v="Release 2.1"/>
    <d v="2012-04-13T15:31:39"/>
    <x v="8"/>
    <n v="2.6055555555555556"/>
    <n v="0"/>
  </r>
  <r>
    <n v="3273"/>
    <x v="16"/>
    <s v="Iteration 30"/>
    <d v="2011-09-20T13:38:12"/>
    <x v="4"/>
    <n v="3.1694444444444443"/>
    <n v="0"/>
  </r>
  <r>
    <n v="3274"/>
    <x v="36"/>
    <s v="Iteration 29"/>
    <d v="2011-06-29T17:27:25"/>
    <x v="9"/>
    <n v="3.3944444444444444"/>
    <n v="0"/>
  </r>
  <r>
    <n v="3276"/>
    <x v="16"/>
    <s v="Iteration 30"/>
    <d v="2011-09-20T16:29:24"/>
    <x v="5"/>
    <n v="3.1694444444444443"/>
    <n v="0"/>
  </r>
  <r>
    <n v="3277"/>
    <x v="13"/>
    <s v="Iteration 30"/>
    <d v="2011-09-19T16:47:44"/>
    <x v="4"/>
    <n v="3.1722222222222221"/>
    <n v="0"/>
  </r>
  <r>
    <n v="3282"/>
    <x v="15"/>
    <s v="Iteration 29"/>
    <d v="2011-06-29T20:04:08"/>
    <x v="5"/>
    <n v="3.3944444444444444"/>
    <n v="0"/>
  </r>
  <r>
    <n v="3287"/>
    <x v="6"/>
    <s v="Iteration 30"/>
    <d v="2011-09-21T14:24:34"/>
    <x v="4"/>
    <n v="3.1666666666666665"/>
    <n v="0"/>
  </r>
  <r>
    <n v="3288"/>
    <x v="16"/>
    <s v="Iteration 30"/>
    <d v="2011-09-20T15:51:10"/>
    <x v="1"/>
    <n v="3.1694444444444443"/>
    <n v="0"/>
  </r>
  <r>
    <n v="3289"/>
    <x v="16"/>
    <s v="Release 2.0"/>
    <d v="2012-01-09T22:15:09"/>
    <x v="36"/>
    <n v="2.8666666666666667"/>
    <n v="0"/>
  </r>
  <r>
    <n v="3290"/>
    <x v="10"/>
    <s v="Iteration 29"/>
    <d v="2011-06-30T14:52:46"/>
    <x v="5"/>
    <n v="3.3916666666666666"/>
    <n v="0"/>
  </r>
  <r>
    <n v="3292"/>
    <x v="15"/>
    <s v="Iteration 30"/>
    <d v="2011-09-20T15:57:45"/>
    <x v="1"/>
    <n v="3.1694444444444443"/>
    <n v="0"/>
  </r>
  <r>
    <n v="3294"/>
    <x v="15"/>
    <s v="Iteration 30"/>
    <d v="2011-09-20T15:29:04"/>
    <x v="5"/>
    <n v="3.1694444444444443"/>
    <n v="0"/>
  </r>
  <r>
    <n v="3300"/>
    <x v="12"/>
    <s v="Iteration 30"/>
    <d v="2011-09-19T19:10:51"/>
    <x v="5"/>
    <n v="3.1722222222222221"/>
    <n v="0"/>
  </r>
  <r>
    <n v="3301"/>
    <x v="2"/>
    <s v="Iteration 30"/>
    <d v="2011-09-21T14:19:01"/>
    <x v="7"/>
    <n v="3.1666666666666665"/>
    <n v="0"/>
  </r>
  <r>
    <n v="3302"/>
    <x v="2"/>
    <s v="Iteration 30"/>
    <d v="2011-09-21T14:15:13"/>
    <x v="7"/>
    <n v="3.1666666666666665"/>
    <n v="0"/>
  </r>
  <r>
    <n v="3303"/>
    <x v="15"/>
    <s v="Iteration 30"/>
    <d v="2011-09-19T21:04:53"/>
    <x v="7"/>
    <n v="3.1722222222222221"/>
    <n v="0"/>
  </r>
  <r>
    <n v="3304"/>
    <x v="6"/>
    <s v="Iteration 30"/>
    <d v="2011-09-19T16:24:21"/>
    <x v="19"/>
    <n v="3.1722222222222221"/>
    <n v="0"/>
  </r>
  <r>
    <n v="3306"/>
    <x v="50"/>
    <s v="Iteration 30"/>
    <d v="2011-09-20T10:35:13"/>
    <x v="4"/>
    <n v="3.1694444444444443"/>
    <n v="0"/>
  </r>
  <r>
    <n v="3307"/>
    <x v="16"/>
    <s v="Iteration 30"/>
    <d v="2011-09-19T16:34:44"/>
    <x v="5"/>
    <n v="3.1722222222222221"/>
    <n v="0"/>
  </r>
  <r>
    <n v="3308"/>
    <x v="23"/>
    <s v="Iteration 30"/>
    <d v="2011-09-20T15:20:38"/>
    <x v="5"/>
    <n v="3.1694444444444443"/>
    <n v="0"/>
  </r>
  <r>
    <n v="3311"/>
    <x v="15"/>
    <s v="Iteration 30"/>
    <d v="2011-09-21T18:47:41"/>
    <x v="7"/>
    <n v="3.1666666666666665"/>
    <n v="0"/>
  </r>
  <r>
    <n v="3319"/>
    <x v="16"/>
    <s v="Iteration 30"/>
    <d v="2011-09-20T16:30:29"/>
    <x v="19"/>
    <n v="3.1694444444444443"/>
    <n v="0"/>
  </r>
  <r>
    <n v="3320"/>
    <x v="4"/>
    <s v="Iteration 30"/>
    <d v="2011-09-21T09:53:35"/>
    <x v="13"/>
    <n v="3.1666666666666665"/>
    <n v="0"/>
  </r>
  <r>
    <n v="3322"/>
    <x v="10"/>
    <s v="Iteration 30"/>
    <d v="2011-09-19T15:33:00"/>
    <x v="5"/>
    <n v="3.1722222222222221"/>
    <n v="0"/>
  </r>
  <r>
    <n v="3323"/>
    <x v="2"/>
    <s v="Iteration 30"/>
    <d v="2011-09-19T13:54:53"/>
    <x v="8"/>
    <n v="3.1722222222222221"/>
    <n v="0"/>
  </r>
  <r>
    <n v="3324"/>
    <x v="15"/>
    <s v="Iteration 30"/>
    <d v="2011-09-21T16:50:57"/>
    <x v="4"/>
    <n v="3.1666666666666665"/>
    <n v="0"/>
  </r>
  <r>
    <n v="3326"/>
    <x v="6"/>
    <s v="Iteration 30"/>
    <d v="2011-09-20T12:21:48"/>
    <x v="4"/>
    <n v="3.1694444444444443"/>
    <n v="0"/>
  </r>
  <r>
    <n v="3328"/>
    <x v="3"/>
    <s v="Release 2.1"/>
    <d v="2012-04-30T15:11:29"/>
    <x v="8"/>
    <n v="2.5583333333333331"/>
    <n v="0"/>
  </r>
  <r>
    <n v="3332"/>
    <x v="13"/>
    <s v="Release 2.0"/>
    <d v="2012-01-10T15:25:53"/>
    <x v="15"/>
    <n v="2.8638888888888889"/>
    <n v="0"/>
  </r>
  <r>
    <n v="3333"/>
    <x v="16"/>
    <s v="Iteration 30"/>
    <d v="2011-09-19T20:15:50"/>
    <x v="5"/>
    <n v="3.1722222222222221"/>
    <n v="0"/>
  </r>
  <r>
    <n v="3338"/>
    <x v="6"/>
    <s v="Iteration 30"/>
    <d v="2011-09-19T15:12:15"/>
    <x v="20"/>
    <n v="3.1722222222222221"/>
    <n v="0"/>
  </r>
  <r>
    <n v="3340"/>
    <x v="4"/>
    <s v="Iteration 30"/>
    <d v="2011-09-20T01:02:46"/>
    <x v="7"/>
    <n v="3.1694444444444443"/>
    <n v="0"/>
  </r>
  <r>
    <n v="3341"/>
    <x v="3"/>
    <s v="Iteration 30"/>
    <d v="2011-09-21T09:29:34"/>
    <x v="1"/>
    <n v="3.1666666666666665"/>
    <n v="0"/>
  </r>
  <r>
    <n v="3342"/>
    <x v="16"/>
    <s v="Release 2.0"/>
    <d v="2012-01-09T15:01:30"/>
    <x v="5"/>
    <n v="2.8666666666666667"/>
    <n v="0"/>
  </r>
  <r>
    <n v="3346"/>
    <x v="14"/>
    <s v="Iteration 30"/>
    <d v="2011-09-21T09:36:40"/>
    <x v="1"/>
    <n v="3.1666666666666665"/>
    <n v="0"/>
  </r>
  <r>
    <n v="3348"/>
    <x v="16"/>
    <s v="Iteration 30"/>
    <d v="2011-09-20T15:50:13"/>
    <x v="5"/>
    <n v="3.1694444444444443"/>
    <n v="0"/>
  </r>
  <r>
    <n v="3350"/>
    <x v="15"/>
    <s v="Iteration 30"/>
    <d v="2011-09-21T14:21:38"/>
    <x v="4"/>
    <n v="3.1666666666666665"/>
    <n v="0"/>
  </r>
  <r>
    <n v="3354"/>
    <x v="6"/>
    <s v="Iteration 30"/>
    <d v="2011-09-21T14:39:23"/>
    <x v="1"/>
    <n v="3.1666666666666665"/>
    <n v="0"/>
  </r>
  <r>
    <n v="3359"/>
    <x v="16"/>
    <s v="Release 2.0"/>
    <d v="2012-01-10T15:36:45"/>
    <x v="5"/>
    <n v="2.8638888888888889"/>
    <n v="0"/>
  </r>
  <r>
    <n v="3361"/>
    <x v="8"/>
    <s v="Iteration 30"/>
    <d v="2011-09-19T19:34:39"/>
    <x v="19"/>
    <n v="3.1722222222222221"/>
    <n v="0"/>
  </r>
  <r>
    <n v="3364"/>
    <x v="16"/>
    <s v="Iteration 30"/>
    <d v="2011-09-19T16:51:55"/>
    <x v="5"/>
    <n v="3.1722222222222221"/>
    <n v="0"/>
  </r>
  <r>
    <n v="3365"/>
    <x v="12"/>
    <s v="Release 2.0"/>
    <d v="2012-01-09T15:55:14"/>
    <x v="2"/>
    <n v="2.8666666666666667"/>
    <n v="0"/>
  </r>
  <r>
    <n v="3366"/>
    <x v="3"/>
    <s v="Iteration 30"/>
    <d v="2011-09-20T15:30:17"/>
    <x v="2"/>
    <n v="3.1694444444444443"/>
    <n v="0"/>
  </r>
  <r>
    <n v="3367"/>
    <x v="15"/>
    <s v="Iteration 30"/>
    <d v="2011-09-20T15:54:26"/>
    <x v="1"/>
    <n v="3.1694444444444443"/>
    <n v="0"/>
  </r>
  <r>
    <n v="3370"/>
    <x v="15"/>
    <s v="Iteration 30"/>
    <d v="2011-09-21T09:44:23"/>
    <x v="1"/>
    <n v="3.1666666666666665"/>
    <n v="0"/>
  </r>
  <r>
    <n v="3371"/>
    <x v="15"/>
    <s v="Iteration 30"/>
    <d v="2011-09-20T19:16:33"/>
    <x v="5"/>
    <n v="3.1694444444444443"/>
    <n v="0"/>
  </r>
  <r>
    <n v="3372"/>
    <x v="15"/>
    <s v="Iteration 30"/>
    <d v="2011-09-21T15:54:57"/>
    <x v="4"/>
    <n v="3.1666666666666665"/>
    <n v="0"/>
  </r>
  <r>
    <n v="3375"/>
    <x v="7"/>
    <s v="Iteration 30"/>
    <d v="2011-09-19T13:29:19"/>
    <x v="13"/>
    <n v="3.1722222222222221"/>
    <n v="0"/>
  </r>
  <r>
    <n v="3377"/>
    <x v="11"/>
    <s v="Iteration 30"/>
    <d v="2011-09-21T18:12:04"/>
    <x v="5"/>
    <n v="3.1666666666666665"/>
    <n v="0"/>
  </r>
  <r>
    <n v="3380"/>
    <x v="12"/>
    <s v="Iteration 30"/>
    <d v="2011-09-21T15:35:37"/>
    <x v="1"/>
    <n v="3.1666666666666665"/>
    <n v="0"/>
  </r>
  <r>
    <n v="3382"/>
    <x v="7"/>
    <s v="Iteration 30"/>
    <d v="2011-09-19T13:30:25"/>
    <x v="13"/>
    <n v="3.1722222222222221"/>
    <n v="0"/>
  </r>
  <r>
    <n v="3386"/>
    <x v="15"/>
    <s v="Iteration 30"/>
    <d v="2011-09-19T14:16:54"/>
    <x v="18"/>
    <n v="3.1722222222222221"/>
    <n v="0"/>
  </r>
  <r>
    <n v="3394"/>
    <x v="15"/>
    <s v="Iteration 30"/>
    <d v="2011-09-21T19:22:12"/>
    <x v="3"/>
    <n v="3.1666666666666665"/>
    <n v="0"/>
  </r>
  <r>
    <n v="3396"/>
    <x v="15"/>
    <s v="Iteration 30"/>
    <d v="2011-09-21T15:22:43"/>
    <x v="4"/>
    <n v="3.1666666666666665"/>
    <n v="0"/>
  </r>
  <r>
    <n v="3403"/>
    <x v="6"/>
    <s v="Release 2.0"/>
    <d v="2012-01-16T16:06:43"/>
    <x v="18"/>
    <n v="2.8472222222222223"/>
    <n v="0"/>
  </r>
  <r>
    <n v="3409"/>
    <x v="12"/>
    <s v="Iteration 30"/>
    <d v="2011-09-20T16:56:24"/>
    <x v="2"/>
    <n v="3.1694444444444443"/>
    <n v="0"/>
  </r>
  <r>
    <n v="3411"/>
    <x v="7"/>
    <s v="Iteration 30"/>
    <d v="2011-09-19T14:50:26"/>
    <x v="13"/>
    <n v="3.1722222222222221"/>
    <n v="0"/>
  </r>
  <r>
    <n v="3412"/>
    <x v="0"/>
    <s v="Iteration 30"/>
    <d v="2011-09-19T16:18:28"/>
    <x v="19"/>
    <n v="3.1722222222222221"/>
    <n v="0"/>
  </r>
  <r>
    <n v="3413"/>
    <x v="6"/>
    <s v="Iteration 30"/>
    <d v="2011-09-21T08:41:57"/>
    <x v="1"/>
    <n v="3.1666666666666665"/>
    <n v="0"/>
  </r>
  <r>
    <n v="3414"/>
    <x v="15"/>
    <s v="Iteration 30"/>
    <d v="2011-09-21T14:09:55"/>
    <x v="4"/>
    <n v="3.1666666666666665"/>
    <n v="0"/>
  </r>
  <r>
    <n v="3415"/>
    <x v="12"/>
    <s v="Iteration 30"/>
    <d v="2011-09-20T14:01:25"/>
    <x v="2"/>
    <n v="3.1694444444444443"/>
    <n v="0"/>
  </r>
  <r>
    <n v="3416"/>
    <x v="15"/>
    <s v="Iteration 30"/>
    <d v="2011-09-19T16:07:26"/>
    <x v="20"/>
    <n v="3.1722222222222221"/>
    <n v="0"/>
  </r>
  <r>
    <n v="3418"/>
    <x v="15"/>
    <s v="Iteration 30"/>
    <d v="2011-09-19T19:51:40"/>
    <x v="7"/>
    <n v="3.1722222222222221"/>
    <n v="0"/>
  </r>
  <r>
    <n v="3419"/>
    <x v="12"/>
    <s v="Iteration 30"/>
    <d v="2011-09-19T20:31:12"/>
    <x v="7"/>
    <n v="3.1722222222222221"/>
    <n v="0"/>
  </r>
  <r>
    <n v="3420"/>
    <x v="16"/>
    <s v="Iteration 30"/>
    <d v="2011-09-19T18:58:50"/>
    <x v="5"/>
    <n v="3.1722222222222221"/>
    <n v="0"/>
  </r>
  <r>
    <n v="3422"/>
    <x v="7"/>
    <s v="Iteration 30"/>
    <d v="2011-09-20T14:58:44"/>
    <x v="13"/>
    <n v="3.1694444444444443"/>
    <n v="0"/>
  </r>
  <r>
    <n v="3424"/>
    <x v="30"/>
    <s v="Release 3.0"/>
    <d v="2013-08-30T15:37:38"/>
    <x v="5"/>
    <n v="1.2250000000000001"/>
    <n v="0"/>
  </r>
  <r>
    <n v="3425"/>
    <x v="15"/>
    <s v="Iteration 30"/>
    <d v="2011-09-21T16:31:55"/>
    <x v="20"/>
    <n v="3.1666666666666665"/>
    <n v="0"/>
  </r>
  <r>
    <n v="3426"/>
    <x v="15"/>
    <s v="Iteration 30"/>
    <d v="2011-09-21T16:47:03"/>
    <x v="7"/>
    <n v="3.1666666666666665"/>
    <n v="0"/>
  </r>
  <r>
    <n v="3431"/>
    <x v="2"/>
    <s v="Iteration 30"/>
    <d v="2011-09-20T17:08:45"/>
    <x v="19"/>
    <n v="3.1694444444444443"/>
    <n v="0"/>
  </r>
  <r>
    <n v="3435"/>
    <x v="15"/>
    <s v="Iteration 30"/>
    <d v="2011-09-19T20:57:18"/>
    <x v="5"/>
    <n v="3.1722222222222221"/>
    <n v="0"/>
  </r>
  <r>
    <n v="3440"/>
    <x v="12"/>
    <s v="Iteration 30"/>
    <d v="2011-09-21T16:37:51"/>
    <x v="2"/>
    <n v="3.1666666666666665"/>
    <n v="0"/>
  </r>
  <r>
    <n v="3444"/>
    <x v="16"/>
    <s v="Iteration 30"/>
    <d v="2011-09-19T18:58:10"/>
    <x v="19"/>
    <n v="3.1722222222222221"/>
    <n v="0"/>
  </r>
  <r>
    <n v="3448"/>
    <x v="3"/>
    <s v="Iteration 30"/>
    <d v="2011-09-20T16:12:50"/>
    <x v="2"/>
    <n v="3.1694444444444443"/>
    <n v="0"/>
  </r>
  <r>
    <n v="3449"/>
    <x v="12"/>
    <s v="Iteration 30"/>
    <d v="2011-09-19T20:40:29"/>
    <x v="3"/>
    <n v="3.1722222222222221"/>
    <n v="0"/>
  </r>
  <r>
    <n v="3451"/>
    <x v="6"/>
    <s v="Release 2.0"/>
    <d v="2012-01-13T14:09:01"/>
    <x v="18"/>
    <n v="2.8555555555555556"/>
    <n v="0"/>
  </r>
  <r>
    <n v="3452"/>
    <x v="10"/>
    <s v="Iteration 30"/>
    <d v="2011-09-20T14:17:20"/>
    <x v="7"/>
    <n v="3.1694444444444443"/>
    <n v="0"/>
  </r>
  <r>
    <n v="3455"/>
    <x v="10"/>
    <s v="Iteration 30"/>
    <d v="2011-09-20T10:43:45"/>
    <x v="20"/>
    <n v="3.1694444444444443"/>
    <n v="0"/>
  </r>
  <r>
    <n v="3457"/>
    <x v="21"/>
    <s v="Iteration 30"/>
    <d v="2011-09-20T16:07:07"/>
    <x v="19"/>
    <n v="3.1694444444444443"/>
    <n v="0"/>
  </r>
  <r>
    <n v="3460"/>
    <x v="12"/>
    <s v="Iteration 30"/>
    <d v="2011-09-19T16:44:12"/>
    <x v="5"/>
    <n v="3.1722222222222221"/>
    <n v="0"/>
  </r>
  <r>
    <n v="3461"/>
    <x v="3"/>
    <s v="Iteration 30"/>
    <d v="2011-09-19T20:11:47"/>
    <x v="7"/>
    <n v="3.1722222222222221"/>
    <n v="0"/>
  </r>
  <r>
    <n v="3465"/>
    <x v="21"/>
    <s v="Iteration 30"/>
    <d v="2011-09-20T16:02:00"/>
    <x v="19"/>
    <n v="3.1694444444444443"/>
    <n v="0"/>
  </r>
  <r>
    <n v="3467"/>
    <x v="12"/>
    <s v="Iteration 30"/>
    <d v="2011-09-21T13:45:34"/>
    <x v="2"/>
    <n v="3.1666666666666665"/>
    <n v="0"/>
  </r>
  <r>
    <n v="3468"/>
    <x v="4"/>
    <s v="Iteration 30"/>
    <d v="2011-09-19T16:57:04"/>
    <x v="19"/>
    <n v="3.1722222222222221"/>
    <n v="0"/>
  </r>
  <r>
    <n v="3469"/>
    <x v="12"/>
    <s v="Iteration 30"/>
    <d v="2011-09-21T10:00:59"/>
    <x v="1"/>
    <n v="3.1666666666666665"/>
    <n v="0"/>
  </r>
  <r>
    <n v="3470"/>
    <x v="15"/>
    <s v="Iteration 30"/>
    <d v="2011-09-21T15:57:34"/>
    <x v="4"/>
    <n v="3.1666666666666665"/>
    <n v="0"/>
  </r>
  <r>
    <n v="3471"/>
    <x v="15"/>
    <s v="Iteration 30"/>
    <d v="2011-09-21T19:56:53"/>
    <x v="5"/>
    <n v="3.1666666666666665"/>
    <n v="0"/>
  </r>
  <r>
    <n v="3473"/>
    <x v="15"/>
    <s v="Iteration 30"/>
    <d v="2011-09-21T15:48:36"/>
    <x v="4"/>
    <n v="3.1666666666666665"/>
    <n v="0"/>
  </r>
  <r>
    <n v="3474"/>
    <x v="0"/>
    <s v="Iteration 30"/>
    <d v="2011-09-20T09:17:42"/>
    <x v="9"/>
    <n v="3.1694444444444443"/>
    <n v="0"/>
  </r>
  <r>
    <n v="3475"/>
    <x v="15"/>
    <s v="Iteration 30"/>
    <d v="2011-09-20T16:58:50"/>
    <x v="5"/>
    <n v="3.1694444444444443"/>
    <n v="0"/>
  </r>
  <r>
    <n v="3476"/>
    <x v="4"/>
    <s v="Iteration 30"/>
    <d v="2011-09-19T22:22:53"/>
    <x v="7"/>
    <n v="3.1722222222222221"/>
    <n v="0"/>
  </r>
  <r>
    <n v="3477"/>
    <x v="15"/>
    <s v="Iteration 30"/>
    <d v="2011-09-21T16:34:53"/>
    <x v="4"/>
    <n v="3.1666666666666665"/>
    <n v="0"/>
  </r>
  <r>
    <n v="3478"/>
    <x v="0"/>
    <s v="Iteration 30"/>
    <d v="2011-09-20T20:23:08"/>
    <x v="19"/>
    <n v="3.1694444444444443"/>
    <n v="0"/>
  </r>
  <r>
    <n v="3480"/>
    <x v="21"/>
    <s v="Iteration 30"/>
    <d v="2011-09-21T14:47:14"/>
    <x v="16"/>
    <n v="3.1666666666666665"/>
    <n v="0"/>
  </r>
  <r>
    <n v="3481"/>
    <x v="15"/>
    <s v="Iteration 30"/>
    <d v="2011-09-21T16:37:12"/>
    <x v="4"/>
    <n v="3.1666666666666665"/>
    <n v="0"/>
  </r>
  <r>
    <n v="3482"/>
    <x v="12"/>
    <s v="Iteration 30"/>
    <d v="2011-09-21T14:08:56"/>
    <x v="2"/>
    <n v="3.1666666666666665"/>
    <n v="0"/>
  </r>
  <r>
    <n v="3483"/>
    <x v="3"/>
    <s v="Iteration 30"/>
    <d v="2011-09-21T10:39:24"/>
    <x v="18"/>
    <n v="3.1666666666666665"/>
    <n v="0"/>
  </r>
  <r>
    <n v="3484"/>
    <x v="14"/>
    <s v="Iteration 30"/>
    <d v="2011-09-19T18:43:30"/>
    <x v="19"/>
    <n v="3.1722222222222221"/>
    <n v="0"/>
  </r>
  <r>
    <n v="3486"/>
    <x v="2"/>
    <s v="Iteration 30"/>
    <d v="2011-09-19T18:42:14"/>
    <x v="19"/>
    <n v="3.1722222222222221"/>
    <n v="0"/>
  </r>
  <r>
    <n v="3488"/>
    <x v="3"/>
    <s v="Iteration 30"/>
    <d v="2011-09-20T17:08:40"/>
    <x v="19"/>
    <n v="3.1694444444444443"/>
    <n v="0"/>
  </r>
  <r>
    <n v="3489"/>
    <x v="14"/>
    <s v="Iteration 30"/>
    <d v="2011-09-20T20:21:03"/>
    <x v="19"/>
    <n v="3.1694444444444443"/>
    <n v="0"/>
  </r>
  <r>
    <n v="3490"/>
    <x v="3"/>
    <s v="Iteration 30"/>
    <d v="2011-09-20T10:05:17"/>
    <x v="20"/>
    <n v="3.1694444444444443"/>
    <n v="0"/>
  </r>
  <r>
    <n v="3493"/>
    <x v="52"/>
    <s v="Release 3.3"/>
    <d v="2014-11-10T08:32:17"/>
    <x v="43"/>
    <n v="3.0555555555555555E-2"/>
    <n v="1"/>
  </r>
  <r>
    <n v="3494"/>
    <x v="0"/>
    <s v="Iteration 30"/>
    <d v="2011-09-19T18:57:09"/>
    <x v="19"/>
    <n v="3.1722222222222221"/>
    <n v="0"/>
  </r>
  <r>
    <n v="3496"/>
    <x v="15"/>
    <s v="Iteration 30"/>
    <d v="2011-09-19T20:51:35"/>
    <x v="5"/>
    <n v="3.1722222222222221"/>
    <n v="0"/>
  </r>
  <r>
    <n v="3498"/>
    <x v="11"/>
    <s v="Iteration 30"/>
    <d v="2011-09-19T15:14:03"/>
    <x v="10"/>
    <n v="3.1722222222222221"/>
    <n v="0"/>
  </r>
  <r>
    <n v="3503"/>
    <x v="21"/>
    <s v="Iteration 30"/>
    <d v="2011-09-20T16:53:53"/>
    <x v="16"/>
    <n v="3.1694444444444443"/>
    <n v="0"/>
  </r>
  <r>
    <n v="3505"/>
    <x v="3"/>
    <s v="Iteration 30"/>
    <d v="2011-09-20T22:50:33"/>
    <x v="7"/>
    <n v="3.1694444444444443"/>
    <n v="0"/>
  </r>
  <r>
    <n v="3506"/>
    <x v="23"/>
    <s v="Iteration 30"/>
    <d v="2011-09-20T10:33:21"/>
    <x v="4"/>
    <n v="3.1694444444444443"/>
    <n v="0"/>
  </r>
  <r>
    <n v="3509"/>
    <x v="21"/>
    <s v="Iteration 30"/>
    <d v="2011-09-19T20:03:11"/>
    <x v="19"/>
    <n v="3.1722222222222221"/>
    <n v="0"/>
  </r>
  <r>
    <n v="3510"/>
    <x v="15"/>
    <s v="Iteration 30"/>
    <d v="2011-09-21T19:38:29"/>
    <x v="3"/>
    <n v="3.1666666666666665"/>
    <n v="0"/>
  </r>
  <r>
    <n v="3516"/>
    <x v="11"/>
    <s v="Iteration 30"/>
    <d v="2011-09-21T18:52:20"/>
    <x v="8"/>
    <n v="3.1666666666666665"/>
    <n v="0"/>
  </r>
  <r>
    <n v="3517"/>
    <x v="11"/>
    <s v="Release 2.0"/>
    <d v="2012-01-09T20:53:14"/>
    <x v="16"/>
    <n v="2.8666666666666667"/>
    <n v="0"/>
  </r>
  <r>
    <n v="3519"/>
    <x v="12"/>
    <s v="Iteration 30"/>
    <d v="2011-09-21T19:55:10"/>
    <x v="3"/>
    <n v="3.1666666666666665"/>
    <n v="0"/>
  </r>
  <r>
    <n v="3521"/>
    <x v="12"/>
    <s v="Iteration 30"/>
    <d v="2011-09-22T18:49:37"/>
    <x v="8"/>
    <n v="3.1638888888888888"/>
    <n v="0"/>
  </r>
  <r>
    <n v="3523"/>
    <x v="12"/>
    <s v="Iteration 30"/>
    <d v="2011-09-20T18:37:21"/>
    <x v="16"/>
    <n v="3.1694444444444443"/>
    <n v="0"/>
  </r>
  <r>
    <n v="3524"/>
    <x v="12"/>
    <s v="Iteration 30"/>
    <d v="2011-09-20T17:04:33"/>
    <x v="7"/>
    <n v="3.1694444444444443"/>
    <n v="0"/>
  </r>
  <r>
    <n v="3526"/>
    <x v="15"/>
    <s v="Iteration 30"/>
    <d v="2011-09-20T19:24:25"/>
    <x v="5"/>
    <n v="3.1694444444444443"/>
    <n v="0"/>
  </r>
  <r>
    <n v="3532"/>
    <x v="12"/>
    <s v="Iteration 30"/>
    <d v="2011-09-20T15:50:40"/>
    <x v="2"/>
    <n v="3.1694444444444443"/>
    <n v="0"/>
  </r>
  <r>
    <n v="3533"/>
    <x v="15"/>
    <s v="Iteration 30"/>
    <d v="2011-09-21T20:45:08"/>
    <x v="3"/>
    <n v="3.1666666666666665"/>
    <n v="0"/>
  </r>
  <r>
    <n v="3534"/>
    <x v="4"/>
    <s v="Iteration 30"/>
    <d v="2011-09-20T13:33:40"/>
    <x v="8"/>
    <n v="3.1694444444444443"/>
    <n v="0"/>
  </r>
  <r>
    <n v="3535"/>
    <x v="12"/>
    <s v="Iteration 30"/>
    <d v="2011-09-20T13:42:23"/>
    <x v="2"/>
    <n v="3.1694444444444443"/>
    <n v="0"/>
  </r>
  <r>
    <n v="3536"/>
    <x v="15"/>
    <s v="Iteration 30"/>
    <d v="2011-09-20T16:04:35"/>
    <x v="5"/>
    <n v="3.1694444444444443"/>
    <n v="0"/>
  </r>
  <r>
    <n v="3537"/>
    <x v="12"/>
    <s v="Iteration 30"/>
    <d v="2011-09-21T17:02:38"/>
    <x v="2"/>
    <n v="3.1666666666666665"/>
    <n v="0"/>
  </r>
  <r>
    <n v="3538"/>
    <x v="15"/>
    <s v="Iteration 30"/>
    <d v="2011-09-20T19:22:50"/>
    <x v="5"/>
    <n v="3.1694444444444443"/>
    <n v="0"/>
  </r>
  <r>
    <n v="3542"/>
    <x v="12"/>
    <s v="Iteration 30"/>
    <d v="2011-09-21T12:25:35"/>
    <x v="4"/>
    <n v="3.1666666666666665"/>
    <n v="0"/>
  </r>
  <r>
    <n v="3545"/>
    <x v="8"/>
    <s v="Iteration 30"/>
    <d v="2011-09-20T10:11:40"/>
    <x v="2"/>
    <n v="3.1694444444444443"/>
    <n v="0"/>
  </r>
  <r>
    <n v="3547"/>
    <x v="21"/>
    <s v="Iteration 30"/>
    <d v="2011-09-21T14:44:23"/>
    <x v="16"/>
    <n v="3.1666666666666665"/>
    <n v="0"/>
  </r>
  <r>
    <n v="3551"/>
    <x v="12"/>
    <s v="Iteration 30"/>
    <d v="2011-09-22T10:20:18"/>
    <x v="2"/>
    <n v="3.1638888888888888"/>
    <n v="0"/>
  </r>
  <r>
    <n v="3552"/>
    <x v="8"/>
    <s v="Iteration 30"/>
    <d v="2011-09-20T10:26:14"/>
    <x v="2"/>
    <n v="3.1694444444444443"/>
    <n v="0"/>
  </r>
  <r>
    <n v="3553"/>
    <x v="8"/>
    <s v="Iteration 30"/>
    <d v="2011-09-20T12:29:50"/>
    <x v="2"/>
    <n v="3.1694444444444443"/>
    <n v="0"/>
  </r>
  <r>
    <n v="3554"/>
    <x v="21"/>
    <s v="Iteration 30"/>
    <d v="2011-09-20T21:56:00"/>
    <x v="19"/>
    <n v="3.1694444444444443"/>
    <n v="0"/>
  </r>
  <r>
    <n v="3555"/>
    <x v="12"/>
    <s v="Iteration 30"/>
    <d v="2011-09-21T14:07:53"/>
    <x v="15"/>
    <n v="3.1666666666666665"/>
    <n v="0"/>
  </r>
  <r>
    <n v="3557"/>
    <x v="12"/>
    <s v="Iteration 30"/>
    <d v="2011-09-21T16:27:21"/>
    <x v="2"/>
    <n v="3.1666666666666665"/>
    <n v="0"/>
  </r>
  <r>
    <n v="3560"/>
    <x v="3"/>
    <s v="Iteration 30"/>
    <d v="2011-09-19T18:49:20"/>
    <x v="19"/>
    <n v="3.1722222222222221"/>
    <n v="0"/>
  </r>
  <r>
    <n v="3561"/>
    <x v="12"/>
    <s v="Iteration 30"/>
    <d v="2011-09-21T12:35:16"/>
    <x v="2"/>
    <n v="3.1666666666666665"/>
    <n v="0"/>
  </r>
  <r>
    <n v="3563"/>
    <x v="51"/>
    <s v="Iteration 30"/>
    <d v="2011-09-19T20:10:25"/>
    <x v="10"/>
    <n v="3.1722222222222221"/>
    <n v="0"/>
  </r>
  <r>
    <n v="3564"/>
    <x v="12"/>
    <s v="Iteration 30"/>
    <d v="2011-09-20T16:34:22"/>
    <x v="15"/>
    <n v="3.1694444444444443"/>
    <n v="0"/>
  </r>
  <r>
    <n v="3566"/>
    <x v="15"/>
    <s v="Iteration 30"/>
    <d v="2011-09-20T09:56:43"/>
    <x v="20"/>
    <n v="3.1694444444444443"/>
    <n v="0"/>
  </r>
  <r>
    <n v="3568"/>
    <x v="12"/>
    <s v="Iteration 30"/>
    <d v="2011-09-20T14:05:55"/>
    <x v="2"/>
    <n v="3.1694444444444443"/>
    <n v="0"/>
  </r>
  <r>
    <n v="3569"/>
    <x v="15"/>
    <s v="Iteration 30"/>
    <d v="2011-09-21T17:01:29"/>
    <x v="4"/>
    <n v="3.1666666666666665"/>
    <n v="0"/>
  </r>
  <r>
    <n v="3571"/>
    <x v="12"/>
    <s v="Iteration 30"/>
    <d v="2011-09-20T22:26:54"/>
    <x v="7"/>
    <n v="3.1694444444444443"/>
    <n v="0"/>
  </r>
  <r>
    <n v="3572"/>
    <x v="4"/>
    <s v="Release 2.0"/>
    <d v="2012-01-10T17:09:37"/>
    <x v="5"/>
    <n v="2.8638888888888889"/>
    <n v="0"/>
  </r>
  <r>
    <n v="3574"/>
    <x v="11"/>
    <s v="Iteration 30"/>
    <d v="2011-09-19T15:32:28"/>
    <x v="20"/>
    <n v="3.1722222222222221"/>
    <n v="0"/>
  </r>
  <r>
    <n v="3576"/>
    <x v="21"/>
    <s v="Iteration 30"/>
    <d v="2011-09-21T16:36:50"/>
    <x v="7"/>
    <n v="3.1666666666666665"/>
    <n v="0"/>
  </r>
  <r>
    <n v="3577"/>
    <x v="27"/>
    <s v="Iteration 30"/>
    <d v="2011-09-20T15:37:58"/>
    <x v="19"/>
    <n v="3.1694444444444443"/>
    <n v="0"/>
  </r>
  <r>
    <n v="3578"/>
    <x v="27"/>
    <s v="Iteration 30"/>
    <d v="2011-09-20T19:12:19"/>
    <x v="19"/>
    <n v="3.1694444444444443"/>
    <n v="0"/>
  </r>
  <r>
    <n v="3579"/>
    <x v="27"/>
    <s v="Iteration 30"/>
    <d v="2011-09-20T19:11:31"/>
    <x v="19"/>
    <n v="3.1694444444444443"/>
    <n v="0"/>
  </r>
  <r>
    <n v="3580"/>
    <x v="27"/>
    <s v="Iteration 30"/>
    <d v="2011-09-20T16:39:27"/>
    <x v="19"/>
    <n v="3.1694444444444443"/>
    <n v="0"/>
  </r>
  <r>
    <n v="3581"/>
    <x v="16"/>
    <s v="Iteration 30"/>
    <d v="2011-09-19T18:49:58"/>
    <x v="19"/>
    <n v="3.1722222222222221"/>
    <n v="0"/>
  </r>
  <r>
    <n v="3582"/>
    <x v="15"/>
    <s v="Release 2.0"/>
    <d v="2012-01-10T20:16:42"/>
    <x v="5"/>
    <n v="2.8638888888888889"/>
    <n v="0"/>
  </r>
  <r>
    <n v="3587"/>
    <x v="12"/>
    <s v="Iteration 30"/>
    <d v="2011-09-20T14:54:15"/>
    <x v="2"/>
    <n v="3.1694444444444443"/>
    <n v="0"/>
  </r>
  <r>
    <n v="3590"/>
    <x v="12"/>
    <s v="Iteration 30"/>
    <d v="2011-09-21T15:52:49"/>
    <x v="16"/>
    <n v="3.1666666666666665"/>
    <n v="0"/>
  </r>
  <r>
    <n v="3592"/>
    <x v="15"/>
    <s v="Iteration 30"/>
    <d v="2011-09-21T19:35:26"/>
    <x v="3"/>
    <n v="3.1666666666666665"/>
    <n v="0"/>
  </r>
  <r>
    <n v="3593"/>
    <x v="15"/>
    <s v="Iteration 30"/>
    <d v="2011-09-21T17:06:38"/>
    <x v="7"/>
    <n v="3.1666666666666665"/>
    <n v="0"/>
  </r>
  <r>
    <n v="3594"/>
    <x v="16"/>
    <s v="Iteration 30"/>
    <d v="2011-09-20T15:47:44"/>
    <x v="5"/>
    <n v="3.1694444444444443"/>
    <n v="0"/>
  </r>
  <r>
    <n v="3599"/>
    <x v="23"/>
    <s v="Release 2.0"/>
    <d v="2012-01-10T20:52:28"/>
    <x v="10"/>
    <n v="2.8638888888888889"/>
    <n v="0"/>
  </r>
  <r>
    <n v="3601"/>
    <x v="0"/>
    <s v="Iteration 30"/>
    <d v="2011-09-19T16:44:54"/>
    <x v="23"/>
    <n v="3.1722222222222221"/>
    <n v="0"/>
  </r>
  <r>
    <n v="3604"/>
    <x v="11"/>
    <s v="Iteration 30"/>
    <d v="2011-09-19T14:59:54"/>
    <x v="10"/>
    <n v="3.1722222222222221"/>
    <n v="0"/>
  </r>
  <r>
    <n v="3605"/>
    <x v="12"/>
    <s v="Iteration 30"/>
    <d v="2011-09-20T14:30:57"/>
    <x v="5"/>
    <n v="3.1694444444444443"/>
    <n v="0"/>
  </r>
  <r>
    <n v="3609"/>
    <x v="11"/>
    <s v="Iteration 30"/>
    <d v="2011-09-19T14:10:55"/>
    <x v="10"/>
    <n v="3.1722222222222221"/>
    <n v="0"/>
  </r>
  <r>
    <n v="3610"/>
    <x v="12"/>
    <s v="Iteration 30"/>
    <d v="2011-09-20T18:33:57"/>
    <x v="5"/>
    <n v="3.1694444444444443"/>
    <n v="0"/>
  </r>
  <r>
    <n v="3611"/>
    <x v="16"/>
    <s v="Iteration 30"/>
    <d v="2011-09-19T16:33:46"/>
    <x v="19"/>
    <n v="3.1722222222222221"/>
    <n v="0"/>
  </r>
  <r>
    <n v="3612"/>
    <x v="11"/>
    <s v="Iteration 30"/>
    <d v="2011-09-19T20:10:36"/>
    <x v="19"/>
    <n v="3.1722222222222221"/>
    <n v="0"/>
  </r>
  <r>
    <n v="3613"/>
    <x v="3"/>
    <s v="Iteration 30"/>
    <d v="2011-09-21T15:27:26"/>
    <x v="15"/>
    <n v="3.1666666666666665"/>
    <n v="0"/>
  </r>
  <r>
    <n v="3614"/>
    <x v="3"/>
    <s v="Release 2.0"/>
    <d v="2012-01-11T10:50:12"/>
    <x v="13"/>
    <n v="2.8611111111111112"/>
    <n v="0"/>
  </r>
  <r>
    <n v="3615"/>
    <x v="12"/>
    <s v="Iteration 30"/>
    <d v="2011-09-20T13:05:10"/>
    <x v="2"/>
    <n v="3.1694444444444443"/>
    <n v="0"/>
  </r>
  <r>
    <n v="3616"/>
    <x v="8"/>
    <s v="Iteration 30"/>
    <d v="2011-09-19T18:06:02"/>
    <x v="2"/>
    <n v="3.1722222222222221"/>
    <n v="0"/>
  </r>
  <r>
    <n v="3617"/>
    <x v="6"/>
    <s v="Release 2.0"/>
    <d v="2012-01-12T18:47:23"/>
    <x v="5"/>
    <n v="2.8583333333333334"/>
    <n v="0"/>
  </r>
  <r>
    <n v="3622"/>
    <x v="23"/>
    <s v="Release 2.0"/>
    <d v="2012-01-20T19:51:51"/>
    <x v="10"/>
    <n v="2.8361111111111112"/>
    <n v="0"/>
  </r>
  <r>
    <n v="3628"/>
    <x v="15"/>
    <s v="Iteration 30"/>
    <d v="2011-09-20T16:02:31"/>
    <x v="5"/>
    <n v="3.1694444444444443"/>
    <n v="0"/>
  </r>
  <r>
    <n v="3629"/>
    <x v="21"/>
    <s v="Iteration 30"/>
    <d v="2011-09-21T15:57:33"/>
    <x v="5"/>
    <n v="3.1666666666666665"/>
    <n v="0"/>
  </r>
  <r>
    <n v="3634"/>
    <x v="11"/>
    <s v="Iteration 30"/>
    <d v="2011-09-20T15:24:26"/>
    <x v="5"/>
    <n v="3.1694444444444443"/>
    <n v="0"/>
  </r>
  <r>
    <n v="3636"/>
    <x v="21"/>
    <s v="Iteration 30"/>
    <d v="2011-09-19T14:26:19"/>
    <x v="1"/>
    <n v="3.1722222222222221"/>
    <n v="0"/>
  </r>
  <r>
    <n v="3637"/>
    <x v="17"/>
    <s v="Release 2.4"/>
    <d v="2013-01-25T20:02:31"/>
    <x v="8"/>
    <n v="1.8222222222222222"/>
    <n v="0"/>
  </r>
  <r>
    <n v="3639"/>
    <x v="27"/>
    <s v="Release 2.0"/>
    <d v="2012-01-12T16:38:28"/>
    <x v="19"/>
    <n v="2.8583333333333334"/>
    <n v="0"/>
  </r>
  <r>
    <n v="3640"/>
    <x v="8"/>
    <s v="Iteration 30"/>
    <d v="2011-09-21T20:50:37"/>
    <x v="8"/>
    <n v="3.1666666666666665"/>
    <n v="0"/>
  </r>
  <r>
    <n v="3645"/>
    <x v="21"/>
    <s v="Iteration 30"/>
    <d v="2011-09-20T17:04:31"/>
    <x v="16"/>
    <n v="3.1694444444444443"/>
    <n v="0"/>
  </r>
  <r>
    <n v="3650"/>
    <x v="15"/>
    <s v="Iteration 30"/>
    <d v="2011-09-21T16:46:42"/>
    <x v="4"/>
    <n v="3.1666666666666665"/>
    <n v="0"/>
  </r>
  <r>
    <n v="3652"/>
    <x v="12"/>
    <s v="Iteration 30"/>
    <d v="2011-09-19T21:32:53"/>
    <x v="7"/>
    <n v="3.1722222222222221"/>
    <n v="0"/>
  </r>
  <r>
    <n v="3659"/>
    <x v="14"/>
    <s v="Release 2.0"/>
    <d v="2012-01-10T16:55:41"/>
    <x v="16"/>
    <n v="2.8638888888888889"/>
    <n v="0"/>
  </r>
  <r>
    <n v="3661"/>
    <x v="12"/>
    <s v="Iteration 30"/>
    <d v="2011-09-19T15:52:39"/>
    <x v="5"/>
    <n v="3.1722222222222221"/>
    <n v="0"/>
  </r>
  <r>
    <n v="3662"/>
    <x v="16"/>
    <s v="Iteration 30"/>
    <d v="2011-09-20T17:01:41"/>
    <x v="5"/>
    <n v="3.1694444444444443"/>
    <n v="0"/>
  </r>
  <r>
    <n v="3663"/>
    <x v="14"/>
    <s v="Release 2.1"/>
    <d v="2012-04-30T19:12:44"/>
    <x v="5"/>
    <n v="2.5583333333333331"/>
    <n v="0"/>
  </r>
  <r>
    <n v="3664"/>
    <x v="27"/>
    <s v="Release 2.1"/>
    <d v="2012-05-01T16:49:24"/>
    <x v="9"/>
    <n v="2.5555555555555554"/>
    <n v="0"/>
  </r>
  <r>
    <n v="3665"/>
    <x v="27"/>
    <s v="Release 2.0"/>
    <d v="2012-01-12T14:02:45"/>
    <x v="10"/>
    <n v="2.8583333333333334"/>
    <n v="0"/>
  </r>
  <r>
    <n v="3666"/>
    <x v="27"/>
    <s v="Release 2.1"/>
    <d v="2012-05-02T16:03:07"/>
    <x v="19"/>
    <n v="2.5527777777777776"/>
    <n v="0"/>
  </r>
  <r>
    <n v="3667"/>
    <x v="6"/>
    <s v="Iteration 30"/>
    <d v="2011-09-22T10:11:11"/>
    <x v="18"/>
    <n v="3.1638888888888888"/>
    <n v="0"/>
  </r>
  <r>
    <n v="3668"/>
    <x v="13"/>
    <s v="Release 2.0"/>
    <d v="2012-01-09T14:37:39"/>
    <x v="15"/>
    <n v="2.8666666666666667"/>
    <n v="0"/>
  </r>
  <r>
    <n v="3669"/>
    <x v="12"/>
    <s v="Iteration 30"/>
    <d v="2011-09-19T15:54:22"/>
    <x v="1"/>
    <n v="3.1722222222222221"/>
    <n v="0"/>
  </r>
  <r>
    <n v="3672"/>
    <x v="12"/>
    <s v="Iteration 30"/>
    <d v="2011-09-20T15:16:38"/>
    <x v="2"/>
    <n v="3.1694444444444443"/>
    <n v="0"/>
  </r>
  <r>
    <n v="3673"/>
    <x v="21"/>
    <s v="Iteration 30"/>
    <d v="2011-09-21T22:09:05"/>
    <x v="7"/>
    <n v="3.1666666666666665"/>
    <n v="0"/>
  </r>
  <r>
    <n v="3674"/>
    <x v="21"/>
    <s v="Release 2.2"/>
    <d v="2012-08-08T19:56:04"/>
    <x v="16"/>
    <n v="2.286111111111111"/>
    <n v="0"/>
  </r>
  <r>
    <n v="3675"/>
    <x v="18"/>
    <s v="Iteration 30"/>
    <d v="2011-09-21T21:51:43"/>
    <x v="8"/>
    <n v="3.1666666666666665"/>
    <n v="0"/>
  </r>
  <r>
    <n v="3676"/>
    <x v="3"/>
    <s v="Iteration 30"/>
    <d v="2011-09-21T16:22:13"/>
    <x v="7"/>
    <n v="3.1666666666666665"/>
    <n v="0"/>
  </r>
  <r>
    <n v="3679"/>
    <x v="15"/>
    <s v="Iteration 30"/>
    <d v="2011-09-20T15:43:41"/>
    <x v="5"/>
    <n v="3.1694444444444443"/>
    <n v="0"/>
  </r>
  <r>
    <n v="3680"/>
    <x v="3"/>
    <s v="Iteration 30"/>
    <d v="2011-09-08T16:48:01"/>
    <x v="9"/>
    <n v="3.2027777777777779"/>
    <n v="0"/>
  </r>
  <r>
    <n v="3682"/>
    <x v="21"/>
    <s v="Iteration 30"/>
    <d v="2011-09-21T09:53:17"/>
    <x v="1"/>
    <n v="3.1666666666666665"/>
    <n v="0"/>
  </r>
  <r>
    <n v="3686"/>
    <x v="21"/>
    <s v="Release 2.0"/>
    <d v="2012-01-18T16:34:39"/>
    <x v="24"/>
    <n v="2.8416666666666668"/>
    <n v="0"/>
  </r>
  <r>
    <n v="3691"/>
    <x v="4"/>
    <s v="Release 2.0"/>
    <d v="2012-01-09T21:33:06"/>
    <x v="5"/>
    <n v="2.8666666666666667"/>
    <n v="0"/>
  </r>
  <r>
    <n v="3692"/>
    <x v="17"/>
    <s v="Release 2.5"/>
    <d v="2013-05-16T22:38:11"/>
    <x v="12"/>
    <n v="1.5138888888888888"/>
    <n v="0"/>
  </r>
  <r>
    <n v="3696"/>
    <x v="23"/>
    <s v="Release 2.0"/>
    <d v="2012-01-10T13:17:09"/>
    <x v="10"/>
    <n v="2.8638888888888889"/>
    <n v="0"/>
  </r>
  <r>
    <n v="3698"/>
    <x v="0"/>
    <s v="Iteration 30"/>
    <d v="2011-09-20T15:01:17"/>
    <x v="1"/>
    <n v="3.1694444444444443"/>
    <n v="0"/>
  </r>
  <r>
    <n v="3699"/>
    <x v="14"/>
    <s v="Release 2.0"/>
    <d v="2012-01-10T22:11:06"/>
    <x v="16"/>
    <n v="2.8638888888888889"/>
    <n v="0"/>
  </r>
  <r>
    <n v="3704"/>
    <x v="21"/>
    <s v="Release 2.0"/>
    <d v="2012-01-12T19:12:09"/>
    <x v="19"/>
    <n v="2.8583333333333334"/>
    <n v="0"/>
  </r>
  <r>
    <n v="3705"/>
    <x v="21"/>
    <s v="Release 2.0"/>
    <d v="2012-01-13T19:55:46"/>
    <x v="24"/>
    <n v="2.8555555555555556"/>
    <n v="0"/>
  </r>
  <r>
    <n v="3706"/>
    <x v="12"/>
    <s v="Iteration 30"/>
    <d v="2011-09-19T18:51:29"/>
    <x v="10"/>
    <n v="3.1722222222222221"/>
    <n v="0"/>
  </r>
  <r>
    <n v="3707"/>
    <x v="15"/>
    <s v="Iteration 30"/>
    <d v="2011-09-21T16:50:04"/>
    <x v="7"/>
    <n v="3.1666666666666665"/>
    <n v="0"/>
  </r>
  <r>
    <n v="3714"/>
    <x v="16"/>
    <s v="Iteration 30"/>
    <d v="2011-09-20T15:46:31"/>
    <x v="5"/>
    <n v="3.1694444444444443"/>
    <n v="0"/>
  </r>
  <r>
    <n v="3715"/>
    <x v="16"/>
    <s v="Release 2.0"/>
    <d v="2012-01-09T22:09:10"/>
    <x v="5"/>
    <n v="2.8666666666666667"/>
    <n v="0"/>
  </r>
  <r>
    <n v="3717"/>
    <x v="0"/>
    <s v="Iteration 30"/>
    <d v="2011-09-19T19:38:12"/>
    <x v="19"/>
    <n v="3.1722222222222221"/>
    <n v="0"/>
  </r>
  <r>
    <n v="3719"/>
    <x v="0"/>
    <s v="Iteration 30"/>
    <d v="2011-09-20T15:23:04"/>
    <x v="4"/>
    <n v="3.1694444444444443"/>
    <n v="0"/>
  </r>
  <r>
    <n v="3721"/>
    <x v="21"/>
    <s v="Iteration 30"/>
    <d v="2011-09-19T20:26:32"/>
    <x v="19"/>
    <n v="3.1722222222222221"/>
    <n v="0"/>
  </r>
  <r>
    <n v="3722"/>
    <x v="16"/>
    <s v="Iteration 30"/>
    <d v="2011-09-20T20:08:20"/>
    <x v="19"/>
    <n v="3.1694444444444443"/>
    <n v="0"/>
  </r>
  <r>
    <n v="3723"/>
    <x v="12"/>
    <s v="Iteration 30"/>
    <d v="2011-09-19T11:45:56"/>
    <x v="11"/>
    <n v="3.1722222222222221"/>
    <n v="0"/>
  </r>
  <r>
    <n v="3726"/>
    <x v="30"/>
    <s v="Release 3.0"/>
    <d v="2013-10-11T15:20:44"/>
    <x v="18"/>
    <n v="1.1111111111111112"/>
    <n v="0"/>
  </r>
  <r>
    <n v="3735"/>
    <x v="4"/>
    <s v="Iteration 30"/>
    <d v="2011-09-19T16:41:21"/>
    <x v="23"/>
    <n v="3.1722222222222221"/>
    <n v="0"/>
  </r>
  <r>
    <n v="3736"/>
    <x v="4"/>
    <s v="Release 2.0"/>
    <d v="2012-01-11T17:17:59"/>
    <x v="17"/>
    <n v="2.8611111111111112"/>
    <n v="0"/>
  </r>
  <r>
    <n v="3743"/>
    <x v="0"/>
    <s v="Iteration 30"/>
    <d v="2011-09-19T19:27:07"/>
    <x v="3"/>
    <n v="3.1722222222222221"/>
    <n v="0"/>
  </r>
  <r>
    <n v="3750"/>
    <x v="0"/>
    <s v="Release 2.0"/>
    <d v="2012-01-10T15:42:50"/>
    <x v="5"/>
    <n v="2.8638888888888889"/>
    <n v="0"/>
  </r>
  <r>
    <n v="3755"/>
    <x v="8"/>
    <s v="Release 2.0"/>
    <d v="2012-01-09T16:47:37"/>
    <x v="2"/>
    <n v="2.8666666666666667"/>
    <n v="0"/>
  </r>
  <r>
    <n v="3756"/>
    <x v="8"/>
    <s v="Release 2.0"/>
    <d v="2012-01-13T15:54:28"/>
    <x v="2"/>
    <n v="2.8555555555555556"/>
    <n v="0"/>
  </r>
  <r>
    <n v="3759"/>
    <x v="15"/>
    <s v="Iteration 30"/>
    <d v="2011-09-21T21:00:18"/>
    <x v="7"/>
    <n v="3.1666666666666665"/>
    <n v="0"/>
  </r>
  <r>
    <n v="3761"/>
    <x v="19"/>
    <s v="Release 2.0"/>
    <d v="2012-01-12T02:05:42"/>
    <x v="9"/>
    <n v="2.8583333333333334"/>
    <n v="0"/>
  </r>
  <r>
    <n v="3765"/>
    <x v="12"/>
    <s v="Release 2.0"/>
    <d v="2012-01-12T18:59:00"/>
    <x v="7"/>
    <n v="2.8583333333333334"/>
    <n v="0"/>
  </r>
  <r>
    <n v="3766"/>
    <x v="19"/>
    <s v="Release 2.0"/>
    <d v="2012-01-12T01:44:05"/>
    <x v="9"/>
    <n v="2.8583333333333334"/>
    <n v="0"/>
  </r>
  <r>
    <n v="3770"/>
    <x v="12"/>
    <s v="Release 2.0"/>
    <d v="2012-01-09T15:59:07"/>
    <x v="10"/>
    <n v="2.8666666666666667"/>
    <n v="0"/>
  </r>
  <r>
    <n v="3772"/>
    <x v="12"/>
    <s v="Release 2.0"/>
    <d v="2012-01-11T17:17:53"/>
    <x v="9"/>
    <n v="2.8611111111111112"/>
    <n v="0"/>
  </r>
  <r>
    <n v="3773"/>
    <x v="12"/>
    <s v="Release 2.0"/>
    <d v="2012-01-11T15:36:46"/>
    <x v="2"/>
    <n v="2.8611111111111112"/>
    <n v="0"/>
  </r>
  <r>
    <n v="3779"/>
    <x v="13"/>
    <s v="Release 2.0"/>
    <d v="2012-01-09T10:37:10"/>
    <x v="13"/>
    <n v="2.8666666666666667"/>
    <n v="0"/>
  </r>
  <r>
    <n v="3786"/>
    <x v="12"/>
    <s v="Release 2.0"/>
    <d v="2012-01-12T14:15:57"/>
    <x v="15"/>
    <n v="2.8583333333333334"/>
    <n v="0"/>
  </r>
  <r>
    <n v="3788"/>
    <x v="13"/>
    <s v="Release 2.0"/>
    <d v="2012-01-11T08:34:28"/>
    <x v="13"/>
    <n v="2.8611111111111112"/>
    <n v="0"/>
  </r>
  <r>
    <n v="3789"/>
    <x v="13"/>
    <s v="Release 2.0"/>
    <d v="2012-01-11T08:37:30"/>
    <x v="13"/>
    <n v="2.8611111111111112"/>
    <n v="0"/>
  </r>
  <r>
    <n v="3791"/>
    <x v="10"/>
    <s v="Iteration 30"/>
    <d v="2011-09-21T15:54:29"/>
    <x v="7"/>
    <n v="3.1666666666666665"/>
    <n v="0"/>
  </r>
  <r>
    <n v="3792"/>
    <x v="12"/>
    <s v="Release 2.0"/>
    <d v="2011-09-21T16:52:20"/>
    <x v="2"/>
    <n v="3.1666666666666665"/>
    <n v="0"/>
  </r>
  <r>
    <n v="3796"/>
    <x v="15"/>
    <s v="Iteration 30"/>
    <d v="2011-09-22T18:40:51"/>
    <x v="3"/>
    <n v="3.1638888888888888"/>
    <n v="0"/>
  </r>
  <r>
    <n v="3797"/>
    <x v="12"/>
    <s v="Release 2.0"/>
    <d v="2012-01-09T16:24:12"/>
    <x v="2"/>
    <n v="2.8666666666666667"/>
    <n v="0"/>
  </r>
  <r>
    <n v="3798"/>
    <x v="18"/>
    <s v="Release 2.0"/>
    <d v="2012-01-09T18:46:19"/>
    <x v="9"/>
    <n v="2.8666666666666667"/>
    <n v="0"/>
  </r>
  <r>
    <n v="3799"/>
    <x v="15"/>
    <s v="Release 2.0"/>
    <d v="2012-02-02T17:06:16"/>
    <x v="8"/>
    <n v="2.8027777777777776"/>
    <n v="0"/>
  </r>
  <r>
    <n v="3800"/>
    <x v="15"/>
    <s v="Release 2.0"/>
    <d v="2012-01-12T09:23:52"/>
    <x v="13"/>
    <n v="2.8583333333333334"/>
    <n v="0"/>
  </r>
  <r>
    <n v="3803"/>
    <x v="13"/>
    <s v="Release 2.1"/>
    <d v="2012-04-30T14:01:50"/>
    <x v="13"/>
    <n v="2.5583333333333331"/>
    <n v="0"/>
  </r>
  <r>
    <n v="3810"/>
    <x v="4"/>
    <s v="Release 2.0"/>
    <d v="2012-01-11T10:36:31"/>
    <x v="18"/>
    <n v="2.8611111111111112"/>
    <n v="0"/>
  </r>
  <r>
    <n v="3819"/>
    <x v="24"/>
    <s v="Release 3.0"/>
    <d v="2013-09-06T14:25:18"/>
    <x v="18"/>
    <n v="1.2083333333333333"/>
    <n v="0"/>
  </r>
  <r>
    <n v="3835"/>
    <x v="13"/>
    <s v="Release 2.0"/>
    <d v="2012-01-10T18:49:49"/>
    <x v="35"/>
    <n v="2.8638888888888889"/>
    <n v="0"/>
  </r>
  <r>
    <n v="3836"/>
    <x v="3"/>
    <s v="Release 2.0"/>
    <d v="2012-01-11T22:10:03"/>
    <x v="5"/>
    <n v="2.8611111111111112"/>
    <n v="0"/>
  </r>
  <r>
    <n v="3838"/>
    <x v="16"/>
    <s v="Release 2.0"/>
    <d v="2012-01-10T20:10:09"/>
    <x v="5"/>
    <n v="2.8638888888888889"/>
    <n v="0"/>
  </r>
  <r>
    <n v="3840"/>
    <x v="16"/>
    <s v="Release 2.0"/>
    <d v="2012-01-09T16:26:11"/>
    <x v="5"/>
    <n v="2.8666666666666667"/>
    <n v="0"/>
  </r>
  <r>
    <n v="3841"/>
    <x v="15"/>
    <s v="Release 2.0"/>
    <d v="2012-01-13T13:44:39"/>
    <x v="15"/>
    <n v="2.8555555555555556"/>
    <n v="0"/>
  </r>
  <r>
    <n v="3842"/>
    <x v="12"/>
    <s v="Release 2.0"/>
    <d v="2012-01-09T15:52:48"/>
    <x v="5"/>
    <n v="2.8666666666666667"/>
    <n v="0"/>
  </r>
  <r>
    <n v="3843"/>
    <x v="21"/>
    <s v="Release 2.0"/>
    <d v="2011-09-30T14:25:12"/>
    <x v="3"/>
    <n v="3.1416666666666666"/>
    <n v="0"/>
  </r>
  <r>
    <n v="3844"/>
    <x v="12"/>
    <s v="Release 2.0"/>
    <d v="2012-01-10T09:58:36"/>
    <x v="2"/>
    <n v="2.8638888888888889"/>
    <n v="0"/>
  </r>
  <r>
    <n v="3845"/>
    <x v="8"/>
    <s v="Release 2.0"/>
    <d v="2012-01-10T11:37:19"/>
    <x v="2"/>
    <n v="2.8638888888888889"/>
    <n v="0"/>
  </r>
  <r>
    <n v="3848"/>
    <x v="12"/>
    <s v="Release 2.0"/>
    <d v="2012-01-11T20:17:55"/>
    <x v="5"/>
    <n v="2.8611111111111112"/>
    <n v="0"/>
  </r>
  <r>
    <n v="3850"/>
    <x v="12"/>
    <s v="Release 2.0"/>
    <d v="2012-01-12T16:10:00"/>
    <x v="2"/>
    <n v="2.8583333333333334"/>
    <n v="0"/>
  </r>
  <r>
    <n v="3851"/>
    <x v="11"/>
    <s v="Release 2.0"/>
    <d v="2012-01-12T18:17:17"/>
    <x v="24"/>
    <n v="2.8583333333333334"/>
    <n v="0"/>
  </r>
  <r>
    <n v="3852"/>
    <x v="0"/>
    <s v="Release 2.0"/>
    <d v="2012-01-12T21:47:58"/>
    <x v="8"/>
    <n v="2.8583333333333334"/>
    <n v="0"/>
  </r>
  <r>
    <n v="3854"/>
    <x v="21"/>
    <s v="Release 2.0"/>
    <d v="2012-01-13T15:08:24"/>
    <x v="19"/>
    <n v="2.8555555555555556"/>
    <n v="0"/>
  </r>
  <r>
    <n v="3858"/>
    <x v="16"/>
    <s v="Release 2.0"/>
    <d v="2012-01-09T15:57:53"/>
    <x v="5"/>
    <n v="2.8666666666666667"/>
    <n v="0"/>
  </r>
  <r>
    <n v="3860"/>
    <x v="16"/>
    <s v="Release 2.0"/>
    <d v="2012-01-09T21:43:44"/>
    <x v="5"/>
    <n v="2.8666666666666667"/>
    <n v="0"/>
  </r>
  <r>
    <n v="3861"/>
    <x v="12"/>
    <s v="Release 2.0"/>
    <d v="2012-01-09T16:43:24"/>
    <x v="2"/>
    <n v="2.8666666666666667"/>
    <n v="0"/>
  </r>
  <r>
    <n v="3869"/>
    <x v="15"/>
    <s v="Release 2.0"/>
    <d v="2012-01-10T15:51:54"/>
    <x v="5"/>
    <n v="2.8638888888888889"/>
    <n v="0"/>
  </r>
  <r>
    <n v="3871"/>
    <x v="12"/>
    <s v="Release 2.0"/>
    <d v="2012-01-12T15:25:51"/>
    <x v="35"/>
    <n v="2.8583333333333334"/>
    <n v="0"/>
  </r>
  <r>
    <n v="3874"/>
    <x v="3"/>
    <s v="Release 2.0"/>
    <d v="2012-01-12T11:41:02"/>
    <x v="18"/>
    <n v="2.8583333333333334"/>
    <n v="0"/>
  </r>
  <r>
    <n v="3877"/>
    <x v="3"/>
    <s v="Release 2.0"/>
    <d v="2012-01-09T11:22:50"/>
    <x v="11"/>
    <n v="2.8666666666666667"/>
    <n v="0"/>
  </r>
  <r>
    <n v="3879"/>
    <x v="3"/>
    <s v="Release 2.0"/>
    <d v="2012-01-10T15:36:27"/>
    <x v="13"/>
    <n v="2.8638888888888889"/>
    <n v="0"/>
  </r>
  <r>
    <n v="3881"/>
    <x v="21"/>
    <s v="Release 2.0"/>
    <d v="2012-01-10T19:01:36"/>
    <x v="16"/>
    <n v="2.8638888888888889"/>
    <n v="0"/>
  </r>
  <r>
    <n v="3885"/>
    <x v="15"/>
    <s v="Release 2.0"/>
    <d v="2012-01-10T20:13:19"/>
    <x v="5"/>
    <n v="2.8638888888888889"/>
    <n v="0"/>
  </r>
  <r>
    <n v="3886"/>
    <x v="3"/>
    <s v="Release 2.0"/>
    <d v="2012-01-13T10:19:57"/>
    <x v="11"/>
    <n v="2.8555555555555556"/>
    <n v="0"/>
  </r>
  <r>
    <n v="3888"/>
    <x v="11"/>
    <s v="Release 2.0"/>
    <d v="2012-01-09T22:16:31"/>
    <x v="16"/>
    <n v="2.8666666666666667"/>
    <n v="0"/>
  </r>
  <r>
    <n v="3889"/>
    <x v="23"/>
    <s v="Release 2.0"/>
    <d v="2012-01-09T21:22:09"/>
    <x v="10"/>
    <n v="2.8666666666666667"/>
    <n v="0"/>
  </r>
  <r>
    <n v="3890"/>
    <x v="11"/>
    <s v="Release 2.1"/>
    <d v="2012-05-04T16:52:49"/>
    <x v="19"/>
    <n v="2.5472222222222221"/>
    <n v="0"/>
  </r>
  <r>
    <n v="3891"/>
    <x v="4"/>
    <s v="Release 2.0"/>
    <d v="2012-01-10T10:45:38"/>
    <x v="11"/>
    <n v="2.8638888888888889"/>
    <n v="0"/>
  </r>
  <r>
    <n v="3892"/>
    <x v="6"/>
    <s v="Release 2.0"/>
    <d v="2012-01-11T11:00:40"/>
    <x v="11"/>
    <n v="2.8611111111111112"/>
    <n v="0"/>
  </r>
  <r>
    <n v="3893"/>
    <x v="18"/>
    <s v="Release 2.0"/>
    <d v="2012-01-10T19:38:57"/>
    <x v="9"/>
    <n v="2.8638888888888889"/>
    <n v="0"/>
  </r>
  <r>
    <n v="3896"/>
    <x v="12"/>
    <s v="Release 2.0"/>
    <d v="2014-01-07T11:01:20"/>
    <x v="10"/>
    <n v="0.87222222222222223"/>
    <n v="1"/>
  </r>
  <r>
    <n v="3897"/>
    <x v="23"/>
    <s v="Release 2.0"/>
    <d v="2012-01-12T16:58:56"/>
    <x v="35"/>
    <n v="2.8583333333333334"/>
    <n v="0"/>
  </r>
  <r>
    <n v="3898"/>
    <x v="3"/>
    <s v="Release 2.0"/>
    <d v="2012-01-12T21:37:18"/>
    <x v="8"/>
    <n v="2.8583333333333334"/>
    <n v="0"/>
  </r>
  <r>
    <n v="3899"/>
    <x v="21"/>
    <s v="Release 2.0"/>
    <d v="2012-01-13T15:36:35"/>
    <x v="35"/>
    <n v="2.8555555555555556"/>
    <n v="0"/>
  </r>
  <r>
    <n v="3900"/>
    <x v="17"/>
    <s v="Release 2.0"/>
    <d v="2012-01-09T13:14:47"/>
    <x v="10"/>
    <n v="2.8666666666666667"/>
    <n v="0"/>
  </r>
  <r>
    <n v="3901"/>
    <x v="12"/>
    <s v="Release 2.0"/>
    <d v="2012-01-10T20:18:26"/>
    <x v="16"/>
    <n v="2.8638888888888889"/>
    <n v="0"/>
  </r>
  <r>
    <n v="3905"/>
    <x v="12"/>
    <s v="Release 2.0"/>
    <d v="2012-01-11T13:42:05"/>
    <x v="10"/>
    <n v="2.8611111111111112"/>
    <n v="0"/>
  </r>
  <r>
    <n v="3916"/>
    <x v="16"/>
    <s v="Release 2.0"/>
    <d v="2012-01-10T17:05:09"/>
    <x v="5"/>
    <n v="2.8638888888888889"/>
    <n v="0"/>
  </r>
  <r>
    <n v="3917"/>
    <x v="12"/>
    <s v="Release 2.0"/>
    <d v="2012-01-10T10:34:01"/>
    <x v="2"/>
    <n v="2.8638888888888889"/>
    <n v="0"/>
  </r>
  <r>
    <n v="3918"/>
    <x v="8"/>
    <s v="Release 2.0"/>
    <d v="2012-01-09T11:36:19"/>
    <x v="2"/>
    <n v="2.8666666666666667"/>
    <n v="0"/>
  </r>
  <r>
    <n v="3919"/>
    <x v="8"/>
    <s v="Release 2.0"/>
    <d v="2012-01-11T17:13:01"/>
    <x v="2"/>
    <n v="2.8611111111111112"/>
    <n v="0"/>
  </r>
  <r>
    <n v="3921"/>
    <x v="12"/>
    <s v="Release 2.0"/>
    <d v="2012-01-11T11:24:59"/>
    <x v="11"/>
    <n v="2.8611111111111112"/>
    <n v="0"/>
  </r>
  <r>
    <n v="3922"/>
    <x v="12"/>
    <s v="Release 2.0"/>
    <d v="2012-01-09T20:41:47"/>
    <x v="10"/>
    <n v="2.8666666666666667"/>
    <n v="0"/>
  </r>
  <r>
    <n v="3923"/>
    <x v="3"/>
    <s v="Release 2.0"/>
    <d v="2012-01-12T20:34:46"/>
    <x v="7"/>
    <n v="2.8583333333333334"/>
    <n v="0"/>
  </r>
  <r>
    <n v="3924"/>
    <x v="21"/>
    <s v="Release 2.0"/>
    <d v="2012-01-10T18:45:58"/>
    <x v="16"/>
    <n v="2.8638888888888889"/>
    <n v="0"/>
  </r>
  <r>
    <n v="3926"/>
    <x v="18"/>
    <s v="Release 2.0"/>
    <d v="2012-01-13T15:38:18"/>
    <x v="5"/>
    <n v="2.8555555555555556"/>
    <n v="0"/>
  </r>
  <r>
    <n v="3927"/>
    <x v="12"/>
    <s v="Release 2.0"/>
    <d v="2012-01-09T16:18:10"/>
    <x v="2"/>
    <n v="2.8666666666666667"/>
    <n v="0"/>
  </r>
  <r>
    <n v="3929"/>
    <x v="8"/>
    <s v="Release 2.0"/>
    <d v="2012-01-12T11:27:23"/>
    <x v="2"/>
    <n v="2.8583333333333334"/>
    <n v="0"/>
  </r>
  <r>
    <n v="3930"/>
    <x v="12"/>
    <s v="Release 2.0"/>
    <d v="2012-01-10T12:12:01"/>
    <x v="2"/>
    <n v="2.8638888888888889"/>
    <n v="0"/>
  </r>
  <r>
    <n v="3931"/>
    <x v="21"/>
    <s v="Release 2.0"/>
    <d v="2012-01-13T17:07:41"/>
    <x v="44"/>
    <n v="2.8555555555555556"/>
    <n v="0"/>
  </r>
  <r>
    <n v="3932"/>
    <x v="21"/>
    <s v="Release 2.0"/>
    <d v="2012-01-11T17:48:38"/>
    <x v="35"/>
    <n v="2.8611111111111112"/>
    <n v="0"/>
  </r>
  <r>
    <n v="3933"/>
    <x v="4"/>
    <s v="Release 2.0"/>
    <d v="2012-01-12T17:24:51"/>
    <x v="7"/>
    <n v="2.8583333333333334"/>
    <n v="0"/>
  </r>
  <r>
    <n v="3934"/>
    <x v="12"/>
    <s v="Release 2.0"/>
    <d v="2012-01-10T11:35:41"/>
    <x v="2"/>
    <n v="2.8638888888888889"/>
    <n v="0"/>
  </r>
  <r>
    <n v="3935"/>
    <x v="23"/>
    <s v="Release 2.0"/>
    <d v="2012-01-09T14:31:32"/>
    <x v="10"/>
    <n v="2.8666666666666667"/>
    <n v="0"/>
  </r>
  <r>
    <n v="3936"/>
    <x v="14"/>
    <s v="Release 2.0"/>
    <d v="2012-01-09T11:54:18"/>
    <x v="11"/>
    <n v="2.8666666666666667"/>
    <n v="0"/>
  </r>
  <r>
    <n v="3937"/>
    <x v="15"/>
    <s v="Release 2.0"/>
    <d v="2012-01-12T00:56:03"/>
    <x v="9"/>
    <n v="2.8583333333333334"/>
    <n v="0"/>
  </r>
  <r>
    <n v="3939"/>
    <x v="8"/>
    <s v="Release 2.0"/>
    <d v="2012-01-10T10:10:26"/>
    <x v="2"/>
    <n v="2.8638888888888889"/>
    <n v="0"/>
  </r>
  <r>
    <n v="3940"/>
    <x v="8"/>
    <s v="Release 2.0"/>
    <d v="2012-01-12T11:34:37"/>
    <x v="2"/>
    <n v="2.8583333333333334"/>
    <n v="0"/>
  </r>
  <r>
    <n v="3941"/>
    <x v="8"/>
    <s v="Release 2.0"/>
    <d v="2012-01-11T13:44:51"/>
    <x v="15"/>
    <n v="2.8611111111111112"/>
    <n v="0"/>
  </r>
  <r>
    <n v="3943"/>
    <x v="14"/>
    <s v="Release 2.0"/>
    <d v="2012-01-10T16:55:19"/>
    <x v="5"/>
    <n v="2.8638888888888889"/>
    <n v="0"/>
  </r>
  <r>
    <n v="3948"/>
    <x v="21"/>
    <s v="Release 2.0"/>
    <d v="2012-01-11T16:25:09"/>
    <x v="16"/>
    <n v="2.8611111111111112"/>
    <n v="0"/>
  </r>
  <r>
    <n v="3949"/>
    <x v="15"/>
    <s v="Release 2.0"/>
    <d v="2012-01-10T20:12:08"/>
    <x v="5"/>
    <n v="2.8638888888888889"/>
    <n v="0"/>
  </r>
  <r>
    <n v="3950"/>
    <x v="15"/>
    <s v="Release 2.0"/>
    <d v="2012-01-10T20:30:29"/>
    <x v="5"/>
    <n v="2.8638888888888889"/>
    <n v="0"/>
  </r>
  <r>
    <n v="3951"/>
    <x v="15"/>
    <s v="Release 2.0"/>
    <d v="2012-01-12T10:31:51"/>
    <x v="13"/>
    <n v="2.8583333333333334"/>
    <n v="0"/>
  </r>
  <r>
    <n v="3954"/>
    <x v="16"/>
    <s v="Release 2.0"/>
    <d v="2012-01-12T22:03:11"/>
    <x v="5"/>
    <n v="2.8583333333333334"/>
    <n v="0"/>
  </r>
  <r>
    <n v="3955"/>
    <x v="23"/>
    <s v="Release 2.0"/>
    <d v="2012-01-09T13:33:45"/>
    <x v="10"/>
    <n v="2.8666666666666667"/>
    <n v="0"/>
  </r>
  <r>
    <n v="3956"/>
    <x v="23"/>
    <s v="Release 2.0"/>
    <d v="2012-01-09T16:17:52"/>
    <x v="10"/>
    <n v="2.8666666666666667"/>
    <n v="0"/>
  </r>
  <r>
    <n v="3957"/>
    <x v="3"/>
    <s v="Release 2.0"/>
    <d v="2012-01-13T13:43:35"/>
    <x v="17"/>
    <n v="2.8555555555555556"/>
    <n v="0"/>
  </r>
  <r>
    <n v="3958"/>
    <x v="8"/>
    <s v="Release 2.0"/>
    <d v="2012-01-12T11:28:36"/>
    <x v="2"/>
    <n v="2.8583333333333334"/>
    <n v="0"/>
  </r>
  <r>
    <n v="3959"/>
    <x v="8"/>
    <s v="Release 2.0"/>
    <d v="2012-01-12T11:42:11"/>
    <x v="2"/>
    <n v="2.8583333333333334"/>
    <n v="0"/>
  </r>
  <r>
    <n v="3963"/>
    <x v="15"/>
    <s v="Release 2.0"/>
    <d v="2012-01-13T10:55:03"/>
    <x v="13"/>
    <n v="2.8555555555555556"/>
    <n v="0"/>
  </r>
  <r>
    <n v="3965"/>
    <x v="13"/>
    <s v="Release 2.0"/>
    <d v="2012-01-10T14:03:10"/>
    <x v="13"/>
    <n v="2.8638888888888889"/>
    <n v="0"/>
  </r>
  <r>
    <n v="3967"/>
    <x v="12"/>
    <s v="Release 2.0"/>
    <d v="2012-01-09T16:41:46"/>
    <x v="10"/>
    <n v="2.8666666666666667"/>
    <n v="0"/>
  </r>
  <r>
    <n v="3968"/>
    <x v="6"/>
    <s v="Release 2.0"/>
    <d v="2012-01-13T14:21:18"/>
    <x v="11"/>
    <n v="2.8555555555555556"/>
    <n v="0"/>
  </r>
  <r>
    <n v="3969"/>
    <x v="21"/>
    <s v="Release 2.0"/>
    <d v="2012-01-12T16:59:47"/>
    <x v="19"/>
    <n v="2.8583333333333334"/>
    <n v="0"/>
  </r>
  <r>
    <n v="3971"/>
    <x v="17"/>
    <s v="Release 2.1"/>
    <d v="2012-05-01T11:14:16"/>
    <x v="15"/>
    <n v="2.5555555555555554"/>
    <n v="0"/>
  </r>
  <r>
    <n v="3974"/>
    <x v="15"/>
    <s v="Release 2.0"/>
    <d v="2012-01-13T11:49:07"/>
    <x v="13"/>
    <n v="2.8555555555555556"/>
    <n v="0"/>
  </r>
  <r>
    <n v="3975"/>
    <x v="6"/>
    <s v="Release 2.0"/>
    <d v="2012-02-01T11:42:54"/>
    <x v="11"/>
    <n v="2.8055555555555554"/>
    <n v="0"/>
  </r>
  <r>
    <n v="3978"/>
    <x v="12"/>
    <s v="Release 2.0"/>
    <d v="2012-01-09T16:03:52"/>
    <x v="11"/>
    <n v="2.8666666666666667"/>
    <n v="0"/>
  </r>
  <r>
    <n v="3979"/>
    <x v="13"/>
    <s v="Release 2.0"/>
    <d v="2012-01-11T10:52:28"/>
    <x v="13"/>
    <n v="2.8611111111111112"/>
    <n v="0"/>
  </r>
  <r>
    <n v="3981"/>
    <x v="13"/>
    <s v="Release 2.0"/>
    <d v="2012-01-10T16:01:13"/>
    <x v="13"/>
    <n v="2.8638888888888889"/>
    <n v="0"/>
  </r>
  <r>
    <n v="3984"/>
    <x v="12"/>
    <s v="Release 2.0"/>
    <d v="2012-01-10T21:48:06"/>
    <x v="9"/>
    <n v="2.8638888888888889"/>
    <n v="0"/>
  </r>
  <r>
    <n v="3985"/>
    <x v="13"/>
    <s v="Release 2.2"/>
    <d v="2012-08-06T16:27:47"/>
    <x v="15"/>
    <n v="2.2916666666666665"/>
    <n v="0"/>
  </r>
  <r>
    <n v="3986"/>
    <x v="13"/>
    <s v="Release 2.0"/>
    <d v="2012-01-11T10:16:49"/>
    <x v="18"/>
    <n v="2.8611111111111112"/>
    <n v="0"/>
  </r>
  <r>
    <n v="3987"/>
    <x v="3"/>
    <s v="Release 2.0"/>
    <d v="2012-01-13T15:17:35"/>
    <x v="11"/>
    <n v="2.8555555555555556"/>
    <n v="0"/>
  </r>
  <r>
    <n v="3988"/>
    <x v="15"/>
    <s v="Release 2.0"/>
    <d v="2012-01-13T10:25:03"/>
    <x v="13"/>
    <n v="2.8555555555555556"/>
    <n v="0"/>
  </r>
  <r>
    <n v="3990"/>
    <x v="15"/>
    <s v="Release 2.0"/>
    <d v="2012-02-02T17:07:31"/>
    <x v="8"/>
    <n v="2.8027777777777776"/>
    <n v="0"/>
  </r>
  <r>
    <n v="3991"/>
    <x v="14"/>
    <s v="Release 2.0"/>
    <d v="2012-01-11T23:54:37"/>
    <x v="35"/>
    <n v="2.8611111111111112"/>
    <n v="0"/>
  </r>
  <r>
    <n v="3992"/>
    <x v="0"/>
    <s v="Release 2.0"/>
    <d v="2012-01-10T22:28:00"/>
    <x v="5"/>
    <n v="2.8638888888888889"/>
    <n v="0"/>
  </r>
  <r>
    <n v="3995"/>
    <x v="21"/>
    <s v="Release 2.0"/>
    <d v="2012-01-10T18:23:19"/>
    <x v="36"/>
    <n v="2.8638888888888889"/>
    <n v="0"/>
  </r>
  <r>
    <n v="3996"/>
    <x v="16"/>
    <s v="Release 2.0"/>
    <d v="2012-01-09T22:16:22"/>
    <x v="5"/>
    <n v="2.8666666666666667"/>
    <n v="0"/>
  </r>
  <r>
    <n v="3997"/>
    <x v="11"/>
    <s v="Release 2.0"/>
    <d v="2012-01-09T19:54:32"/>
    <x v="19"/>
    <n v="2.8666666666666667"/>
    <n v="0"/>
  </r>
  <r>
    <n v="4000"/>
    <x v="19"/>
    <s v="Release 2.0"/>
    <d v="2012-01-09T15:38:33"/>
    <x v="20"/>
    <n v="2.8666666666666667"/>
    <n v="0"/>
  </r>
  <r>
    <n v="4003"/>
    <x v="12"/>
    <s v="Release 2.0"/>
    <d v="2012-01-09T22:23:44"/>
    <x v="5"/>
    <n v="2.8666666666666667"/>
    <n v="0"/>
  </r>
  <r>
    <n v="4004"/>
    <x v="12"/>
    <s v="Release 2.0"/>
    <d v="2012-01-09T16:22:19"/>
    <x v="10"/>
    <n v="2.8666666666666667"/>
    <n v="0"/>
  </r>
  <r>
    <n v="4005"/>
    <x v="12"/>
    <s v="Release 2.0"/>
    <d v="2012-01-10T11:47:52"/>
    <x v="2"/>
    <n v="2.8638888888888889"/>
    <n v="0"/>
  </r>
  <r>
    <n v="4006"/>
    <x v="3"/>
    <s v="Release 2.0"/>
    <d v="2012-01-10T20:49:32"/>
    <x v="5"/>
    <n v="2.8638888888888889"/>
    <n v="0"/>
  </r>
  <r>
    <n v="4011"/>
    <x v="3"/>
    <s v="Release 2.0"/>
    <d v="2012-01-11T16:53:50"/>
    <x v="35"/>
    <n v="2.8611111111111112"/>
    <n v="0"/>
  </r>
  <r>
    <n v="4016"/>
    <x v="3"/>
    <s v="Release 2.0"/>
    <d v="2012-01-10T21:36:08"/>
    <x v="8"/>
    <n v="2.8638888888888889"/>
    <n v="0"/>
  </r>
  <r>
    <n v="4018"/>
    <x v="6"/>
    <s v="Release 2.0"/>
    <d v="2012-01-10T16:17:00"/>
    <x v="36"/>
    <n v="2.8638888888888889"/>
    <n v="0"/>
  </r>
  <r>
    <n v="4021"/>
    <x v="17"/>
    <s v="Release 2.0"/>
    <d v="2012-01-09T10:13:44"/>
    <x v="13"/>
    <n v="2.8666666666666667"/>
    <n v="0"/>
  </r>
  <r>
    <n v="4024"/>
    <x v="11"/>
    <s v="Release 2.5"/>
    <d v="2013-03-01T10:51:53"/>
    <x v="4"/>
    <n v="1.7222222222222223"/>
    <n v="0"/>
  </r>
  <r>
    <n v="4028"/>
    <x v="12"/>
    <s v="Release 2.0"/>
    <d v="2012-01-12T15:21:48"/>
    <x v="5"/>
    <n v="2.8583333333333334"/>
    <n v="0"/>
  </r>
  <r>
    <n v="4034"/>
    <x v="19"/>
    <s v="Release 2.0"/>
    <d v="2012-01-09T15:30:31"/>
    <x v="20"/>
    <n v="2.8666666666666667"/>
    <n v="0"/>
  </r>
  <r>
    <n v="4036"/>
    <x v="12"/>
    <s v="Release 2.0"/>
    <d v="2012-01-10T11:12:40"/>
    <x v="2"/>
    <n v="2.8638888888888889"/>
    <n v="0"/>
  </r>
  <r>
    <n v="4037"/>
    <x v="17"/>
    <s v="Release 2.0"/>
    <d v="2012-01-11T14:19:53"/>
    <x v="13"/>
    <n v="2.8611111111111112"/>
    <n v="0"/>
  </r>
  <r>
    <n v="4039"/>
    <x v="12"/>
    <s v="Release 2.0"/>
    <d v="2012-01-09T22:24:21"/>
    <x v="5"/>
    <n v="2.8666666666666667"/>
    <n v="0"/>
  </r>
  <r>
    <n v="4041"/>
    <x v="15"/>
    <s v="Release 2.4"/>
    <d v="2013-01-30T16:49:38"/>
    <x v="21"/>
    <n v="1.8083333333333333"/>
    <n v="0"/>
  </r>
  <r>
    <n v="4043"/>
    <x v="12"/>
    <s v="Release 2.0"/>
    <d v="2012-01-11T16:33:54"/>
    <x v="2"/>
    <n v="2.8611111111111112"/>
    <n v="0"/>
  </r>
  <r>
    <n v="4044"/>
    <x v="14"/>
    <s v="Release 2.1"/>
    <d v="2012-04-30T21:44:01"/>
    <x v="8"/>
    <n v="2.5583333333333331"/>
    <n v="0"/>
  </r>
  <r>
    <n v="4048"/>
    <x v="15"/>
    <s v="Release 2.0"/>
    <d v="2012-02-02T17:06:29"/>
    <x v="8"/>
    <n v="2.8027777777777776"/>
    <n v="0"/>
  </r>
  <r>
    <n v="4049"/>
    <x v="16"/>
    <s v="Release 2.1"/>
    <d v="2012-04-30T19:24:25"/>
    <x v="5"/>
    <n v="2.5583333333333331"/>
    <n v="0"/>
  </r>
  <r>
    <n v="4052"/>
    <x v="12"/>
    <s v="Release 2.0"/>
    <d v="2012-01-13T10:51:01"/>
    <x v="2"/>
    <n v="2.8555555555555556"/>
    <n v="0"/>
  </r>
  <r>
    <n v="4053"/>
    <x v="10"/>
    <s v="Release 2.0"/>
    <d v="2012-01-09T22:43:10"/>
    <x v="5"/>
    <n v="2.8666666666666667"/>
    <n v="0"/>
  </r>
  <r>
    <n v="4061"/>
    <x v="12"/>
    <s v="Release 2.0"/>
    <d v="2012-01-11T17:12:19"/>
    <x v="5"/>
    <n v="2.8611111111111112"/>
    <n v="0"/>
  </r>
  <r>
    <n v="4068"/>
    <x v="21"/>
    <s v="Release 2.0"/>
    <d v="2012-01-12T19:29:49"/>
    <x v="19"/>
    <n v="2.8583333333333334"/>
    <n v="0"/>
  </r>
  <r>
    <n v="4071"/>
    <x v="3"/>
    <s v="Release 2.0"/>
    <d v="2012-01-12T01:59:01"/>
    <x v="9"/>
    <n v="2.8583333333333334"/>
    <n v="0"/>
  </r>
  <r>
    <n v="4072"/>
    <x v="16"/>
    <s v="Release 2.0"/>
    <d v="2012-01-12T14:32:17"/>
    <x v="16"/>
    <n v="2.8583333333333334"/>
    <n v="0"/>
  </r>
  <r>
    <n v="4073"/>
    <x v="17"/>
    <s v="Release 2.0"/>
    <d v="2012-01-11T08:10:28"/>
    <x v="13"/>
    <n v="2.8611111111111112"/>
    <n v="0"/>
  </r>
  <r>
    <n v="4081"/>
    <x v="12"/>
    <s v="Release 2.0"/>
    <d v="2012-01-12T18:15:49"/>
    <x v="10"/>
    <n v="2.8583333333333334"/>
    <n v="0"/>
  </r>
  <r>
    <n v="4083"/>
    <x v="12"/>
    <s v="Release 2.0"/>
    <d v="2012-01-11T16:01:58"/>
    <x v="2"/>
    <n v="2.8611111111111112"/>
    <n v="0"/>
  </r>
  <r>
    <n v="4085"/>
    <x v="12"/>
    <s v="Release 2.0"/>
    <d v="2012-01-11T16:15:15"/>
    <x v="2"/>
    <n v="2.8611111111111112"/>
    <n v="0"/>
  </r>
  <r>
    <n v="4086"/>
    <x v="21"/>
    <s v="Release 2.0"/>
    <d v="2012-01-10T20:20:55"/>
    <x v="19"/>
    <n v="2.8638888888888889"/>
    <n v="0"/>
  </r>
  <r>
    <n v="4088"/>
    <x v="12"/>
    <s v="Release 2.0"/>
    <d v="2012-01-09T16:28:50"/>
    <x v="2"/>
    <n v="2.8666666666666667"/>
    <n v="0"/>
  </r>
  <r>
    <n v="4089"/>
    <x v="12"/>
    <s v="Release 2.0"/>
    <d v="2012-01-11T11:26:05"/>
    <x v="11"/>
    <n v="2.8611111111111112"/>
    <n v="0"/>
  </r>
  <r>
    <n v="4090"/>
    <x v="8"/>
    <s v="Release 2.0"/>
    <d v="2012-01-09T16:40:59"/>
    <x v="2"/>
    <n v="2.8666666666666667"/>
    <n v="0"/>
  </r>
  <r>
    <n v="4095"/>
    <x v="8"/>
    <s v="Release 2.0"/>
    <d v="2012-01-11T16:47:26"/>
    <x v="2"/>
    <n v="2.8611111111111112"/>
    <n v="0"/>
  </r>
  <r>
    <n v="4098"/>
    <x v="18"/>
    <s v="Release 2.0"/>
    <d v="2012-01-31T17:15:29"/>
    <x v="17"/>
    <n v="2.8083333333333331"/>
    <n v="0"/>
  </r>
  <r>
    <n v="4099"/>
    <x v="12"/>
    <s v="Release 2.0"/>
    <d v="2012-01-11T16:03:19"/>
    <x v="16"/>
    <n v="2.8611111111111112"/>
    <n v="0"/>
  </r>
  <r>
    <n v="4100"/>
    <x v="11"/>
    <s v="Release 2.1"/>
    <d v="2012-05-04T16:53:04"/>
    <x v="19"/>
    <n v="2.5472222222222221"/>
    <n v="0"/>
  </r>
  <r>
    <n v="4101"/>
    <x v="12"/>
    <s v="Release 2.0"/>
    <d v="2012-01-17T23:25:14"/>
    <x v="35"/>
    <n v="2.8444444444444446"/>
    <n v="0"/>
  </r>
  <r>
    <n v="4103"/>
    <x v="8"/>
    <s v="Release 2.0"/>
    <d v="2012-01-10T10:40:02"/>
    <x v="2"/>
    <n v="2.8638888888888889"/>
    <n v="0"/>
  </r>
  <r>
    <n v="4108"/>
    <x v="6"/>
    <s v="Release 2.1"/>
    <d v="2012-05-01T19:30:43"/>
    <x v="5"/>
    <n v="2.5555555555555554"/>
    <n v="0"/>
  </r>
  <r>
    <n v="4111"/>
    <x v="3"/>
    <s v="Release 2.0"/>
    <d v="2012-01-11T21:46:25"/>
    <x v="35"/>
    <n v="2.8611111111111112"/>
    <n v="0"/>
  </r>
  <r>
    <n v="4112"/>
    <x v="8"/>
    <s v="Release 2.0"/>
    <d v="2012-01-12T11:45:41"/>
    <x v="2"/>
    <n v="2.8583333333333334"/>
    <n v="0"/>
  </r>
  <r>
    <n v="4114"/>
    <x v="15"/>
    <s v="Release 2.0"/>
    <d v="2012-02-02T17:07:53"/>
    <x v="8"/>
    <n v="2.8027777777777776"/>
    <n v="0"/>
  </r>
  <r>
    <n v="4118"/>
    <x v="8"/>
    <s v="Release 2.0"/>
    <d v="2012-01-12T11:15:34"/>
    <x v="2"/>
    <n v="2.8583333333333334"/>
    <n v="0"/>
  </r>
  <r>
    <n v="4119"/>
    <x v="18"/>
    <s v="Release 2.0"/>
    <d v="2012-01-12T18:20:37"/>
    <x v="19"/>
    <n v="2.8583333333333334"/>
    <n v="0"/>
  </r>
  <r>
    <n v="4122"/>
    <x v="12"/>
    <s v="Release 2.0"/>
    <d v="2012-01-09T14:44:16"/>
    <x v="2"/>
    <n v="2.8666666666666667"/>
    <n v="0"/>
  </r>
  <r>
    <n v="4127"/>
    <x v="19"/>
    <s v="Release 2.0"/>
    <d v="2012-01-11T15:30:41"/>
    <x v="18"/>
    <n v="2.8611111111111112"/>
    <n v="0"/>
  </r>
  <r>
    <n v="4128"/>
    <x v="13"/>
    <s v="Release 2.0"/>
    <d v="2012-01-09T10:40:39"/>
    <x v="13"/>
    <n v="2.8666666666666667"/>
    <n v="0"/>
  </r>
  <r>
    <n v="4129"/>
    <x v="21"/>
    <s v="Release 2.0"/>
    <d v="2012-01-12T19:07:08"/>
    <x v="19"/>
    <n v="2.8583333333333334"/>
    <n v="0"/>
  </r>
  <r>
    <n v="4130"/>
    <x v="12"/>
    <s v="Release 2.0"/>
    <d v="2012-01-12T13:41:39"/>
    <x v="10"/>
    <n v="2.8583333333333334"/>
    <n v="0"/>
  </r>
  <r>
    <n v="4131"/>
    <x v="15"/>
    <s v="Release 2.0"/>
    <d v="2012-01-13T10:26:19"/>
    <x v="20"/>
    <n v="2.8555555555555556"/>
    <n v="0"/>
  </r>
  <r>
    <n v="4138"/>
    <x v="12"/>
    <s v="Release 2.0"/>
    <d v="2012-01-13T18:05:46"/>
    <x v="8"/>
    <n v="2.8555555555555556"/>
    <n v="0"/>
  </r>
  <r>
    <n v="4140"/>
    <x v="12"/>
    <s v="Release 2.0"/>
    <d v="2012-01-10T14:13:35"/>
    <x v="5"/>
    <n v="2.8638888888888889"/>
    <n v="0"/>
  </r>
  <r>
    <n v="4141"/>
    <x v="8"/>
    <s v="Release 2.0"/>
    <d v="2012-01-11T17:14:49"/>
    <x v="2"/>
    <n v="2.8611111111111112"/>
    <n v="0"/>
  </r>
  <r>
    <n v="4142"/>
    <x v="21"/>
    <s v="Release 2.0"/>
    <d v="2012-01-10T18:35:37"/>
    <x v="16"/>
    <n v="2.8638888888888889"/>
    <n v="0"/>
  </r>
  <r>
    <n v="4145"/>
    <x v="12"/>
    <s v="Release 2.0"/>
    <d v="2012-01-12T13:43:14"/>
    <x v="10"/>
    <n v="2.8583333333333334"/>
    <n v="0"/>
  </r>
  <r>
    <n v="4151"/>
    <x v="10"/>
    <s v="Release 2.0"/>
    <d v="2012-01-10T21:41:57"/>
    <x v="35"/>
    <n v="2.8638888888888889"/>
    <n v="0"/>
  </r>
  <r>
    <n v="4152"/>
    <x v="16"/>
    <s v="Release 2.0"/>
    <d v="2012-01-11T11:08:21"/>
    <x v="18"/>
    <n v="2.8611111111111112"/>
    <n v="0"/>
  </r>
  <r>
    <n v="4153"/>
    <x v="10"/>
    <s v="Release 2.0"/>
    <d v="2012-01-09T16:07:52"/>
    <x v="11"/>
    <n v="2.8666666666666667"/>
    <n v="0"/>
  </r>
  <r>
    <n v="4155"/>
    <x v="21"/>
    <s v="Release 2.0"/>
    <d v="2012-01-09T20:22:48"/>
    <x v="9"/>
    <n v="2.8666666666666667"/>
    <n v="0"/>
  </r>
  <r>
    <n v="4157"/>
    <x v="23"/>
    <s v="Release 2.0"/>
    <d v="2012-01-11T19:09:33"/>
    <x v="35"/>
    <n v="2.8611111111111112"/>
    <n v="0"/>
  </r>
  <r>
    <n v="4158"/>
    <x v="4"/>
    <s v="Release 2.1"/>
    <d v="2012-05-04T16:53:26"/>
    <x v="21"/>
    <n v="2.5472222222222221"/>
    <n v="0"/>
  </r>
  <r>
    <n v="4159"/>
    <x v="13"/>
    <s v="Release 2.0"/>
    <d v="2012-01-10T14:02:19"/>
    <x v="13"/>
    <n v="2.8638888888888889"/>
    <n v="0"/>
  </r>
  <r>
    <n v="4161"/>
    <x v="13"/>
    <s v="Release 2.0"/>
    <d v="2012-01-10T16:26:27"/>
    <x v="13"/>
    <n v="2.8638888888888889"/>
    <n v="0"/>
  </r>
  <r>
    <n v="4162"/>
    <x v="4"/>
    <s v="Release 2.0"/>
    <d v="2012-01-10T14:28:49"/>
    <x v="13"/>
    <n v="2.8638888888888889"/>
    <n v="0"/>
  </r>
  <r>
    <n v="4165"/>
    <x v="12"/>
    <s v="Release 2.0"/>
    <d v="2012-01-12T13:47:41"/>
    <x v="10"/>
    <n v="2.8583333333333334"/>
    <n v="0"/>
  </r>
  <r>
    <n v="4166"/>
    <x v="29"/>
    <s v="Release 3.1"/>
    <d v="2013-11-13T13:17:38"/>
    <x v="4"/>
    <n v="1.0222222222222221"/>
    <n v="0"/>
  </r>
  <r>
    <n v="4171"/>
    <x v="12"/>
    <s v="Release 2.0"/>
    <d v="2012-01-09T21:12:40"/>
    <x v="10"/>
    <n v="2.8666666666666667"/>
    <n v="0"/>
  </r>
  <r>
    <n v="4173"/>
    <x v="12"/>
    <s v="Release 2.0"/>
    <d v="2012-01-10T16:48:54"/>
    <x v="16"/>
    <n v="2.8638888888888889"/>
    <n v="0"/>
  </r>
  <r>
    <n v="4178"/>
    <x v="11"/>
    <s v="Release 2.0"/>
    <d v="2012-01-10T18:46:24"/>
    <x v="35"/>
    <n v="2.8638888888888889"/>
    <n v="0"/>
  </r>
  <r>
    <n v="4182"/>
    <x v="3"/>
    <s v="Release 2.0"/>
    <d v="2012-01-12T14:03:53"/>
    <x v="8"/>
    <n v="2.8583333333333334"/>
    <n v="0"/>
  </r>
  <r>
    <n v="4183"/>
    <x v="12"/>
    <s v="Release 2.0"/>
    <d v="2012-01-17T23:25:37"/>
    <x v="35"/>
    <n v="2.8444444444444446"/>
    <n v="0"/>
  </r>
  <r>
    <n v="4185"/>
    <x v="6"/>
    <s v="Release 2.0"/>
    <d v="2012-01-12T02:16:58"/>
    <x v="9"/>
    <n v="2.8583333333333334"/>
    <n v="0"/>
  </r>
  <r>
    <n v="4188"/>
    <x v="17"/>
    <s v="Release 2.0"/>
    <d v="2012-01-09T14:35:25"/>
    <x v="13"/>
    <n v="2.8666666666666667"/>
    <n v="0"/>
  </r>
  <r>
    <n v="4189"/>
    <x v="16"/>
    <s v="Release 2.0"/>
    <d v="2012-01-11T17:25:43"/>
    <x v="35"/>
    <n v="2.8611111111111112"/>
    <n v="0"/>
  </r>
  <r>
    <n v="4191"/>
    <x v="12"/>
    <s v="Release 2.0"/>
    <d v="2012-01-10T16:47:35"/>
    <x v="5"/>
    <n v="2.8638888888888889"/>
    <n v="0"/>
  </r>
  <r>
    <n v="4193"/>
    <x v="13"/>
    <s v="Release 2.0"/>
    <d v="2012-01-10T16:44:39"/>
    <x v="13"/>
    <n v="2.8638888888888889"/>
    <n v="0"/>
  </r>
  <r>
    <n v="4194"/>
    <x v="16"/>
    <s v="Release 2.0"/>
    <d v="2012-01-10T19:13:43"/>
    <x v="5"/>
    <n v="2.8638888888888889"/>
    <n v="0"/>
  </r>
  <r>
    <n v="4195"/>
    <x v="3"/>
    <s v="Release 2.0"/>
    <d v="2012-01-13T09:57:42"/>
    <x v="18"/>
    <n v="2.8555555555555556"/>
    <n v="0"/>
  </r>
  <r>
    <n v="4197"/>
    <x v="6"/>
    <s v="Release 2.0"/>
    <d v="2012-01-13T16:25:52"/>
    <x v="18"/>
    <n v="2.8555555555555556"/>
    <n v="0"/>
  </r>
  <r>
    <n v="4205"/>
    <x v="51"/>
    <s v="Release 2.1"/>
    <d v="2012-05-04T16:53:06"/>
    <x v="10"/>
    <n v="2.5472222222222221"/>
    <n v="0"/>
  </r>
  <r>
    <n v="4206"/>
    <x v="12"/>
    <s v="Release 2.0"/>
    <d v="2012-01-09T15:39:30"/>
    <x v="2"/>
    <n v="2.8666666666666667"/>
    <n v="0"/>
  </r>
  <r>
    <n v="4210"/>
    <x v="15"/>
    <s v="Release 2.0"/>
    <d v="2012-02-02T17:06:53"/>
    <x v="8"/>
    <n v="2.8027777777777776"/>
    <n v="0"/>
  </r>
  <r>
    <n v="4212"/>
    <x v="21"/>
    <s v="Release 2.0"/>
    <d v="2012-01-12T17:17:52"/>
    <x v="16"/>
    <n v="2.8583333333333334"/>
    <n v="0"/>
  </r>
  <r>
    <n v="4213"/>
    <x v="11"/>
    <s v="Release 2.0"/>
    <d v="2012-01-11T16:20:30"/>
    <x v="24"/>
    <n v="2.8611111111111112"/>
    <n v="0"/>
  </r>
  <r>
    <n v="4215"/>
    <x v="23"/>
    <s v="Release 2.0"/>
    <d v="2012-01-12T19:44:15"/>
    <x v="10"/>
    <n v="2.8583333333333334"/>
    <n v="0"/>
  </r>
  <r>
    <n v="4217"/>
    <x v="21"/>
    <s v="Release 2.0"/>
    <d v="2012-01-10T16:39:37"/>
    <x v="16"/>
    <n v="2.8638888888888889"/>
    <n v="0"/>
  </r>
  <r>
    <n v="4220"/>
    <x v="3"/>
    <s v="Release 2.0"/>
    <d v="2012-01-10T20:38:12"/>
    <x v="19"/>
    <n v="2.8638888888888889"/>
    <n v="0"/>
  </r>
  <r>
    <n v="4223"/>
    <x v="12"/>
    <s v="Release 2.0"/>
    <d v="2012-01-09T22:42:15"/>
    <x v="16"/>
    <n v="2.8666666666666667"/>
    <n v="0"/>
  </r>
  <r>
    <n v="4226"/>
    <x v="3"/>
    <s v="Release 2.0"/>
    <d v="2012-01-13T13:51:03"/>
    <x v="3"/>
    <n v="2.8555555555555556"/>
    <n v="0"/>
  </r>
  <r>
    <n v="4230"/>
    <x v="8"/>
    <s v="Release 2.0"/>
    <d v="2012-01-12T19:15:55"/>
    <x v="8"/>
    <n v="2.8583333333333334"/>
    <n v="0"/>
  </r>
  <r>
    <n v="4231"/>
    <x v="8"/>
    <s v="Release 2.0"/>
    <d v="2012-01-13T15:29:44"/>
    <x v="8"/>
    <n v="2.8555555555555556"/>
    <n v="0"/>
  </r>
  <r>
    <n v="4233"/>
    <x v="13"/>
    <s v="Release 2.1"/>
    <d v="2012-04-30T19:22:24"/>
    <x v="8"/>
    <n v="2.5583333333333331"/>
    <n v="0"/>
  </r>
  <r>
    <n v="4236"/>
    <x v="4"/>
    <s v="Release 2.0"/>
    <d v="2012-01-10T23:34:31"/>
    <x v="35"/>
    <n v="2.8638888888888889"/>
    <n v="0"/>
  </r>
  <r>
    <n v="4239"/>
    <x v="8"/>
    <s v="Release 2.0"/>
    <d v="2012-01-12T13:12:04"/>
    <x v="2"/>
    <n v="2.8583333333333334"/>
    <n v="0"/>
  </r>
  <r>
    <n v="4240"/>
    <x v="8"/>
    <s v="Release 2.0"/>
    <d v="2012-01-12T13:39:06"/>
    <x v="2"/>
    <n v="2.8583333333333334"/>
    <n v="0"/>
  </r>
  <r>
    <n v="4241"/>
    <x v="10"/>
    <s v="Release 2.0"/>
    <d v="2012-01-10T16:44:43"/>
    <x v="5"/>
    <n v="2.8638888888888889"/>
    <n v="0"/>
  </r>
  <r>
    <n v="4243"/>
    <x v="12"/>
    <s v="Release 2.0"/>
    <d v="2012-01-11T18:54:07"/>
    <x v="9"/>
    <n v="2.8611111111111112"/>
    <n v="0"/>
  </r>
  <r>
    <n v="4244"/>
    <x v="12"/>
    <s v="Release 2.1"/>
    <d v="2012-05-02T16:09:21"/>
    <x v="2"/>
    <n v="2.5527777777777776"/>
    <n v="0"/>
  </r>
  <r>
    <n v="4247"/>
    <x v="2"/>
    <s v="Release 2.0"/>
    <d v="2012-01-11T23:21:38"/>
    <x v="19"/>
    <n v="2.8611111111111112"/>
    <n v="0"/>
  </r>
  <r>
    <n v="4248"/>
    <x v="4"/>
    <s v="Release 2.0"/>
    <d v="2012-01-12T16:13:17"/>
    <x v="10"/>
    <n v="2.8583333333333334"/>
    <n v="0"/>
  </r>
  <r>
    <n v="4250"/>
    <x v="3"/>
    <s v="Release 2.0"/>
    <d v="2012-01-10T23:48:34"/>
    <x v="16"/>
    <n v="2.8638888888888889"/>
    <n v="0"/>
  </r>
  <r>
    <n v="4253"/>
    <x v="0"/>
    <s v="Release 2.0"/>
    <d v="2012-01-10T15:39:50"/>
    <x v="36"/>
    <n v="2.8638888888888889"/>
    <n v="0"/>
  </r>
  <r>
    <n v="4254"/>
    <x v="12"/>
    <s v="Release 2.0"/>
    <d v="2012-01-12T11:23:06"/>
    <x v="2"/>
    <n v="2.8583333333333334"/>
    <n v="0"/>
  </r>
  <r>
    <n v="4255"/>
    <x v="23"/>
    <s v="Release 2.0"/>
    <d v="2012-01-10T21:50:56"/>
    <x v="35"/>
    <n v="2.8638888888888889"/>
    <n v="0"/>
  </r>
  <r>
    <n v="4256"/>
    <x v="12"/>
    <s v="Release 2.1"/>
    <d v="2012-06-13T18:06:00"/>
    <x v="16"/>
    <n v="2.4388888888888891"/>
    <n v="0"/>
  </r>
  <r>
    <n v="4258"/>
    <x v="4"/>
    <s v="Release 2.0"/>
    <d v="2012-01-30T14:57:15"/>
    <x v="4"/>
    <n v="2.8083333333333331"/>
    <n v="0"/>
  </r>
  <r>
    <n v="4261"/>
    <x v="3"/>
    <s v="Release 2.0"/>
    <d v="2012-01-10T11:24:51"/>
    <x v="18"/>
    <n v="2.8638888888888889"/>
    <n v="0"/>
  </r>
  <r>
    <n v="4263"/>
    <x v="12"/>
    <s v="Release 2.0"/>
    <d v="2012-01-11T16:11:55"/>
    <x v="9"/>
    <n v="2.8611111111111112"/>
    <n v="0"/>
  </r>
  <r>
    <n v="4264"/>
    <x v="11"/>
    <s v="Release 2.0"/>
    <d v="2012-01-17T18:38:57"/>
    <x v="8"/>
    <n v="2.8444444444444446"/>
    <n v="0"/>
  </r>
  <r>
    <n v="4265"/>
    <x v="12"/>
    <s v="Release 2.0"/>
    <d v="2012-01-10T17:02:36"/>
    <x v="9"/>
    <n v="2.8638888888888889"/>
    <n v="0"/>
  </r>
  <r>
    <n v="4268"/>
    <x v="10"/>
    <s v="Release 2.0"/>
    <d v="2012-01-11T23:16:16"/>
    <x v="19"/>
    <n v="2.8611111111111112"/>
    <n v="0"/>
  </r>
  <r>
    <n v="4269"/>
    <x v="27"/>
    <s v="Release 2.0"/>
    <d v="2012-01-09T18:38:18"/>
    <x v="9"/>
    <n v="2.8666666666666667"/>
    <n v="0"/>
  </r>
  <r>
    <n v="4272"/>
    <x v="12"/>
    <s v="Release 2.0"/>
    <d v="2012-01-10T16:46:19"/>
    <x v="5"/>
    <n v="2.8638888888888889"/>
    <n v="0"/>
  </r>
  <r>
    <n v="4275"/>
    <x v="12"/>
    <s v="Release 2.0"/>
    <d v="2012-01-11T18:51:50"/>
    <x v="9"/>
    <n v="2.8611111111111112"/>
    <n v="0"/>
  </r>
  <r>
    <n v="4276"/>
    <x v="12"/>
    <s v="Release 2.0"/>
    <d v="2012-01-09T15:25:21"/>
    <x v="2"/>
    <n v="2.8666666666666667"/>
    <n v="0"/>
  </r>
  <r>
    <n v="4281"/>
    <x v="4"/>
    <s v="Release 2.0"/>
    <d v="2012-01-11T21:30:04"/>
    <x v="10"/>
    <n v="2.8611111111111112"/>
    <n v="0"/>
  </r>
  <r>
    <n v="4285"/>
    <x v="21"/>
    <s v="Release 2.0"/>
    <d v="2012-01-12T17:21:49"/>
    <x v="16"/>
    <n v="2.8583333333333334"/>
    <n v="0"/>
  </r>
  <r>
    <n v="4286"/>
    <x v="10"/>
    <s v="Release 2.1"/>
    <d v="2012-04-30T19:37:54"/>
    <x v="5"/>
    <n v="2.5583333333333331"/>
    <n v="0"/>
  </r>
  <r>
    <n v="4288"/>
    <x v="16"/>
    <s v="Release 2.0"/>
    <d v="2012-01-11T17:21:44"/>
    <x v="19"/>
    <n v="2.8611111111111112"/>
    <n v="0"/>
  </r>
  <r>
    <n v="4289"/>
    <x v="14"/>
    <s v="Release 2.0"/>
    <d v="2012-01-09T11:58:58"/>
    <x v="11"/>
    <n v="2.8666666666666667"/>
    <n v="0"/>
  </r>
  <r>
    <n v="4290"/>
    <x v="15"/>
    <s v="Release 2.0"/>
    <d v="2012-01-13T14:39:20"/>
    <x v="13"/>
    <n v="2.8555555555555556"/>
    <n v="0"/>
  </r>
  <r>
    <n v="4291"/>
    <x v="15"/>
    <s v="Release 2.5"/>
    <d v="2013-04-27T17:29:00"/>
    <x v="7"/>
    <n v="1.5666666666666667"/>
    <n v="0"/>
  </r>
  <r>
    <n v="4292"/>
    <x v="0"/>
    <s v="Release 2.0"/>
    <d v="2012-01-10T15:38:22"/>
    <x v="16"/>
    <n v="2.8638888888888889"/>
    <n v="0"/>
  </r>
  <r>
    <n v="4293"/>
    <x v="15"/>
    <s v="Release 2.4"/>
    <d v="2013-09-19T13:35:37"/>
    <x v="0"/>
    <n v="1.1722222222222223"/>
    <n v="0"/>
  </r>
  <r>
    <n v="4297"/>
    <x v="17"/>
    <s v="Release 2.0"/>
    <d v="2012-01-09T15:28:59"/>
    <x v="13"/>
    <n v="2.8666666666666667"/>
    <n v="0"/>
  </r>
  <r>
    <n v="4299"/>
    <x v="17"/>
    <s v="Release 2.0"/>
    <d v="2012-01-11T14:11:12"/>
    <x v="13"/>
    <n v="2.8611111111111112"/>
    <n v="0"/>
  </r>
  <r>
    <n v="4300"/>
    <x v="13"/>
    <s v="Release 2.0"/>
    <d v="2012-02-02T15:42:29"/>
    <x v="13"/>
    <n v="2.8027777777777776"/>
    <n v="0"/>
  </r>
  <r>
    <n v="4301"/>
    <x v="8"/>
    <s v="Release 2.0"/>
    <d v="2012-01-12T11:47:38"/>
    <x v="2"/>
    <n v="2.8583333333333334"/>
    <n v="0"/>
  </r>
  <r>
    <n v="4303"/>
    <x v="26"/>
    <s v="Release 2.3"/>
    <d v="2012-10-31T13:18:43"/>
    <x v="5"/>
    <n v="2.0583333333333331"/>
    <n v="0"/>
  </r>
  <r>
    <n v="4307"/>
    <x v="13"/>
    <s v="Release 2.0"/>
    <d v="2012-01-10T16:55:20"/>
    <x v="13"/>
    <n v="2.8638888888888889"/>
    <n v="0"/>
  </r>
  <r>
    <n v="4308"/>
    <x v="6"/>
    <s v="Release 2.0"/>
    <d v="2012-01-09T16:15:56"/>
    <x v="11"/>
    <n v="2.8666666666666667"/>
    <n v="0"/>
  </r>
  <r>
    <n v="4309"/>
    <x v="19"/>
    <s v="Release 2.0"/>
    <d v="2012-01-11T16:51:54"/>
    <x v="20"/>
    <n v="2.8611111111111112"/>
    <n v="0"/>
  </r>
  <r>
    <n v="4310"/>
    <x v="8"/>
    <s v="Release 2.0"/>
    <d v="2012-01-09T16:38:34"/>
    <x v="2"/>
    <n v="2.8666666666666667"/>
    <n v="0"/>
  </r>
  <r>
    <n v="4311"/>
    <x v="0"/>
    <s v="Release 3.0"/>
    <d v="2013-10-25T11:15:29"/>
    <x v="12"/>
    <n v="1.0722222222222222"/>
    <n v="0"/>
  </r>
  <r>
    <n v="4314"/>
    <x v="21"/>
    <s v="Release 2.0"/>
    <d v="2012-01-10T20:17:04"/>
    <x v="16"/>
    <n v="2.8638888888888889"/>
    <n v="0"/>
  </r>
  <r>
    <n v="4315"/>
    <x v="3"/>
    <s v="Release 2.0"/>
    <d v="2012-01-12T17:10:32"/>
    <x v="3"/>
    <n v="2.8583333333333334"/>
    <n v="0"/>
  </r>
  <r>
    <n v="4316"/>
    <x v="12"/>
    <s v="Release 2.0"/>
    <d v="2012-01-11T18:41:16"/>
    <x v="9"/>
    <n v="2.8611111111111112"/>
    <n v="0"/>
  </r>
  <r>
    <n v="4318"/>
    <x v="16"/>
    <s v="Release 2.0"/>
    <d v="2012-01-09T11:36:35"/>
    <x v="11"/>
    <n v="2.8666666666666667"/>
    <n v="0"/>
  </r>
  <r>
    <n v="4320"/>
    <x v="15"/>
    <s v="Release 2.0"/>
    <d v="2012-01-11T21:22:32"/>
    <x v="35"/>
    <n v="2.8611111111111112"/>
    <n v="0"/>
  </r>
  <r>
    <n v="4321"/>
    <x v="17"/>
    <s v="Release 2.0"/>
    <d v="2012-01-11T14:22:44"/>
    <x v="13"/>
    <n v="2.8611111111111112"/>
    <n v="0"/>
  </r>
  <r>
    <n v="4322"/>
    <x v="12"/>
    <s v="Release 2.0"/>
    <d v="2012-01-09T23:11:58"/>
    <x v="16"/>
    <n v="2.8666666666666667"/>
    <n v="0"/>
  </r>
  <r>
    <n v="4323"/>
    <x v="8"/>
    <s v="Release 2.0"/>
    <d v="2012-01-12T14:14:28"/>
    <x v="2"/>
    <n v="2.8583333333333334"/>
    <n v="0"/>
  </r>
  <r>
    <n v="4325"/>
    <x v="17"/>
    <s v="Release 2.0"/>
    <d v="2012-01-09T15:31:57"/>
    <x v="13"/>
    <n v="2.8666666666666667"/>
    <n v="0"/>
  </r>
  <r>
    <n v="4326"/>
    <x v="6"/>
    <s v="Release 2.0"/>
    <d v="2012-01-12T15:14:19"/>
    <x v="18"/>
    <n v="2.8583333333333334"/>
    <n v="0"/>
  </r>
  <r>
    <n v="4328"/>
    <x v="16"/>
    <s v="Release 2.0"/>
    <d v="2012-01-23T16:03:51"/>
    <x v="9"/>
    <n v="2.8277777777777779"/>
    <n v="0"/>
  </r>
  <r>
    <n v="4332"/>
    <x v="21"/>
    <s v="Release 2.0"/>
    <d v="2012-01-11T14:50:12"/>
    <x v="24"/>
    <n v="2.8611111111111112"/>
    <n v="0"/>
  </r>
  <r>
    <n v="4335"/>
    <x v="0"/>
    <s v="Release 2.0"/>
    <d v="2012-01-10T20:33:17"/>
    <x v="19"/>
    <n v="2.8638888888888889"/>
    <n v="0"/>
  </r>
  <r>
    <n v="4339"/>
    <x v="23"/>
    <s v="Release 2.0"/>
    <d v="2012-01-11T00:01:53"/>
    <x v="35"/>
    <n v="2.8611111111111112"/>
    <n v="0"/>
  </r>
  <r>
    <n v="4340"/>
    <x v="12"/>
    <s v="Release 2.0"/>
    <d v="2012-01-11T22:04:55"/>
    <x v="5"/>
    <n v="2.8611111111111112"/>
    <n v="0"/>
  </r>
  <r>
    <n v="4341"/>
    <x v="0"/>
    <s v="Release 2.0"/>
    <d v="2012-01-09T16:41:00"/>
    <x v="11"/>
    <n v="2.8666666666666667"/>
    <n v="0"/>
  </r>
  <r>
    <n v="4342"/>
    <x v="12"/>
    <s v="Release 2.0"/>
    <d v="2012-01-11T20:05:45"/>
    <x v="9"/>
    <n v="2.8611111111111112"/>
    <n v="0"/>
  </r>
  <r>
    <n v="4347"/>
    <x v="12"/>
    <s v="Release 2.0"/>
    <d v="2012-01-10T17:06:55"/>
    <x v="9"/>
    <n v="2.8638888888888889"/>
    <n v="0"/>
  </r>
  <r>
    <n v="4348"/>
    <x v="23"/>
    <s v="Release 2.0"/>
    <d v="2012-01-11T00:01:43"/>
    <x v="35"/>
    <n v="2.8611111111111112"/>
    <n v="0"/>
  </r>
  <r>
    <n v="4349"/>
    <x v="0"/>
    <s v="Release 2.0"/>
    <d v="2012-01-11T16:26:45"/>
    <x v="9"/>
    <n v="2.8611111111111112"/>
    <n v="0"/>
  </r>
  <r>
    <n v="4350"/>
    <x v="14"/>
    <s v="Release 2.0.2"/>
    <d v="2012-03-13T11:28:14"/>
    <x v="1"/>
    <n v="2.6888888888888891"/>
    <n v="0"/>
  </r>
  <r>
    <n v="4351"/>
    <x v="3"/>
    <s v="Release 2.0"/>
    <d v="2012-01-13T16:59:16"/>
    <x v="3"/>
    <n v="2.8555555555555556"/>
    <n v="0"/>
  </r>
  <r>
    <n v="4352"/>
    <x v="12"/>
    <s v="Release 2.0"/>
    <d v="2012-01-12T01:21:59"/>
    <x v="9"/>
    <n v="2.8583333333333334"/>
    <n v="0"/>
  </r>
  <r>
    <n v="4354"/>
    <x v="12"/>
    <s v="Release 2.1"/>
    <d v="2012-05-01T04:04:56"/>
    <x v="9"/>
    <n v="2.5555555555555554"/>
    <n v="0"/>
  </r>
  <r>
    <n v="4355"/>
    <x v="12"/>
    <s v="Release 2.0"/>
    <d v="2012-01-10T16:03:04"/>
    <x v="5"/>
    <n v="2.8638888888888889"/>
    <n v="0"/>
  </r>
  <r>
    <n v="4360"/>
    <x v="11"/>
    <s v="Release 2.0"/>
    <d v="2012-01-11T15:13:28"/>
    <x v="8"/>
    <n v="2.8611111111111112"/>
    <n v="0"/>
  </r>
  <r>
    <n v="4361"/>
    <x v="3"/>
    <s v="Release 2.0"/>
    <d v="2012-01-12T11:15:53"/>
    <x v="15"/>
    <n v="2.8583333333333334"/>
    <n v="0"/>
  </r>
  <r>
    <n v="4364"/>
    <x v="13"/>
    <s v="Release 2.0"/>
    <d v="2012-01-11T14:20:54"/>
    <x v="13"/>
    <n v="2.8611111111111112"/>
    <n v="0"/>
  </r>
  <r>
    <n v="4370"/>
    <x v="23"/>
    <s v="Release 2.1"/>
    <d v="2012-05-01T10:42:23"/>
    <x v="1"/>
    <n v="2.5555555555555554"/>
    <n v="0"/>
  </r>
  <r>
    <n v="4371"/>
    <x v="23"/>
    <s v="Release 2.0"/>
    <d v="2012-01-11T20:32:27"/>
    <x v="35"/>
    <n v="2.8611111111111112"/>
    <n v="0"/>
  </r>
  <r>
    <n v="4373"/>
    <x v="15"/>
    <s v="Release 2.0"/>
    <d v="2012-01-18T16:34:51"/>
    <x v="24"/>
    <n v="2.8416666666666668"/>
    <n v="0"/>
  </r>
  <r>
    <n v="4375"/>
    <x v="12"/>
    <s v="Release 2.0"/>
    <d v="2012-01-11T16:31:47"/>
    <x v="9"/>
    <n v="2.8611111111111112"/>
    <n v="0"/>
  </r>
  <r>
    <n v="4377"/>
    <x v="12"/>
    <s v="Release 2.0"/>
    <d v="2012-01-09T16:25:25"/>
    <x v="10"/>
    <n v="2.8666666666666667"/>
    <n v="0"/>
  </r>
  <r>
    <n v="4379"/>
    <x v="12"/>
    <s v="Release 2.0"/>
    <d v="2012-01-11T19:55:47"/>
    <x v="5"/>
    <n v="2.8611111111111112"/>
    <n v="0"/>
  </r>
  <r>
    <n v="4381"/>
    <x v="14"/>
    <s v="Release 2.0"/>
    <d v="2012-01-09T19:56:44"/>
    <x v="19"/>
    <n v="2.8666666666666667"/>
    <n v="0"/>
  </r>
  <r>
    <n v="4382"/>
    <x v="15"/>
    <s v="Release 2.0"/>
    <d v="2012-01-17T23:25:52"/>
    <x v="35"/>
    <n v="2.8444444444444446"/>
    <n v="0"/>
  </r>
  <r>
    <n v="4386"/>
    <x v="17"/>
    <s v="Release 2.0"/>
    <d v="2012-01-09T16:47:35"/>
    <x v="13"/>
    <n v="2.8666666666666667"/>
    <n v="0"/>
  </r>
  <r>
    <n v="4387"/>
    <x v="16"/>
    <s v="Release 2.0"/>
    <d v="2012-01-11T19:52:07"/>
    <x v="9"/>
    <n v="2.8611111111111112"/>
    <n v="0"/>
  </r>
  <r>
    <n v="4389"/>
    <x v="3"/>
    <s v="Release 2.0"/>
    <d v="2012-01-17T23:26:07"/>
    <x v="35"/>
    <n v="2.8444444444444446"/>
    <n v="0"/>
  </r>
  <r>
    <n v="4390"/>
    <x v="15"/>
    <s v="Release 2.0"/>
    <d v="2012-01-20T20:22:54"/>
    <x v="3"/>
    <n v="2.8361111111111112"/>
    <n v="0"/>
  </r>
  <r>
    <n v="4391"/>
    <x v="15"/>
    <s v="Release 2.0"/>
    <d v="2012-01-11T20:05:25"/>
    <x v="35"/>
    <n v="2.8611111111111112"/>
    <n v="0"/>
  </r>
  <r>
    <n v="4393"/>
    <x v="23"/>
    <s v="Release 2.0"/>
    <d v="2012-01-09T13:27:51"/>
    <x v="10"/>
    <n v="2.8666666666666667"/>
    <n v="0"/>
  </r>
  <r>
    <n v="4394"/>
    <x v="42"/>
    <s v="Release 3.1"/>
    <d v="2014-02-05T00:41:33"/>
    <x v="9"/>
    <n v="0.7944444444444444"/>
    <n v="1"/>
  </r>
  <r>
    <n v="4395"/>
    <x v="2"/>
    <s v="Release 2.0"/>
    <d v="2012-01-10T20:50:02"/>
    <x v="19"/>
    <n v="2.8638888888888889"/>
    <n v="0"/>
  </r>
  <r>
    <n v="4398"/>
    <x v="12"/>
    <s v="Release 2.0"/>
    <d v="2012-03-12T15:46:47"/>
    <x v="9"/>
    <n v="2.6916666666666669"/>
    <n v="0"/>
  </r>
  <r>
    <n v="4399"/>
    <x v="3"/>
    <s v="Release 2.1"/>
    <d v="2012-04-30T19:06:02"/>
    <x v="23"/>
    <n v="2.5583333333333331"/>
    <n v="0"/>
  </r>
  <r>
    <n v="4400"/>
    <x v="18"/>
    <s v="Release 2.1"/>
    <d v="2012-05-04T16:53:24"/>
    <x v="4"/>
    <n v="2.5472222222222221"/>
    <n v="0"/>
  </r>
  <r>
    <n v="4401"/>
    <x v="18"/>
    <s v="Release 2.1"/>
    <d v="2012-07-24T18:49:34"/>
    <x v="1"/>
    <n v="2.3250000000000002"/>
    <n v="0"/>
  </r>
  <r>
    <n v="4402"/>
    <x v="2"/>
    <s v="Release 2.0"/>
    <d v="2012-01-18T16:34:52"/>
    <x v="5"/>
    <n v="2.8416666666666668"/>
    <n v="0"/>
  </r>
  <r>
    <n v="4409"/>
    <x v="23"/>
    <s v="Release 2.1"/>
    <d v="2012-05-04T16:53:32"/>
    <x v="9"/>
    <n v="2.5472222222222221"/>
    <n v="0"/>
  </r>
  <r>
    <n v="4411"/>
    <x v="3"/>
    <s v="Release 2.1"/>
    <d v="2012-04-30T18:52:32"/>
    <x v="8"/>
    <n v="2.5583333333333331"/>
    <n v="0"/>
  </r>
  <r>
    <n v="4412"/>
    <x v="4"/>
    <s v="Release 2.0"/>
    <d v="2012-01-10T18:55:11"/>
    <x v="19"/>
    <n v="2.8638888888888889"/>
    <n v="0"/>
  </r>
  <r>
    <n v="4413"/>
    <x v="17"/>
    <s v="Release 2.1"/>
    <d v="2012-05-01T11:23:10"/>
    <x v="20"/>
    <n v="2.5555555555555554"/>
    <n v="0"/>
  </r>
  <r>
    <n v="4414"/>
    <x v="17"/>
    <s v="Release 2.1"/>
    <d v="2012-05-01T11:23:39"/>
    <x v="20"/>
    <n v="2.5555555555555554"/>
    <n v="0"/>
  </r>
  <r>
    <n v="4415"/>
    <x v="17"/>
    <s v="Release 2.1"/>
    <d v="2012-05-01T14:35:22"/>
    <x v="1"/>
    <n v="2.5555555555555554"/>
    <n v="0"/>
  </r>
  <r>
    <n v="4416"/>
    <x v="17"/>
    <s v="Release 2.1"/>
    <d v="2012-05-01T14:43:01"/>
    <x v="1"/>
    <n v="2.5555555555555554"/>
    <n v="0"/>
  </r>
  <r>
    <n v="4421"/>
    <x v="13"/>
    <s v="Release 2.1"/>
    <d v="2012-04-30T14:03:39"/>
    <x v="13"/>
    <n v="2.5583333333333331"/>
    <n v="0"/>
  </r>
  <r>
    <n v="4422"/>
    <x v="16"/>
    <s v="Release 2.0"/>
    <d v="2012-01-09T16:36:32"/>
    <x v="18"/>
    <n v="2.8666666666666667"/>
    <n v="0"/>
  </r>
  <r>
    <n v="4425"/>
    <x v="17"/>
    <s v="Release 2.0"/>
    <d v="2012-01-11T19:40:58"/>
    <x v="9"/>
    <n v="2.8611111111111112"/>
    <n v="0"/>
  </r>
  <r>
    <n v="4432"/>
    <x v="16"/>
    <s v="Release 2.3"/>
    <d v="2012-10-29T17:30:00"/>
    <x v="9"/>
    <n v="2.0611111111111109"/>
    <n v="0"/>
  </r>
  <r>
    <n v="4435"/>
    <x v="4"/>
    <s v="Release 2.0"/>
    <d v="2012-01-10T15:15:44"/>
    <x v="36"/>
    <n v="2.8638888888888889"/>
    <n v="0"/>
  </r>
  <r>
    <n v="4437"/>
    <x v="13"/>
    <s v="Release 2.0"/>
    <d v="2012-01-12T10:25:00"/>
    <x v="15"/>
    <n v="2.8583333333333334"/>
    <n v="0"/>
  </r>
  <r>
    <n v="4443"/>
    <x v="29"/>
    <s v="Release 2.6"/>
    <d v="2013-07-16T15:47:31"/>
    <x v="2"/>
    <n v="1.3472222222222223"/>
    <n v="0"/>
  </r>
  <r>
    <n v="4456"/>
    <x v="16"/>
    <s v="Release 2.1"/>
    <d v="2012-04-30T15:29:22"/>
    <x v="9"/>
    <n v="2.5583333333333331"/>
    <n v="0"/>
  </r>
  <r>
    <n v="4457"/>
    <x v="3"/>
    <s v="Release 2.0"/>
    <d v="2012-01-13T15:23:16"/>
    <x v="2"/>
    <n v="2.8555555555555556"/>
    <n v="0"/>
  </r>
  <r>
    <n v="4461"/>
    <x v="3"/>
    <s v="Release 2.1"/>
    <d v="2012-04-30T16:31:32"/>
    <x v="35"/>
    <n v="2.5583333333333331"/>
    <n v="0"/>
  </r>
  <r>
    <n v="4462"/>
    <x v="3"/>
    <s v="Release 2.0"/>
    <d v="2012-01-12T15:40:54"/>
    <x v="20"/>
    <n v="2.8583333333333334"/>
    <n v="0"/>
  </r>
  <r>
    <n v="4463"/>
    <x v="17"/>
    <s v="Release 2.3"/>
    <d v="2012-11-02T16:43:36"/>
    <x v="12"/>
    <n v="2.0527777777777776"/>
    <n v="0"/>
  </r>
  <r>
    <n v="4466"/>
    <x v="15"/>
    <s v="Release 2.1"/>
    <d v="2012-05-02T22:00:30"/>
    <x v="8"/>
    <n v="2.5527777777777776"/>
    <n v="0"/>
  </r>
  <r>
    <n v="4472"/>
    <x v="2"/>
    <s v="Release 2.1"/>
    <d v="2012-05-04T16:53:42"/>
    <x v="8"/>
    <n v="2.5472222222222221"/>
    <n v="0"/>
  </r>
  <r>
    <n v="4473"/>
    <x v="2"/>
    <s v="Release 2.1"/>
    <d v="2012-05-04T16:53:31"/>
    <x v="8"/>
    <n v="2.5472222222222221"/>
    <n v="0"/>
  </r>
  <r>
    <n v="4474"/>
    <x v="2"/>
    <s v="Release 2.1"/>
    <d v="2012-05-04T16:53:01"/>
    <x v="8"/>
    <n v="2.5472222222222221"/>
    <n v="0"/>
  </r>
  <r>
    <n v="4475"/>
    <x v="16"/>
    <s v="Release 2.0"/>
    <d v="2012-01-12T15:12:27"/>
    <x v="5"/>
    <n v="2.8583333333333334"/>
    <n v="0"/>
  </r>
  <r>
    <n v="4478"/>
    <x v="12"/>
    <s v="Release 2.1"/>
    <d v="2012-01-19T11:11:48"/>
    <x v="18"/>
    <n v="2.838888888888889"/>
    <n v="0"/>
  </r>
  <r>
    <n v="4481"/>
    <x v="18"/>
    <s v="Release 2.0"/>
    <d v="2012-01-19T15:54:23"/>
    <x v="17"/>
    <n v="2.838888888888889"/>
    <n v="0"/>
  </r>
  <r>
    <n v="4482"/>
    <x v="23"/>
    <s v="Release 2.0"/>
    <d v="2012-01-26T20:12:00"/>
    <x v="3"/>
    <n v="2.8194444444444446"/>
    <n v="0"/>
  </r>
  <r>
    <n v="4483"/>
    <x v="4"/>
    <s v="Release 2.2"/>
    <d v="2012-08-08T10:15:19"/>
    <x v="15"/>
    <n v="2.286111111111111"/>
    <n v="0"/>
  </r>
  <r>
    <n v="4484"/>
    <x v="12"/>
    <s v="Release 2.1"/>
    <d v="2012-05-01T19:16:31"/>
    <x v="45"/>
    <n v="2.5555555555555554"/>
    <n v="0"/>
  </r>
  <r>
    <n v="4486"/>
    <x v="12"/>
    <s v="Release 2.1"/>
    <d v="2012-05-02T18:15:06"/>
    <x v="45"/>
    <n v="2.5527777777777776"/>
    <n v="0"/>
  </r>
  <r>
    <n v="4487"/>
    <x v="12"/>
    <s v="Release 2.1"/>
    <d v="2012-05-02T18:15:38"/>
    <x v="45"/>
    <n v="2.5527777777777776"/>
    <n v="0"/>
  </r>
  <r>
    <n v="4489"/>
    <x v="30"/>
    <s v="Release 2.6"/>
    <d v="2013-07-19T14:32:24"/>
    <x v="26"/>
    <n v="1.3388888888888888"/>
    <n v="0"/>
  </r>
  <r>
    <n v="4493"/>
    <x v="12"/>
    <s v="Release 2.1"/>
    <d v="2012-04-30T15:13:14"/>
    <x v="2"/>
    <n v="2.5583333333333331"/>
    <n v="0"/>
  </r>
  <r>
    <n v="4498"/>
    <x v="12"/>
    <s v="Release 2.1"/>
    <d v="2012-05-03T21:40:33"/>
    <x v="3"/>
    <n v="2.5499999999999998"/>
    <n v="0"/>
  </r>
  <r>
    <n v="4510"/>
    <x v="12"/>
    <s v="Release 2.0"/>
    <d v="2012-02-03T15:03:00"/>
    <x v="8"/>
    <n v="2.8"/>
    <n v="0"/>
  </r>
  <r>
    <n v="4511"/>
    <x v="12"/>
    <s v="Release 2.0"/>
    <d v="2012-02-03T15:02:57"/>
    <x v="8"/>
    <n v="2.8"/>
    <n v="0"/>
  </r>
  <r>
    <n v="4517"/>
    <x v="3"/>
    <s v="Release 2.0"/>
    <d v="2012-01-18T16:34:43"/>
    <x v="7"/>
    <n v="2.8416666666666668"/>
    <n v="0"/>
  </r>
  <r>
    <n v="4521"/>
    <x v="17"/>
    <s v="Release 2.1"/>
    <d v="2012-04-30T18:53:07"/>
    <x v="8"/>
    <n v="2.5583333333333331"/>
    <n v="0"/>
  </r>
  <r>
    <n v="4524"/>
    <x v="12"/>
    <s v="Release 2.0"/>
    <d v="2012-01-26T14:28:15"/>
    <x v="5"/>
    <n v="2.8194444444444446"/>
    <n v="0"/>
  </r>
  <r>
    <n v="4525"/>
    <x v="8"/>
    <s v="Release 2.0"/>
    <d v="2012-01-19T11:07:31"/>
    <x v="2"/>
    <n v="2.838888888888889"/>
    <n v="0"/>
  </r>
  <r>
    <n v="4526"/>
    <x v="8"/>
    <s v="Release 2.0"/>
    <d v="2012-01-19T09:35:17"/>
    <x v="2"/>
    <n v="2.838888888888889"/>
    <n v="0"/>
  </r>
  <r>
    <n v="4528"/>
    <x v="13"/>
    <s v="Release 2.0"/>
    <d v="2012-01-18T16:34:47"/>
    <x v="18"/>
    <n v="2.8416666666666668"/>
    <n v="0"/>
  </r>
  <r>
    <n v="4529"/>
    <x v="3"/>
    <s v="Release 2.0"/>
    <d v="2012-01-23T20:23:44"/>
    <x v="9"/>
    <n v="2.8277777777777779"/>
    <n v="0"/>
  </r>
  <r>
    <n v="4532"/>
    <x v="13"/>
    <s v="Release 2.0"/>
    <d v="2012-01-18T16:45:50"/>
    <x v="18"/>
    <n v="2.8416666666666668"/>
    <n v="0"/>
  </r>
  <r>
    <n v="4533"/>
    <x v="8"/>
    <s v="Release 2.0"/>
    <d v="2012-01-19T09:32:16"/>
    <x v="2"/>
    <n v="2.838888888888889"/>
    <n v="0"/>
  </r>
  <r>
    <n v="4534"/>
    <x v="0"/>
    <s v="Release 2.0"/>
    <d v="2012-01-23T20:23:49"/>
    <x v="5"/>
    <n v="2.8277777777777779"/>
    <n v="0"/>
  </r>
  <r>
    <n v="4535"/>
    <x v="11"/>
    <s v="Release 2.0"/>
    <d v="2012-01-18T17:23:24"/>
    <x v="10"/>
    <n v="2.8416666666666668"/>
    <n v="0"/>
  </r>
  <r>
    <n v="4537"/>
    <x v="12"/>
    <s v="Release 2.1"/>
    <d v="2012-04-30T15:17:06"/>
    <x v="2"/>
    <n v="2.5583333333333331"/>
    <n v="0"/>
  </r>
  <r>
    <n v="4538"/>
    <x v="0"/>
    <s v="Release 2.0"/>
    <d v="2012-01-26T16:45:42"/>
    <x v="19"/>
    <n v="2.8194444444444446"/>
    <n v="0"/>
  </r>
  <r>
    <n v="4539"/>
    <x v="4"/>
    <s v="Release 2.0"/>
    <d v="2012-01-18T16:34:53"/>
    <x v="18"/>
    <n v="2.8416666666666668"/>
    <n v="0"/>
  </r>
  <r>
    <n v="4540"/>
    <x v="13"/>
    <s v="Release 2.0"/>
    <d v="2012-01-18T16:34:57"/>
    <x v="18"/>
    <n v="2.8416666666666668"/>
    <n v="0"/>
  </r>
  <r>
    <n v="4544"/>
    <x v="12"/>
    <s v="Release 2.1"/>
    <d v="2012-05-02T10:33:53"/>
    <x v="1"/>
    <n v="2.5527777777777776"/>
    <n v="0"/>
  </r>
  <r>
    <n v="4545"/>
    <x v="12"/>
    <s v="Release 2.1"/>
    <d v="2012-04-30T20:38:19"/>
    <x v="5"/>
    <n v="2.5583333333333331"/>
    <n v="0"/>
  </r>
  <r>
    <n v="4547"/>
    <x v="13"/>
    <s v="Release 2.0"/>
    <d v="2012-02-02T17:01:52"/>
    <x v="8"/>
    <n v="2.8027777777777776"/>
    <n v="0"/>
  </r>
  <r>
    <n v="4553"/>
    <x v="23"/>
    <s v="Release 2.0"/>
    <d v="2012-01-20T19:22:57"/>
    <x v="10"/>
    <n v="2.8361111111111112"/>
    <n v="0"/>
  </r>
  <r>
    <n v="4554"/>
    <x v="12"/>
    <s v="Release 2.1"/>
    <d v="2012-05-02T18:58:45"/>
    <x v="10"/>
    <n v="2.5527777777777776"/>
    <n v="0"/>
  </r>
  <r>
    <n v="4556"/>
    <x v="13"/>
    <s v="Release 2.0"/>
    <d v="2012-01-20T16:38:42"/>
    <x v="18"/>
    <n v="2.8361111111111112"/>
    <n v="0"/>
  </r>
  <r>
    <n v="4560"/>
    <x v="17"/>
    <s v="Release 2.1"/>
    <d v="2012-05-03T09:19:29"/>
    <x v="13"/>
    <n v="2.5499999999999998"/>
    <n v="0"/>
  </r>
  <r>
    <n v="4561"/>
    <x v="3"/>
    <s v="Release 2.0"/>
    <d v="2012-01-24T16:07:39"/>
    <x v="18"/>
    <n v="2.8250000000000002"/>
    <n v="0"/>
  </r>
  <r>
    <n v="4562"/>
    <x v="12"/>
    <s v="Release 2.0"/>
    <d v="2012-01-19T18:28:16"/>
    <x v="21"/>
    <n v="2.838888888888889"/>
    <n v="0"/>
  </r>
  <r>
    <n v="4564"/>
    <x v="16"/>
    <s v="Release 2.0"/>
    <d v="2012-01-20T20:21:17"/>
    <x v="5"/>
    <n v="2.8361111111111112"/>
    <n v="0"/>
  </r>
  <r>
    <n v="4565"/>
    <x v="8"/>
    <s v="Release 2.0"/>
    <d v="2012-01-25T09:26:42"/>
    <x v="2"/>
    <n v="2.8222222222222224"/>
    <n v="0"/>
  </r>
  <r>
    <n v="4567"/>
    <x v="21"/>
    <s v="Release 2.1"/>
    <d v="2012-04-30T20:43:59"/>
    <x v="8"/>
    <n v="2.5583333333333331"/>
    <n v="0"/>
  </r>
  <r>
    <n v="4568"/>
    <x v="15"/>
    <s v="Release 2.1"/>
    <d v="2012-04-30T20:56:16"/>
    <x v="8"/>
    <n v="2.5583333333333331"/>
    <n v="0"/>
  </r>
  <r>
    <n v="4573"/>
    <x v="0"/>
    <s v="Release 2.0"/>
    <d v="2012-01-23T20:49:16"/>
    <x v="5"/>
    <n v="2.8277777777777779"/>
    <n v="0"/>
  </r>
  <r>
    <n v="4579"/>
    <x v="2"/>
    <s v="Release 2.0"/>
    <d v="2012-01-20T18:41:16"/>
    <x v="13"/>
    <n v="2.8361111111111112"/>
    <n v="0"/>
  </r>
  <r>
    <n v="4580"/>
    <x v="21"/>
    <s v="Release 2.1"/>
    <d v="2012-05-01T21:32:33"/>
    <x v="24"/>
    <n v="2.5555555555555554"/>
    <n v="0"/>
  </r>
  <r>
    <n v="4581"/>
    <x v="13"/>
    <s v="Release 2.0"/>
    <d v="2012-02-02T15:39:18"/>
    <x v="13"/>
    <n v="2.8027777777777776"/>
    <n v="0"/>
  </r>
  <r>
    <n v="4582"/>
    <x v="4"/>
    <s v="Release 2.0"/>
    <d v="2012-02-02T16:07:50"/>
    <x v="13"/>
    <n v="2.8027777777777776"/>
    <n v="0"/>
  </r>
  <r>
    <n v="4583"/>
    <x v="3"/>
    <s v="Release 2.0"/>
    <d v="2012-01-25T03:10:46"/>
    <x v="7"/>
    <n v="2.8222222222222224"/>
    <n v="0"/>
  </r>
  <r>
    <n v="4586"/>
    <x v="3"/>
    <s v="Release 2.0"/>
    <d v="2012-01-26T20:48:29"/>
    <x v="7"/>
    <n v="2.8194444444444446"/>
    <n v="0"/>
  </r>
  <r>
    <n v="4587"/>
    <x v="3"/>
    <s v="Release 2.0"/>
    <d v="2012-01-25T20:04:02"/>
    <x v="9"/>
    <n v="2.8222222222222224"/>
    <n v="0"/>
  </r>
  <r>
    <n v="4591"/>
    <x v="8"/>
    <s v="Release 2.0"/>
    <d v="2012-01-26T08:32:36"/>
    <x v="2"/>
    <n v="2.8194444444444446"/>
    <n v="0"/>
  </r>
  <r>
    <n v="4595"/>
    <x v="3"/>
    <s v="Release 2.0"/>
    <d v="2012-01-23T14:55:14"/>
    <x v="2"/>
    <n v="2.8277777777777779"/>
    <n v="0"/>
  </r>
  <r>
    <n v="4596"/>
    <x v="21"/>
    <s v="Release 2.1"/>
    <d v="2012-04-30T22:14:29"/>
    <x v="19"/>
    <n v="2.5583333333333331"/>
    <n v="0"/>
  </r>
  <r>
    <n v="4597"/>
    <x v="23"/>
    <s v="Release 2.0"/>
    <d v="2012-01-20T20:09:30"/>
    <x v="3"/>
    <n v="2.8361111111111112"/>
    <n v="0"/>
  </r>
  <r>
    <n v="4599"/>
    <x v="8"/>
    <s v="Release 2.0"/>
    <d v="2012-01-26T16:39:57"/>
    <x v="19"/>
    <n v="2.8194444444444446"/>
    <n v="0"/>
  </r>
  <r>
    <n v="4602"/>
    <x v="8"/>
    <s v="Release 2.0"/>
    <d v="2012-01-26T19:10:31"/>
    <x v="19"/>
    <n v="2.8194444444444446"/>
    <n v="0"/>
  </r>
  <r>
    <n v="4603"/>
    <x v="11"/>
    <s v="Release 2.0"/>
    <d v="2012-01-27T22:08:25"/>
    <x v="7"/>
    <n v="2.8166666666666669"/>
    <n v="0"/>
  </r>
  <r>
    <n v="4605"/>
    <x v="3"/>
    <s v="Release 2.0"/>
    <d v="2012-01-24T21:38:42"/>
    <x v="7"/>
    <n v="2.8250000000000002"/>
    <n v="0"/>
  </r>
  <r>
    <n v="4609"/>
    <x v="14"/>
    <s v="Release 2.1"/>
    <d v="2012-05-02T20:43:51"/>
    <x v="5"/>
    <n v="2.5527777777777776"/>
    <n v="0"/>
  </r>
  <r>
    <n v="4610"/>
    <x v="4"/>
    <s v="Release 2.0"/>
    <d v="2012-01-24T15:05:41"/>
    <x v="18"/>
    <n v="2.8250000000000002"/>
    <n v="0"/>
  </r>
  <r>
    <n v="4611"/>
    <x v="17"/>
    <s v="Release 2.6"/>
    <d v="2013-07-25T10:58:11"/>
    <x v="7"/>
    <n v="1.3222222222222222"/>
    <n v="0"/>
  </r>
  <r>
    <n v="4612"/>
    <x v="3"/>
    <s v="Release 2.0"/>
    <d v="2012-01-25T14:12:54"/>
    <x v="7"/>
    <n v="2.8222222222222224"/>
    <n v="0"/>
  </r>
  <r>
    <n v="4613"/>
    <x v="13"/>
    <s v="Release 2.0"/>
    <d v="2012-02-02T16:51:36"/>
    <x v="8"/>
    <n v="2.8027777777777776"/>
    <n v="0"/>
  </r>
  <r>
    <n v="4615"/>
    <x v="16"/>
    <s v="Release 2.0"/>
    <d v="2012-01-26T19:30:37"/>
    <x v="3"/>
    <n v="2.8194444444444446"/>
    <n v="0"/>
  </r>
  <r>
    <n v="4618"/>
    <x v="31"/>
    <s v="Release 2.1"/>
    <d v="2012-04-30T15:03:03"/>
    <x v="8"/>
    <n v="2.5583333333333331"/>
    <n v="0"/>
  </r>
  <r>
    <n v="4619"/>
    <x v="8"/>
    <s v="Release 2.0"/>
    <d v="2012-02-01T11:14:19"/>
    <x v="2"/>
    <n v="2.8055555555555554"/>
    <n v="0"/>
  </r>
  <r>
    <n v="4622"/>
    <x v="19"/>
    <s v="Release 2.0"/>
    <d v="2012-02-01T16:59:52"/>
    <x v="8"/>
    <n v="2.8055555555555554"/>
    <n v="0"/>
  </r>
  <r>
    <n v="4623"/>
    <x v="13"/>
    <s v="Release 2.0"/>
    <d v="2012-01-30T19:53:57"/>
    <x v="9"/>
    <n v="2.8083333333333331"/>
    <n v="0"/>
  </r>
  <r>
    <n v="4624"/>
    <x v="13"/>
    <s v="Release 2.0"/>
    <d v="2012-02-02T16:08:30"/>
    <x v="13"/>
    <n v="2.8027777777777776"/>
    <n v="0"/>
  </r>
  <r>
    <n v="4625"/>
    <x v="0"/>
    <s v="Release 2.1"/>
    <d v="2012-04-30T17:01:44"/>
    <x v="16"/>
    <n v="2.5583333333333331"/>
    <n v="0"/>
  </r>
  <r>
    <n v="4626"/>
    <x v="13"/>
    <s v="Release 2.0"/>
    <d v="2012-02-02T16:54:42"/>
    <x v="8"/>
    <n v="2.8027777777777776"/>
    <n v="0"/>
  </r>
  <r>
    <n v="4628"/>
    <x v="2"/>
    <s v="Release 2.0"/>
    <d v="2012-01-31T22:37:44"/>
    <x v="8"/>
    <n v="2.8083333333333331"/>
    <n v="0"/>
  </r>
  <r>
    <n v="4637"/>
    <x v="17"/>
    <s v="Release 2.1"/>
    <d v="2012-04-30T18:41:38"/>
    <x v="35"/>
    <n v="2.5583333333333331"/>
    <n v="0"/>
  </r>
  <r>
    <n v="4638"/>
    <x v="4"/>
    <s v="Release 2.0"/>
    <d v="2012-02-02T14:00:59"/>
    <x v="7"/>
    <n v="2.8027777777777776"/>
    <n v="0"/>
  </r>
  <r>
    <n v="4639"/>
    <x v="4"/>
    <s v="Release 2.0"/>
    <d v="2012-02-01T13:29:44"/>
    <x v="2"/>
    <n v="2.8055555555555554"/>
    <n v="0"/>
  </r>
  <r>
    <n v="4641"/>
    <x v="12"/>
    <s v="Release 2.1"/>
    <d v="2012-05-02T11:39:12"/>
    <x v="1"/>
    <n v="2.5527777777777776"/>
    <n v="0"/>
  </r>
  <r>
    <n v="4642"/>
    <x v="2"/>
    <s v="Release 2.0"/>
    <d v="2012-01-26T20:08:34"/>
    <x v="19"/>
    <n v="2.8194444444444446"/>
    <n v="0"/>
  </r>
  <r>
    <n v="4643"/>
    <x v="16"/>
    <s v="Release 2.1"/>
    <d v="2012-05-01T21:44:37"/>
    <x v="5"/>
    <n v="2.5555555555555554"/>
    <n v="0"/>
  </r>
  <r>
    <n v="4644"/>
    <x v="16"/>
    <s v="Release 2.0"/>
    <d v="2012-01-26T15:58:03"/>
    <x v="5"/>
    <n v="2.8194444444444446"/>
    <n v="0"/>
  </r>
  <r>
    <n v="4646"/>
    <x v="3"/>
    <s v="Release 2.0"/>
    <d v="2012-01-26T20:58:30"/>
    <x v="7"/>
    <n v="2.8194444444444446"/>
    <n v="0"/>
  </r>
  <r>
    <n v="4647"/>
    <x v="12"/>
    <s v="Release 2.1"/>
    <d v="2012-05-02T22:55:52"/>
    <x v="7"/>
    <n v="2.5527777777777776"/>
    <n v="0"/>
  </r>
  <r>
    <n v="4648"/>
    <x v="13"/>
    <s v="Release 2.0"/>
    <d v="2012-02-02T15:41:08"/>
    <x v="13"/>
    <n v="2.8027777777777776"/>
    <n v="0"/>
  </r>
  <r>
    <n v="4649"/>
    <x v="3"/>
    <s v="Release 2.3"/>
    <d v="2012-10-29T18:02:26"/>
    <x v="9"/>
    <n v="2.0611111111111109"/>
    <n v="0"/>
  </r>
  <r>
    <n v="4650"/>
    <x v="3"/>
    <s v="Release 2.0"/>
    <d v="2012-01-25T16:32:10"/>
    <x v="9"/>
    <n v="2.8222222222222224"/>
    <n v="0"/>
  </r>
  <r>
    <n v="4654"/>
    <x v="23"/>
    <s v="Release 2.0"/>
    <d v="2012-01-30T14:33:55"/>
    <x v="10"/>
    <n v="2.8083333333333331"/>
    <n v="0"/>
  </r>
  <r>
    <n v="4655"/>
    <x v="16"/>
    <s v="Release 2.0"/>
    <d v="2012-01-25T19:08:39"/>
    <x v="5"/>
    <n v="2.8222222222222224"/>
    <n v="0"/>
  </r>
  <r>
    <n v="4656"/>
    <x v="21"/>
    <s v="Release 2.0"/>
    <d v="2012-01-26T18:43:58"/>
    <x v="3"/>
    <n v="2.8194444444444446"/>
    <n v="0"/>
  </r>
  <r>
    <n v="4657"/>
    <x v="51"/>
    <s v="Release 2.1"/>
    <d v="2012-05-01T17:18:40"/>
    <x v="10"/>
    <n v="2.5555555555555554"/>
    <n v="0"/>
  </r>
  <r>
    <n v="4658"/>
    <x v="16"/>
    <s v="Release 2.0"/>
    <d v="2014-03-14T09:46:55"/>
    <x v="7"/>
    <n v="0.68611111111111112"/>
    <n v="1"/>
  </r>
  <r>
    <n v="4661"/>
    <x v="21"/>
    <s v="Release 2.0"/>
    <d v="2012-01-27T16:58:39"/>
    <x v="16"/>
    <n v="2.8166666666666669"/>
    <n v="0"/>
  </r>
  <r>
    <n v="4664"/>
    <x v="13"/>
    <s v="Release 2.0"/>
    <d v="2012-02-02T16:59:34"/>
    <x v="8"/>
    <n v="2.8027777777777776"/>
    <n v="0"/>
  </r>
  <r>
    <n v="4666"/>
    <x v="12"/>
    <s v="Release 2.1"/>
    <d v="2012-05-02T14:52:53"/>
    <x v="2"/>
    <n v="2.5527777777777776"/>
    <n v="0"/>
  </r>
  <r>
    <n v="4668"/>
    <x v="8"/>
    <s v="Release 2.2"/>
    <d v="2012-08-07T12:56:58"/>
    <x v="2"/>
    <n v="2.2888888888888888"/>
    <n v="0"/>
  </r>
  <r>
    <n v="4674"/>
    <x v="24"/>
    <s v="Release 3.0"/>
    <d v="2013-09-10T14:51:16"/>
    <x v="7"/>
    <n v="1.1972222222222222"/>
    <n v="0"/>
  </r>
  <r>
    <n v="4675"/>
    <x v="13"/>
    <s v="Release 2.0"/>
    <d v="2012-02-02T16:58:09"/>
    <x v="8"/>
    <n v="2.8027777777777776"/>
    <n v="0"/>
  </r>
  <r>
    <n v="4677"/>
    <x v="21"/>
    <s v="Release 2.1"/>
    <d v="2012-05-04T16:52:49"/>
    <x v="19"/>
    <n v="2.5472222222222221"/>
    <n v="0"/>
  </r>
  <r>
    <n v="4678"/>
    <x v="11"/>
    <s v="Release 2.0"/>
    <d v="2012-02-01T15:36:32"/>
    <x v="8"/>
    <n v="2.8055555555555554"/>
    <n v="0"/>
  </r>
  <r>
    <n v="4681"/>
    <x v="2"/>
    <s v="Release 2.0"/>
    <d v="2012-01-31T18:41:43"/>
    <x v="7"/>
    <n v="2.8083333333333331"/>
    <n v="0"/>
  </r>
  <r>
    <n v="4682"/>
    <x v="4"/>
    <s v="Release 2.0"/>
    <d v="2012-02-01T17:11:29"/>
    <x v="8"/>
    <n v="2.8055555555555554"/>
    <n v="0"/>
  </r>
  <r>
    <n v="4684"/>
    <x v="11"/>
    <s v="Release 2.0"/>
    <d v="2012-01-30T15:24:04"/>
    <x v="19"/>
    <n v="2.8083333333333331"/>
    <n v="0"/>
  </r>
  <r>
    <n v="4685"/>
    <x v="13"/>
    <s v="Release 2.0"/>
    <d v="2012-01-30T19:55:55"/>
    <x v="9"/>
    <n v="2.8083333333333331"/>
    <n v="0"/>
  </r>
  <r>
    <n v="4686"/>
    <x v="4"/>
    <s v="Release 2.0"/>
    <d v="2012-01-31T18:25:26"/>
    <x v="7"/>
    <n v="2.8083333333333331"/>
    <n v="0"/>
  </r>
  <r>
    <n v="4687"/>
    <x v="13"/>
    <s v="Release 2.0"/>
    <d v="2012-02-02T16:45:52"/>
    <x v="8"/>
    <n v="2.8027777777777776"/>
    <n v="0"/>
  </r>
  <r>
    <n v="4689"/>
    <x v="3"/>
    <s v="Release 2.0"/>
    <d v="2012-02-01T15:27:28"/>
    <x v="8"/>
    <n v="2.8055555555555554"/>
    <n v="0"/>
  </r>
  <r>
    <n v="4691"/>
    <x v="13"/>
    <s v="Release 2.0"/>
    <d v="2012-02-02T16:53:27"/>
    <x v="8"/>
    <n v="2.8027777777777776"/>
    <n v="0"/>
  </r>
  <r>
    <n v="4693"/>
    <x v="21"/>
    <s v="Release 2.6"/>
    <d v="2013-07-25T11:00:50"/>
    <x v="3"/>
    <n v="1.3222222222222222"/>
    <n v="0"/>
  </r>
  <r>
    <n v="4694"/>
    <x v="10"/>
    <s v="Release 2.0"/>
    <d v="2012-02-01T09:07:42"/>
    <x v="15"/>
    <n v="2.8055555555555554"/>
    <n v="0"/>
  </r>
  <r>
    <n v="4695"/>
    <x v="4"/>
    <s v="Release 2.0"/>
    <d v="2012-02-01T16:00:47"/>
    <x v="2"/>
    <n v="2.8055555555555554"/>
    <n v="0"/>
  </r>
  <r>
    <n v="4698"/>
    <x v="13"/>
    <s v="Release 2.0"/>
    <d v="2012-03-13T19:10:21"/>
    <x v="8"/>
    <n v="2.6888888888888891"/>
    <n v="0"/>
  </r>
  <r>
    <n v="4699"/>
    <x v="13"/>
    <s v="Release 2.0"/>
    <d v="2012-02-01T19:05:09"/>
    <x v="8"/>
    <n v="2.8055555555555554"/>
    <n v="0"/>
  </r>
  <r>
    <n v="4700"/>
    <x v="3"/>
    <s v="Release 2.0"/>
    <d v="2012-02-01T16:53:27"/>
    <x v="9"/>
    <n v="2.8055555555555554"/>
    <n v="0"/>
  </r>
  <r>
    <n v="4703"/>
    <x v="12"/>
    <s v="Release 2.0"/>
    <d v="2012-02-03T15:02:54"/>
    <x v="0"/>
    <n v="2.8"/>
    <n v="0"/>
  </r>
  <r>
    <n v="4704"/>
    <x v="12"/>
    <s v="Release 2.1"/>
    <d v="2012-04-30T20:50:10"/>
    <x v="8"/>
    <n v="2.5583333333333331"/>
    <n v="0"/>
  </r>
  <r>
    <n v="4705"/>
    <x v="19"/>
    <s v="Release 2.0"/>
    <d v="2012-02-03T15:02:52"/>
    <x v="8"/>
    <n v="2.8"/>
    <n v="0"/>
  </r>
  <r>
    <n v="4706"/>
    <x v="3"/>
    <s v="Release 2.0"/>
    <d v="2012-02-01T17:13:51"/>
    <x v="8"/>
    <n v="2.8055555555555554"/>
    <n v="0"/>
  </r>
  <r>
    <n v="4707"/>
    <x v="19"/>
    <s v="Release 2.0"/>
    <d v="2012-02-01T18:09:22"/>
    <x v="8"/>
    <n v="2.8055555555555554"/>
    <n v="0"/>
  </r>
  <r>
    <n v="4708"/>
    <x v="14"/>
    <s v="Release 2.0"/>
    <d v="2012-02-01T18:14:53"/>
    <x v="8"/>
    <n v="2.8055555555555554"/>
    <n v="0"/>
  </r>
  <r>
    <n v="4711"/>
    <x v="11"/>
    <s v="Release 2.1"/>
    <d v="2012-04-30T20:04:30"/>
    <x v="35"/>
    <n v="2.5583333333333331"/>
    <n v="0"/>
  </r>
  <r>
    <n v="4713"/>
    <x v="21"/>
    <s v="Release 2.1"/>
    <d v="2012-04-30T16:44:08"/>
    <x v="19"/>
    <n v="2.5583333333333331"/>
    <n v="0"/>
  </r>
  <r>
    <n v="4715"/>
    <x v="3"/>
    <s v="Release 2.0"/>
    <d v="2012-02-01T21:58:43"/>
    <x v="9"/>
    <n v="2.8055555555555554"/>
    <n v="0"/>
  </r>
  <r>
    <n v="4716"/>
    <x v="12"/>
    <s v="Release 2.0"/>
    <d v="2012-02-03T15:03:00"/>
    <x v="8"/>
    <n v="2.8"/>
    <n v="0"/>
  </r>
  <r>
    <n v="4720"/>
    <x v="12"/>
    <s v="Release 2.1"/>
    <d v="2012-05-01T15:25:44"/>
    <x v="23"/>
    <n v="2.5555555555555554"/>
    <n v="0"/>
  </r>
  <r>
    <n v="4721"/>
    <x v="13"/>
    <s v="Release 2.0"/>
    <d v="2012-02-02T13:56:23"/>
    <x v="1"/>
    <n v="2.8027777777777776"/>
    <n v="0"/>
  </r>
  <r>
    <n v="4722"/>
    <x v="19"/>
    <s v="Release 2.0"/>
    <d v="2012-02-03T15:02:52"/>
    <x v="8"/>
    <n v="2.8"/>
    <n v="0"/>
  </r>
  <r>
    <n v="4723"/>
    <x v="3"/>
    <s v="Release 2.0"/>
    <d v="2012-02-02T16:49:16"/>
    <x v="8"/>
    <n v="2.8027777777777776"/>
    <n v="0"/>
  </r>
  <r>
    <n v="4726"/>
    <x v="13"/>
    <s v="Release 2.1"/>
    <d v="2012-05-04T16:53:33"/>
    <x v="13"/>
    <n v="2.5472222222222221"/>
    <n v="0"/>
  </r>
  <r>
    <n v="4727"/>
    <x v="3"/>
    <s v="Release 2.1"/>
    <d v="2012-08-14T19:45:28"/>
    <x v="13"/>
    <n v="2.2694444444444444"/>
    <n v="0"/>
  </r>
  <r>
    <n v="4729"/>
    <x v="12"/>
    <s v="Release 2.1"/>
    <d v="2012-05-01T10:58:58"/>
    <x v="2"/>
    <n v="2.5555555555555554"/>
    <n v="0"/>
  </r>
  <r>
    <n v="4731"/>
    <x v="3"/>
    <s v="Release 2.0"/>
    <d v="2012-02-03T15:03:01"/>
    <x v="0"/>
    <n v="2.8"/>
    <n v="0"/>
  </r>
  <r>
    <n v="4733"/>
    <x v="12"/>
    <s v="Release 2.1"/>
    <d v="2012-04-30T16:08:54"/>
    <x v="2"/>
    <n v="2.5583333333333331"/>
    <n v="0"/>
  </r>
  <r>
    <n v="4735"/>
    <x v="23"/>
    <s v="Release 2.1"/>
    <d v="2012-05-01T20:40:24"/>
    <x v="10"/>
    <n v="2.5555555555555554"/>
    <n v="0"/>
  </r>
  <r>
    <n v="4737"/>
    <x v="23"/>
    <s v="Release 2.2"/>
    <d v="2012-08-09T18:38:37"/>
    <x v="7"/>
    <n v="2.2833333333333332"/>
    <n v="0"/>
  </r>
  <r>
    <n v="4738"/>
    <x v="23"/>
    <s v="Release 2.1"/>
    <d v="2012-05-01T15:01:45"/>
    <x v="1"/>
    <n v="2.5555555555555554"/>
    <n v="0"/>
  </r>
  <r>
    <n v="4740"/>
    <x v="8"/>
    <s v="Release 2.1"/>
    <d v="2012-04-30T14:17:30"/>
    <x v="2"/>
    <n v="2.5583333333333331"/>
    <n v="0"/>
  </r>
  <r>
    <n v="4744"/>
    <x v="16"/>
    <s v="Release 2.1"/>
    <d v="2012-04-30T20:02:26"/>
    <x v="8"/>
    <n v="2.5583333333333331"/>
    <n v="0"/>
  </r>
  <r>
    <n v="4746"/>
    <x v="16"/>
    <s v="Release 2.1"/>
    <d v="2012-04-30T16:23:49"/>
    <x v="5"/>
    <n v="2.5583333333333331"/>
    <n v="0"/>
  </r>
  <r>
    <n v="4750"/>
    <x v="16"/>
    <s v="Release 2.1"/>
    <d v="2012-04-30T21:32:45"/>
    <x v="5"/>
    <n v="2.5583333333333331"/>
    <n v="0"/>
  </r>
  <r>
    <n v="4751"/>
    <x v="16"/>
    <s v="Release 2.1"/>
    <d v="2012-04-30T20:24:19"/>
    <x v="5"/>
    <n v="2.5583333333333331"/>
    <n v="0"/>
  </r>
  <r>
    <n v="4753"/>
    <x v="21"/>
    <s v="Release 2.1"/>
    <d v="2012-04-30T16:51:01"/>
    <x v="19"/>
    <n v="2.5583333333333331"/>
    <n v="0"/>
  </r>
  <r>
    <n v="4756"/>
    <x v="23"/>
    <s v="Release 2.1"/>
    <d v="2012-05-01T14:31:59"/>
    <x v="15"/>
    <n v="2.5555555555555554"/>
    <n v="0"/>
  </r>
  <r>
    <n v="4757"/>
    <x v="23"/>
    <s v="Release 2.1"/>
    <d v="2012-04-30T20:39:15"/>
    <x v="8"/>
    <n v="2.5583333333333331"/>
    <n v="0"/>
  </r>
  <r>
    <n v="4758"/>
    <x v="23"/>
    <s v="Release 2.1"/>
    <d v="2012-05-04T12:02:18"/>
    <x v="1"/>
    <n v="2.5472222222222221"/>
    <n v="0"/>
  </r>
  <r>
    <n v="4760"/>
    <x v="21"/>
    <s v="Release 2.1"/>
    <d v="2012-05-02T15:08:18"/>
    <x v="24"/>
    <n v="2.5527777777777776"/>
    <n v="0"/>
  </r>
  <r>
    <n v="4761"/>
    <x v="15"/>
    <s v="Release 2.1"/>
    <d v="2012-04-30T20:09:05"/>
    <x v="35"/>
    <n v="2.5583333333333331"/>
    <n v="0"/>
  </r>
  <r>
    <n v="4762"/>
    <x v="15"/>
    <s v="Release 2.1"/>
    <d v="2012-04-30T20:10:47"/>
    <x v="35"/>
    <n v="2.5583333333333331"/>
    <n v="0"/>
  </r>
  <r>
    <n v="4763"/>
    <x v="0"/>
    <s v="Release 2.1"/>
    <d v="2012-05-01T19:02:59"/>
    <x v="5"/>
    <n v="2.5555555555555554"/>
    <n v="0"/>
  </r>
  <r>
    <n v="4766"/>
    <x v="14"/>
    <s v="Release 2.1"/>
    <d v="2012-05-02T20:44:01"/>
    <x v="5"/>
    <n v="2.5527777777777776"/>
    <n v="0"/>
  </r>
  <r>
    <n v="4768"/>
    <x v="3"/>
    <s v="Release 2.1"/>
    <d v="2012-04-30T21:58:04"/>
    <x v="8"/>
    <n v="2.5583333333333331"/>
    <n v="0"/>
  </r>
  <r>
    <n v="4769"/>
    <x v="3"/>
    <s v="Release 2.1"/>
    <d v="2012-04-30T00:25:02"/>
    <x v="9"/>
    <n v="2.5583333333333331"/>
    <n v="0"/>
  </r>
  <r>
    <n v="4771"/>
    <x v="12"/>
    <s v="Release 2.1"/>
    <d v="2012-05-01T19:22:54"/>
    <x v="45"/>
    <n v="2.5555555555555554"/>
    <n v="0"/>
  </r>
  <r>
    <n v="4772"/>
    <x v="21"/>
    <s v="Release 2.1"/>
    <d v="2012-05-01T20:38:32"/>
    <x v="16"/>
    <n v="2.5555555555555554"/>
    <n v="0"/>
  </r>
  <r>
    <n v="4773"/>
    <x v="11"/>
    <s v="Release 2.1"/>
    <d v="2012-05-01T14:31:26"/>
    <x v="10"/>
    <n v="2.5555555555555554"/>
    <n v="0"/>
  </r>
  <r>
    <n v="4774"/>
    <x v="3"/>
    <s v="Release 2.1"/>
    <d v="2012-05-03T17:21:06"/>
    <x v="7"/>
    <n v="2.5499999999999998"/>
    <n v="0"/>
  </r>
  <r>
    <n v="4775"/>
    <x v="12"/>
    <s v="Release 2.1"/>
    <d v="2012-04-30T17:18:11"/>
    <x v="16"/>
    <n v="2.5583333333333331"/>
    <n v="0"/>
  </r>
  <r>
    <n v="4776"/>
    <x v="0"/>
    <s v="Release 2.1"/>
    <d v="2012-04-30T18:35:17"/>
    <x v="35"/>
    <n v="2.5583333333333331"/>
    <n v="0"/>
  </r>
  <r>
    <n v="4777"/>
    <x v="13"/>
    <s v="Release 2.1"/>
    <d v="2012-04-30T14:14:57"/>
    <x v="13"/>
    <n v="2.5583333333333331"/>
    <n v="0"/>
  </r>
  <r>
    <n v="4782"/>
    <x v="12"/>
    <s v="Release 2.1"/>
    <d v="2012-05-01T10:03:23"/>
    <x v="2"/>
    <n v="2.5555555555555554"/>
    <n v="0"/>
  </r>
  <r>
    <n v="4783"/>
    <x v="0"/>
    <s v="Release 2.1"/>
    <d v="2012-04-30T20:13:19"/>
    <x v="16"/>
    <n v="2.5583333333333331"/>
    <n v="0"/>
  </r>
  <r>
    <n v="4785"/>
    <x v="8"/>
    <s v="Release 2.6"/>
    <d v="2013-05-17T14:44:54"/>
    <x v="1"/>
    <n v="1.5111111111111111"/>
    <n v="0"/>
  </r>
  <r>
    <n v="4786"/>
    <x v="14"/>
    <s v="Release 2.4"/>
    <d v="2013-01-28T15:54:17"/>
    <x v="5"/>
    <n v="1.8138888888888889"/>
    <n v="0"/>
  </r>
  <r>
    <n v="4789"/>
    <x v="12"/>
    <s v="Release 2.1"/>
    <d v="2012-04-30T15:48:27"/>
    <x v="2"/>
    <n v="2.5583333333333331"/>
    <n v="0"/>
  </r>
  <r>
    <n v="4790"/>
    <x v="21"/>
    <s v="Release 2.1"/>
    <d v="2012-05-02T17:03:31"/>
    <x v="24"/>
    <n v="2.5527777777777776"/>
    <n v="0"/>
  </r>
  <r>
    <n v="4791"/>
    <x v="12"/>
    <s v="Release 2.1"/>
    <d v="2012-05-02T16:33:55"/>
    <x v="35"/>
    <n v="2.5527777777777776"/>
    <n v="0"/>
  </r>
  <r>
    <n v="4792"/>
    <x v="15"/>
    <s v="Release 2.1"/>
    <d v="2012-05-04T16:52:48"/>
    <x v="8"/>
    <n v="2.5472222222222221"/>
    <n v="0"/>
  </r>
  <r>
    <n v="4793"/>
    <x v="8"/>
    <s v="Release 2.1"/>
    <d v="2012-05-02T15:12:13"/>
    <x v="45"/>
    <n v="2.5527777777777776"/>
    <n v="0"/>
  </r>
  <r>
    <n v="4796"/>
    <x v="14"/>
    <s v="Release 2.1"/>
    <d v="2012-04-30T22:10:20"/>
    <x v="8"/>
    <n v="2.5583333333333331"/>
    <n v="0"/>
  </r>
  <r>
    <n v="4804"/>
    <x v="12"/>
    <s v="Release 2.1"/>
    <d v="2012-04-30T16:35:15"/>
    <x v="35"/>
    <n v="2.5583333333333331"/>
    <n v="0"/>
  </r>
  <r>
    <n v="4807"/>
    <x v="12"/>
    <s v="Release 2.1"/>
    <d v="2012-04-30T21:13:16"/>
    <x v="5"/>
    <n v="2.5583333333333331"/>
    <n v="0"/>
  </r>
  <r>
    <n v="4810"/>
    <x v="6"/>
    <s v="Release 2.1"/>
    <d v="2012-05-02T10:10:58"/>
    <x v="1"/>
    <n v="2.5527777777777776"/>
    <n v="0"/>
  </r>
  <r>
    <n v="4813"/>
    <x v="14"/>
    <s v="Release 2.1"/>
    <d v="2012-05-02T20:44:39"/>
    <x v="5"/>
    <n v="2.5527777777777776"/>
    <n v="0"/>
  </r>
  <r>
    <n v="4814"/>
    <x v="11"/>
    <s v="Release 2.1"/>
    <d v="2012-05-01T03:39:14"/>
    <x v="9"/>
    <n v="2.5555555555555554"/>
    <n v="0"/>
  </r>
  <r>
    <n v="4815"/>
    <x v="10"/>
    <s v="Release 2.0.2"/>
    <d v="2012-03-13T11:15:26"/>
    <x v="1"/>
    <n v="2.6888888888888891"/>
    <n v="0"/>
  </r>
  <r>
    <n v="4816"/>
    <x v="12"/>
    <s v="Release 2.1"/>
    <d v="2012-05-01T10:23:39"/>
    <x v="2"/>
    <n v="2.5555555555555554"/>
    <n v="0"/>
  </r>
  <r>
    <n v="4819"/>
    <x v="10"/>
    <s v="Release 2.1"/>
    <d v="2012-05-01T21:29:18"/>
    <x v="16"/>
    <n v="2.5555555555555554"/>
    <n v="0"/>
  </r>
  <r>
    <n v="4820"/>
    <x v="19"/>
    <s v="Release 2.1"/>
    <d v="2012-05-01T15:34:11"/>
    <x v="8"/>
    <n v="2.5555555555555554"/>
    <n v="0"/>
  </r>
  <r>
    <n v="4825"/>
    <x v="3"/>
    <s v="Release 2.1"/>
    <d v="2012-04-30T21:46:53"/>
    <x v="8"/>
    <n v="2.5583333333333331"/>
    <n v="0"/>
  </r>
  <r>
    <n v="4826"/>
    <x v="2"/>
    <s v="Release 2.1"/>
    <d v="2012-05-02T20:31:55"/>
    <x v="7"/>
    <n v="2.5527777777777776"/>
    <n v="0"/>
  </r>
  <r>
    <n v="4830"/>
    <x v="12"/>
    <s v="Release 2.1"/>
    <d v="2012-04-30T19:12:42"/>
    <x v="8"/>
    <n v="2.5583333333333331"/>
    <n v="0"/>
  </r>
  <r>
    <n v="4832"/>
    <x v="23"/>
    <s v="Release 2.1"/>
    <d v="2012-05-02T19:16:58"/>
    <x v="9"/>
    <n v="2.5527777777777776"/>
    <n v="0"/>
  </r>
  <r>
    <n v="4835"/>
    <x v="21"/>
    <s v="Release 2.1.1"/>
    <d v="2012-05-31T19:38:23"/>
    <x v="3"/>
    <n v="2.4750000000000001"/>
    <n v="0"/>
  </r>
  <r>
    <n v="4836"/>
    <x v="13"/>
    <s v="Release 2.1"/>
    <d v="2012-04-30T15:08:54"/>
    <x v="13"/>
    <n v="2.5583333333333331"/>
    <n v="0"/>
  </r>
  <r>
    <n v="4839"/>
    <x v="16"/>
    <s v="Release 2.1"/>
    <d v="2012-05-01T14:38:13"/>
    <x v="5"/>
    <n v="2.5555555555555554"/>
    <n v="0"/>
  </r>
  <r>
    <n v="4842"/>
    <x v="19"/>
    <s v="Release 2.1"/>
    <d v="2012-05-01T14:12:37"/>
    <x v="20"/>
    <n v="2.5555555555555554"/>
    <n v="0"/>
  </r>
  <r>
    <n v="4843"/>
    <x v="20"/>
    <s v="Release 2.5"/>
    <d v="2013-05-22T11:45:32"/>
    <x v="18"/>
    <n v="1.4972222222222222"/>
    <n v="0"/>
  </r>
  <r>
    <n v="4845"/>
    <x v="14"/>
    <s v="Release 2.1"/>
    <d v="2012-04-30T19:53:37"/>
    <x v="35"/>
    <n v="2.5583333333333331"/>
    <n v="0"/>
  </r>
  <r>
    <n v="4849"/>
    <x v="16"/>
    <s v="Release 2.1"/>
    <d v="2012-04-30T16:43:43"/>
    <x v="16"/>
    <n v="2.5583333333333331"/>
    <n v="0"/>
  </r>
  <r>
    <n v="4850"/>
    <x v="10"/>
    <s v="Release 2.1"/>
    <d v="2012-05-01T21:57:58"/>
    <x v="5"/>
    <n v="2.5555555555555554"/>
    <n v="0"/>
  </r>
  <r>
    <n v="4854"/>
    <x v="13"/>
    <s v="Release 2.1"/>
    <d v="2012-04-30T15:10:58"/>
    <x v="13"/>
    <n v="2.5583333333333331"/>
    <n v="0"/>
  </r>
  <r>
    <n v="4855"/>
    <x v="3"/>
    <s v="Release 2.0.2"/>
    <d v="2012-03-13T13:04:59"/>
    <x v="1"/>
    <n v="2.6888888888888891"/>
    <n v="0"/>
  </r>
  <r>
    <n v="4856"/>
    <x v="28"/>
    <s v="Release 3.2"/>
    <d v="2014-05-01T11:12:56"/>
    <x v="1"/>
    <n v="0.55555555555555558"/>
    <n v="1"/>
  </r>
  <r>
    <n v="4859"/>
    <x v="11"/>
    <s v="Release 2.4"/>
    <d v="2013-01-30T18:44:44"/>
    <x v="5"/>
    <n v="1.8083333333333333"/>
    <n v="0"/>
  </r>
  <r>
    <n v="4860"/>
    <x v="12"/>
    <s v="Release 2.1"/>
    <d v="2012-04-30T19:10:27"/>
    <x v="8"/>
    <n v="2.5583333333333331"/>
    <n v="0"/>
  </r>
  <r>
    <n v="4862"/>
    <x v="19"/>
    <s v="Release 2.1"/>
    <d v="2012-05-01T14:25:02"/>
    <x v="20"/>
    <n v="2.5555555555555554"/>
    <n v="0"/>
  </r>
  <r>
    <n v="4865"/>
    <x v="20"/>
    <s v="Release 2.6"/>
    <d v="2013-07-25T11:01:24"/>
    <x v="5"/>
    <n v="1.3222222222222222"/>
    <n v="0"/>
  </r>
  <r>
    <n v="4867"/>
    <x v="20"/>
    <s v="Release 2.2"/>
    <d v="2013-06-03T13:44:31"/>
    <x v="12"/>
    <n v="1.4666666666666666"/>
    <n v="0"/>
  </r>
  <r>
    <n v="4869"/>
    <x v="20"/>
    <s v="Release 2.6"/>
    <d v="2013-07-25T11:01:34"/>
    <x v="1"/>
    <n v="1.3222222222222222"/>
    <n v="0"/>
  </r>
  <r>
    <n v="4870"/>
    <x v="28"/>
    <s v="Release 2.6"/>
    <d v="2013-07-26T11:52:12"/>
    <x v="25"/>
    <n v="1.3194444444444444"/>
    <n v="0"/>
  </r>
  <r>
    <n v="4872"/>
    <x v="19"/>
    <s v="Release 2.1"/>
    <d v="2012-05-01T12:10:28"/>
    <x v="20"/>
    <n v="2.5555555555555554"/>
    <n v="0"/>
  </r>
  <r>
    <n v="4873"/>
    <x v="12"/>
    <s v="Release 2.1"/>
    <d v="2012-04-30T22:02:59"/>
    <x v="8"/>
    <n v="2.5583333333333331"/>
    <n v="0"/>
  </r>
  <r>
    <n v="4875"/>
    <x v="19"/>
    <s v="Release 2.1"/>
    <d v="2012-05-01T15:08:32"/>
    <x v="20"/>
    <n v="2.5555555555555554"/>
    <n v="0"/>
  </r>
  <r>
    <n v="4876"/>
    <x v="3"/>
    <s v="Release 2.5"/>
    <d v="2013-05-16T22:39:44"/>
    <x v="1"/>
    <n v="1.5138888888888888"/>
    <n v="0"/>
  </r>
  <r>
    <n v="4878"/>
    <x v="19"/>
    <s v="Release 2.1"/>
    <d v="2012-05-04T16:53:38"/>
    <x v="8"/>
    <n v="2.5472222222222221"/>
    <n v="0"/>
  </r>
  <r>
    <n v="4879"/>
    <x v="17"/>
    <s v="Release 2.1"/>
    <d v="2012-04-30T18:49:28"/>
    <x v="35"/>
    <n v="2.5583333333333331"/>
    <n v="0"/>
  </r>
  <r>
    <n v="4882"/>
    <x v="3"/>
    <s v="Release 2.2"/>
    <d v="2012-08-06T15:22:11"/>
    <x v="5"/>
    <n v="2.2916666666666665"/>
    <n v="0"/>
  </r>
  <r>
    <n v="4884"/>
    <x v="32"/>
    <s v="Release 2.6"/>
    <d v="2013-06-13T15:50:05"/>
    <x v="23"/>
    <n v="1.4388888888888889"/>
    <n v="0"/>
  </r>
  <r>
    <n v="4885"/>
    <x v="10"/>
    <s v="Release 2.1"/>
    <d v="2012-05-01T03:46:30"/>
    <x v="9"/>
    <n v="2.5555555555555554"/>
    <n v="0"/>
  </r>
  <r>
    <n v="4889"/>
    <x v="28"/>
    <s v="Release 3.0"/>
    <d v="2013-08-30T19:21:57"/>
    <x v="5"/>
    <n v="1.2250000000000001"/>
    <n v="0"/>
  </r>
  <r>
    <n v="4893"/>
    <x v="12"/>
    <s v="Release 2.1"/>
    <d v="2012-05-04T16:53:13"/>
    <x v="7"/>
    <n v="2.5472222222222221"/>
    <n v="0"/>
  </r>
  <r>
    <n v="4894"/>
    <x v="12"/>
    <s v="Release 2.2"/>
    <d v="2012-08-06T14:16:56"/>
    <x v="10"/>
    <n v="2.2916666666666665"/>
    <n v="0"/>
  </r>
  <r>
    <n v="4895"/>
    <x v="16"/>
    <s v="Release 2.1"/>
    <d v="2012-05-02T08:52:49"/>
    <x v="1"/>
    <n v="2.5527777777777776"/>
    <n v="0"/>
  </r>
  <r>
    <n v="4896"/>
    <x v="16"/>
    <s v="Release 2.1"/>
    <d v="2012-05-02T22:15:48"/>
    <x v="5"/>
    <n v="2.5527777777777776"/>
    <n v="0"/>
  </r>
  <r>
    <n v="4899"/>
    <x v="14"/>
    <s v="Release 2.1"/>
    <d v="2012-05-04T16:53:31"/>
    <x v="19"/>
    <n v="2.5472222222222221"/>
    <n v="0"/>
  </r>
  <r>
    <n v="4900"/>
    <x v="11"/>
    <s v="Release 2.1"/>
    <d v="2012-05-02T15:35:41"/>
    <x v="16"/>
    <n v="2.5527777777777776"/>
    <n v="0"/>
  </r>
  <r>
    <n v="4901"/>
    <x v="15"/>
    <s v="Release 2.1"/>
    <d v="2012-04-30T21:53:46"/>
    <x v="8"/>
    <n v="2.5583333333333331"/>
    <n v="0"/>
  </r>
  <r>
    <n v="4902"/>
    <x v="12"/>
    <s v="Release 2.1"/>
    <d v="2012-05-02T17:11:48"/>
    <x v="8"/>
    <n v="2.5527777777777776"/>
    <n v="0"/>
  </r>
  <r>
    <n v="4904"/>
    <x v="23"/>
    <s v="Release 2.1"/>
    <d v="2012-05-07T20:58:14"/>
    <x v="1"/>
    <n v="2.5388888888888888"/>
    <n v="0"/>
  </r>
  <r>
    <n v="4906"/>
    <x v="21"/>
    <s v="Release 2.1"/>
    <d v="2012-05-01T20:45:08"/>
    <x v="23"/>
    <n v="2.5555555555555554"/>
    <n v="0"/>
  </r>
  <r>
    <n v="4907"/>
    <x v="13"/>
    <s v="Release 2.1"/>
    <d v="2012-04-30T15:17:06"/>
    <x v="13"/>
    <n v="2.5583333333333331"/>
    <n v="0"/>
  </r>
  <r>
    <n v="4908"/>
    <x v="13"/>
    <s v="Release 2.1"/>
    <d v="2012-04-30T15:19:29"/>
    <x v="13"/>
    <n v="2.5583333333333331"/>
    <n v="0"/>
  </r>
  <r>
    <n v="4909"/>
    <x v="13"/>
    <s v="Release 2.1"/>
    <d v="2012-04-30T15:20:50"/>
    <x v="13"/>
    <n v="2.5583333333333331"/>
    <n v="0"/>
  </r>
  <r>
    <n v="4910"/>
    <x v="13"/>
    <s v="Release 2.1"/>
    <d v="2012-04-30T15:23:55"/>
    <x v="13"/>
    <n v="2.5583333333333331"/>
    <n v="0"/>
  </r>
  <r>
    <n v="4911"/>
    <x v="23"/>
    <s v="Release 2.2"/>
    <d v="2012-08-06T18:35:50"/>
    <x v="5"/>
    <n v="2.2916666666666665"/>
    <n v="0"/>
  </r>
  <r>
    <n v="4912"/>
    <x v="0"/>
    <s v="Release 2.1"/>
    <d v="2012-04-30T14:31:57"/>
    <x v="18"/>
    <n v="2.5583333333333331"/>
    <n v="0"/>
  </r>
  <r>
    <n v="4913"/>
    <x v="8"/>
    <s v="Release 2.1"/>
    <d v="2012-05-01T22:14:46"/>
    <x v="8"/>
    <n v="2.5555555555555554"/>
    <n v="0"/>
  </r>
  <r>
    <n v="4915"/>
    <x v="3"/>
    <s v="Release 2.1"/>
    <d v="2012-05-01T22:09:28"/>
    <x v="8"/>
    <n v="2.5555555555555554"/>
    <n v="0"/>
  </r>
  <r>
    <n v="4916"/>
    <x v="31"/>
    <s v="Release 2.1"/>
    <d v="2012-05-02T19:05:26"/>
    <x v="10"/>
    <n v="2.5527777777777776"/>
    <n v="0"/>
  </r>
  <r>
    <n v="4917"/>
    <x v="12"/>
    <s v="Release 2.1"/>
    <d v="2012-05-01T15:20:31"/>
    <x v="15"/>
    <n v="2.5555555555555554"/>
    <n v="0"/>
  </r>
  <r>
    <n v="4918"/>
    <x v="4"/>
    <s v="Release 3.1"/>
    <d v="2013-11-22T15:28:00"/>
    <x v="16"/>
    <n v="0.99722222222222223"/>
    <n v="1"/>
  </r>
  <r>
    <n v="4919"/>
    <x v="15"/>
    <s v="Release 2.3"/>
    <d v="2012-11-01T14:55:09"/>
    <x v="7"/>
    <n v="2.0555555555555554"/>
    <n v="0"/>
  </r>
  <r>
    <n v="4920"/>
    <x v="12"/>
    <s v="Release 2.1"/>
    <d v="2012-05-01T20:25:55"/>
    <x v="8"/>
    <n v="2.5555555555555554"/>
    <n v="0"/>
  </r>
  <r>
    <n v="4921"/>
    <x v="42"/>
    <s v="Release 2.1"/>
    <d v="2012-05-03T10:25:41"/>
    <x v="13"/>
    <n v="2.5499999999999998"/>
    <n v="0"/>
  </r>
  <r>
    <n v="4924"/>
    <x v="3"/>
    <s v="Release 2.1"/>
    <d v="2012-04-30T20:15:32"/>
    <x v="8"/>
    <n v="2.5583333333333331"/>
    <n v="0"/>
  </r>
  <r>
    <n v="4925"/>
    <x v="42"/>
    <s v="Release 2.1"/>
    <d v="2012-05-01T15:24:54"/>
    <x v="1"/>
    <n v="2.5555555555555554"/>
    <n v="0"/>
  </r>
  <r>
    <n v="4927"/>
    <x v="0"/>
    <s v="Release 2.1"/>
    <d v="2012-04-30T16:29:01"/>
    <x v="16"/>
    <n v="2.5583333333333331"/>
    <n v="0"/>
  </r>
  <r>
    <n v="4932"/>
    <x v="16"/>
    <s v="Release 2.1"/>
    <d v="2012-04-30T16:02:41"/>
    <x v="19"/>
    <n v="2.5583333333333331"/>
    <n v="0"/>
  </r>
  <r>
    <n v="4935"/>
    <x v="12"/>
    <s v="Release 2.1"/>
    <d v="2012-05-02T14:38:54"/>
    <x v="2"/>
    <n v="2.5527777777777776"/>
    <n v="0"/>
  </r>
  <r>
    <n v="4936"/>
    <x v="3"/>
    <s v="Release 2.0.2"/>
    <d v="2012-03-13T14:02:11"/>
    <x v="1"/>
    <n v="2.6888888888888891"/>
    <n v="0"/>
  </r>
  <r>
    <n v="4937"/>
    <x v="3"/>
    <s v="Release 3.1"/>
    <d v="2013-11-13T20:18:34"/>
    <x v="9"/>
    <n v="1.0222222222222221"/>
    <n v="0"/>
  </r>
  <r>
    <n v="4938"/>
    <x v="11"/>
    <s v="Release 2.1"/>
    <d v="2012-05-02T16:07:25"/>
    <x v="8"/>
    <n v="2.5527777777777776"/>
    <n v="0"/>
  </r>
  <r>
    <n v="4939"/>
    <x v="12"/>
    <s v="Release 2.1"/>
    <d v="2012-05-01T10:51:05"/>
    <x v="2"/>
    <n v="2.5555555555555554"/>
    <n v="0"/>
  </r>
  <r>
    <n v="4943"/>
    <x v="16"/>
    <s v="Release 2.1"/>
    <d v="2012-05-01T22:02:35"/>
    <x v="5"/>
    <n v="2.5555555555555554"/>
    <n v="0"/>
  </r>
  <r>
    <n v="4944"/>
    <x v="16"/>
    <s v="Release 2.1"/>
    <d v="2012-04-30T18:28:17"/>
    <x v="8"/>
    <n v="2.5583333333333331"/>
    <n v="0"/>
  </r>
  <r>
    <n v="4946"/>
    <x v="16"/>
    <s v="Release 2.1"/>
    <d v="2012-04-30T15:58:28"/>
    <x v="5"/>
    <n v="2.5583333333333331"/>
    <n v="0"/>
  </r>
  <r>
    <n v="4947"/>
    <x v="8"/>
    <s v="Release 2.1"/>
    <d v="2012-05-02T21:04:13"/>
    <x v="19"/>
    <n v="2.5527777777777776"/>
    <n v="0"/>
  </r>
  <r>
    <n v="4949"/>
    <x v="3"/>
    <s v="Release 2.1"/>
    <d v="2012-04-30T15:59:48"/>
    <x v="2"/>
    <n v="2.5583333333333331"/>
    <n v="0"/>
  </r>
  <r>
    <n v="4950"/>
    <x v="3"/>
    <s v="Release 2.1"/>
    <d v="2012-05-01T17:17:02"/>
    <x v="9"/>
    <n v="2.5555555555555554"/>
    <n v="0"/>
  </r>
  <r>
    <n v="4953"/>
    <x v="12"/>
    <s v="Release 2.1"/>
    <d v="2012-05-01T20:57:40"/>
    <x v="23"/>
    <n v="2.5555555555555554"/>
    <n v="0"/>
  </r>
  <r>
    <n v="4954"/>
    <x v="51"/>
    <s v="Release 2.2"/>
    <d v="2012-08-14T19:45:11"/>
    <x v="10"/>
    <n v="2.2694444444444444"/>
    <n v="0"/>
  </r>
  <r>
    <n v="4955"/>
    <x v="17"/>
    <s v="Release 2.1"/>
    <d v="2012-05-01T15:13:01"/>
    <x v="20"/>
    <n v="2.5555555555555554"/>
    <n v="0"/>
  </r>
  <r>
    <n v="4956"/>
    <x v="17"/>
    <s v="Release 2.1"/>
    <d v="2012-05-01T15:33:06"/>
    <x v="1"/>
    <n v="2.5555555555555554"/>
    <n v="0"/>
  </r>
  <r>
    <n v="4957"/>
    <x v="17"/>
    <s v="Release 2.1"/>
    <d v="2012-05-01T13:27:20"/>
    <x v="20"/>
    <n v="2.5555555555555554"/>
    <n v="0"/>
  </r>
  <r>
    <n v="4958"/>
    <x v="17"/>
    <s v="Release 2.1"/>
    <d v="2012-05-01T16:00:35"/>
    <x v="20"/>
    <n v="2.5555555555555554"/>
    <n v="0"/>
  </r>
  <r>
    <n v="4959"/>
    <x v="10"/>
    <s v="Release 2.1"/>
    <d v="2012-04-30T16:15:57"/>
    <x v="9"/>
    <n v="2.5583333333333331"/>
    <n v="0"/>
  </r>
  <r>
    <n v="4960"/>
    <x v="40"/>
    <s v="Release 2.1"/>
    <d v="2012-05-03T18:00:38"/>
    <x v="21"/>
    <n v="2.5499999999999998"/>
    <n v="0"/>
  </r>
  <r>
    <n v="4962"/>
    <x v="12"/>
    <s v="Release 2.1"/>
    <d v="2012-05-01T14:12:42"/>
    <x v="1"/>
    <n v="2.5555555555555554"/>
    <n v="0"/>
  </r>
  <r>
    <n v="4963"/>
    <x v="17"/>
    <s v="Release 2.6"/>
    <d v="2013-07-12T15:39:10"/>
    <x v="5"/>
    <n v="1.3583333333333334"/>
    <n v="0"/>
  </r>
  <r>
    <n v="4964"/>
    <x v="3"/>
    <s v="Release 2.0.2"/>
    <d v="2012-03-16T09:39:41"/>
    <x v="18"/>
    <n v="2.6805555555555554"/>
    <n v="0"/>
  </r>
  <r>
    <n v="4965"/>
    <x v="3"/>
    <s v="Release 2.0.2"/>
    <d v="2012-03-14T02:00:49"/>
    <x v="1"/>
    <n v="2.6861111111111109"/>
    <n v="0"/>
  </r>
  <r>
    <n v="4966"/>
    <x v="3"/>
    <s v="Release 2.0.2"/>
    <d v="2012-03-14T13:29:14"/>
    <x v="1"/>
    <n v="2.6861111111111109"/>
    <n v="0"/>
  </r>
  <r>
    <n v="4968"/>
    <x v="42"/>
    <s v="Release 2.1"/>
    <d v="2012-05-03T10:29:50"/>
    <x v="13"/>
    <n v="2.5499999999999998"/>
    <n v="0"/>
  </r>
  <r>
    <n v="4970"/>
    <x v="12"/>
    <s v="Release 2.1"/>
    <d v="2012-05-02T22:13:53"/>
    <x v="8"/>
    <n v="2.5527777777777776"/>
    <n v="0"/>
  </r>
  <r>
    <n v="4973"/>
    <x v="8"/>
    <s v="Release 2.1"/>
    <d v="2012-05-02T21:12:05"/>
    <x v="19"/>
    <n v="2.5527777777777776"/>
    <n v="0"/>
  </r>
  <r>
    <n v="4974"/>
    <x v="12"/>
    <s v="Release 2.1"/>
    <d v="2012-05-03T12:17:05"/>
    <x v="7"/>
    <n v="2.5499999999999998"/>
    <n v="0"/>
  </r>
  <r>
    <n v="4976"/>
    <x v="21"/>
    <s v="Release 2.1"/>
    <d v="2012-05-01T18:34:54"/>
    <x v="7"/>
    <n v="2.5555555555555554"/>
    <n v="0"/>
  </r>
  <r>
    <n v="4979"/>
    <x v="10"/>
    <s v="Release 2.1"/>
    <d v="2012-05-01T17:03:14"/>
    <x v="9"/>
    <n v="2.5555555555555554"/>
    <n v="0"/>
  </r>
  <r>
    <n v="4980"/>
    <x v="21"/>
    <s v="Release 2.1"/>
    <d v="2012-05-03T22:52:40"/>
    <x v="7"/>
    <n v="2.5499999999999998"/>
    <n v="0"/>
  </r>
  <r>
    <n v="4981"/>
    <x v="6"/>
    <s v="Release 2.1"/>
    <d v="2012-04-30T21:27:50"/>
    <x v="35"/>
    <n v="2.5583333333333331"/>
    <n v="0"/>
  </r>
  <r>
    <n v="4984"/>
    <x v="11"/>
    <s v="Release 2.1"/>
    <d v="2012-05-01T14:42:28"/>
    <x v="10"/>
    <n v="2.5555555555555554"/>
    <n v="0"/>
  </r>
  <r>
    <n v="4985"/>
    <x v="11"/>
    <s v="Release 2.1"/>
    <d v="2012-04-30T19:50:05"/>
    <x v="16"/>
    <n v="2.5583333333333331"/>
    <n v="0"/>
  </r>
  <r>
    <n v="4987"/>
    <x v="10"/>
    <s v="Release 2.1"/>
    <d v="2012-05-02T19:16:55"/>
    <x v="35"/>
    <n v="2.5527777777777776"/>
    <n v="0"/>
  </r>
  <r>
    <n v="4988"/>
    <x v="8"/>
    <s v="Release 2.1"/>
    <d v="2012-04-30T14:40:34"/>
    <x v="2"/>
    <n v="2.5583333333333331"/>
    <n v="0"/>
  </r>
  <r>
    <n v="4989"/>
    <x v="3"/>
    <s v="Release 2.1"/>
    <d v="2012-05-01T03:42:29"/>
    <x v="9"/>
    <n v="2.5555555555555554"/>
    <n v="0"/>
  </r>
  <r>
    <n v="4990"/>
    <x v="12"/>
    <s v="Release 2.1"/>
    <d v="2012-05-02T18:29:12"/>
    <x v="10"/>
    <n v="2.5527777777777776"/>
    <n v="0"/>
  </r>
  <r>
    <n v="4991"/>
    <x v="3"/>
    <s v="Release 2.1"/>
    <d v="2012-04-30T17:02:12"/>
    <x v="2"/>
    <n v="2.5583333333333331"/>
    <n v="0"/>
  </r>
  <r>
    <n v="4993"/>
    <x v="13"/>
    <s v="Release 2.1"/>
    <d v="2012-04-30T15:31:22"/>
    <x v="13"/>
    <n v="2.5583333333333331"/>
    <n v="0"/>
  </r>
  <r>
    <n v="4997"/>
    <x v="12"/>
    <s v="Release 2.1"/>
    <d v="2012-05-01T18:20:05"/>
    <x v="5"/>
    <n v="2.5555555555555554"/>
    <n v="0"/>
  </r>
  <r>
    <n v="4998"/>
    <x v="21"/>
    <s v="Release 2.2"/>
    <d v="2012-08-09T19:37:28"/>
    <x v="5"/>
    <n v="2.2833333333333332"/>
    <n v="0"/>
  </r>
  <r>
    <n v="4999"/>
    <x v="29"/>
    <s v="Release 3.0"/>
    <d v="2013-08-30T17:00:31"/>
    <x v="1"/>
    <n v="1.2250000000000001"/>
    <n v="0"/>
  </r>
  <r>
    <n v="5000"/>
    <x v="12"/>
    <s v="Release 2.1"/>
    <d v="2012-05-02T15:19:20"/>
    <x v="2"/>
    <n v="2.5527777777777776"/>
    <n v="0"/>
  </r>
  <r>
    <n v="5001"/>
    <x v="12"/>
    <s v="Release 2.1"/>
    <d v="2012-05-01T16:34:42"/>
    <x v="5"/>
    <n v="2.5555555555555554"/>
    <n v="0"/>
  </r>
  <r>
    <n v="5002"/>
    <x v="12"/>
    <s v="Release 2.1"/>
    <d v="2012-05-02T17:01:33"/>
    <x v="8"/>
    <n v="2.5527777777777776"/>
    <n v="0"/>
  </r>
  <r>
    <n v="5003"/>
    <x v="4"/>
    <s v="Release 2.1"/>
    <d v="2012-05-04T08:54:13"/>
    <x v="13"/>
    <n v="2.5472222222222221"/>
    <n v="0"/>
  </r>
  <r>
    <n v="5004"/>
    <x v="11"/>
    <s v="Release 2.1"/>
    <d v="2012-05-02T14:30:03"/>
    <x v="8"/>
    <n v="2.5527777777777776"/>
    <n v="0"/>
  </r>
  <r>
    <n v="5007"/>
    <x v="28"/>
    <s v="Release 3.0"/>
    <d v="2013-08-09T12:38:58"/>
    <x v="12"/>
    <n v="1.2833333333333334"/>
    <n v="0"/>
  </r>
  <r>
    <n v="5008"/>
    <x v="28"/>
    <s v="Release 3.0"/>
    <d v="2013-10-23T10:34:33"/>
    <x v="27"/>
    <n v="1.0777777777777777"/>
    <n v="0"/>
  </r>
  <r>
    <n v="5011"/>
    <x v="4"/>
    <s v="Release 2.1"/>
    <d v="2012-04-30T18:16:27"/>
    <x v="19"/>
    <n v="2.5583333333333331"/>
    <n v="0"/>
  </r>
  <r>
    <n v="5013"/>
    <x v="0"/>
    <s v="Release 2.2"/>
    <d v="2012-08-06T16:42:01"/>
    <x v="15"/>
    <n v="2.2916666666666665"/>
    <n v="0"/>
  </r>
  <r>
    <n v="5015"/>
    <x v="6"/>
    <s v="Release 2.1"/>
    <d v="2012-04-30T22:04:54"/>
    <x v="8"/>
    <n v="2.5583333333333331"/>
    <n v="0"/>
  </r>
  <r>
    <n v="5016"/>
    <x v="16"/>
    <s v="Release 2.2"/>
    <d v="2012-08-09T08:44:37"/>
    <x v="13"/>
    <n v="2.2833333333333332"/>
    <n v="0"/>
  </r>
  <r>
    <n v="5018"/>
    <x v="16"/>
    <s v="Release 2.1"/>
    <d v="2012-04-30T17:09:39"/>
    <x v="19"/>
    <n v="2.5583333333333331"/>
    <n v="0"/>
  </r>
  <r>
    <n v="5019"/>
    <x v="21"/>
    <s v="Release 2.1"/>
    <d v="2012-04-30T22:25:30"/>
    <x v="19"/>
    <n v="2.5583333333333331"/>
    <n v="0"/>
  </r>
  <r>
    <n v="5020"/>
    <x v="16"/>
    <s v="Release 2.1"/>
    <d v="2012-05-01T16:39:54"/>
    <x v="15"/>
    <n v="2.5555555555555554"/>
    <n v="0"/>
  </r>
  <r>
    <n v="5022"/>
    <x v="23"/>
    <s v="Release 2.1"/>
    <d v="2012-04-30T20:18:29"/>
    <x v="10"/>
    <n v="2.5583333333333331"/>
    <n v="0"/>
  </r>
  <r>
    <n v="5023"/>
    <x v="15"/>
    <s v="Release 2.1"/>
    <d v="2012-05-02T21:49:11"/>
    <x v="8"/>
    <n v="2.5527777777777776"/>
    <n v="0"/>
  </r>
  <r>
    <n v="5028"/>
    <x v="13"/>
    <s v="Release 2.1"/>
    <d v="2012-04-30T15:36:14"/>
    <x v="13"/>
    <n v="2.5583333333333331"/>
    <n v="0"/>
  </r>
  <r>
    <n v="5030"/>
    <x v="11"/>
    <s v="Release 2.1"/>
    <d v="2012-04-30T15:44:09"/>
    <x v="16"/>
    <n v="2.5583333333333331"/>
    <n v="0"/>
  </r>
  <r>
    <n v="5031"/>
    <x v="15"/>
    <s v="Release 2.1"/>
    <d v="2012-05-02T21:39:23"/>
    <x v="24"/>
    <n v="2.5527777777777776"/>
    <n v="0"/>
  </r>
  <r>
    <n v="5032"/>
    <x v="15"/>
    <s v="Release 2.1"/>
    <d v="2012-05-02T21:56:10"/>
    <x v="24"/>
    <n v="2.5527777777777776"/>
    <n v="0"/>
  </r>
  <r>
    <n v="5035"/>
    <x v="19"/>
    <s v="Release 2.1"/>
    <d v="2012-05-02T21:54:22"/>
    <x v="8"/>
    <n v="2.5527777777777776"/>
    <n v="0"/>
  </r>
  <r>
    <n v="5036"/>
    <x v="19"/>
    <s v="Release 2.1"/>
    <d v="2012-05-02T12:14:51"/>
    <x v="20"/>
    <n v="2.5527777777777776"/>
    <n v="0"/>
  </r>
  <r>
    <n v="5038"/>
    <x v="10"/>
    <s v="Release 2.1"/>
    <d v="2012-04-30T15:36:11"/>
    <x v="16"/>
    <n v="2.5583333333333331"/>
    <n v="0"/>
  </r>
  <r>
    <n v="5039"/>
    <x v="4"/>
    <s v="Release 2.1"/>
    <d v="2012-04-30T18:04:14"/>
    <x v="19"/>
    <n v="2.5583333333333331"/>
    <n v="0"/>
  </r>
  <r>
    <n v="5040"/>
    <x v="12"/>
    <s v="Release 2.1"/>
    <d v="2012-05-02T14:09:23"/>
    <x v="3"/>
    <n v="2.5527777777777776"/>
    <n v="0"/>
  </r>
  <r>
    <n v="5041"/>
    <x v="23"/>
    <s v="Release 2.1"/>
    <d v="2012-04-30T19:52:16"/>
    <x v="35"/>
    <n v="2.5583333333333331"/>
    <n v="0"/>
  </r>
  <r>
    <n v="5042"/>
    <x v="15"/>
    <s v="Release 2.1"/>
    <d v="2012-05-04T16:52:46"/>
    <x v="8"/>
    <n v="2.5472222222222221"/>
    <n v="0"/>
  </r>
  <r>
    <n v="5043"/>
    <x v="10"/>
    <s v="Release 2.1"/>
    <d v="2012-05-01T11:10:49"/>
    <x v="18"/>
    <n v="2.5555555555555554"/>
    <n v="0"/>
  </r>
  <r>
    <n v="5045"/>
    <x v="10"/>
    <s v="Release 2.1"/>
    <d v="2012-05-01T17:06:16"/>
    <x v="9"/>
    <n v="2.5555555555555554"/>
    <n v="0"/>
  </r>
  <r>
    <n v="5047"/>
    <x v="15"/>
    <s v="Release 2.1"/>
    <d v="2012-05-02T20:08:58"/>
    <x v="24"/>
    <n v="2.5527777777777776"/>
    <n v="0"/>
  </r>
  <r>
    <n v="5048"/>
    <x v="12"/>
    <s v="Release 2.1"/>
    <d v="2012-05-01T22:23:16"/>
    <x v="8"/>
    <n v="2.5555555555555554"/>
    <n v="0"/>
  </r>
  <r>
    <n v="5051"/>
    <x v="11"/>
    <s v="Release 2.6"/>
    <d v="2013-06-17T21:15:27"/>
    <x v="16"/>
    <n v="1.4277777777777778"/>
    <n v="0"/>
  </r>
  <r>
    <n v="5052"/>
    <x v="16"/>
    <s v="Release 2.1"/>
    <d v="2012-04-30T17:01:36"/>
    <x v="19"/>
    <n v="2.5583333333333331"/>
    <n v="0"/>
  </r>
  <r>
    <n v="5053"/>
    <x v="3"/>
    <s v="Release 2.1"/>
    <d v="2012-05-01T14:44:17"/>
    <x v="15"/>
    <n v="2.5555555555555554"/>
    <n v="0"/>
  </r>
  <r>
    <n v="5054"/>
    <x v="21"/>
    <s v="Release 2.1"/>
    <d v="2012-04-30T18:50:39"/>
    <x v="35"/>
    <n v="2.5583333333333331"/>
    <n v="0"/>
  </r>
  <r>
    <n v="5055"/>
    <x v="11"/>
    <s v="Release 2.1"/>
    <d v="2012-04-30T21:46:58"/>
    <x v="16"/>
    <n v="2.5583333333333331"/>
    <n v="0"/>
  </r>
  <r>
    <n v="5058"/>
    <x v="27"/>
    <s v="Release 2.2"/>
    <d v="2012-08-06T15:45:37"/>
    <x v="10"/>
    <n v="2.2916666666666665"/>
    <n v="0"/>
  </r>
  <r>
    <n v="5061"/>
    <x v="12"/>
    <s v="Release 2.1"/>
    <d v="2012-04-30T22:21:37"/>
    <x v="8"/>
    <n v="2.5583333333333331"/>
    <n v="0"/>
  </r>
  <r>
    <n v="5069"/>
    <x v="8"/>
    <s v="Release 2.1"/>
    <d v="2012-05-04T09:07:07"/>
    <x v="4"/>
    <n v="2.5472222222222221"/>
    <n v="0"/>
  </r>
  <r>
    <n v="5070"/>
    <x v="8"/>
    <s v="Release 2.1"/>
    <d v="2012-05-04T09:24:35"/>
    <x v="4"/>
    <n v="2.5472222222222221"/>
    <n v="0"/>
  </r>
  <r>
    <n v="5075"/>
    <x v="10"/>
    <s v="Release 2.1"/>
    <d v="2012-05-01T14:14:02"/>
    <x v="18"/>
    <n v="2.5555555555555554"/>
    <n v="0"/>
  </r>
  <r>
    <n v="5076"/>
    <x v="10"/>
    <s v="Release 2.1"/>
    <d v="2012-04-30T21:35:16"/>
    <x v="5"/>
    <n v="2.5583333333333331"/>
    <n v="0"/>
  </r>
  <r>
    <n v="5078"/>
    <x v="15"/>
    <s v="Release 2.1"/>
    <d v="2012-05-02T15:35:56"/>
    <x v="19"/>
    <n v="2.5527777777777776"/>
    <n v="0"/>
  </r>
  <r>
    <n v="5080"/>
    <x v="10"/>
    <s v="Release 2.1"/>
    <d v="2012-04-30T14:26:10"/>
    <x v="15"/>
    <n v="2.5583333333333331"/>
    <n v="0"/>
  </r>
  <r>
    <n v="5081"/>
    <x v="4"/>
    <s v="Release 2.1"/>
    <d v="2012-04-30T18:40:49"/>
    <x v="35"/>
    <n v="2.5583333333333331"/>
    <n v="0"/>
  </r>
  <r>
    <n v="5082"/>
    <x v="13"/>
    <s v="Release 2.1"/>
    <d v="2012-04-30T15:39:44"/>
    <x v="13"/>
    <n v="2.5583333333333331"/>
    <n v="0"/>
  </r>
  <r>
    <n v="5083"/>
    <x v="16"/>
    <s v="Release 2.1"/>
    <d v="2012-05-02T16:00:31"/>
    <x v="16"/>
    <n v="2.5527777777777776"/>
    <n v="0"/>
  </r>
  <r>
    <n v="5084"/>
    <x v="11"/>
    <s v="Release 2.4"/>
    <d v="2013-01-29T14:27:32"/>
    <x v="16"/>
    <n v="1.8111111111111111"/>
    <n v="0"/>
  </r>
  <r>
    <n v="5085"/>
    <x v="12"/>
    <s v="Release 2.1"/>
    <d v="2012-05-01T18:24:58"/>
    <x v="5"/>
    <n v="2.5555555555555554"/>
    <n v="0"/>
  </r>
  <r>
    <n v="5086"/>
    <x v="6"/>
    <s v="Release 2.1"/>
    <d v="2012-05-02T20:55:10"/>
    <x v="9"/>
    <n v="2.5527777777777776"/>
    <n v="0"/>
  </r>
  <r>
    <n v="5087"/>
    <x v="13"/>
    <s v="Release 2.1"/>
    <d v="2012-04-30T13:58:03"/>
    <x v="13"/>
    <n v="2.5583333333333331"/>
    <n v="0"/>
  </r>
  <r>
    <n v="5088"/>
    <x v="16"/>
    <s v="Release 2.1"/>
    <d v="2012-05-01T20:50:47"/>
    <x v="5"/>
    <n v="2.5555555555555554"/>
    <n v="0"/>
  </r>
  <r>
    <n v="5089"/>
    <x v="21"/>
    <s v="Release 2.1"/>
    <d v="2012-05-01T15:39:28"/>
    <x v="19"/>
    <n v="2.5555555555555554"/>
    <n v="0"/>
  </r>
  <r>
    <n v="5090"/>
    <x v="21"/>
    <s v="Release 2.1"/>
    <d v="2012-06-12T20:19:24"/>
    <x v="11"/>
    <n v="2.4416666666666669"/>
    <n v="0"/>
  </r>
  <r>
    <n v="5092"/>
    <x v="13"/>
    <s v="Release 2.1"/>
    <d v="2012-04-30T16:08:16"/>
    <x v="13"/>
    <n v="2.5583333333333331"/>
    <n v="0"/>
  </r>
  <r>
    <n v="5093"/>
    <x v="3"/>
    <s v="Release 2.1"/>
    <d v="2012-05-01T19:37:51"/>
    <x v="7"/>
    <n v="2.5555555555555554"/>
    <n v="0"/>
  </r>
  <r>
    <n v="5095"/>
    <x v="10"/>
    <s v="Release 2.1"/>
    <d v="2012-04-30T15:13:31"/>
    <x v="5"/>
    <n v="2.5583333333333331"/>
    <n v="0"/>
  </r>
  <r>
    <n v="5099"/>
    <x v="11"/>
    <s v="Release 2.1"/>
    <d v="2012-05-04T16:52:56"/>
    <x v="16"/>
    <n v="2.5472222222222221"/>
    <n v="0"/>
  </r>
  <r>
    <n v="5104"/>
    <x v="11"/>
    <s v="Release 2.1"/>
    <d v="2012-05-02T15:32:44"/>
    <x v="24"/>
    <n v="2.5527777777777776"/>
    <n v="0"/>
  </r>
  <r>
    <n v="5105"/>
    <x v="14"/>
    <s v="Release 2.2"/>
    <d v="2012-08-06T16:47:54"/>
    <x v="5"/>
    <n v="2.2916666666666665"/>
    <n v="0"/>
  </r>
  <r>
    <n v="5108"/>
    <x v="4"/>
    <s v="Release 2.1"/>
    <d v="2012-05-04T11:59:17"/>
    <x v="21"/>
    <n v="2.5472222222222221"/>
    <n v="0"/>
  </r>
  <r>
    <n v="5109"/>
    <x v="11"/>
    <s v="Release 2.1"/>
    <d v="2012-05-01T18:31:22"/>
    <x v="10"/>
    <n v="2.5555555555555554"/>
    <n v="0"/>
  </r>
  <r>
    <n v="5110"/>
    <x v="21"/>
    <s v="Release 2.1"/>
    <d v="2012-05-01T22:39:46"/>
    <x v="16"/>
    <n v="2.5555555555555554"/>
    <n v="0"/>
  </r>
  <r>
    <n v="5114"/>
    <x v="29"/>
    <s v="Release 3.0"/>
    <d v="2013-09-06T15:24:29"/>
    <x v="1"/>
    <n v="1.2083333333333333"/>
    <n v="0"/>
  </r>
  <r>
    <n v="5116"/>
    <x v="29"/>
    <s v="Release 3.0"/>
    <d v="2013-09-12T16:29:58"/>
    <x v="13"/>
    <n v="1.1916666666666667"/>
    <n v="0"/>
  </r>
  <r>
    <n v="5117"/>
    <x v="6"/>
    <s v="Release 3.0"/>
    <d v="2013-10-23T11:33:15"/>
    <x v="7"/>
    <n v="1.0777777777777777"/>
    <n v="0"/>
  </r>
  <r>
    <n v="5118"/>
    <x v="12"/>
    <s v="Release 2.1"/>
    <d v="2012-05-01T17:07:03"/>
    <x v="5"/>
    <n v="2.5555555555555554"/>
    <n v="0"/>
  </r>
  <r>
    <n v="5120"/>
    <x v="11"/>
    <s v="Release 2.1"/>
    <d v="2012-05-01T15:36:47"/>
    <x v="1"/>
    <n v="2.5555555555555554"/>
    <n v="0"/>
  </r>
  <r>
    <n v="5121"/>
    <x v="28"/>
    <s v="Release 3.2"/>
    <d v="2014-04-30T14:28:34"/>
    <x v="25"/>
    <n v="0.55833333333333335"/>
    <n v="1"/>
  </r>
  <r>
    <n v="5125"/>
    <x v="3"/>
    <s v="Release 2.4"/>
    <d v="2013-01-28T18:57:26"/>
    <x v="7"/>
    <n v="1.8138888888888889"/>
    <n v="0"/>
  </r>
  <r>
    <n v="5126"/>
    <x v="16"/>
    <s v="Release 2.1"/>
    <d v="2012-04-30T17:17:18"/>
    <x v="8"/>
    <n v="2.5583333333333331"/>
    <n v="0"/>
  </r>
  <r>
    <n v="5127"/>
    <x v="4"/>
    <s v="Release 2.2"/>
    <d v="2012-08-08T17:42:05"/>
    <x v="35"/>
    <n v="2.286111111111111"/>
    <n v="0"/>
  </r>
  <r>
    <n v="5129"/>
    <x v="10"/>
    <s v="Release 2.1"/>
    <d v="2012-04-30T14:32:19"/>
    <x v="5"/>
    <n v="2.5583333333333331"/>
    <n v="0"/>
  </r>
  <r>
    <n v="5133"/>
    <x v="51"/>
    <s v="Release 2.2"/>
    <d v="2012-08-07T16:02:58"/>
    <x v="10"/>
    <n v="2.2888888888888888"/>
    <n v="0"/>
  </r>
  <r>
    <n v="5134"/>
    <x v="21"/>
    <s v="Release 2.1"/>
    <d v="2012-05-02T16:06:20"/>
    <x v="24"/>
    <n v="2.5527777777777776"/>
    <n v="0"/>
  </r>
  <r>
    <n v="5136"/>
    <x v="15"/>
    <s v="Release 2.1"/>
    <d v="2012-05-02T19:59:16"/>
    <x v="9"/>
    <n v="2.5527777777777776"/>
    <n v="0"/>
  </r>
  <r>
    <n v="5139"/>
    <x v="11"/>
    <s v="Release 2.1"/>
    <d v="2012-05-07T21:17:02"/>
    <x v="10"/>
    <n v="2.5388888888888888"/>
    <n v="0"/>
  </r>
  <r>
    <n v="5140"/>
    <x v="3"/>
    <s v="Release 2.1"/>
    <d v="2012-05-01T15:57:08"/>
    <x v="15"/>
    <n v="2.5555555555555554"/>
    <n v="0"/>
  </r>
  <r>
    <n v="5141"/>
    <x v="12"/>
    <s v="Release 2.1"/>
    <d v="2012-04-30T16:35:31"/>
    <x v="2"/>
    <n v="2.5583333333333331"/>
    <n v="0"/>
  </r>
  <r>
    <n v="5143"/>
    <x v="16"/>
    <s v="Release 2.1"/>
    <d v="2012-04-30T18:42:33"/>
    <x v="35"/>
    <n v="2.5583333333333331"/>
    <n v="0"/>
  </r>
  <r>
    <n v="5146"/>
    <x v="42"/>
    <s v="Release 2.4"/>
    <d v="2013-01-28T20:19:40"/>
    <x v="9"/>
    <n v="1.8138888888888889"/>
    <n v="0"/>
  </r>
  <r>
    <n v="5151"/>
    <x v="0"/>
    <s v="Release 3.0"/>
    <d v="2013-08-09T19:20:00"/>
    <x v="5"/>
    <n v="1.2833333333333334"/>
    <n v="0"/>
  </r>
  <r>
    <n v="5154"/>
    <x v="19"/>
    <s v="Release 2.1"/>
    <d v="2012-05-02T16:34:41"/>
    <x v="8"/>
    <n v="2.5527777777777776"/>
    <n v="0"/>
  </r>
  <r>
    <n v="5156"/>
    <x v="3"/>
    <s v="Release 2.1.1"/>
    <d v="2012-05-31T13:04:51"/>
    <x v="2"/>
    <n v="2.4750000000000001"/>
    <n v="0"/>
  </r>
  <r>
    <n v="5158"/>
    <x v="3"/>
    <s v="Release 2.1"/>
    <d v="2012-05-04T16:53:23"/>
    <x v="3"/>
    <n v="2.5472222222222221"/>
    <n v="0"/>
  </r>
  <r>
    <n v="5160"/>
    <x v="21"/>
    <s v="Release 2.1"/>
    <d v="2012-05-02T15:38:50"/>
    <x v="24"/>
    <n v="2.5527777777777776"/>
    <n v="0"/>
  </r>
  <r>
    <n v="5161"/>
    <x v="18"/>
    <s v="Release 2.3"/>
    <d v="2012-11-02T16:42:56"/>
    <x v="9"/>
    <n v="2.0527777777777776"/>
    <n v="0"/>
  </r>
  <r>
    <n v="5162"/>
    <x v="10"/>
    <s v="Release 2.1"/>
    <d v="2012-05-02T14:35:01"/>
    <x v="15"/>
    <n v="2.5527777777777776"/>
    <n v="0"/>
  </r>
  <r>
    <n v="5163"/>
    <x v="10"/>
    <s v="Release 2.1"/>
    <d v="2012-04-30T15:09:29"/>
    <x v="5"/>
    <n v="2.5583333333333331"/>
    <n v="0"/>
  </r>
  <r>
    <n v="5164"/>
    <x v="21"/>
    <s v="Release 2.1"/>
    <d v="2012-04-30T21:07:48"/>
    <x v="16"/>
    <n v="2.5583333333333331"/>
    <n v="0"/>
  </r>
  <r>
    <n v="5165"/>
    <x v="23"/>
    <s v="Release 2.1"/>
    <d v="2012-04-30T15:37:58"/>
    <x v="10"/>
    <n v="2.5583333333333331"/>
    <n v="0"/>
  </r>
  <r>
    <n v="5166"/>
    <x v="17"/>
    <s v="Release 2.2"/>
    <d v="2013-08-07T19:40:34"/>
    <x v="13"/>
    <n v="1.288888888888889"/>
    <n v="0"/>
  </r>
  <r>
    <n v="5167"/>
    <x v="16"/>
    <s v="Release 2.4"/>
    <d v="2013-01-29T18:46:03"/>
    <x v="8"/>
    <n v="1.8111111111111111"/>
    <n v="0"/>
  </r>
  <r>
    <n v="5170"/>
    <x v="0"/>
    <s v="Release 2.2"/>
    <d v="2012-08-07T13:20:30"/>
    <x v="4"/>
    <n v="2.2888888888888888"/>
    <n v="0"/>
  </r>
  <r>
    <n v="5180"/>
    <x v="4"/>
    <s v="Release 2.1"/>
    <d v="2012-05-04T16:52:54"/>
    <x v="21"/>
    <n v="2.5472222222222221"/>
    <n v="0"/>
  </r>
  <r>
    <n v="5181"/>
    <x v="3"/>
    <s v="Release 2.1"/>
    <d v="2012-05-04T16:52:55"/>
    <x v="5"/>
    <n v="2.5472222222222221"/>
    <n v="0"/>
  </r>
  <r>
    <n v="5188"/>
    <x v="27"/>
    <s v="Release 2.1"/>
    <d v="2012-05-04T16:52:51"/>
    <x v="1"/>
    <n v="2.5472222222222221"/>
    <n v="0"/>
  </r>
  <r>
    <n v="5189"/>
    <x v="21"/>
    <s v="Release 2.2"/>
    <d v="2012-08-06T16:08:55"/>
    <x v="2"/>
    <n v="2.2916666666666665"/>
    <n v="0"/>
  </r>
  <r>
    <n v="5192"/>
    <x v="3"/>
    <s v="Release 2.3"/>
    <d v="2012-10-29T12:50:04"/>
    <x v="12"/>
    <n v="2.0611111111111109"/>
    <n v="0"/>
  </r>
  <r>
    <n v="5194"/>
    <x v="13"/>
    <s v="Release 2.1"/>
    <d v="2012-05-04T16:52:52"/>
    <x v="15"/>
    <n v="2.5472222222222221"/>
    <n v="0"/>
  </r>
  <r>
    <n v="5199"/>
    <x v="15"/>
    <s v="Release 2.2"/>
    <d v="2012-08-07T17:04:38"/>
    <x v="35"/>
    <n v="2.2888888888888888"/>
    <n v="0"/>
  </r>
  <r>
    <n v="5200"/>
    <x v="19"/>
    <s v="Release 2.2"/>
    <d v="2012-08-08T22:26:51"/>
    <x v="8"/>
    <n v="2.286111111111111"/>
    <n v="0"/>
  </r>
  <r>
    <n v="5201"/>
    <x v="16"/>
    <s v="Release 2.1"/>
    <d v="2012-05-04T16:53:03"/>
    <x v="5"/>
    <n v="2.5472222222222221"/>
    <n v="0"/>
  </r>
  <r>
    <n v="5204"/>
    <x v="16"/>
    <s v="Release 2.1"/>
    <d v="2012-05-04T16:53:23"/>
    <x v="8"/>
    <n v="2.5472222222222221"/>
    <n v="0"/>
  </r>
  <r>
    <n v="5205"/>
    <x v="4"/>
    <s v="Release 2.1.1"/>
    <d v="2012-08-05T14:22:01"/>
    <x v="21"/>
    <n v="2.2944444444444443"/>
    <n v="0"/>
  </r>
  <r>
    <n v="5206"/>
    <x v="3"/>
    <s v="Release 2.1"/>
    <d v="2012-05-04T16:53:26"/>
    <x v="19"/>
    <n v="2.5472222222222221"/>
    <n v="0"/>
  </r>
  <r>
    <n v="5207"/>
    <x v="19"/>
    <s v="Release 2.2"/>
    <d v="2012-08-08T16:53:40"/>
    <x v="22"/>
    <n v="2.286111111111111"/>
    <n v="0"/>
  </r>
  <r>
    <n v="5212"/>
    <x v="19"/>
    <s v="Release 2.3"/>
    <d v="2012-10-29T15:51:11"/>
    <x v="11"/>
    <n v="2.0611111111111109"/>
    <n v="0"/>
  </r>
  <r>
    <n v="5214"/>
    <x v="18"/>
    <s v="Release 2.1"/>
    <d v="2012-05-04T16:53:38"/>
    <x v="9"/>
    <n v="2.5472222222222221"/>
    <n v="0"/>
  </r>
  <r>
    <n v="5225"/>
    <x v="17"/>
    <s v="Release 2.6"/>
    <d v="2013-05-28T13:41:42"/>
    <x v="13"/>
    <n v="1.4805555555555556"/>
    <n v="0"/>
  </r>
  <r>
    <n v="5226"/>
    <x v="18"/>
    <s v="Release 3.0"/>
    <d v="2013-09-27T14:56:22"/>
    <x v="26"/>
    <n v="1.1499999999999999"/>
    <n v="0"/>
  </r>
  <r>
    <n v="5232"/>
    <x v="16"/>
    <s v="Release 2.1"/>
    <d v="2012-05-04T16:53:29"/>
    <x v="7"/>
    <n v="2.5472222222222221"/>
    <n v="0"/>
  </r>
  <r>
    <n v="5235"/>
    <x v="12"/>
    <s v="Release 2.2"/>
    <d v="2012-08-06T22:07:37"/>
    <x v="7"/>
    <n v="2.2916666666666665"/>
    <n v="0"/>
  </r>
  <r>
    <n v="5237"/>
    <x v="8"/>
    <s v="Release 2.2"/>
    <d v="2012-08-07T17:02:50"/>
    <x v="35"/>
    <n v="2.2888888888888888"/>
    <n v="0"/>
  </r>
  <r>
    <n v="5238"/>
    <x v="8"/>
    <s v="Release 2.2"/>
    <d v="2012-08-07T12:54:58"/>
    <x v="2"/>
    <n v="2.2888888888888888"/>
    <n v="0"/>
  </r>
  <r>
    <n v="5242"/>
    <x v="19"/>
    <s v="Release 2.1"/>
    <d v="2012-05-04T16:53:35"/>
    <x v="4"/>
    <n v="2.5472222222222221"/>
    <n v="0"/>
  </r>
  <r>
    <n v="5244"/>
    <x v="18"/>
    <s v="Release 2.2"/>
    <d v="2012-08-09T10:12:02"/>
    <x v="4"/>
    <n v="2.2833333333333332"/>
    <n v="0"/>
  </r>
  <r>
    <n v="5245"/>
    <x v="14"/>
    <s v="Release 2.2"/>
    <d v="2012-08-06T18:51:23"/>
    <x v="16"/>
    <n v="2.2916666666666665"/>
    <n v="0"/>
  </r>
  <r>
    <n v="5247"/>
    <x v="15"/>
    <s v="Release 2.2"/>
    <d v="2012-08-06T22:30:45"/>
    <x v="7"/>
    <n v="2.2916666666666665"/>
    <n v="0"/>
  </r>
  <r>
    <n v="5248"/>
    <x v="15"/>
    <s v="Release 2.3"/>
    <d v="2012-10-31T18:36:27"/>
    <x v="9"/>
    <n v="2.0583333333333331"/>
    <n v="0"/>
  </r>
  <r>
    <n v="5249"/>
    <x v="0"/>
    <s v="Release 2.2"/>
    <d v="2012-08-06T20:28:23"/>
    <x v="5"/>
    <n v="2.2916666666666665"/>
    <n v="0"/>
  </r>
  <r>
    <n v="5250"/>
    <x v="14"/>
    <s v="Release 2.2"/>
    <d v="2012-08-06T19:54:34"/>
    <x v="8"/>
    <n v="2.2916666666666665"/>
    <n v="0"/>
  </r>
  <r>
    <n v="5251"/>
    <x v="2"/>
    <s v="Release 2.2"/>
    <d v="2012-08-14T19:44:29"/>
    <x v="9"/>
    <n v="2.2694444444444444"/>
    <n v="0"/>
  </r>
  <r>
    <n v="5255"/>
    <x v="21"/>
    <s v="Release 2.2"/>
    <d v="2012-08-07T14:01:46"/>
    <x v="36"/>
    <n v="2.2888888888888888"/>
    <n v="0"/>
  </r>
  <r>
    <n v="5256"/>
    <x v="14"/>
    <s v="Release 2.2"/>
    <d v="2012-08-06T18:33:29"/>
    <x v="36"/>
    <n v="2.2916666666666665"/>
    <n v="0"/>
  </r>
  <r>
    <n v="5257"/>
    <x v="3"/>
    <s v="Release 2.2"/>
    <d v="2012-08-08T19:02:11"/>
    <x v="7"/>
    <n v="2.286111111111111"/>
    <n v="0"/>
  </r>
  <r>
    <n v="5258"/>
    <x v="16"/>
    <s v="Release 2.2"/>
    <d v="2012-08-07T16:47:46"/>
    <x v="22"/>
    <n v="2.2888888888888888"/>
    <n v="0"/>
  </r>
  <r>
    <n v="5259"/>
    <x v="16"/>
    <s v="Release 2.2"/>
    <d v="2012-08-06T21:01:36"/>
    <x v="5"/>
    <n v="2.2916666666666665"/>
    <n v="0"/>
  </r>
  <r>
    <n v="5261"/>
    <x v="4"/>
    <s v="Release 2.1"/>
    <d v="2012-05-04T16:53:46"/>
    <x v="21"/>
    <n v="2.5472222222222221"/>
    <n v="0"/>
  </r>
  <r>
    <n v="5263"/>
    <x v="3"/>
    <s v="Release 2.3"/>
    <d v="2012-10-26T19:04:38"/>
    <x v="9"/>
    <n v="2.0694444444444446"/>
    <n v="0"/>
  </r>
  <r>
    <n v="5266"/>
    <x v="3"/>
    <s v="Release 2.3"/>
    <d v="2012-10-29T12:22:34"/>
    <x v="2"/>
    <n v="2.0611111111111109"/>
    <n v="0"/>
  </r>
  <r>
    <n v="5270"/>
    <x v="13"/>
    <s v="Release 2.2"/>
    <d v="2012-08-06T13:40:15"/>
    <x v="15"/>
    <n v="2.2916666666666665"/>
    <n v="0"/>
  </r>
  <r>
    <n v="5274"/>
    <x v="15"/>
    <s v="Release 2.2"/>
    <d v="2012-08-06T20:13:38"/>
    <x v="5"/>
    <n v="2.2916666666666665"/>
    <n v="0"/>
  </r>
  <r>
    <n v="5278"/>
    <x v="16"/>
    <s v="Release 2.2"/>
    <d v="2012-08-06T16:52:09"/>
    <x v="9"/>
    <n v="2.2916666666666665"/>
    <n v="0"/>
  </r>
  <r>
    <n v="5279"/>
    <x v="16"/>
    <s v="Release 2.2"/>
    <d v="2012-08-06T19:03:13"/>
    <x v="5"/>
    <n v="2.2916666666666665"/>
    <n v="0"/>
  </r>
  <r>
    <n v="5285"/>
    <x v="12"/>
    <s v="Release 2.2"/>
    <d v="2012-08-06T17:24:19"/>
    <x v="10"/>
    <n v="2.2916666666666665"/>
    <n v="0"/>
  </r>
  <r>
    <n v="5286"/>
    <x v="23"/>
    <s v="Release 2.2"/>
    <d v="2012-08-07T16:21:55"/>
    <x v="10"/>
    <n v="2.2888888888888888"/>
    <n v="0"/>
  </r>
  <r>
    <n v="5287"/>
    <x v="0"/>
    <s v="Release 2.2"/>
    <d v="2012-11-02T16:42:11"/>
    <x v="4"/>
    <n v="2.0527777777777776"/>
    <n v="0"/>
  </r>
  <r>
    <n v="5292"/>
    <x v="8"/>
    <s v="Release 2.2"/>
    <d v="2012-08-07T15:30:39"/>
    <x v="2"/>
    <n v="2.2888888888888888"/>
    <n v="0"/>
  </r>
  <r>
    <n v="5293"/>
    <x v="19"/>
    <s v="Release 2.2"/>
    <d v="2012-08-07T14:39:25"/>
    <x v="22"/>
    <n v="2.2888888888888888"/>
    <n v="0"/>
  </r>
  <r>
    <n v="5299"/>
    <x v="4"/>
    <s v="Release 2.1.1"/>
    <d v="2012-05-31T12:02:46"/>
    <x v="13"/>
    <n v="2.4750000000000001"/>
    <n v="0"/>
  </r>
  <r>
    <n v="5300"/>
    <x v="28"/>
    <s v="Release 3.2"/>
    <d v="2014-03-12T10:48:38"/>
    <x v="25"/>
    <n v="0.69166666666666665"/>
    <n v="1"/>
  </r>
  <r>
    <n v="5301"/>
    <x v="3"/>
    <s v="Release 2.1.1"/>
    <d v="2012-05-30T16:34:02"/>
    <x v="1"/>
    <n v="2.4750000000000001"/>
    <n v="0"/>
  </r>
  <r>
    <n v="5303"/>
    <x v="19"/>
    <s v="Release 2.2"/>
    <d v="2012-08-06T22:53:03"/>
    <x v="16"/>
    <n v="2.2916666666666665"/>
    <n v="0"/>
  </r>
  <r>
    <n v="5304"/>
    <x v="23"/>
    <s v="Release 2.2"/>
    <d v="2012-08-08T13:02:07"/>
    <x v="10"/>
    <n v="2.286111111111111"/>
    <n v="0"/>
  </r>
  <r>
    <n v="5306"/>
    <x v="23"/>
    <s v="Release 2.3"/>
    <d v="2012-11-02T13:24:48"/>
    <x v="21"/>
    <n v="2.0527777777777776"/>
    <n v="0"/>
  </r>
  <r>
    <n v="5307"/>
    <x v="4"/>
    <s v="Release 2.2"/>
    <d v="2012-08-08T23:01:05"/>
    <x v="35"/>
    <n v="2.286111111111111"/>
    <n v="0"/>
  </r>
  <r>
    <n v="5308"/>
    <x v="19"/>
    <s v="Release 2.2"/>
    <d v="2012-08-08T13:12:53"/>
    <x v="2"/>
    <n v="2.286111111111111"/>
    <n v="0"/>
  </r>
  <r>
    <n v="5310"/>
    <x v="3"/>
    <s v="Release 2.1.1"/>
    <d v="2012-05-31T14:29:52"/>
    <x v="13"/>
    <n v="2.4750000000000001"/>
    <n v="0"/>
  </r>
  <r>
    <n v="5316"/>
    <x v="21"/>
    <s v="Release 2.2"/>
    <d v="2012-08-08T19:23:00"/>
    <x v="7"/>
    <n v="2.286111111111111"/>
    <n v="0"/>
  </r>
  <r>
    <n v="5319"/>
    <x v="12"/>
    <s v="Release 2.2"/>
    <d v="2012-08-06T14:24:53"/>
    <x v="10"/>
    <n v="2.2916666666666665"/>
    <n v="0"/>
  </r>
  <r>
    <n v="5320"/>
    <x v="12"/>
    <s v="Release 2.2"/>
    <d v="2012-08-06T14:27:09"/>
    <x v="10"/>
    <n v="2.2916666666666665"/>
    <n v="0"/>
  </r>
  <r>
    <n v="5321"/>
    <x v="11"/>
    <s v="Release 2.6"/>
    <d v="2013-07-24T09:53:08"/>
    <x v="5"/>
    <n v="1.325"/>
    <n v="0"/>
  </r>
  <r>
    <n v="5322"/>
    <x v="3"/>
    <s v="Release 2.2"/>
    <d v="2012-08-06T21:21:22"/>
    <x v="16"/>
    <n v="2.2916666666666665"/>
    <n v="0"/>
  </r>
  <r>
    <n v="5323"/>
    <x v="4"/>
    <s v="Release 2.2"/>
    <d v="2012-06-07T15:30:59"/>
    <x v="15"/>
    <n v="2.4555555555555557"/>
    <n v="0"/>
  </r>
  <r>
    <n v="5324"/>
    <x v="3"/>
    <s v="Release 2.3"/>
    <d v="2012-10-29T16:48:15"/>
    <x v="12"/>
    <n v="2.0611111111111109"/>
    <n v="0"/>
  </r>
  <r>
    <n v="5331"/>
    <x v="4"/>
    <s v="Release 2.2"/>
    <d v="2012-08-08T17:07:40"/>
    <x v="2"/>
    <n v="2.286111111111111"/>
    <n v="0"/>
  </r>
  <r>
    <n v="5336"/>
    <x v="18"/>
    <s v="Release 2.2"/>
    <d v="2012-08-08T17:01:24"/>
    <x v="4"/>
    <n v="2.286111111111111"/>
    <n v="0"/>
  </r>
  <r>
    <n v="5337"/>
    <x v="3"/>
    <s v="Release 2.2"/>
    <d v="2012-08-06T14:34:33"/>
    <x v="2"/>
    <n v="2.2916666666666665"/>
    <n v="0"/>
  </r>
  <r>
    <n v="5339"/>
    <x v="0"/>
    <s v="Release 2.2"/>
    <d v="2012-08-09T08:27:20"/>
    <x v="4"/>
    <n v="2.2833333333333332"/>
    <n v="0"/>
  </r>
  <r>
    <n v="5340"/>
    <x v="21"/>
    <s v="Release 2.2"/>
    <d v="2012-08-10T16:47:22"/>
    <x v="7"/>
    <n v="2.2805555555555554"/>
    <n v="0"/>
  </r>
  <r>
    <n v="5345"/>
    <x v="16"/>
    <s v="Release 2.2"/>
    <d v="2012-08-06T20:24:02"/>
    <x v="7"/>
    <n v="2.2916666666666665"/>
    <n v="0"/>
  </r>
  <r>
    <n v="5347"/>
    <x v="15"/>
    <s v="Release 2.2"/>
    <d v="2012-08-06T22:17:20"/>
    <x v="7"/>
    <n v="2.2916666666666665"/>
    <n v="0"/>
  </r>
  <r>
    <n v="5349"/>
    <x v="15"/>
    <s v="Release 2.6"/>
    <d v="2013-07-25T11:05:29"/>
    <x v="5"/>
    <n v="1.3222222222222222"/>
    <n v="0"/>
  </r>
  <r>
    <n v="5350"/>
    <x v="42"/>
    <s v="Release 2.4"/>
    <d v="2013-01-28T17:10:26"/>
    <x v="8"/>
    <n v="1.8138888888888889"/>
    <n v="0"/>
  </r>
  <r>
    <n v="5354"/>
    <x v="53"/>
    <s v="Release 3.3"/>
    <d v="2014-10-24T09:28:00"/>
    <x v="29"/>
    <n v="7.4999999999999997E-2"/>
    <n v="1"/>
  </r>
  <r>
    <n v="5355"/>
    <x v="21"/>
    <s v="Release 2.2"/>
    <d v="2012-08-06T21:46:21"/>
    <x v="5"/>
    <n v="2.2916666666666665"/>
    <n v="0"/>
  </r>
  <r>
    <n v="5357"/>
    <x v="21"/>
    <s v="Release 2.2"/>
    <d v="2012-08-06T18:59:27"/>
    <x v="16"/>
    <n v="2.2916666666666665"/>
    <n v="0"/>
  </r>
  <r>
    <n v="5358"/>
    <x v="16"/>
    <s v="Release 2.2"/>
    <d v="2012-08-06T20:07:09"/>
    <x v="5"/>
    <n v="2.2916666666666665"/>
    <n v="0"/>
  </r>
  <r>
    <n v="5359"/>
    <x v="16"/>
    <s v="Release 2.3"/>
    <d v="2012-10-29T16:09:13"/>
    <x v="1"/>
    <n v="2.0611111111111109"/>
    <n v="0"/>
  </r>
  <r>
    <n v="5362"/>
    <x v="12"/>
    <s v="Release 2.2"/>
    <d v="2012-08-06T14:04:19"/>
    <x v="10"/>
    <n v="2.2916666666666665"/>
    <n v="0"/>
  </r>
  <r>
    <n v="5367"/>
    <x v="32"/>
    <s v="Release 2.3"/>
    <d v="2012-08-14T19:44:57"/>
    <x v="8"/>
    <n v="2.2694444444444444"/>
    <n v="0"/>
  </r>
  <r>
    <n v="5370"/>
    <x v="6"/>
    <s v="Release 2.3"/>
    <d v="2012-10-30T13:44:55"/>
    <x v="12"/>
    <n v="2.0583333333333331"/>
    <n v="0"/>
  </r>
  <r>
    <n v="5371"/>
    <x v="42"/>
    <s v="Release 2.2"/>
    <d v="2012-08-14T19:45:11"/>
    <x v="7"/>
    <n v="2.2694444444444444"/>
    <n v="0"/>
  </r>
  <r>
    <n v="5372"/>
    <x v="6"/>
    <s v="Release 2.2"/>
    <d v="2012-08-07T16:57:00"/>
    <x v="5"/>
    <n v="2.2888888888888888"/>
    <n v="0"/>
  </r>
  <r>
    <n v="5378"/>
    <x v="4"/>
    <s v="Release 2.2"/>
    <d v="2012-08-08T18:21:20"/>
    <x v="35"/>
    <n v="2.286111111111111"/>
    <n v="0"/>
  </r>
  <r>
    <n v="5382"/>
    <x v="3"/>
    <s v="Release 2.2"/>
    <d v="2012-08-06T19:11:02"/>
    <x v="9"/>
    <n v="2.2916666666666665"/>
    <n v="0"/>
  </r>
  <r>
    <n v="5383"/>
    <x v="42"/>
    <s v="Release 2.2"/>
    <d v="2012-08-06T20:09:16"/>
    <x v="16"/>
    <n v="2.2916666666666665"/>
    <n v="0"/>
  </r>
  <r>
    <n v="5384"/>
    <x v="3"/>
    <s v="Release 2.3"/>
    <d v="2012-10-29T15:24:30"/>
    <x v="18"/>
    <n v="2.0611111111111109"/>
    <n v="0"/>
  </r>
  <r>
    <n v="5385"/>
    <x v="42"/>
    <s v="Release 2.2"/>
    <d v="2012-08-09T03:08:40"/>
    <x v="7"/>
    <n v="2.2833333333333332"/>
    <n v="0"/>
  </r>
  <r>
    <n v="5386"/>
    <x v="13"/>
    <s v="Release 2.2"/>
    <d v="2012-08-07T10:58:21"/>
    <x v="22"/>
    <n v="2.2888888888888888"/>
    <n v="0"/>
  </r>
  <r>
    <n v="5388"/>
    <x v="16"/>
    <s v="Release 2.2"/>
    <d v="2012-08-06T19:00:37"/>
    <x v="5"/>
    <n v="2.2916666666666665"/>
    <n v="0"/>
  </r>
  <r>
    <n v="5395"/>
    <x v="3"/>
    <s v="Release 2.1.1"/>
    <d v="2012-05-30T18:11:19"/>
    <x v="3"/>
    <n v="2.4750000000000001"/>
    <n v="0"/>
  </r>
  <r>
    <n v="5401"/>
    <x v="10"/>
    <s v="Release 2.4"/>
    <d v="2013-01-30T09:24:02"/>
    <x v="4"/>
    <n v="1.8083333333333333"/>
    <n v="0"/>
  </r>
  <r>
    <n v="5409"/>
    <x v="18"/>
    <s v="Release 2.2"/>
    <d v="2012-08-07T14:30:21"/>
    <x v="15"/>
    <n v="2.2888888888888888"/>
    <n v="0"/>
  </r>
  <r>
    <n v="5410"/>
    <x v="13"/>
    <s v="Release 2.2"/>
    <d v="2012-08-07T16:00:39"/>
    <x v="15"/>
    <n v="2.2888888888888888"/>
    <n v="0"/>
  </r>
  <r>
    <n v="5413"/>
    <x v="4"/>
    <s v="Release 2.2"/>
    <d v="2012-08-08T15:03:44"/>
    <x v="2"/>
    <n v="2.286111111111111"/>
    <n v="0"/>
  </r>
  <r>
    <n v="5414"/>
    <x v="17"/>
    <s v="Release 2.3"/>
    <d v="2012-12-06T21:10:52"/>
    <x v="13"/>
    <n v="1.9583333333333333"/>
    <n v="0"/>
  </r>
  <r>
    <n v="5418"/>
    <x v="3"/>
    <s v="Release 2.3"/>
    <d v="2012-10-29T09:43:58"/>
    <x v="2"/>
    <n v="2.0611111111111109"/>
    <n v="0"/>
  </r>
  <r>
    <n v="5419"/>
    <x v="21"/>
    <s v="Release 2.2"/>
    <d v="2012-08-08T19:53:36"/>
    <x v="16"/>
    <n v="2.286111111111111"/>
    <n v="0"/>
  </r>
  <r>
    <n v="5421"/>
    <x v="28"/>
    <s v="Release 3.0"/>
    <d v="2013-10-28T10:28:33"/>
    <x v="15"/>
    <n v="1.0638888888888889"/>
    <n v="0"/>
  </r>
  <r>
    <n v="5422"/>
    <x v="28"/>
    <s v="Release 3.0"/>
    <d v="2013-10-15T15:33:59"/>
    <x v="4"/>
    <n v="1.1000000000000001"/>
    <n v="0"/>
  </r>
  <r>
    <n v="5425"/>
    <x v="21"/>
    <s v="Release 2.1.1"/>
    <d v="2012-06-13T18:06:06"/>
    <x v="3"/>
    <n v="2.4388888888888891"/>
    <n v="0"/>
  </r>
  <r>
    <n v="5426"/>
    <x v="0"/>
    <s v="Release 2.2"/>
    <d v="2012-08-07T19:34:28"/>
    <x v="9"/>
    <n v="2.2888888888888888"/>
    <n v="0"/>
  </r>
  <r>
    <n v="5427"/>
    <x v="42"/>
    <s v="Release 2.4"/>
    <d v="2013-01-30T14:51:38"/>
    <x v="1"/>
    <n v="1.8083333333333333"/>
    <n v="0"/>
  </r>
  <r>
    <n v="5428"/>
    <x v="42"/>
    <s v="Release 2.4"/>
    <d v="2013-02-04T11:08:22"/>
    <x v="9"/>
    <n v="1.7972222222222223"/>
    <n v="0"/>
  </r>
  <r>
    <n v="5429"/>
    <x v="15"/>
    <s v="Release 2.3"/>
    <d v="2012-11-02T16:44:50"/>
    <x v="7"/>
    <n v="2.0527777777777776"/>
    <n v="0"/>
  </r>
  <r>
    <n v="5430"/>
    <x v="14"/>
    <s v="Release 2.2"/>
    <d v="2012-08-06T15:39:34"/>
    <x v="10"/>
    <n v="2.2916666666666665"/>
    <n v="0"/>
  </r>
  <r>
    <n v="5431"/>
    <x v="42"/>
    <s v="Release 2.4"/>
    <d v="2013-01-28T18:19:50"/>
    <x v="8"/>
    <n v="1.8138888888888889"/>
    <n v="0"/>
  </r>
  <r>
    <n v="5432"/>
    <x v="19"/>
    <s v="Release 2.2"/>
    <d v="2012-08-14T19:45:24"/>
    <x v="13"/>
    <n v="2.2694444444444444"/>
    <n v="0"/>
  </r>
  <r>
    <n v="5437"/>
    <x v="21"/>
    <s v="Release 2.2"/>
    <d v="2012-08-09T16:31:30"/>
    <x v="7"/>
    <n v="2.2833333333333332"/>
    <n v="0"/>
  </r>
  <r>
    <n v="5441"/>
    <x v="19"/>
    <s v="Release 2.2"/>
    <d v="2012-08-09T10:15:02"/>
    <x v="13"/>
    <n v="2.2833333333333332"/>
    <n v="0"/>
  </r>
  <r>
    <n v="5442"/>
    <x v="13"/>
    <s v="Release 2.2"/>
    <d v="2012-08-06T16:10:03"/>
    <x v="15"/>
    <n v="2.2916666666666665"/>
    <n v="0"/>
  </r>
  <r>
    <n v="5444"/>
    <x v="0"/>
    <s v="Release 2.2"/>
    <d v="2012-08-06T14:32:59"/>
    <x v="4"/>
    <n v="2.2916666666666665"/>
    <n v="0"/>
  </r>
  <r>
    <n v="5445"/>
    <x v="15"/>
    <s v="Release 2.2"/>
    <d v="2012-08-07T20:42:22"/>
    <x v="5"/>
    <n v="2.2888888888888888"/>
    <n v="0"/>
  </r>
  <r>
    <n v="5446"/>
    <x v="21"/>
    <s v="Release 2.2"/>
    <d v="2012-08-07T15:16:56"/>
    <x v="16"/>
    <n v="2.2888888888888888"/>
    <n v="0"/>
  </r>
  <r>
    <n v="5448"/>
    <x v="26"/>
    <s v="Release 2.3"/>
    <d v="2012-10-30T20:57:55"/>
    <x v="5"/>
    <n v="2.0583333333333331"/>
    <n v="0"/>
  </r>
  <r>
    <n v="5451"/>
    <x v="26"/>
    <s v="Release 3.0"/>
    <d v="2013-10-24T22:09:37"/>
    <x v="5"/>
    <n v="1.075"/>
    <n v="0"/>
  </r>
  <r>
    <n v="5452"/>
    <x v="16"/>
    <s v="Release 2.2"/>
    <d v="2012-08-09T08:54:15"/>
    <x v="13"/>
    <n v="2.2833333333333332"/>
    <n v="0"/>
  </r>
  <r>
    <n v="5453"/>
    <x v="8"/>
    <s v="Release 2.3"/>
    <d v="2012-11-02T16:45:34"/>
    <x v="9"/>
    <n v="2.0527777777777776"/>
    <n v="0"/>
  </r>
  <r>
    <n v="5454"/>
    <x v="8"/>
    <s v="Release 2.3"/>
    <d v="2012-11-02T16:45:25"/>
    <x v="9"/>
    <n v="2.0527777777777776"/>
    <n v="0"/>
  </r>
  <r>
    <n v="5457"/>
    <x v="16"/>
    <s v="Release 2.2"/>
    <d v="2012-08-07T20:12:23"/>
    <x v="5"/>
    <n v="2.2888888888888888"/>
    <n v="0"/>
  </r>
  <r>
    <n v="5460"/>
    <x v="21"/>
    <s v="Release 2.2"/>
    <d v="2012-08-07T14:44:59"/>
    <x v="15"/>
    <n v="2.2888888888888888"/>
    <n v="0"/>
  </r>
  <r>
    <n v="5461"/>
    <x v="3"/>
    <s v="Release 2.2"/>
    <d v="2012-08-06T19:56:03"/>
    <x v="8"/>
    <n v="2.2916666666666665"/>
    <n v="0"/>
  </r>
  <r>
    <n v="5462"/>
    <x v="0"/>
    <s v="Release 2.2"/>
    <d v="2012-08-07T12:27:20"/>
    <x v="4"/>
    <n v="2.2888888888888888"/>
    <n v="0"/>
  </r>
  <r>
    <n v="5463"/>
    <x v="3"/>
    <s v="Release 2.2"/>
    <d v="2012-08-06T19:50:04"/>
    <x v="36"/>
    <n v="2.2916666666666665"/>
    <n v="0"/>
  </r>
  <r>
    <n v="5465"/>
    <x v="26"/>
    <s v="Release 2.3"/>
    <d v="2012-10-31T12:50:04"/>
    <x v="5"/>
    <n v="2.0583333333333331"/>
    <n v="0"/>
  </r>
  <r>
    <n v="5466"/>
    <x v="0"/>
    <s v="Release 2.2"/>
    <d v="2012-08-06T21:59:10"/>
    <x v="16"/>
    <n v="2.2916666666666665"/>
    <n v="0"/>
  </r>
  <r>
    <n v="5467"/>
    <x v="16"/>
    <s v="Release 2.2"/>
    <d v="2012-08-09T09:55:11"/>
    <x v="13"/>
    <n v="2.2833333333333332"/>
    <n v="0"/>
  </r>
  <r>
    <n v="5468"/>
    <x v="3"/>
    <s v="Release 2.2"/>
    <d v="2012-08-06T21:03:33"/>
    <x v="7"/>
    <n v="2.2916666666666665"/>
    <n v="0"/>
  </r>
  <r>
    <n v="5471"/>
    <x v="26"/>
    <s v="Release 2.3"/>
    <d v="2012-10-30T19:16:55"/>
    <x v="5"/>
    <n v="2.0583333333333331"/>
    <n v="0"/>
  </r>
  <r>
    <n v="5475"/>
    <x v="15"/>
    <s v="Release 2.3"/>
    <d v="2012-11-02T16:43:29"/>
    <x v="4"/>
    <n v="2.0527777777777776"/>
    <n v="0"/>
  </r>
  <r>
    <n v="5476"/>
    <x v="42"/>
    <s v="Release 2.2"/>
    <d v="2012-08-07T03:33:45"/>
    <x v="16"/>
    <n v="2.2888888888888888"/>
    <n v="0"/>
  </r>
  <r>
    <n v="5478"/>
    <x v="3"/>
    <s v="Release 2.2"/>
    <d v="2012-08-06T17:02:00"/>
    <x v="9"/>
    <n v="2.2916666666666665"/>
    <n v="0"/>
  </r>
  <r>
    <n v="5481"/>
    <x v="42"/>
    <s v="Release 2.2"/>
    <d v="2012-08-06T20:38:38"/>
    <x v="9"/>
    <n v="2.2916666666666665"/>
    <n v="0"/>
  </r>
  <r>
    <n v="5483"/>
    <x v="19"/>
    <s v="Release 2.2"/>
    <d v="2012-08-14T19:45:07"/>
    <x v="22"/>
    <n v="2.2694444444444444"/>
    <n v="0"/>
  </r>
  <r>
    <n v="5484"/>
    <x v="16"/>
    <s v="Release 2.2"/>
    <d v="2012-08-08T13:50:58"/>
    <x v="5"/>
    <n v="2.286111111111111"/>
    <n v="0"/>
  </r>
  <r>
    <n v="5485"/>
    <x v="16"/>
    <s v="Release 2.2"/>
    <d v="2012-08-08T16:30:38"/>
    <x v="1"/>
    <n v="2.286111111111111"/>
    <n v="0"/>
  </r>
  <r>
    <n v="5487"/>
    <x v="51"/>
    <s v="Release 2.3"/>
    <d v="2012-10-31T20:35:42"/>
    <x v="45"/>
    <n v="2.0583333333333331"/>
    <n v="0"/>
  </r>
  <r>
    <n v="5488"/>
    <x v="3"/>
    <s v="Release 2.2"/>
    <d v="2012-08-06T15:37:51"/>
    <x v="2"/>
    <n v="2.2916666666666665"/>
    <n v="0"/>
  </r>
  <r>
    <n v="5489"/>
    <x v="16"/>
    <s v="Release 2.2"/>
    <d v="2012-08-14T19:45:13"/>
    <x v="5"/>
    <n v="2.2694444444444444"/>
    <n v="0"/>
  </r>
  <r>
    <n v="5490"/>
    <x v="21"/>
    <s v="Release 2.2"/>
    <d v="2012-08-07T18:02:21"/>
    <x v="45"/>
    <n v="2.2888888888888888"/>
    <n v="0"/>
  </r>
  <r>
    <n v="5491"/>
    <x v="21"/>
    <s v="Release 2.2"/>
    <d v="2012-08-07T18:37:08"/>
    <x v="45"/>
    <n v="2.2888888888888888"/>
    <n v="0"/>
  </r>
  <r>
    <n v="5493"/>
    <x v="16"/>
    <s v="Release 2.2"/>
    <d v="2012-08-07T15:04:35"/>
    <x v="5"/>
    <n v="2.2888888888888888"/>
    <n v="0"/>
  </r>
  <r>
    <n v="5494"/>
    <x v="16"/>
    <s v="Release 2.2"/>
    <d v="2012-08-06T22:30:18"/>
    <x v="5"/>
    <n v="2.2916666666666665"/>
    <n v="0"/>
  </r>
  <r>
    <n v="5511"/>
    <x v="3"/>
    <s v="Release 2.2"/>
    <d v="2012-08-06T19:37:45"/>
    <x v="7"/>
    <n v="2.2916666666666665"/>
    <n v="0"/>
  </r>
  <r>
    <n v="5534"/>
    <x v="42"/>
    <s v="Release 2.4"/>
    <d v="2013-01-30T18:23:47"/>
    <x v="9"/>
    <n v="1.8083333333333333"/>
    <n v="0"/>
  </r>
  <r>
    <n v="5535"/>
    <x v="21"/>
    <s v="Release 2.2"/>
    <d v="2012-08-07T21:33:32"/>
    <x v="7"/>
    <n v="2.2888888888888888"/>
    <n v="0"/>
  </r>
  <r>
    <n v="5537"/>
    <x v="18"/>
    <s v="Release 2.2"/>
    <d v="2013-02-28T08:22:47"/>
    <x v="22"/>
    <n v="1.7250000000000001"/>
    <n v="0"/>
  </r>
  <r>
    <n v="5538"/>
    <x v="42"/>
    <s v="Release 2.2"/>
    <d v="2012-08-06T15:32:38"/>
    <x v="2"/>
    <n v="2.2916666666666665"/>
    <n v="0"/>
  </r>
  <r>
    <n v="5539"/>
    <x v="26"/>
    <s v="Release 2.3"/>
    <d v="2012-10-29T19:29:25"/>
    <x v="5"/>
    <n v="2.0611111111111109"/>
    <n v="0"/>
  </r>
  <r>
    <n v="5540"/>
    <x v="23"/>
    <s v="Release 2.2"/>
    <d v="2012-08-14T19:44:32"/>
    <x v="36"/>
    <n v="2.2694444444444444"/>
    <n v="0"/>
  </r>
  <r>
    <n v="5541"/>
    <x v="16"/>
    <s v="Release 2.2"/>
    <d v="2012-08-06T21:58:25"/>
    <x v="5"/>
    <n v="2.2916666666666665"/>
    <n v="0"/>
  </r>
  <r>
    <n v="5542"/>
    <x v="17"/>
    <s v="Release 2.2"/>
    <d v="2012-08-09T13:54:05"/>
    <x v="13"/>
    <n v="2.2833333333333332"/>
    <n v="0"/>
  </r>
  <r>
    <n v="5544"/>
    <x v="29"/>
    <s v="Release 3.2"/>
    <d v="2014-02-28T15:00:56"/>
    <x v="11"/>
    <n v="0.72499999999999998"/>
    <n v="1"/>
  </r>
  <r>
    <n v="5547"/>
    <x v="54"/>
    <s v="Release 3.3"/>
    <d v="2014-08-01T16:04:32"/>
    <x v="11"/>
    <n v="0.30555555555555558"/>
    <n v="1"/>
  </r>
  <r>
    <n v="5549"/>
    <x v="21"/>
    <s v="Release 2.2"/>
    <d v="2012-08-14T19:45:23"/>
    <x v="5"/>
    <n v="2.2694444444444444"/>
    <n v="0"/>
  </r>
  <r>
    <n v="5551"/>
    <x v="26"/>
    <s v="Release 2.3"/>
    <d v="2012-10-31T15:27:42"/>
    <x v="5"/>
    <n v="2.0583333333333331"/>
    <n v="0"/>
  </r>
  <r>
    <n v="5553"/>
    <x v="18"/>
    <s v="Release 2.3"/>
    <d v="2012-10-30T16:27:31"/>
    <x v="11"/>
    <n v="2.0583333333333331"/>
    <n v="0"/>
  </r>
  <r>
    <n v="5554"/>
    <x v="18"/>
    <s v="Release 2.3"/>
    <d v="2012-10-31T14:24:52"/>
    <x v="1"/>
    <n v="2.0583333333333331"/>
    <n v="0"/>
  </r>
  <r>
    <n v="5555"/>
    <x v="4"/>
    <s v="Release 2.2"/>
    <d v="2012-08-07T12:24:18"/>
    <x v="4"/>
    <n v="2.2888888888888888"/>
    <n v="0"/>
  </r>
  <r>
    <n v="5556"/>
    <x v="0"/>
    <s v="Release 2.2"/>
    <d v="2012-08-08T19:36:44"/>
    <x v="5"/>
    <n v="2.286111111111111"/>
    <n v="0"/>
  </r>
  <r>
    <n v="5558"/>
    <x v="26"/>
    <s v="Release 2.3"/>
    <d v="2013-01-09T16:01:33"/>
    <x v="5"/>
    <n v="1.8666666666666667"/>
    <n v="0"/>
  </r>
  <r>
    <n v="5559"/>
    <x v="18"/>
    <s v="Release 2.2"/>
    <d v="2012-08-08T09:42:42"/>
    <x v="4"/>
    <n v="2.286111111111111"/>
    <n v="0"/>
  </r>
  <r>
    <n v="5560"/>
    <x v="3"/>
    <s v="Release 2.2"/>
    <d v="2012-08-09T16:08:28"/>
    <x v="16"/>
    <n v="2.2833333333333332"/>
    <n v="0"/>
  </r>
  <r>
    <n v="5562"/>
    <x v="3"/>
    <s v="Release 2.2"/>
    <d v="2012-08-06T15:48:04"/>
    <x v="2"/>
    <n v="2.2916666666666665"/>
    <n v="0"/>
  </r>
  <r>
    <n v="5563"/>
    <x v="19"/>
    <s v="Release 2.2"/>
    <d v="2012-08-14T19:45:07"/>
    <x v="8"/>
    <n v="2.2694444444444444"/>
    <n v="0"/>
  </r>
  <r>
    <n v="5564"/>
    <x v="15"/>
    <s v="Release 2.2"/>
    <d v="2012-08-06T18:49:57"/>
    <x v="36"/>
    <n v="2.2916666666666665"/>
    <n v="0"/>
  </r>
  <r>
    <n v="5567"/>
    <x v="18"/>
    <s v="Release 3.0"/>
    <d v="2013-10-23T11:43:39"/>
    <x v="4"/>
    <n v="1.0777777777777777"/>
    <n v="0"/>
  </r>
  <r>
    <n v="5578"/>
    <x v="23"/>
    <s v="Release 2.2"/>
    <d v="2012-08-07T17:01:20"/>
    <x v="35"/>
    <n v="2.2888888888888888"/>
    <n v="0"/>
  </r>
  <r>
    <n v="5580"/>
    <x v="23"/>
    <s v="Release 2.2"/>
    <d v="2012-08-14T19:44:55"/>
    <x v="35"/>
    <n v="2.2694444444444444"/>
    <n v="0"/>
  </r>
  <r>
    <n v="5581"/>
    <x v="11"/>
    <s v="Release 2.2"/>
    <d v="2012-08-06T14:59:45"/>
    <x v="10"/>
    <n v="2.2916666666666665"/>
    <n v="0"/>
  </r>
  <r>
    <n v="5582"/>
    <x v="15"/>
    <s v="Release 2.2"/>
    <d v="2012-08-07T16:31:24"/>
    <x v="5"/>
    <n v="2.2888888888888888"/>
    <n v="0"/>
  </r>
  <r>
    <n v="5583"/>
    <x v="15"/>
    <s v="Release 2.2"/>
    <d v="2012-08-07T16:51:43"/>
    <x v="5"/>
    <n v="2.2888888888888888"/>
    <n v="0"/>
  </r>
  <r>
    <n v="5584"/>
    <x v="3"/>
    <s v="Release 2.2"/>
    <d v="2012-08-14T19:45:23"/>
    <x v="7"/>
    <n v="2.2694444444444444"/>
    <n v="0"/>
  </r>
  <r>
    <n v="5585"/>
    <x v="27"/>
    <s v="Release 2.2"/>
    <d v="2012-08-06T18:47:29"/>
    <x v="10"/>
    <n v="2.2916666666666665"/>
    <n v="0"/>
  </r>
  <r>
    <n v="5586"/>
    <x v="11"/>
    <s v="Release 2.3"/>
    <d v="2012-10-31T13:16:59"/>
    <x v="8"/>
    <n v="2.0583333333333331"/>
    <n v="0"/>
  </r>
  <r>
    <n v="5587"/>
    <x v="27"/>
    <s v="Release 2.2"/>
    <d v="2012-08-08T14:46:41"/>
    <x v="10"/>
    <n v="2.286111111111111"/>
    <n v="0"/>
  </r>
  <r>
    <n v="5588"/>
    <x v="15"/>
    <s v="Release 2.2"/>
    <d v="2012-08-09T16:45:18"/>
    <x v="7"/>
    <n v="2.2833333333333332"/>
    <n v="0"/>
  </r>
  <r>
    <n v="5590"/>
    <x v="28"/>
    <s v="Release 2.6"/>
    <d v="2013-08-01T17:52:52"/>
    <x v="4"/>
    <n v="1.3055555555555556"/>
    <n v="0"/>
  </r>
  <r>
    <n v="5591"/>
    <x v="28"/>
    <s v="Release 2.6"/>
    <d v="2013-07-29T16:37:47"/>
    <x v="2"/>
    <n v="1.3111111111111111"/>
    <n v="0"/>
  </r>
  <r>
    <n v="5592"/>
    <x v="16"/>
    <s v="Release 2.2"/>
    <d v="2012-08-06T15:30:54"/>
    <x v="15"/>
    <n v="2.2916666666666665"/>
    <n v="0"/>
  </r>
  <r>
    <n v="5594"/>
    <x v="51"/>
    <s v="Release 2.3"/>
    <d v="2012-10-31T19:20:22"/>
    <x v="45"/>
    <n v="2.0583333333333331"/>
    <n v="0"/>
  </r>
  <r>
    <n v="5596"/>
    <x v="16"/>
    <s v="Release 2.2"/>
    <d v="2012-08-06T17:02:54"/>
    <x v="5"/>
    <n v="2.2916666666666665"/>
    <n v="0"/>
  </r>
  <r>
    <n v="5599"/>
    <x v="0"/>
    <s v="Release 2.2"/>
    <d v="2012-08-06T16:34:58"/>
    <x v="2"/>
    <n v="2.2916666666666665"/>
    <n v="0"/>
  </r>
  <r>
    <n v="5602"/>
    <x v="27"/>
    <s v="Release 2.2"/>
    <d v="2012-08-06T19:27:03"/>
    <x v="10"/>
    <n v="2.2916666666666665"/>
    <n v="0"/>
  </r>
  <r>
    <n v="5603"/>
    <x v="42"/>
    <s v="Release 2.3"/>
    <d v="2012-11-02T16:44:16"/>
    <x v="1"/>
    <n v="2.0527777777777776"/>
    <n v="0"/>
  </r>
  <r>
    <n v="5605"/>
    <x v="8"/>
    <s v="Release 2.3"/>
    <d v="2012-11-02T16:45:36"/>
    <x v="9"/>
    <n v="2.0527777777777776"/>
    <n v="0"/>
  </r>
  <r>
    <n v="5608"/>
    <x v="4"/>
    <s v="Release 2.2"/>
    <d v="2012-08-14T19:44:24"/>
    <x v="35"/>
    <n v="2.2694444444444444"/>
    <n v="0"/>
  </r>
  <r>
    <n v="5609"/>
    <x v="13"/>
    <s v="Release 2.2"/>
    <d v="2012-08-06T16:32:08"/>
    <x v="15"/>
    <n v="2.2916666666666665"/>
    <n v="0"/>
  </r>
  <r>
    <n v="5610"/>
    <x v="3"/>
    <s v="Release 2.2"/>
    <d v="2012-08-07T15:37:26"/>
    <x v="9"/>
    <n v="2.2888888888888888"/>
    <n v="0"/>
  </r>
  <r>
    <n v="5612"/>
    <x v="19"/>
    <s v="Release 2.2"/>
    <d v="2012-08-06T20:39:54"/>
    <x v="9"/>
    <n v="2.2916666666666665"/>
    <n v="0"/>
  </r>
  <r>
    <n v="5613"/>
    <x v="21"/>
    <s v="Release 2.2"/>
    <d v="2012-08-14T19:45:21"/>
    <x v="2"/>
    <n v="2.2694444444444444"/>
    <n v="0"/>
  </r>
  <r>
    <n v="5614"/>
    <x v="3"/>
    <s v="Release 2.2"/>
    <d v="2012-08-07T13:43:37"/>
    <x v="2"/>
    <n v="2.2888888888888888"/>
    <n v="0"/>
  </r>
  <r>
    <n v="5615"/>
    <x v="3"/>
    <s v="Release 2.2"/>
    <d v="2012-08-06T21:58:26"/>
    <x v="36"/>
    <n v="2.2916666666666665"/>
    <n v="0"/>
  </r>
  <r>
    <n v="5619"/>
    <x v="4"/>
    <s v="Release 2.2"/>
    <d v="2012-08-06T21:34:42"/>
    <x v="16"/>
    <n v="2.2916666666666665"/>
    <n v="0"/>
  </r>
  <r>
    <n v="5621"/>
    <x v="15"/>
    <s v="Release 2.3"/>
    <d v="2012-11-01T11:55:16"/>
    <x v="4"/>
    <n v="2.0555555555555554"/>
    <n v="0"/>
  </r>
  <r>
    <n v="5622"/>
    <x v="14"/>
    <s v="Release 2.2"/>
    <d v="2012-08-07T16:38:33"/>
    <x v="16"/>
    <n v="2.2888888888888888"/>
    <n v="0"/>
  </r>
  <r>
    <n v="5623"/>
    <x v="8"/>
    <s v="Release 2.3"/>
    <d v="2012-11-02T16:44:23"/>
    <x v="9"/>
    <n v="2.0527777777777776"/>
    <n v="0"/>
  </r>
  <r>
    <n v="5624"/>
    <x v="3"/>
    <s v="Release 2.2"/>
    <d v="2012-08-07T15:23:09"/>
    <x v="16"/>
    <n v="2.2888888888888888"/>
    <n v="0"/>
  </r>
  <r>
    <n v="5625"/>
    <x v="4"/>
    <s v="Release 2.2"/>
    <d v="2012-08-06T18:39:31"/>
    <x v="10"/>
    <n v="2.2916666666666665"/>
    <n v="0"/>
  </r>
  <r>
    <n v="5626"/>
    <x v="16"/>
    <s v="Release 2.2"/>
    <d v="2012-08-06T20:35:05"/>
    <x v="36"/>
    <n v="2.2916666666666665"/>
    <n v="0"/>
  </r>
  <r>
    <n v="5627"/>
    <x v="0"/>
    <s v="Release 2.5"/>
    <d v="2013-04-19T16:05:07"/>
    <x v="4"/>
    <n v="1.5888888888888888"/>
    <n v="0"/>
  </r>
  <r>
    <n v="5631"/>
    <x v="21"/>
    <s v="Release 2.2"/>
    <d v="2012-08-06T16:56:36"/>
    <x v="8"/>
    <n v="2.2916666666666665"/>
    <n v="0"/>
  </r>
  <r>
    <n v="5633"/>
    <x v="16"/>
    <s v="Release 2.2"/>
    <d v="2012-08-06T20:00:10"/>
    <x v="5"/>
    <n v="2.2916666666666665"/>
    <n v="0"/>
  </r>
  <r>
    <n v="5634"/>
    <x v="16"/>
    <s v="Release 2.2"/>
    <d v="2012-08-08T15:42:22"/>
    <x v="35"/>
    <n v="2.286111111111111"/>
    <n v="0"/>
  </r>
  <r>
    <n v="5635"/>
    <x v="17"/>
    <s v="Release 2.4"/>
    <d v="2013-01-29T14:22:25"/>
    <x v="11"/>
    <n v="1.8111111111111111"/>
    <n v="0"/>
  </r>
  <r>
    <n v="5636"/>
    <x v="4"/>
    <s v="Release 2.2"/>
    <d v="2012-08-08T15:40:30"/>
    <x v="35"/>
    <n v="2.286111111111111"/>
    <n v="0"/>
  </r>
  <r>
    <n v="5644"/>
    <x v="3"/>
    <s v="Release 2.2"/>
    <d v="2012-08-07T15:55:55"/>
    <x v="9"/>
    <n v="2.2888888888888888"/>
    <n v="0"/>
  </r>
  <r>
    <n v="5648"/>
    <x v="2"/>
    <s v="Release 2.2"/>
    <d v="2012-08-08T15:37:30"/>
    <x v="35"/>
    <n v="2.286111111111111"/>
    <n v="0"/>
  </r>
  <r>
    <n v="5649"/>
    <x v="4"/>
    <s v="Release 2.3"/>
    <d v="2012-10-30T14:13:04"/>
    <x v="35"/>
    <n v="2.0583333333333331"/>
    <n v="0"/>
  </r>
  <r>
    <n v="5650"/>
    <x v="3"/>
    <s v="Release 2.2"/>
    <d v="2012-08-07T15:47:41"/>
    <x v="9"/>
    <n v="2.2888888888888888"/>
    <n v="0"/>
  </r>
  <r>
    <n v="5651"/>
    <x v="23"/>
    <s v="Release 2.2"/>
    <d v="2012-08-08T15:34:48"/>
    <x v="35"/>
    <n v="2.286111111111111"/>
    <n v="0"/>
  </r>
  <r>
    <n v="5652"/>
    <x v="23"/>
    <s v="Release 2.2"/>
    <d v="2012-08-14T19:44:27"/>
    <x v="35"/>
    <n v="2.2694444444444444"/>
    <n v="0"/>
  </r>
  <r>
    <n v="5653"/>
    <x v="0"/>
    <s v="Release 2.2"/>
    <d v="2012-08-06T22:51:45"/>
    <x v="9"/>
    <n v="2.2916666666666665"/>
    <n v="0"/>
  </r>
  <r>
    <n v="5655"/>
    <x v="8"/>
    <s v="Release 2.3"/>
    <d v="2012-11-02T16:44:37"/>
    <x v="9"/>
    <n v="2.0527777777777776"/>
    <n v="0"/>
  </r>
  <r>
    <n v="5657"/>
    <x v="16"/>
    <s v="Release 2.2"/>
    <d v="2012-08-08T09:03:07"/>
    <x v="4"/>
    <n v="2.286111111111111"/>
    <n v="0"/>
  </r>
  <r>
    <n v="5659"/>
    <x v="17"/>
    <s v="Release 2.3"/>
    <d v="2012-11-02T16:44:03"/>
    <x v="12"/>
    <n v="2.0527777777777776"/>
    <n v="0"/>
  </r>
  <r>
    <n v="5661"/>
    <x v="21"/>
    <s v="Release 2.2"/>
    <d v="2012-08-14T19:44:39"/>
    <x v="5"/>
    <n v="2.2694444444444444"/>
    <n v="0"/>
  </r>
  <r>
    <n v="5668"/>
    <x v="2"/>
    <s v="Release 2.2"/>
    <d v="2012-08-14T19:44:34"/>
    <x v="36"/>
    <n v="2.2694444444444444"/>
    <n v="0"/>
  </r>
  <r>
    <n v="5671"/>
    <x v="16"/>
    <s v="Release 2.3"/>
    <d v="2012-10-30T11:14:49"/>
    <x v="18"/>
    <n v="2.0583333333333331"/>
    <n v="0"/>
  </r>
  <r>
    <n v="5672"/>
    <x v="27"/>
    <s v="Release 2.2"/>
    <d v="2012-08-14T19:44:44"/>
    <x v="35"/>
    <n v="2.2694444444444444"/>
    <n v="0"/>
  </r>
  <r>
    <n v="5674"/>
    <x v="8"/>
    <s v="Release 2.3"/>
    <d v="2012-11-02T16:44:23"/>
    <x v="9"/>
    <n v="2.0527777777777776"/>
    <n v="0"/>
  </r>
  <r>
    <n v="5675"/>
    <x v="44"/>
    <s v="Release 3.3"/>
    <d v="2014-10-13T16:49:19"/>
    <x v="9"/>
    <n v="0.10555555555555556"/>
    <n v="1"/>
  </r>
  <r>
    <n v="5678"/>
    <x v="8"/>
    <s v="Release 2.3"/>
    <d v="2012-11-02T16:45:24"/>
    <x v="9"/>
    <n v="2.0527777777777776"/>
    <n v="0"/>
  </r>
  <r>
    <n v="5682"/>
    <x v="18"/>
    <s v="Release 2.2"/>
    <d v="2012-08-14T19:45:02"/>
    <x v="4"/>
    <n v="2.2694444444444444"/>
    <n v="0"/>
  </r>
  <r>
    <n v="5683"/>
    <x v="3"/>
    <s v="Release 2.2"/>
    <d v="2012-08-14T19:44:50"/>
    <x v="2"/>
    <n v="2.2694444444444444"/>
    <n v="0"/>
  </r>
  <r>
    <n v="5684"/>
    <x v="16"/>
    <s v="Release 2.2"/>
    <d v="2012-08-14T19:44:48"/>
    <x v="5"/>
    <n v="2.2694444444444444"/>
    <n v="0"/>
  </r>
  <r>
    <n v="5687"/>
    <x v="18"/>
    <s v="Release 2.2"/>
    <d v="2012-08-14T19:45:04"/>
    <x v="35"/>
    <n v="2.2694444444444444"/>
    <n v="0"/>
  </r>
  <r>
    <n v="5690"/>
    <x v="32"/>
    <s v="Release 2.3"/>
    <d v="2012-10-30T15:33:19"/>
    <x v="8"/>
    <n v="2.0583333333333331"/>
    <n v="0"/>
  </r>
  <r>
    <n v="5691"/>
    <x v="16"/>
    <s v="Release 2.3"/>
    <d v="2012-11-02T16:45:21"/>
    <x v="1"/>
    <n v="2.0527777777777776"/>
    <n v="0"/>
  </r>
  <r>
    <n v="5696"/>
    <x v="4"/>
    <s v="Release 2.2"/>
    <d v="2012-08-14T19:45:26"/>
    <x v="9"/>
    <n v="2.2694444444444444"/>
    <n v="0"/>
  </r>
  <r>
    <n v="5697"/>
    <x v="18"/>
    <s v="Release 2.4"/>
    <d v="2013-01-30T09:39:21"/>
    <x v="4"/>
    <n v="1.8083333333333333"/>
    <n v="0"/>
  </r>
  <r>
    <n v="5701"/>
    <x v="3"/>
    <s v="Release 2.2"/>
    <d v="2012-08-14T19:45:20"/>
    <x v="2"/>
    <n v="2.2694444444444444"/>
    <n v="0"/>
  </r>
  <r>
    <n v="5703"/>
    <x v="21"/>
    <s v="Release 2.2"/>
    <d v="2012-08-14T19:45:22"/>
    <x v="5"/>
    <n v="2.2694444444444444"/>
    <n v="0"/>
  </r>
  <r>
    <n v="5704"/>
    <x v="0"/>
    <s v="Release 2.2"/>
    <d v="2012-08-14T19:45:22"/>
    <x v="10"/>
    <n v="2.2694444444444444"/>
    <n v="0"/>
  </r>
  <r>
    <n v="5705"/>
    <x v="28"/>
    <s v="Release 3.0"/>
    <d v="2013-10-28T13:45:08"/>
    <x v="11"/>
    <n v="1.0638888888888889"/>
    <n v="0"/>
  </r>
  <r>
    <n v="5706"/>
    <x v="21"/>
    <s v="Release 2.3"/>
    <d v="2012-11-02T16:45:05"/>
    <x v="16"/>
    <n v="2.0527777777777776"/>
    <n v="0"/>
  </r>
  <r>
    <n v="5708"/>
    <x v="42"/>
    <s v="Release 2.4"/>
    <d v="2013-01-28T22:34:40"/>
    <x v="16"/>
    <n v="1.8138888888888889"/>
    <n v="0"/>
  </r>
  <r>
    <n v="5710"/>
    <x v="18"/>
    <s v="Release 2.3"/>
    <d v="2012-10-31T15:31:46"/>
    <x v="1"/>
    <n v="2.0583333333333331"/>
    <n v="0"/>
  </r>
  <r>
    <n v="5711"/>
    <x v="3"/>
    <s v="Release 2.4"/>
    <d v="2013-01-28T22:21:22"/>
    <x v="16"/>
    <n v="1.8138888888888889"/>
    <n v="0"/>
  </r>
  <r>
    <n v="5713"/>
    <x v="4"/>
    <s v="Release 2.2"/>
    <d v="2012-08-14T19:45:26"/>
    <x v="5"/>
    <n v="2.2694444444444444"/>
    <n v="0"/>
  </r>
  <r>
    <n v="5715"/>
    <x v="16"/>
    <s v="Release 2.3"/>
    <d v="2012-10-29T18:55:12"/>
    <x v="5"/>
    <n v="2.0611111111111109"/>
    <n v="0"/>
  </r>
  <r>
    <n v="5716"/>
    <x v="16"/>
    <s v="Release 2.3"/>
    <d v="2012-10-30T10:33:13"/>
    <x v="18"/>
    <n v="2.0583333333333331"/>
    <n v="0"/>
  </r>
  <r>
    <n v="5717"/>
    <x v="16"/>
    <s v="Release 2.3"/>
    <d v="2012-12-06T21:10:54"/>
    <x v="13"/>
    <n v="1.9583333333333333"/>
    <n v="0"/>
  </r>
  <r>
    <n v="5721"/>
    <x v="3"/>
    <s v="Release 2.2"/>
    <d v="2012-08-14T19:45:29"/>
    <x v="7"/>
    <n v="2.2694444444444444"/>
    <n v="0"/>
  </r>
  <r>
    <n v="5722"/>
    <x v="16"/>
    <s v="Release 2.3"/>
    <d v="2012-10-29T20:06:28"/>
    <x v="5"/>
    <n v="2.0611111111111109"/>
    <n v="0"/>
  </r>
  <r>
    <n v="5723"/>
    <x v="19"/>
    <s v="Release 2.3"/>
    <d v="2012-10-29T15:51:15"/>
    <x v="1"/>
    <n v="2.0611111111111109"/>
    <n v="0"/>
  </r>
  <r>
    <n v="5724"/>
    <x v="3"/>
    <s v="Release 2.2"/>
    <d v="2012-11-02T16:44:19"/>
    <x v="5"/>
    <n v="2.0527777777777776"/>
    <n v="0"/>
  </r>
  <r>
    <n v="5725"/>
    <x v="3"/>
    <s v="Release 2.2"/>
    <d v="2012-08-14T19:45:28"/>
    <x v="9"/>
    <n v="2.2694444444444444"/>
    <n v="0"/>
  </r>
  <r>
    <n v="5732"/>
    <x v="4"/>
    <s v="Release 2.2"/>
    <d v="2012-08-14T19:45:30"/>
    <x v="9"/>
    <n v="2.2694444444444444"/>
    <n v="0"/>
  </r>
  <r>
    <n v="5733"/>
    <x v="2"/>
    <s v="Release 2.6"/>
    <d v="2013-07-29T13:55:21"/>
    <x v="2"/>
    <n v="1.3111111111111111"/>
    <n v="0"/>
  </r>
  <r>
    <n v="5735"/>
    <x v="4"/>
    <s v="Release 2.3"/>
    <d v="2012-10-29T20:42:06"/>
    <x v="35"/>
    <n v="2.0611111111111109"/>
    <n v="0"/>
  </r>
  <r>
    <n v="5736"/>
    <x v="3"/>
    <s v="Release 2.3"/>
    <d v="2012-10-29T21:56:48"/>
    <x v="16"/>
    <n v="2.0611111111111109"/>
    <n v="0"/>
  </r>
  <r>
    <n v="5737"/>
    <x v="16"/>
    <s v="Release 2.2"/>
    <d v="2012-08-14T19:45:30"/>
    <x v="15"/>
    <n v="2.2694444444444444"/>
    <n v="0"/>
  </r>
  <r>
    <n v="5739"/>
    <x v="0"/>
    <s v="Release 2.2"/>
    <d v="2012-08-14T19:45:33"/>
    <x v="10"/>
    <n v="2.2694444444444444"/>
    <n v="0"/>
  </r>
  <r>
    <n v="5740"/>
    <x v="21"/>
    <s v="Release 2.3"/>
    <d v="2012-11-02T16:42:14"/>
    <x v="16"/>
    <n v="2.0527777777777776"/>
    <n v="0"/>
  </r>
  <r>
    <n v="5741"/>
    <x v="4"/>
    <s v="Release 2.2"/>
    <d v="2012-08-14T19:45:34"/>
    <x v="2"/>
    <n v="2.2694444444444444"/>
    <n v="0"/>
  </r>
  <r>
    <n v="5743"/>
    <x v="21"/>
    <s v="Release 2.3"/>
    <d v="2012-11-02T16:45:05"/>
    <x v="7"/>
    <n v="2.0527777777777776"/>
    <n v="0"/>
  </r>
  <r>
    <n v="5744"/>
    <x v="16"/>
    <s v="Release 2.3"/>
    <d v="2012-10-31T13:37:50"/>
    <x v="1"/>
    <n v="2.0583333333333331"/>
    <n v="0"/>
  </r>
  <r>
    <n v="5747"/>
    <x v="27"/>
    <s v="Release 2.3"/>
    <d v="2012-11-02T16:44:21"/>
    <x v="10"/>
    <n v="2.0527777777777776"/>
    <n v="0"/>
  </r>
  <r>
    <n v="5748"/>
    <x v="27"/>
    <s v="Release 2.3"/>
    <d v="2012-11-02T16:45:37"/>
    <x v="9"/>
    <n v="2.0527777777777776"/>
    <n v="0"/>
  </r>
  <r>
    <n v="5749"/>
    <x v="27"/>
    <s v="Release 2.3"/>
    <d v="2012-10-31T09:56:24"/>
    <x v="12"/>
    <n v="2.0583333333333331"/>
    <n v="0"/>
  </r>
  <r>
    <n v="5750"/>
    <x v="15"/>
    <s v="Release 2.4"/>
    <d v="2013-01-30T22:32:52"/>
    <x v="8"/>
    <n v="1.8083333333333333"/>
    <n v="0"/>
  </r>
  <r>
    <n v="5752"/>
    <x v="32"/>
    <s v="Release 2.3"/>
    <d v="2012-10-30T15:29:51"/>
    <x v="8"/>
    <n v="2.0583333333333331"/>
    <n v="0"/>
  </r>
  <r>
    <n v="5753"/>
    <x v="3"/>
    <s v="Release 2.3"/>
    <d v="2012-10-30T12:21:19"/>
    <x v="11"/>
    <n v="2.0583333333333331"/>
    <n v="0"/>
  </r>
  <r>
    <n v="5754"/>
    <x v="16"/>
    <s v="Release 2.3"/>
    <d v="2012-10-29T15:14:27"/>
    <x v="11"/>
    <n v="2.0611111111111109"/>
    <n v="0"/>
  </r>
  <r>
    <n v="5758"/>
    <x v="32"/>
    <s v="Release 2.3"/>
    <d v="2012-10-30T15:31:56"/>
    <x v="8"/>
    <n v="2.0583333333333331"/>
    <n v="0"/>
  </r>
  <r>
    <n v="5759"/>
    <x v="3"/>
    <s v="Release 2.3"/>
    <d v="2012-10-29T20:41:25"/>
    <x v="5"/>
    <n v="2.0611111111111109"/>
    <n v="0"/>
  </r>
  <r>
    <n v="5761"/>
    <x v="10"/>
    <s v="Release 2.3"/>
    <d v="2012-10-30T16:22:12"/>
    <x v="9"/>
    <n v="2.0583333333333331"/>
    <n v="0"/>
  </r>
  <r>
    <n v="5762"/>
    <x v="8"/>
    <s v="Release 2.3"/>
    <d v="2012-10-29T17:35:34"/>
    <x v="9"/>
    <n v="2.0611111111111109"/>
    <n v="0"/>
  </r>
  <r>
    <n v="5763"/>
    <x v="32"/>
    <s v="Release 2.3"/>
    <d v="2012-10-30T15:33:55"/>
    <x v="8"/>
    <n v="2.0583333333333331"/>
    <n v="0"/>
  </r>
  <r>
    <n v="5766"/>
    <x v="3"/>
    <s v="Release 2.3"/>
    <d v="2012-10-31T11:08:19"/>
    <x v="13"/>
    <n v="2.0583333333333331"/>
    <n v="0"/>
  </r>
  <r>
    <n v="5769"/>
    <x v="8"/>
    <s v="Release 2.3"/>
    <d v="2012-10-29T17:28:04"/>
    <x v="9"/>
    <n v="2.0611111111111109"/>
    <n v="0"/>
  </r>
  <r>
    <n v="5771"/>
    <x v="32"/>
    <s v="Release 2.3"/>
    <d v="2012-10-30T15:32:45"/>
    <x v="8"/>
    <n v="2.0583333333333331"/>
    <n v="0"/>
  </r>
  <r>
    <n v="5773"/>
    <x v="10"/>
    <s v="Release 2.5"/>
    <d v="2013-04-24T19:52:33"/>
    <x v="5"/>
    <n v="1.575"/>
    <n v="0"/>
  </r>
  <r>
    <n v="5776"/>
    <x v="16"/>
    <s v="Release 2.3"/>
    <d v="2012-10-31T16:46:16"/>
    <x v="12"/>
    <n v="2.0583333333333331"/>
    <n v="0"/>
  </r>
  <r>
    <n v="5777"/>
    <x v="3"/>
    <s v="Release 2.3"/>
    <d v="2012-10-29T17:21:25"/>
    <x v="9"/>
    <n v="2.0611111111111109"/>
    <n v="0"/>
  </r>
  <r>
    <n v="5778"/>
    <x v="14"/>
    <s v="Release 2.3"/>
    <d v="2012-10-30T17:28:49"/>
    <x v="5"/>
    <n v="2.0583333333333331"/>
    <n v="0"/>
  </r>
  <r>
    <n v="5779"/>
    <x v="23"/>
    <s v="Release 2.5"/>
    <d v="2013-03-15T15:24:15"/>
    <x v="21"/>
    <n v="1.6833333333333333"/>
    <n v="0"/>
  </r>
  <r>
    <n v="5781"/>
    <x v="18"/>
    <s v="Release 2.3"/>
    <d v="2012-10-30T16:40:14"/>
    <x v="11"/>
    <n v="2.0583333333333331"/>
    <n v="0"/>
  </r>
  <r>
    <n v="5784"/>
    <x v="18"/>
    <s v="Release 2.3"/>
    <d v="2012-11-01T09:56:43"/>
    <x v="4"/>
    <n v="2.0555555555555554"/>
    <n v="0"/>
  </r>
  <r>
    <n v="5787"/>
    <x v="3"/>
    <s v="Release 2.3"/>
    <d v="2012-10-29T15:57:38"/>
    <x v="11"/>
    <n v="2.0611111111111109"/>
    <n v="0"/>
  </r>
  <r>
    <n v="5790"/>
    <x v="15"/>
    <s v="Release 2.4"/>
    <d v="2013-09-19T13:35:37"/>
    <x v="0"/>
    <n v="1.1722222222222223"/>
    <n v="0"/>
  </r>
  <r>
    <n v="5791"/>
    <x v="18"/>
    <s v="Release 2.3"/>
    <d v="2012-11-01T11:22:54"/>
    <x v="18"/>
    <n v="2.0555555555555554"/>
    <n v="0"/>
  </r>
  <r>
    <n v="5792"/>
    <x v="3"/>
    <s v="Release 2.3"/>
    <d v="2012-10-31T11:58:11"/>
    <x v="21"/>
    <n v="2.0583333333333331"/>
    <n v="0"/>
  </r>
  <r>
    <n v="5794"/>
    <x v="10"/>
    <s v="Release 2.3"/>
    <d v="2012-10-30T18:38:11"/>
    <x v="5"/>
    <n v="2.0583333333333331"/>
    <n v="0"/>
  </r>
  <r>
    <n v="5796"/>
    <x v="23"/>
    <s v="Release 2.3"/>
    <d v="2012-11-02T16:45:33"/>
    <x v="9"/>
    <n v="2.0527777777777776"/>
    <n v="0"/>
  </r>
  <r>
    <n v="5797"/>
    <x v="17"/>
    <s v="Release 2.5"/>
    <d v="2013-05-16T22:40:01"/>
    <x v="11"/>
    <n v="1.5138888888888888"/>
    <n v="0"/>
  </r>
  <r>
    <n v="5798"/>
    <x v="3"/>
    <s v="Release 2.3"/>
    <d v="2012-10-30T18:25:08"/>
    <x v="7"/>
    <n v="2.0583333333333331"/>
    <n v="0"/>
  </r>
  <r>
    <n v="5800"/>
    <x v="3"/>
    <s v="Release 2.3"/>
    <d v="2012-10-31T12:06:13"/>
    <x v="21"/>
    <n v="2.0583333333333331"/>
    <n v="0"/>
  </r>
  <r>
    <n v="5801"/>
    <x v="15"/>
    <s v="Release 2.4"/>
    <d v="2013-09-19T13:35:37"/>
    <x v="0"/>
    <n v="1.1722222222222223"/>
    <n v="0"/>
  </r>
  <r>
    <n v="5803"/>
    <x v="32"/>
    <s v="Release 2.3"/>
    <d v="2012-11-02T16:42:10"/>
    <x v="8"/>
    <n v="2.0527777777777776"/>
    <n v="0"/>
  </r>
  <r>
    <n v="5806"/>
    <x v="21"/>
    <s v="Release 2.3"/>
    <d v="2012-10-29T20:26:42"/>
    <x v="7"/>
    <n v="2.0611111111111109"/>
    <n v="0"/>
  </r>
  <r>
    <n v="5807"/>
    <x v="4"/>
    <s v="Release 2.3"/>
    <d v="2012-10-29T15:07:27"/>
    <x v="16"/>
    <n v="2.0611111111111109"/>
    <n v="0"/>
  </r>
  <r>
    <n v="5808"/>
    <x v="21"/>
    <s v="Release 2.3"/>
    <d v="2012-10-29T18:32:34"/>
    <x v="3"/>
    <n v="2.0611111111111109"/>
    <n v="0"/>
  </r>
  <r>
    <n v="5811"/>
    <x v="3"/>
    <s v="Release 2.3"/>
    <d v="2012-10-31T12:20:20"/>
    <x v="21"/>
    <n v="2.0583333333333331"/>
    <n v="0"/>
  </r>
  <r>
    <n v="5812"/>
    <x v="8"/>
    <s v="Release 2.3"/>
    <d v="2012-10-30T18:08:37"/>
    <x v="9"/>
    <n v="2.0583333333333331"/>
    <n v="0"/>
  </r>
  <r>
    <n v="5813"/>
    <x v="3"/>
    <s v="Release 2.3"/>
    <d v="2012-10-29T21:35:09"/>
    <x v="5"/>
    <n v="2.0611111111111109"/>
    <n v="0"/>
  </r>
  <r>
    <n v="5814"/>
    <x v="14"/>
    <s v="Release 2.5"/>
    <d v="2013-04-26T19:39:13"/>
    <x v="10"/>
    <n v="1.5694444444444444"/>
    <n v="0"/>
  </r>
  <r>
    <n v="5817"/>
    <x v="16"/>
    <s v="Release 2.3"/>
    <d v="2012-10-30T12:34:45"/>
    <x v="11"/>
    <n v="2.0583333333333331"/>
    <n v="0"/>
  </r>
  <r>
    <n v="5820"/>
    <x v="15"/>
    <s v="Release 2.3"/>
    <d v="2012-11-01T09:49:51"/>
    <x v="4"/>
    <n v="2.0555555555555554"/>
    <n v="0"/>
  </r>
  <r>
    <n v="5821"/>
    <x v="16"/>
    <s v="Release 2.3"/>
    <d v="2012-12-06T21:10:51"/>
    <x v="18"/>
    <n v="1.9583333333333333"/>
    <n v="0"/>
  </r>
  <r>
    <n v="5822"/>
    <x v="4"/>
    <s v="Release 2.3"/>
    <d v="2012-10-29T18:23:05"/>
    <x v="16"/>
    <n v="2.0611111111111109"/>
    <n v="0"/>
  </r>
  <r>
    <n v="5829"/>
    <x v="15"/>
    <s v="Release 2.3"/>
    <d v="2012-11-01T15:04:03"/>
    <x v="4"/>
    <n v="2.0555555555555554"/>
    <n v="0"/>
  </r>
  <r>
    <n v="5830"/>
    <x v="4"/>
    <s v="Release 2.3"/>
    <d v="2012-11-02T16:44:36"/>
    <x v="16"/>
    <n v="2.0527777777777776"/>
    <n v="0"/>
  </r>
  <r>
    <n v="5834"/>
    <x v="8"/>
    <s v="Release 2.3"/>
    <d v="2012-10-29T22:38:58"/>
    <x v="35"/>
    <n v="2.0611111111111109"/>
    <n v="0"/>
  </r>
  <r>
    <n v="5836"/>
    <x v="23"/>
    <s v="Release 2.3"/>
    <d v="2012-12-06T21:10:55"/>
    <x v="7"/>
    <n v="1.9583333333333333"/>
    <n v="0"/>
  </r>
  <r>
    <n v="5838"/>
    <x v="4"/>
    <s v="Release 2.3"/>
    <d v="2012-11-02T16:45:00"/>
    <x v="11"/>
    <n v="2.0527777777777776"/>
    <n v="0"/>
  </r>
  <r>
    <n v="5839"/>
    <x v="17"/>
    <s v="Release 2.3"/>
    <d v="2012-10-29T18:10:36"/>
    <x v="9"/>
    <n v="2.0611111111111109"/>
    <n v="0"/>
  </r>
  <r>
    <n v="5840"/>
    <x v="17"/>
    <s v="Release 2.3"/>
    <d v="2012-10-31T11:34:03"/>
    <x v="12"/>
    <n v="2.0583333333333331"/>
    <n v="0"/>
  </r>
  <r>
    <n v="5841"/>
    <x v="0"/>
    <s v="Release 2.3"/>
    <d v="2012-11-02T16:42:10"/>
    <x v="5"/>
    <n v="2.0527777777777776"/>
    <n v="0"/>
  </r>
  <r>
    <n v="5843"/>
    <x v="21"/>
    <s v="Release 2.3"/>
    <d v="2012-12-06T21:10:54"/>
    <x v="7"/>
    <n v="1.9583333333333333"/>
    <n v="0"/>
  </r>
  <r>
    <n v="5845"/>
    <x v="0"/>
    <s v="Release 2.3"/>
    <d v="2012-11-02T16:42:12"/>
    <x v="13"/>
    <n v="2.0527777777777776"/>
    <n v="0"/>
  </r>
  <r>
    <n v="5846"/>
    <x v="21"/>
    <s v="Release 2.3"/>
    <d v="2012-10-30T13:02:21"/>
    <x v="5"/>
    <n v="2.0583333333333331"/>
    <n v="0"/>
  </r>
  <r>
    <n v="5848"/>
    <x v="4"/>
    <s v="Release 2.3"/>
    <d v="2012-11-02T16:42:13"/>
    <x v="35"/>
    <n v="2.0527777777777776"/>
    <n v="0"/>
  </r>
  <r>
    <n v="5851"/>
    <x v="4"/>
    <s v="Release 2.3"/>
    <d v="2012-11-02T16:42:54"/>
    <x v="16"/>
    <n v="2.0527777777777776"/>
    <n v="0"/>
  </r>
  <r>
    <n v="5854"/>
    <x v="18"/>
    <s v="Release 2.4"/>
    <d v="2013-01-30T15:38:15"/>
    <x v="18"/>
    <n v="1.8083333333333333"/>
    <n v="0"/>
  </r>
  <r>
    <n v="5855"/>
    <x v="8"/>
    <s v="Release 2.3"/>
    <d v="2012-11-02T16:43:06"/>
    <x v="9"/>
    <n v="2.0527777777777776"/>
    <n v="0"/>
  </r>
  <r>
    <n v="5857"/>
    <x v="32"/>
    <s v="Release 2.3"/>
    <d v="2012-11-02T16:43:55"/>
    <x v="8"/>
    <n v="2.0527777777777776"/>
    <n v="0"/>
  </r>
  <r>
    <n v="5858"/>
    <x v="23"/>
    <s v="Release 2.4"/>
    <d v="2013-01-29T16:04:12"/>
    <x v="21"/>
    <n v="1.8111111111111111"/>
    <n v="0"/>
  </r>
  <r>
    <n v="5860"/>
    <x v="0"/>
    <s v="Release 2.3"/>
    <d v="2012-11-02T16:42:24"/>
    <x v="5"/>
    <n v="2.0527777777777776"/>
    <n v="0"/>
  </r>
  <r>
    <n v="5861"/>
    <x v="11"/>
    <s v="Release 2.3"/>
    <d v="2012-12-06T21:10:52"/>
    <x v="10"/>
    <n v="1.9583333333333333"/>
    <n v="0"/>
  </r>
  <r>
    <n v="5862"/>
    <x v="16"/>
    <s v="Release 2.4"/>
    <d v="2013-01-28T22:41:18"/>
    <x v="7"/>
    <n v="1.8138888888888889"/>
    <n v="0"/>
  </r>
  <r>
    <n v="5865"/>
    <x v="8"/>
    <s v="Release 2.3"/>
    <d v="2012-11-02T16:42:37"/>
    <x v="9"/>
    <n v="2.0527777777777776"/>
    <n v="0"/>
  </r>
  <r>
    <n v="5866"/>
    <x v="8"/>
    <s v="Release 2.3"/>
    <d v="2012-11-02T16:42:37"/>
    <x v="9"/>
    <n v="2.0527777777777776"/>
    <n v="0"/>
  </r>
  <r>
    <n v="5867"/>
    <x v="14"/>
    <s v="Release 2.3"/>
    <d v="2012-11-02T16:43:31"/>
    <x v="5"/>
    <n v="2.0527777777777776"/>
    <n v="0"/>
  </r>
  <r>
    <n v="5871"/>
    <x v="18"/>
    <s v="Release 2.3"/>
    <d v="2012-11-02T16:44:25"/>
    <x v="1"/>
    <n v="2.0527777777777776"/>
    <n v="0"/>
  </r>
  <r>
    <n v="5872"/>
    <x v="18"/>
    <s v="Release 3.0"/>
    <d v="2013-10-04T14:37:03"/>
    <x v="7"/>
    <n v="1.1305555555555555"/>
    <n v="0"/>
  </r>
  <r>
    <n v="5873"/>
    <x v="18"/>
    <s v="Release 2.3"/>
    <d v="2012-11-02T16:44:43"/>
    <x v="1"/>
    <n v="2.0527777777777776"/>
    <n v="0"/>
  </r>
  <r>
    <n v="5874"/>
    <x v="17"/>
    <s v="Release 2.4"/>
    <d v="2013-01-28T16:38:25"/>
    <x v="4"/>
    <n v="1.8138888888888889"/>
    <n v="0"/>
  </r>
  <r>
    <n v="5875"/>
    <x v="14"/>
    <s v="Release 2.6"/>
    <d v="2013-07-24T14:10:13"/>
    <x v="21"/>
    <n v="1.325"/>
    <n v="0"/>
  </r>
  <r>
    <n v="5876"/>
    <x v="0"/>
    <s v="Release 2.3"/>
    <d v="2012-11-02T16:45:35"/>
    <x v="16"/>
    <n v="2.0527777777777776"/>
    <n v="0"/>
  </r>
  <r>
    <n v="5877"/>
    <x v="26"/>
    <s v="Release 2.3"/>
    <d v="2014-02-27T21:05:18"/>
    <x v="7"/>
    <n v="0.73333333333333328"/>
    <n v="1"/>
  </r>
  <r>
    <n v="5880"/>
    <x v="16"/>
    <s v="Release 2.3"/>
    <d v="2012-11-02T16:43:27"/>
    <x v="22"/>
    <n v="2.0527777777777776"/>
    <n v="0"/>
  </r>
  <r>
    <n v="5881"/>
    <x v="18"/>
    <s v="Release 2.3"/>
    <d v="2012-11-02T16:43:28"/>
    <x v="9"/>
    <n v="2.0527777777777776"/>
    <n v="0"/>
  </r>
  <r>
    <n v="5883"/>
    <x v="0"/>
    <s v="Release 2.3"/>
    <d v="2012-11-02T16:44:40"/>
    <x v="10"/>
    <n v="2.0527777777777776"/>
    <n v="0"/>
  </r>
  <r>
    <n v="5884"/>
    <x v="3"/>
    <s v="Release 2.3"/>
    <d v="2012-11-02T16:43:23"/>
    <x v="2"/>
    <n v="2.0527777777777776"/>
    <n v="0"/>
  </r>
  <r>
    <n v="5885"/>
    <x v="3"/>
    <s v="Release 2.5"/>
    <d v="2013-04-19T16:05:34"/>
    <x v="11"/>
    <n v="1.5888888888888888"/>
    <n v="0"/>
  </r>
  <r>
    <n v="5886"/>
    <x v="18"/>
    <s v="Release 2.3"/>
    <d v="2012-11-02T16:43:21"/>
    <x v="9"/>
    <n v="2.0527777777777776"/>
    <n v="0"/>
  </r>
  <r>
    <n v="5887"/>
    <x v="3"/>
    <s v="Release 2.3"/>
    <d v="2012-11-02T16:43:30"/>
    <x v="1"/>
    <n v="2.0527777777777776"/>
    <n v="0"/>
  </r>
  <r>
    <n v="5890"/>
    <x v="8"/>
    <s v="Release 2.3"/>
    <d v="2012-12-06T21:10:51"/>
    <x v="9"/>
    <n v="1.9583333333333333"/>
    <n v="0"/>
  </r>
  <r>
    <n v="5891"/>
    <x v="15"/>
    <s v="Release 2.5"/>
    <d v="2013-04-27T17:29:30"/>
    <x v="7"/>
    <n v="1.5666666666666667"/>
    <n v="0"/>
  </r>
  <r>
    <n v="5892"/>
    <x v="0"/>
    <s v="Release 2.3"/>
    <d v="2012-11-02T16:43:26"/>
    <x v="10"/>
    <n v="2.0527777777777776"/>
    <n v="0"/>
  </r>
  <r>
    <n v="5893"/>
    <x v="4"/>
    <s v="Release 2.3"/>
    <d v="2012-11-02T16:44:03"/>
    <x v="16"/>
    <n v="2.0527777777777776"/>
    <n v="0"/>
  </r>
  <r>
    <n v="5894"/>
    <x v="16"/>
    <s v="Release 2.3"/>
    <d v="2012-11-02T16:43:38"/>
    <x v="3"/>
    <n v="2.0527777777777776"/>
    <n v="0"/>
  </r>
  <r>
    <n v="5895"/>
    <x v="3"/>
    <s v="Release 2.3"/>
    <d v="2012-11-02T16:43:31"/>
    <x v="9"/>
    <n v="2.0527777777777776"/>
    <n v="0"/>
  </r>
  <r>
    <n v="5900"/>
    <x v="16"/>
    <s v="Release 2.3"/>
    <d v="2012-11-02T16:44:00"/>
    <x v="5"/>
    <n v="2.0527777777777776"/>
    <n v="0"/>
  </r>
  <r>
    <n v="5902"/>
    <x v="0"/>
    <s v="Release 3.2"/>
    <d v="2014-06-20T14:57:07"/>
    <x v="11"/>
    <n v="0.41944444444444445"/>
    <n v="1"/>
  </r>
  <r>
    <n v="5908"/>
    <x v="11"/>
    <s v="Release 2.3"/>
    <d v="2012-11-02T16:43:48"/>
    <x v="16"/>
    <n v="2.0527777777777776"/>
    <n v="0"/>
  </r>
  <r>
    <n v="5909"/>
    <x v="3"/>
    <s v="Release 2.3"/>
    <d v="2012-11-02T16:43:49"/>
    <x v="7"/>
    <n v="2.0527777777777776"/>
    <n v="0"/>
  </r>
  <r>
    <n v="5912"/>
    <x v="17"/>
    <s v="Release 2.3"/>
    <d v="2012-11-02T16:44:28"/>
    <x v="2"/>
    <n v="2.0527777777777776"/>
    <n v="0"/>
  </r>
  <r>
    <n v="5914"/>
    <x v="17"/>
    <s v="Release 2.4"/>
    <d v="2013-01-29T14:27:40"/>
    <x v="11"/>
    <n v="1.8111111111111111"/>
    <n v="0"/>
  </r>
  <r>
    <n v="5915"/>
    <x v="17"/>
    <s v="Release 2.3"/>
    <d v="2012-11-02T16:45:13"/>
    <x v="2"/>
    <n v="2.0527777777777776"/>
    <n v="0"/>
  </r>
  <r>
    <n v="5918"/>
    <x v="3"/>
    <s v="Release 2.3"/>
    <d v="2012-11-02T16:43:56"/>
    <x v="11"/>
    <n v="2.0527777777777776"/>
    <n v="0"/>
  </r>
  <r>
    <n v="5919"/>
    <x v="20"/>
    <s v="Release 2.3"/>
    <d v="2012-12-06T21:10:54"/>
    <x v="1"/>
    <n v="1.9583333333333333"/>
    <n v="0"/>
  </r>
  <r>
    <n v="5920"/>
    <x v="3"/>
    <s v="Release 2.3"/>
    <d v="2012-12-06T21:10:54"/>
    <x v="9"/>
    <n v="1.9583333333333333"/>
    <n v="0"/>
  </r>
  <r>
    <n v="5923"/>
    <x v="16"/>
    <s v="Release 2.3"/>
    <d v="2012-12-06T21:10:52"/>
    <x v="22"/>
    <n v="1.9583333333333333"/>
    <n v="0"/>
  </r>
  <r>
    <n v="5924"/>
    <x v="21"/>
    <s v="Release 2.3"/>
    <d v="2012-11-02T16:44:08"/>
    <x v="3"/>
    <n v="2.0527777777777776"/>
    <n v="0"/>
  </r>
  <r>
    <n v="5925"/>
    <x v="15"/>
    <s v="Release 2.3"/>
    <d v="2012-11-02T16:44:10"/>
    <x v="9"/>
    <n v="2.0527777777777776"/>
    <n v="0"/>
  </r>
  <r>
    <n v="5926"/>
    <x v="21"/>
    <s v="Release 2.3"/>
    <d v="2012-11-02T16:44:11"/>
    <x v="3"/>
    <n v="2.0527777777777776"/>
    <n v="0"/>
  </r>
  <r>
    <n v="5928"/>
    <x v="14"/>
    <s v="Release 2.3"/>
    <d v="2012-11-02T16:45:57"/>
    <x v="5"/>
    <n v="2.0527777777777776"/>
    <n v="0"/>
  </r>
  <r>
    <n v="5931"/>
    <x v="4"/>
    <s v="Release 2.3"/>
    <d v="2012-11-02T16:44:15"/>
    <x v="35"/>
    <n v="2.0527777777777776"/>
    <n v="0"/>
  </r>
  <r>
    <n v="5933"/>
    <x v="16"/>
    <s v="Release 2.3"/>
    <d v="2012-10-30T18:16:54"/>
    <x v="5"/>
    <n v="2.0583333333333331"/>
    <n v="0"/>
  </r>
  <r>
    <n v="5935"/>
    <x v="20"/>
    <s v="Release 2.6"/>
    <d v="2013-06-14T16:35:28"/>
    <x v="21"/>
    <n v="1.4361111111111111"/>
    <n v="0"/>
  </r>
  <r>
    <n v="5937"/>
    <x v="8"/>
    <s v="Release 2.3"/>
    <d v="2012-11-02T16:45:04"/>
    <x v="9"/>
    <n v="2.0527777777777776"/>
    <n v="0"/>
  </r>
  <r>
    <n v="5938"/>
    <x v="8"/>
    <s v="Release 2.3"/>
    <d v="2012-11-02T16:44:25"/>
    <x v="9"/>
    <n v="2.0527777777777776"/>
    <n v="0"/>
  </r>
  <r>
    <n v="5941"/>
    <x v="11"/>
    <s v="Release 2.3.1"/>
    <d v="2012-12-06T21:10:57"/>
    <x v="5"/>
    <n v="1.9583333333333333"/>
    <n v="0"/>
  </r>
  <r>
    <n v="5944"/>
    <x v="3"/>
    <s v="Release 2.3"/>
    <d v="2012-11-02T16:44:28"/>
    <x v="9"/>
    <n v="2.0527777777777776"/>
    <n v="0"/>
  </r>
  <r>
    <n v="5946"/>
    <x v="3"/>
    <s v="Release 2.3"/>
    <d v="2012-11-02T16:44:55"/>
    <x v="18"/>
    <n v="2.0527777777777776"/>
    <n v="0"/>
  </r>
  <r>
    <n v="5948"/>
    <x v="16"/>
    <s v="Release 2.3"/>
    <d v="2012-11-02T16:45:21"/>
    <x v="11"/>
    <n v="2.0527777777777776"/>
    <n v="0"/>
  </r>
  <r>
    <n v="5949"/>
    <x v="3"/>
    <s v="Release 2.3"/>
    <d v="2012-11-02T16:44:30"/>
    <x v="18"/>
    <n v="2.0527777777777776"/>
    <n v="0"/>
  </r>
  <r>
    <n v="5951"/>
    <x v="3"/>
    <s v="Release 2.3"/>
    <d v="2012-11-02T16:44:30"/>
    <x v="5"/>
    <n v="2.0527777777777776"/>
    <n v="0"/>
  </r>
  <r>
    <n v="5956"/>
    <x v="22"/>
    <s v="Release 2.3"/>
    <d v="2012-11-02T16:44:35"/>
    <x v="11"/>
    <n v="2.0527777777777776"/>
    <n v="0"/>
  </r>
  <r>
    <n v="5957"/>
    <x v="3"/>
    <s v="Release 2.3"/>
    <d v="2012-11-02T16:44:35"/>
    <x v="35"/>
    <n v="2.0527777777777776"/>
    <n v="0"/>
  </r>
  <r>
    <n v="5959"/>
    <x v="4"/>
    <s v="Release 2.3"/>
    <d v="2012-11-02T16:44:37"/>
    <x v="16"/>
    <n v="2.0527777777777776"/>
    <n v="0"/>
  </r>
  <r>
    <n v="5960"/>
    <x v="16"/>
    <s v="Release 2.3"/>
    <d v="2012-11-02T16:44:54"/>
    <x v="11"/>
    <n v="2.0527777777777776"/>
    <n v="0"/>
  </r>
  <r>
    <n v="5961"/>
    <x v="3"/>
    <s v="Release 2.3"/>
    <d v="2012-11-02T16:44:39"/>
    <x v="9"/>
    <n v="2.0527777777777776"/>
    <n v="0"/>
  </r>
  <r>
    <n v="5962"/>
    <x v="14"/>
    <s v="Release 2.3"/>
    <d v="2012-11-02T16:44:42"/>
    <x v="35"/>
    <n v="2.0527777777777776"/>
    <n v="0"/>
  </r>
  <r>
    <n v="5965"/>
    <x v="53"/>
    <s v="Release 3.3"/>
    <d v="2014-11-05T10:45:10"/>
    <x v="29"/>
    <n v="4.4444444444444446E-2"/>
    <n v="1"/>
  </r>
  <r>
    <n v="5966"/>
    <x v="15"/>
    <s v="Release 2.4"/>
    <d v="2013-01-30T22:41:15"/>
    <x v="8"/>
    <n v="1.8083333333333333"/>
    <n v="0"/>
  </r>
  <r>
    <n v="5968"/>
    <x v="3"/>
    <s v="Release 2.3"/>
    <d v="2012-11-02T16:44:55"/>
    <x v="3"/>
    <n v="2.0527777777777776"/>
    <n v="0"/>
  </r>
  <r>
    <n v="5969"/>
    <x v="16"/>
    <s v="Release 2.3"/>
    <d v="2012-11-02T16:45:19"/>
    <x v="13"/>
    <n v="2.0527777777777776"/>
    <n v="0"/>
  </r>
  <r>
    <n v="5972"/>
    <x v="10"/>
    <s v="Release 2.3"/>
    <d v="2012-11-02T16:44:59"/>
    <x v="9"/>
    <n v="2.0527777777777776"/>
    <n v="0"/>
  </r>
  <r>
    <n v="5974"/>
    <x v="4"/>
    <s v="Release 2.3"/>
    <d v="2012-11-02T16:45:21"/>
    <x v="35"/>
    <n v="2.0527777777777776"/>
    <n v="0"/>
  </r>
  <r>
    <n v="5980"/>
    <x v="4"/>
    <s v="Release 2.3"/>
    <d v="2012-11-02T16:45:14"/>
    <x v="35"/>
    <n v="2.0527777777777776"/>
    <n v="0"/>
  </r>
  <r>
    <n v="5985"/>
    <x v="16"/>
    <s v="Release 2.3"/>
    <d v="2012-11-02T16:45:17"/>
    <x v="11"/>
    <n v="2.0527777777777776"/>
    <n v="0"/>
  </r>
  <r>
    <n v="5986"/>
    <x v="18"/>
    <s v="Release 2.3"/>
    <d v="2012-11-02T16:45:46"/>
    <x v="9"/>
    <n v="2.0527777777777776"/>
    <n v="0"/>
  </r>
  <r>
    <n v="5991"/>
    <x v="2"/>
    <s v="Release 2.3"/>
    <d v="2012-10-29T16:21:47"/>
    <x v="2"/>
    <n v="2.0611111111111109"/>
    <n v="0"/>
  </r>
  <r>
    <n v="5998"/>
    <x v="2"/>
    <s v="Release 2.5"/>
    <d v="2013-01-24T10:45:40"/>
    <x v="11"/>
    <n v="1.825"/>
    <n v="0"/>
  </r>
  <r>
    <n v="6000"/>
    <x v="4"/>
    <s v="Release 3.2"/>
    <d v="2014-03-13T11:03:47"/>
    <x v="4"/>
    <n v="0.68888888888888888"/>
    <n v="1"/>
  </r>
  <r>
    <n v="6001"/>
    <x v="2"/>
    <s v="Release 2.3"/>
    <d v="2012-11-02T16:45:38"/>
    <x v="12"/>
    <n v="2.0527777777777776"/>
    <n v="0"/>
  </r>
  <r>
    <n v="6003"/>
    <x v="0"/>
    <s v="Release 2.3"/>
    <d v="2012-11-02T16:45:33"/>
    <x v="5"/>
    <n v="2.0527777777777776"/>
    <n v="0"/>
  </r>
  <r>
    <n v="6004"/>
    <x v="2"/>
    <s v="Release 2.3"/>
    <d v="2012-11-02T16:45:39"/>
    <x v="18"/>
    <n v="2.0527777777777776"/>
    <n v="0"/>
  </r>
  <r>
    <n v="6007"/>
    <x v="3"/>
    <s v="Release 2.3"/>
    <d v="2012-11-02T16:45:55"/>
    <x v="11"/>
    <n v="2.0527777777777776"/>
    <n v="0"/>
  </r>
  <r>
    <n v="6014"/>
    <x v="10"/>
    <s v="Release 2.3"/>
    <d v="2012-12-06T21:10:54"/>
    <x v="5"/>
    <n v="1.9583333333333333"/>
    <n v="0"/>
  </r>
  <r>
    <n v="6015"/>
    <x v="3"/>
    <s v="Release 2.3"/>
    <d v="2012-11-02T16:45:47"/>
    <x v="11"/>
    <n v="2.0527777777777776"/>
    <n v="0"/>
  </r>
  <r>
    <n v="6017"/>
    <x v="23"/>
    <s v="Release 2.5"/>
    <d v="2013-05-16T22:39:29"/>
    <x v="1"/>
    <n v="1.5138888888888888"/>
    <n v="0"/>
  </r>
  <r>
    <n v="6019"/>
    <x v="23"/>
    <s v="Release 2.4"/>
    <d v="2013-01-30T00:10:56"/>
    <x v="10"/>
    <n v="1.8083333333333333"/>
    <n v="0"/>
  </r>
  <r>
    <n v="6020"/>
    <x v="23"/>
    <s v="Release 2.4"/>
    <d v="2013-01-30T00:14:39"/>
    <x v="10"/>
    <n v="1.8083333333333333"/>
    <n v="0"/>
  </r>
  <r>
    <n v="6022"/>
    <x v="16"/>
    <s v="Release 2.3"/>
    <d v="2012-11-02T16:45:56"/>
    <x v="18"/>
    <n v="2.0527777777777776"/>
    <n v="0"/>
  </r>
  <r>
    <n v="6025"/>
    <x v="16"/>
    <s v="Release 2.3"/>
    <d v="2012-12-06T21:10:52"/>
    <x v="16"/>
    <n v="1.9583333333333333"/>
    <n v="0"/>
  </r>
  <r>
    <n v="6027"/>
    <x v="3"/>
    <s v="Release 3.0"/>
    <d v="2013-08-06T14:33:53"/>
    <x v="2"/>
    <n v="1.2916666666666667"/>
    <n v="0"/>
  </r>
  <r>
    <n v="6028"/>
    <x v="21"/>
    <s v="Release 2.3"/>
    <d v="2012-10-29T15:40:42"/>
    <x v="3"/>
    <n v="2.0611111111111109"/>
    <n v="0"/>
  </r>
  <r>
    <n v="6031"/>
    <x v="21"/>
    <s v="Release 2.4"/>
    <d v="2013-02-01T09:07:01"/>
    <x v="4"/>
    <n v="1.8055555555555556"/>
    <n v="0"/>
  </r>
  <r>
    <n v="6038"/>
    <x v="10"/>
    <s v="Release 2.3"/>
    <d v="2012-12-06T21:10:52"/>
    <x v="5"/>
    <n v="1.9583333333333333"/>
    <n v="0"/>
  </r>
  <r>
    <n v="6044"/>
    <x v="3"/>
    <s v="Release 2.3"/>
    <d v="2012-12-06T21:10:53"/>
    <x v="11"/>
    <n v="1.9583333333333333"/>
    <n v="0"/>
  </r>
  <r>
    <n v="6047"/>
    <x v="17"/>
    <s v="Release 2.4"/>
    <d v="2013-01-28T16:20:27"/>
    <x v="4"/>
    <n v="1.8138888888888889"/>
    <n v="0"/>
  </r>
  <r>
    <n v="6050"/>
    <x v="10"/>
    <s v="Release 2.3"/>
    <d v="2012-12-06T21:10:53"/>
    <x v="9"/>
    <n v="1.9583333333333333"/>
    <n v="0"/>
  </r>
  <r>
    <n v="6052"/>
    <x v="3"/>
    <s v="Release 2.3"/>
    <d v="2012-12-06T21:10:53"/>
    <x v="9"/>
    <n v="1.9583333333333333"/>
    <n v="0"/>
  </r>
  <r>
    <n v="6053"/>
    <x v="18"/>
    <s v="Release 2.4"/>
    <d v="2013-01-30T16:47:27"/>
    <x v="1"/>
    <n v="1.8083333333333333"/>
    <n v="0"/>
  </r>
  <r>
    <n v="6054"/>
    <x v="17"/>
    <s v="Release 2.3"/>
    <d v="2012-12-06T21:10:54"/>
    <x v="13"/>
    <n v="1.9583333333333333"/>
    <n v="0"/>
  </r>
  <r>
    <n v="6055"/>
    <x v="3"/>
    <s v="Release 2.3"/>
    <d v="2012-12-06T21:10:54"/>
    <x v="1"/>
    <n v="1.9583333333333333"/>
    <n v="0"/>
  </r>
  <r>
    <n v="6058"/>
    <x v="14"/>
    <s v="Release 2.3"/>
    <d v="2012-12-06T21:10:54"/>
    <x v="5"/>
    <n v="1.9583333333333333"/>
    <n v="0"/>
  </r>
  <r>
    <n v="6060"/>
    <x v="8"/>
    <s v="Release 2.5"/>
    <d v="2013-03-01T16:20:26"/>
    <x v="9"/>
    <n v="1.7222222222222223"/>
    <n v="0"/>
  </r>
  <r>
    <n v="6061"/>
    <x v="22"/>
    <s v="Release 2.5"/>
    <d v="2013-04-19T16:05:17"/>
    <x v="1"/>
    <n v="1.5888888888888888"/>
    <n v="0"/>
  </r>
  <r>
    <n v="6063"/>
    <x v="42"/>
    <s v="Release 2.4"/>
    <d v="2013-01-29T17:14:33"/>
    <x v="8"/>
    <n v="1.8111111111111111"/>
    <n v="0"/>
  </r>
  <r>
    <n v="6064"/>
    <x v="42"/>
    <s v="Release 2.4"/>
    <d v="2013-01-29T17:03:56"/>
    <x v="8"/>
    <n v="1.8111111111111111"/>
    <n v="0"/>
  </r>
  <r>
    <n v="6065"/>
    <x v="42"/>
    <s v="Release 2.4"/>
    <d v="2013-01-29T17:05:20"/>
    <x v="8"/>
    <n v="1.8111111111111111"/>
    <n v="0"/>
  </r>
  <r>
    <n v="6072"/>
    <x v="20"/>
    <s v="Release 2.3"/>
    <d v="2012-12-06T21:10:55"/>
    <x v="4"/>
    <n v="1.9583333333333333"/>
    <n v="0"/>
  </r>
  <r>
    <n v="6073"/>
    <x v="3"/>
    <s v="Release 2.3"/>
    <d v="2012-12-06T21:10:55"/>
    <x v="9"/>
    <n v="1.9583333333333333"/>
    <n v="0"/>
  </r>
  <r>
    <n v="6074"/>
    <x v="4"/>
    <s v="Release 2.3"/>
    <d v="2012-12-06T21:10:55"/>
    <x v="18"/>
    <n v="1.9583333333333333"/>
    <n v="0"/>
  </r>
  <r>
    <n v="6077"/>
    <x v="15"/>
    <s v="Release 2.4"/>
    <d v="2013-01-30T22:44:16"/>
    <x v="8"/>
    <n v="1.8083333333333333"/>
    <n v="0"/>
  </r>
  <r>
    <n v="6078"/>
    <x v="15"/>
    <s v="Release 2.4"/>
    <d v="2013-01-30T22:54:30"/>
    <x v="8"/>
    <n v="1.8083333333333333"/>
    <n v="0"/>
  </r>
  <r>
    <n v="6079"/>
    <x v="15"/>
    <s v="Release 2.6"/>
    <d v="2013-07-25T11:06:16"/>
    <x v="21"/>
    <n v="1.3222222222222222"/>
    <n v="0"/>
  </r>
  <r>
    <n v="6082"/>
    <x v="4"/>
    <s v="Release 2.3"/>
    <d v="2012-12-06T21:10:55"/>
    <x v="11"/>
    <n v="1.9583333333333333"/>
    <n v="0"/>
  </r>
  <r>
    <n v="6083"/>
    <x v="23"/>
    <s v="Release 2.4"/>
    <d v="2013-01-29T16:01:58"/>
    <x v="21"/>
    <n v="1.8111111111111111"/>
    <n v="0"/>
  </r>
  <r>
    <n v="6087"/>
    <x v="23"/>
    <s v="Release 2.4"/>
    <d v="2013-01-29T23:42:08"/>
    <x v="10"/>
    <n v="1.8111111111111111"/>
    <n v="0"/>
  </r>
  <r>
    <n v="6090"/>
    <x v="8"/>
    <s v="Release 2.4"/>
    <d v="2013-01-29T16:08:11"/>
    <x v="8"/>
    <n v="1.8111111111111111"/>
    <n v="0"/>
  </r>
  <r>
    <n v="6091"/>
    <x v="18"/>
    <s v="Release 2.4"/>
    <d v="2013-01-30T16:38:02"/>
    <x v="35"/>
    <n v="1.8083333333333333"/>
    <n v="0"/>
  </r>
  <r>
    <n v="6093"/>
    <x v="11"/>
    <s v="Release 2.3.1"/>
    <d v="2012-12-06T21:10:56"/>
    <x v="5"/>
    <n v="1.9583333333333333"/>
    <n v="0"/>
  </r>
  <r>
    <n v="6101"/>
    <x v="11"/>
    <s v="Release 2.5"/>
    <d v="2013-03-01T16:43:13"/>
    <x v="9"/>
    <n v="1.7222222222222223"/>
    <n v="0"/>
  </r>
  <r>
    <n v="6103"/>
    <x v="18"/>
    <s v="Release 2.4"/>
    <d v="2013-01-31T10:08:52"/>
    <x v="1"/>
    <n v="1.8083333333333333"/>
    <n v="0"/>
  </r>
  <r>
    <n v="6104"/>
    <x v="3"/>
    <s v="Release 2.4"/>
    <d v="2013-01-30T16:41:56"/>
    <x v="35"/>
    <n v="1.8083333333333333"/>
    <n v="0"/>
  </r>
  <r>
    <n v="6107"/>
    <x v="17"/>
    <s v="Release 2.4"/>
    <d v="2013-01-28T16:40:23"/>
    <x v="16"/>
    <n v="1.8138888888888889"/>
    <n v="0"/>
  </r>
  <r>
    <n v="6110"/>
    <x v="11"/>
    <s v="Release 2.4"/>
    <d v="2013-01-28T16:11:05"/>
    <x v="16"/>
    <n v="1.8138888888888889"/>
    <n v="0"/>
  </r>
  <r>
    <n v="6112"/>
    <x v="3"/>
    <s v="Release 2.4"/>
    <d v="2013-01-28T22:48:02"/>
    <x v="7"/>
    <n v="1.8138888888888889"/>
    <n v="0"/>
  </r>
  <r>
    <n v="6113"/>
    <x v="3"/>
    <s v="Release 2.4"/>
    <d v="2013-01-30T11:03:57"/>
    <x v="2"/>
    <n v="1.8083333333333333"/>
    <n v="0"/>
  </r>
  <r>
    <n v="6114"/>
    <x v="23"/>
    <s v="Release 2.4"/>
    <d v="2013-01-28T16:48:57"/>
    <x v="5"/>
    <n v="1.8138888888888889"/>
    <n v="0"/>
  </r>
  <r>
    <n v="6120"/>
    <x v="11"/>
    <s v="Release 2.4"/>
    <d v="2013-01-29T23:21:02"/>
    <x v="10"/>
    <n v="1.8111111111111111"/>
    <n v="0"/>
  </r>
  <r>
    <n v="6121"/>
    <x v="8"/>
    <s v="Release 2.3.1"/>
    <d v="2012-12-06T21:11:05"/>
    <x v="3"/>
    <n v="1.9583333333333333"/>
    <n v="0"/>
  </r>
  <r>
    <n v="6123"/>
    <x v="31"/>
    <s v="Release 2.3.2"/>
    <d v="2012-12-11T20:10:40"/>
    <x v="5"/>
    <n v="1.9444444444444444"/>
    <n v="0"/>
  </r>
  <r>
    <n v="6151"/>
    <x v="15"/>
    <s v="Release 2.4"/>
    <d v="2013-01-30T22:52:08"/>
    <x v="8"/>
    <n v="1.8083333333333333"/>
    <n v="0"/>
  </r>
  <r>
    <n v="6152"/>
    <x v="0"/>
    <s v="Release 2.4"/>
    <d v="2013-01-28T21:19:30"/>
    <x v="16"/>
    <n v="1.8138888888888889"/>
    <n v="0"/>
  </r>
  <r>
    <n v="6156"/>
    <x v="3"/>
    <s v="Release 2.4"/>
    <d v="2013-01-29T22:50:16"/>
    <x v="9"/>
    <n v="1.8111111111111111"/>
    <n v="0"/>
  </r>
  <r>
    <n v="6157"/>
    <x v="22"/>
    <s v="Release 2.4"/>
    <d v="2013-01-29T15:47:25"/>
    <x v="4"/>
    <n v="1.8111111111111111"/>
    <n v="0"/>
  </r>
  <r>
    <n v="6158"/>
    <x v="21"/>
    <s v="Release 2.3.1"/>
    <d v="2012-12-06T21:11:07"/>
    <x v="3"/>
    <n v="1.9583333333333333"/>
    <n v="0"/>
  </r>
  <r>
    <n v="6163"/>
    <x v="16"/>
    <s v="Release 2.4"/>
    <d v="2013-01-30T16:40:29"/>
    <x v="35"/>
    <n v="1.8083333333333333"/>
    <n v="0"/>
  </r>
  <r>
    <n v="6165"/>
    <x v="2"/>
    <s v="Release 2.4"/>
    <d v="2013-01-28T21:55:17"/>
    <x v="8"/>
    <n v="1.8138888888888889"/>
    <n v="0"/>
  </r>
  <r>
    <n v="6167"/>
    <x v="2"/>
    <s v="Release 2.4"/>
    <d v="2013-01-28T16:40:52"/>
    <x v="8"/>
    <n v="1.8138888888888889"/>
    <n v="0"/>
  </r>
  <r>
    <n v="6170"/>
    <x v="0"/>
    <s v="Release 2.5"/>
    <d v="2013-11-22T11:08:24"/>
    <x v="4"/>
    <n v="0.99722222222222223"/>
    <n v="1"/>
  </r>
  <r>
    <n v="6171"/>
    <x v="4"/>
    <s v="Release 3.1"/>
    <d v="2013-11-29T18:21:15"/>
    <x v="21"/>
    <n v="0.97777777777777775"/>
    <n v="1"/>
  </r>
  <r>
    <n v="6193"/>
    <x v="0"/>
    <s v="Release 3.0"/>
    <d v="2013-08-16T16:15:44"/>
    <x v="5"/>
    <n v="1.2638888888888888"/>
    <n v="0"/>
  </r>
  <r>
    <n v="6201"/>
    <x v="11"/>
    <s v="Release 2.5"/>
    <d v="2013-03-01T19:51:32"/>
    <x v="7"/>
    <n v="1.7222222222222223"/>
    <n v="0"/>
  </r>
  <r>
    <n v="6203"/>
    <x v="3"/>
    <s v="Release 2.4"/>
    <d v="2013-01-30T10:55:07"/>
    <x v="1"/>
    <n v="1.8083333333333333"/>
    <n v="0"/>
  </r>
  <r>
    <n v="6208"/>
    <x v="3"/>
    <s v="Release 2.4"/>
    <d v="2013-01-30T15:16:28"/>
    <x v="9"/>
    <n v="1.8083333333333333"/>
    <n v="0"/>
  </r>
  <r>
    <n v="6211"/>
    <x v="16"/>
    <s v="Release 2.4"/>
    <d v="2013-01-28T21:07:45"/>
    <x v="5"/>
    <n v="1.8138888888888889"/>
    <n v="0"/>
  </r>
  <r>
    <n v="6215"/>
    <x v="16"/>
    <s v="Release 2.4"/>
    <d v="2013-01-30T00:39:50"/>
    <x v="10"/>
    <n v="1.8083333333333333"/>
    <n v="0"/>
  </r>
  <r>
    <n v="6216"/>
    <x v="16"/>
    <s v="Release 2.4"/>
    <d v="2013-01-30T14:07:59"/>
    <x v="5"/>
    <n v="1.8083333333333333"/>
    <n v="0"/>
  </r>
  <r>
    <n v="6219"/>
    <x v="3"/>
    <s v="Release 2.4"/>
    <d v="2013-01-29T15:17:20"/>
    <x v="5"/>
    <n v="1.8111111111111111"/>
    <n v="0"/>
  </r>
  <r>
    <n v="6227"/>
    <x v="22"/>
    <s v="Release 3.0"/>
    <d v="2013-08-16T13:56:59"/>
    <x v="25"/>
    <n v="1.2638888888888888"/>
    <n v="0"/>
  </r>
  <r>
    <n v="6232"/>
    <x v="3"/>
    <s v="Release 2.4"/>
    <d v="2013-01-29T14:03:34"/>
    <x v="5"/>
    <n v="1.8111111111111111"/>
    <n v="0"/>
  </r>
  <r>
    <n v="6233"/>
    <x v="15"/>
    <s v="Release 2.4"/>
    <d v="2013-01-29T17:23:33"/>
    <x v="8"/>
    <n v="1.8111111111111111"/>
    <n v="0"/>
  </r>
  <r>
    <n v="6235"/>
    <x v="32"/>
    <s v="Release 2.3.2"/>
    <d v="2012-12-11T18:49:00"/>
    <x v="8"/>
    <n v="1.9444444444444444"/>
    <n v="0"/>
  </r>
  <r>
    <n v="6237"/>
    <x v="22"/>
    <s v="Release 2.4"/>
    <d v="2013-01-29T12:15:24"/>
    <x v="13"/>
    <n v="1.8111111111111111"/>
    <n v="0"/>
  </r>
  <r>
    <n v="6238"/>
    <x v="4"/>
    <s v="Release 3.1"/>
    <d v="2013-11-21T22:12:16"/>
    <x v="7"/>
    <n v="1"/>
    <n v="0"/>
  </r>
  <r>
    <n v="6240"/>
    <x v="10"/>
    <s v="Release 2.3.2"/>
    <d v="2012-12-10T17:03:19"/>
    <x v="5"/>
    <n v="1.9472222222222222"/>
    <n v="0"/>
  </r>
  <r>
    <n v="6242"/>
    <x v="0"/>
    <s v="Release 2.3.2"/>
    <d v="2012-12-10T18:26:16"/>
    <x v="5"/>
    <n v="1.9472222222222222"/>
    <n v="0"/>
  </r>
  <r>
    <n v="6243"/>
    <x v="17"/>
    <s v="Release 2.4"/>
    <d v="2013-01-28T16:45:50"/>
    <x v="16"/>
    <n v="1.8138888888888889"/>
    <n v="0"/>
  </r>
  <r>
    <n v="6245"/>
    <x v="8"/>
    <s v="Release 2.4"/>
    <d v="2013-01-29T16:55:23"/>
    <x v="8"/>
    <n v="1.8111111111111111"/>
    <n v="0"/>
  </r>
  <r>
    <n v="6246"/>
    <x v="8"/>
    <s v="Release 2.4"/>
    <d v="2013-01-29T15:51:37"/>
    <x v="18"/>
    <n v="1.8111111111111111"/>
    <n v="0"/>
  </r>
  <r>
    <n v="6247"/>
    <x v="16"/>
    <s v="Release 2.4"/>
    <d v="2013-01-30T15:59:20"/>
    <x v="10"/>
    <n v="1.8083333333333333"/>
    <n v="0"/>
  </r>
  <r>
    <n v="6248"/>
    <x v="16"/>
    <s v="Release 2.4"/>
    <d v="2013-01-30T12:52:50"/>
    <x v="10"/>
    <n v="1.8083333333333333"/>
    <n v="0"/>
  </r>
  <r>
    <n v="6249"/>
    <x v="16"/>
    <s v="Release 2.4"/>
    <d v="2013-01-29T13:53:10"/>
    <x v="4"/>
    <n v="1.8111111111111111"/>
    <n v="0"/>
  </r>
  <r>
    <n v="6250"/>
    <x v="16"/>
    <s v="Release 2.4"/>
    <d v="2013-01-30T15:20:00"/>
    <x v="9"/>
    <n v="1.8083333333333333"/>
    <n v="0"/>
  </r>
  <r>
    <n v="6252"/>
    <x v="17"/>
    <s v="Release 2.4"/>
    <d v="2013-01-30T11:05:58"/>
    <x v="1"/>
    <n v="1.8083333333333333"/>
    <n v="0"/>
  </r>
  <r>
    <n v="6253"/>
    <x v="11"/>
    <s v="Release 2.4"/>
    <d v="2013-02-04T11:08:22"/>
    <x v="16"/>
    <n v="1.7972222222222223"/>
    <n v="0"/>
  </r>
  <r>
    <n v="6254"/>
    <x v="8"/>
    <s v="Release 2.4"/>
    <d v="2013-01-29T16:54:15"/>
    <x v="8"/>
    <n v="1.8111111111111111"/>
    <n v="0"/>
  </r>
  <r>
    <n v="6255"/>
    <x v="8"/>
    <s v="Release 2.4"/>
    <d v="2013-01-29T22:42:23"/>
    <x v="9"/>
    <n v="1.8111111111111111"/>
    <n v="0"/>
  </r>
  <r>
    <n v="6256"/>
    <x v="21"/>
    <s v="Release 2.4"/>
    <d v="2013-01-28T21:23:53"/>
    <x v="16"/>
    <n v="1.8138888888888889"/>
    <n v="0"/>
  </r>
  <r>
    <n v="6259"/>
    <x v="32"/>
    <s v="Release 2.3.2"/>
    <d v="2012-12-11T18:49:26"/>
    <x v="8"/>
    <n v="1.9444444444444444"/>
    <n v="0"/>
  </r>
  <r>
    <n v="6260"/>
    <x v="11"/>
    <s v="Release 2.4"/>
    <d v="2013-01-28T16:20:56"/>
    <x v="18"/>
    <n v="1.8138888888888889"/>
    <n v="0"/>
  </r>
  <r>
    <n v="6262"/>
    <x v="3"/>
    <s v="Release 2.4"/>
    <d v="2013-02-04T11:08:22"/>
    <x v="9"/>
    <n v="1.7972222222222223"/>
    <n v="0"/>
  </r>
  <r>
    <n v="6263"/>
    <x v="3"/>
    <s v="Release 2.4"/>
    <d v="2013-01-30T16:11:50"/>
    <x v="35"/>
    <n v="1.8083333333333333"/>
    <n v="0"/>
  </r>
  <r>
    <n v="6264"/>
    <x v="3"/>
    <s v="Release 2.4"/>
    <d v="2013-01-29T17:18:07"/>
    <x v="8"/>
    <n v="1.8111111111111111"/>
    <n v="0"/>
  </r>
  <r>
    <n v="6272"/>
    <x v="16"/>
    <s v="Release 2.4"/>
    <d v="2013-02-04T11:08:26"/>
    <x v="8"/>
    <n v="1.7972222222222223"/>
    <n v="0"/>
  </r>
  <r>
    <n v="6273"/>
    <x v="21"/>
    <s v="Release 2.3.2"/>
    <d v="2013-01-09T16:01:27"/>
    <x v="5"/>
    <n v="1.8666666666666667"/>
    <n v="0"/>
  </r>
  <r>
    <n v="6276"/>
    <x v="51"/>
    <s v="Release 2.4"/>
    <d v="2013-01-29T22:09:26"/>
    <x v="10"/>
    <n v="1.8111111111111111"/>
    <n v="0"/>
  </r>
  <r>
    <n v="6277"/>
    <x v="51"/>
    <s v="Release 2.5"/>
    <d v="2013-03-27T18:17:14"/>
    <x v="10"/>
    <n v="1.65"/>
    <n v="0"/>
  </r>
  <r>
    <n v="6278"/>
    <x v="10"/>
    <s v="Release 2.4"/>
    <d v="2013-01-29T21:38:10"/>
    <x v="5"/>
    <n v="1.8111111111111111"/>
    <n v="0"/>
  </r>
  <r>
    <n v="6281"/>
    <x v="17"/>
    <s v="Release 2.4"/>
    <d v="2013-01-29T14:22:40"/>
    <x v="11"/>
    <n v="1.8111111111111111"/>
    <n v="0"/>
  </r>
  <r>
    <n v="6282"/>
    <x v="20"/>
    <s v="Release 2.3.2"/>
    <d v="2012-12-11T10:35:54"/>
    <x v="4"/>
    <n v="1.9444444444444444"/>
    <n v="0"/>
  </r>
  <r>
    <n v="6283"/>
    <x v="20"/>
    <s v="Release 2.4"/>
    <d v="2013-01-28T20:59:51"/>
    <x v="8"/>
    <n v="1.8138888888888889"/>
    <n v="0"/>
  </r>
  <r>
    <n v="6284"/>
    <x v="51"/>
    <s v="Release 2.4"/>
    <d v="2013-01-29T22:29:29"/>
    <x v="10"/>
    <n v="1.8111111111111111"/>
    <n v="0"/>
  </r>
  <r>
    <n v="6285"/>
    <x v="3"/>
    <s v="Release 2.4"/>
    <d v="2013-02-04T11:08:24"/>
    <x v="18"/>
    <n v="1.7972222222222223"/>
    <n v="0"/>
  </r>
  <r>
    <n v="6286"/>
    <x v="3"/>
    <s v="Release 2.4"/>
    <d v="2013-01-29T13:27:07"/>
    <x v="11"/>
    <n v="1.8111111111111111"/>
    <n v="0"/>
  </r>
  <r>
    <n v="6287"/>
    <x v="43"/>
    <s v="Release 2.5"/>
    <d v="2013-03-08T17:01:53"/>
    <x v="1"/>
    <n v="1.7027777777777777"/>
    <n v="0"/>
  </r>
  <r>
    <n v="6288"/>
    <x v="3"/>
    <s v="Release 2.4"/>
    <d v="2013-01-29T16:39:05"/>
    <x v="8"/>
    <n v="1.8111111111111111"/>
    <n v="0"/>
  </r>
  <r>
    <n v="6289"/>
    <x v="2"/>
    <s v="Release 2.3.2"/>
    <d v="2013-01-09T16:01:23"/>
    <x v="5"/>
    <n v="1.8666666666666667"/>
    <n v="0"/>
  </r>
  <r>
    <n v="6290"/>
    <x v="10"/>
    <s v="Release 2.3.2"/>
    <d v="2013-01-09T16:01:26"/>
    <x v="5"/>
    <n v="1.8666666666666667"/>
    <n v="0"/>
  </r>
  <r>
    <n v="6294"/>
    <x v="18"/>
    <s v="Release 2.4"/>
    <d v="2013-01-30T15:43:46"/>
    <x v="10"/>
    <n v="1.8083333333333333"/>
    <n v="0"/>
  </r>
  <r>
    <n v="6299"/>
    <x v="3"/>
    <s v="Release 2.4"/>
    <d v="2013-01-29T17:30:42"/>
    <x v="35"/>
    <n v="1.8111111111111111"/>
    <n v="0"/>
  </r>
  <r>
    <n v="6301"/>
    <x v="16"/>
    <s v="Release 2.4"/>
    <d v="2013-01-30T11:40:46"/>
    <x v="1"/>
    <n v="1.8083333333333333"/>
    <n v="0"/>
  </r>
  <r>
    <n v="6312"/>
    <x v="20"/>
    <s v="Release 2.4"/>
    <d v="2013-01-29T15:43:00"/>
    <x v="35"/>
    <n v="1.8111111111111111"/>
    <n v="0"/>
  </r>
  <r>
    <n v="6313"/>
    <x v="20"/>
    <s v="Release 2.4"/>
    <d v="2013-01-29T15:01:22"/>
    <x v="8"/>
    <n v="1.8111111111111111"/>
    <n v="0"/>
  </r>
  <r>
    <n v="6317"/>
    <x v="23"/>
    <s v="Release 2.4"/>
    <d v="2013-02-04T11:08:23"/>
    <x v="7"/>
    <n v="1.7972222222222223"/>
    <n v="0"/>
  </r>
  <r>
    <n v="6318"/>
    <x v="11"/>
    <s v="Release 2.4"/>
    <d v="2013-01-29T21:25:12"/>
    <x v="16"/>
    <n v="1.8111111111111111"/>
    <n v="0"/>
  </r>
  <r>
    <n v="6319"/>
    <x v="11"/>
    <s v="Release 2.4"/>
    <d v="2013-01-28T21:37:04"/>
    <x v="16"/>
    <n v="1.8138888888888889"/>
    <n v="0"/>
  </r>
  <r>
    <n v="6320"/>
    <x v="32"/>
    <s v="Release 2.4"/>
    <d v="2013-01-30T16:39:19"/>
    <x v="35"/>
    <n v="1.8083333333333333"/>
    <n v="0"/>
  </r>
  <r>
    <n v="6322"/>
    <x v="3"/>
    <s v="Release 2.4"/>
    <d v="2013-01-28T14:43:38"/>
    <x v="18"/>
    <n v="1.8138888888888889"/>
    <n v="0"/>
  </r>
  <r>
    <n v="6323"/>
    <x v="3"/>
    <s v="Release 2.4"/>
    <d v="2013-01-30T12:01:55"/>
    <x v="2"/>
    <n v="1.8083333333333333"/>
    <n v="0"/>
  </r>
  <r>
    <n v="6324"/>
    <x v="4"/>
    <s v="Release 2.4"/>
    <d v="2013-01-29T16:54:33"/>
    <x v="16"/>
    <n v="1.8111111111111111"/>
    <n v="0"/>
  </r>
  <r>
    <n v="6326"/>
    <x v="32"/>
    <s v="Release 2.4"/>
    <d v="2013-01-28T20:43:00"/>
    <x v="8"/>
    <n v="1.8138888888888889"/>
    <n v="0"/>
  </r>
  <r>
    <n v="6327"/>
    <x v="10"/>
    <s v="Release 2.4"/>
    <d v="2013-01-28T15:18:59"/>
    <x v="5"/>
    <n v="1.8138888888888889"/>
    <n v="0"/>
  </r>
  <r>
    <n v="6329"/>
    <x v="18"/>
    <s v="Release 2.4"/>
    <d v="2013-01-30T14:07:06"/>
    <x v="1"/>
    <n v="1.8083333333333333"/>
    <n v="0"/>
  </r>
  <r>
    <n v="6331"/>
    <x v="27"/>
    <s v="Release 2.4"/>
    <d v="2013-01-29T14:07:21"/>
    <x v="2"/>
    <n v="1.8111111111111111"/>
    <n v="0"/>
  </r>
  <r>
    <n v="6332"/>
    <x v="10"/>
    <s v="Release 2.4"/>
    <d v="2013-01-28T15:01:21"/>
    <x v="5"/>
    <n v="1.8138888888888889"/>
    <n v="0"/>
  </r>
  <r>
    <n v="6333"/>
    <x v="3"/>
    <s v="Release 2.4"/>
    <d v="2013-01-30T10:51:47"/>
    <x v="18"/>
    <n v="1.8083333333333333"/>
    <n v="0"/>
  </r>
  <r>
    <n v="6335"/>
    <x v="17"/>
    <s v="Release 2.4"/>
    <d v="2013-01-30T12:14:38"/>
    <x v="2"/>
    <n v="1.8083333333333333"/>
    <n v="0"/>
  </r>
  <r>
    <n v="6336"/>
    <x v="32"/>
    <s v="Release 2.4"/>
    <d v="2013-01-30T23:17:42"/>
    <x v="7"/>
    <n v="1.8083333333333333"/>
    <n v="0"/>
  </r>
  <r>
    <n v="6339"/>
    <x v="51"/>
    <s v="Release 2.4"/>
    <d v="2013-02-27T23:16:03"/>
    <x v="10"/>
    <n v="1.7333333333333334"/>
    <n v="0"/>
  </r>
  <r>
    <n v="6340"/>
    <x v="0"/>
    <s v="Release 2.4"/>
    <d v="2013-01-29T15:38:31"/>
    <x v="4"/>
    <n v="1.8111111111111111"/>
    <n v="0"/>
  </r>
  <r>
    <n v="6341"/>
    <x v="32"/>
    <s v="Release 2.4"/>
    <d v="2013-01-29T22:14:52"/>
    <x v="7"/>
    <n v="1.8111111111111111"/>
    <n v="0"/>
  </r>
  <r>
    <n v="6343"/>
    <x v="17"/>
    <s v="Release 2.4"/>
    <d v="2013-01-31T10:07:46"/>
    <x v="1"/>
    <n v="1.8083333333333333"/>
    <n v="0"/>
  </r>
  <r>
    <n v="6344"/>
    <x v="17"/>
    <s v="Release 2.5"/>
    <d v="2013-04-23T13:34:59"/>
    <x v="13"/>
    <n v="1.5777777777777777"/>
    <n v="0"/>
  </r>
  <r>
    <n v="6345"/>
    <x v="10"/>
    <s v="Release 2.5"/>
    <d v="2013-05-08T13:20:19"/>
    <x v="5"/>
    <n v="1.5361111111111112"/>
    <n v="0"/>
  </r>
  <r>
    <n v="6346"/>
    <x v="11"/>
    <s v="Release 2.4"/>
    <d v="2013-01-29T21:28:54"/>
    <x v="16"/>
    <n v="1.8111111111111111"/>
    <n v="0"/>
  </r>
  <r>
    <n v="6349"/>
    <x v="0"/>
    <s v="Release 2.4"/>
    <d v="2013-01-28T15:54:58"/>
    <x v="16"/>
    <n v="1.8138888888888889"/>
    <n v="0"/>
  </r>
  <r>
    <n v="6350"/>
    <x v="21"/>
    <s v="Release 2.4"/>
    <d v="2013-01-29T19:15:08"/>
    <x v="3"/>
    <n v="1.8111111111111111"/>
    <n v="0"/>
  </r>
  <r>
    <n v="6351"/>
    <x v="23"/>
    <s v="Release 2.4"/>
    <d v="2013-01-30T16:26:38"/>
    <x v="10"/>
    <n v="1.8083333333333333"/>
    <n v="0"/>
  </r>
  <r>
    <n v="6355"/>
    <x v="8"/>
    <s v="Release 2.4"/>
    <d v="2013-01-29T22:31:12"/>
    <x v="7"/>
    <n v="1.8111111111111111"/>
    <n v="0"/>
  </r>
  <r>
    <n v="6356"/>
    <x v="20"/>
    <s v="Release 2.4"/>
    <d v="2013-01-28T20:41:25"/>
    <x v="8"/>
    <n v="1.8138888888888889"/>
    <n v="0"/>
  </r>
  <r>
    <n v="6362"/>
    <x v="18"/>
    <s v="Release 2.4"/>
    <d v="2013-01-31T09:23:12"/>
    <x v="4"/>
    <n v="1.8083333333333333"/>
    <n v="0"/>
  </r>
  <r>
    <n v="6365"/>
    <x v="32"/>
    <s v="Release 2.4"/>
    <d v="2013-01-30T20:52:31"/>
    <x v="7"/>
    <n v="1.8083333333333333"/>
    <n v="0"/>
  </r>
  <r>
    <n v="6366"/>
    <x v="15"/>
    <s v="Release 2.5"/>
    <d v="2013-05-06T16:26:25"/>
    <x v="7"/>
    <n v="1.5416666666666667"/>
    <n v="0"/>
  </r>
  <r>
    <n v="6372"/>
    <x v="3"/>
    <s v="Release 2.4"/>
    <d v="2013-01-28T21:50:17"/>
    <x v="8"/>
    <n v="1.8138888888888889"/>
    <n v="0"/>
  </r>
  <r>
    <n v="6373"/>
    <x v="3"/>
    <s v="Release 2.4"/>
    <d v="2013-01-29T15:36:59"/>
    <x v="35"/>
    <n v="1.8111111111111111"/>
    <n v="0"/>
  </r>
  <r>
    <n v="6374"/>
    <x v="16"/>
    <s v="Release 2.4"/>
    <d v="2013-01-30T12:48:53"/>
    <x v="1"/>
    <n v="1.8083333333333333"/>
    <n v="0"/>
  </r>
  <r>
    <n v="6375"/>
    <x v="8"/>
    <s v="Release 2.4"/>
    <d v="2013-01-29T13:28:27"/>
    <x v="2"/>
    <n v="1.8111111111111111"/>
    <n v="0"/>
  </r>
  <r>
    <n v="6377"/>
    <x v="16"/>
    <s v="Release 2.4"/>
    <d v="2013-01-29T18:35:13"/>
    <x v="8"/>
    <n v="1.8111111111111111"/>
    <n v="0"/>
  </r>
  <r>
    <n v="6378"/>
    <x v="10"/>
    <s v="Release 2.4"/>
    <d v="2013-01-29T18:23:55"/>
    <x v="3"/>
    <n v="1.8111111111111111"/>
    <n v="0"/>
  </r>
  <r>
    <n v="6379"/>
    <x v="21"/>
    <s v="Release 2.4"/>
    <d v="2013-01-29T20:50:12"/>
    <x v="5"/>
    <n v="1.8111111111111111"/>
    <n v="0"/>
  </r>
  <r>
    <n v="6381"/>
    <x v="16"/>
    <s v="Release 2.4"/>
    <d v="2013-01-29T18:36:45"/>
    <x v="8"/>
    <n v="1.8111111111111111"/>
    <n v="0"/>
  </r>
  <r>
    <n v="6382"/>
    <x v="21"/>
    <s v="Release 2.4"/>
    <d v="2013-01-29T19:39:56"/>
    <x v="3"/>
    <n v="1.8111111111111111"/>
    <n v="0"/>
  </r>
  <r>
    <n v="6383"/>
    <x v="21"/>
    <s v="Release 2.4"/>
    <d v="2013-01-29T20:13:48"/>
    <x v="3"/>
    <n v="1.8111111111111111"/>
    <n v="0"/>
  </r>
  <r>
    <n v="6384"/>
    <x v="21"/>
    <s v="Release 2.4"/>
    <d v="2013-01-30T10:22:39"/>
    <x v="2"/>
    <n v="1.8083333333333333"/>
    <n v="0"/>
  </r>
  <r>
    <n v="6388"/>
    <x v="10"/>
    <s v="Release 2.4"/>
    <d v="2013-01-29T21:14:54"/>
    <x v="5"/>
    <n v="1.8111111111111111"/>
    <n v="0"/>
  </r>
  <r>
    <n v="6390"/>
    <x v="10"/>
    <s v="Release 2.4"/>
    <d v="2013-01-29T14:52:18"/>
    <x v="35"/>
    <n v="1.8111111111111111"/>
    <n v="0"/>
  </r>
  <r>
    <n v="6392"/>
    <x v="16"/>
    <s v="Release 2.5"/>
    <d v="2013-03-22T15:04:30"/>
    <x v="18"/>
    <n v="1.663888888888889"/>
    <n v="0"/>
  </r>
  <r>
    <n v="6396"/>
    <x v="27"/>
    <s v="Release 2.5"/>
    <d v="2013-04-05T12:47:39"/>
    <x v="10"/>
    <n v="1.6277777777777778"/>
    <n v="0"/>
  </r>
  <r>
    <n v="6397"/>
    <x v="27"/>
    <s v="Release 2.4"/>
    <d v="2013-01-28T17:05:03"/>
    <x v="10"/>
    <n v="1.8138888888888889"/>
    <n v="0"/>
  </r>
  <r>
    <n v="6422"/>
    <x v="16"/>
    <s v="Release 2.4"/>
    <d v="2013-01-30T13:10:21"/>
    <x v="1"/>
    <n v="1.8083333333333333"/>
    <n v="0"/>
  </r>
  <r>
    <n v="6424"/>
    <x v="32"/>
    <s v="Release 2.5"/>
    <d v="2013-03-01T16:29:07"/>
    <x v="7"/>
    <n v="1.7222222222222223"/>
    <n v="0"/>
  </r>
  <r>
    <n v="6426"/>
    <x v="3"/>
    <s v="Release 2.4"/>
    <d v="2013-01-31T14:38:26"/>
    <x v="22"/>
    <n v="1.8083333333333333"/>
    <n v="0"/>
  </r>
  <r>
    <n v="6428"/>
    <x v="55"/>
    <s v="Release 3.3"/>
    <d v="2014-11-14T19:24:14"/>
    <x v="21"/>
    <n v="1.9444444444444445E-2"/>
    <n v="1"/>
  </r>
  <r>
    <n v="6432"/>
    <x v="51"/>
    <s v="Release 2.6"/>
    <d v="2013-07-25T11:06:32"/>
    <x v="23"/>
    <n v="1.3222222222222222"/>
    <n v="0"/>
  </r>
  <r>
    <n v="6435"/>
    <x v="6"/>
    <s v="Release 2.5"/>
    <d v="2013-05-01T14:15:45"/>
    <x v="18"/>
    <n v="1.5555555555555556"/>
    <n v="0"/>
  </r>
  <r>
    <n v="6437"/>
    <x v="3"/>
    <s v="Release 2.4"/>
    <d v="2013-02-04T11:08:23"/>
    <x v="8"/>
    <n v="1.7972222222222223"/>
    <n v="0"/>
  </r>
  <r>
    <n v="6441"/>
    <x v="24"/>
    <s v="Release 3.0"/>
    <d v="2013-10-29T08:51:41"/>
    <x v="11"/>
    <n v="1.0611111111111111"/>
    <n v="0"/>
  </r>
  <r>
    <n v="6445"/>
    <x v="3"/>
    <s v="Release 2.6"/>
    <d v="2013-05-24T14:58:41"/>
    <x v="18"/>
    <n v="1.4916666666666667"/>
    <n v="0"/>
  </r>
  <r>
    <n v="6447"/>
    <x v="18"/>
    <s v="Release 3.0"/>
    <d v="2013-10-03T11:19:02"/>
    <x v="4"/>
    <n v="1.1333333333333333"/>
    <n v="0"/>
  </r>
  <r>
    <n v="6449"/>
    <x v="18"/>
    <s v="Release 2.5"/>
    <d v="2013-05-22T11:45:34"/>
    <x v="4"/>
    <n v="1.4972222222222222"/>
    <n v="0"/>
  </r>
  <r>
    <n v="6454"/>
    <x v="3"/>
    <s v="Release 2.5"/>
    <d v="2013-04-19T16:05:34"/>
    <x v="18"/>
    <n v="1.5888888888888888"/>
    <n v="0"/>
  </r>
  <r>
    <n v="6455"/>
    <x v="17"/>
    <s v="Release 2.5"/>
    <d v="2013-04-19T16:05:25"/>
    <x v="4"/>
    <n v="1.5888888888888888"/>
    <n v="0"/>
  </r>
  <r>
    <n v="6460"/>
    <x v="0"/>
    <s v="Release 3.0"/>
    <d v="2013-10-11T16:04:03"/>
    <x v="26"/>
    <n v="1.1111111111111112"/>
    <n v="0"/>
  </r>
  <r>
    <n v="6465"/>
    <x v="22"/>
    <s v="Release 2.5"/>
    <d v="2013-05-16T22:38:10"/>
    <x v="8"/>
    <n v="1.5138888888888888"/>
    <n v="0"/>
  </r>
  <r>
    <n v="6469"/>
    <x v="21"/>
    <s v="Release 2.6"/>
    <d v="2013-05-17T16:18:11"/>
    <x v="22"/>
    <n v="1.5111111111111111"/>
    <n v="0"/>
  </r>
  <r>
    <n v="6477"/>
    <x v="4"/>
    <s v="Release 2.4"/>
    <d v="2013-02-04T11:08:24"/>
    <x v="9"/>
    <n v="1.7972222222222223"/>
    <n v="0"/>
  </r>
  <r>
    <n v="6478"/>
    <x v="20"/>
    <s v="Release 2.5"/>
    <d v="2013-03-01T10:59:56"/>
    <x v="1"/>
    <n v="1.7222222222222223"/>
    <n v="0"/>
  </r>
  <r>
    <n v="6482"/>
    <x v="16"/>
    <s v="Release 2.5"/>
    <d v="2013-04-05T12:48:02"/>
    <x v="10"/>
    <n v="1.6277777777777778"/>
    <n v="0"/>
  </r>
  <r>
    <n v="6484"/>
    <x v="48"/>
    <s v="Release 2.5"/>
    <d v="2013-05-17T16:39:59"/>
    <x v="11"/>
    <n v="1.5111111111111111"/>
    <n v="0"/>
  </r>
  <r>
    <n v="6485"/>
    <x v="48"/>
    <s v="Release 2.5"/>
    <d v="2013-04-05T12:47:36"/>
    <x v="11"/>
    <n v="1.6277777777777778"/>
    <n v="0"/>
  </r>
  <r>
    <n v="6486"/>
    <x v="48"/>
    <s v="Release 2.5"/>
    <d v="2013-03-04T11:31:08"/>
    <x v="11"/>
    <n v="1.7138888888888888"/>
    <n v="0"/>
  </r>
  <r>
    <n v="6490"/>
    <x v="0"/>
    <s v="Release 2.4"/>
    <d v="2013-02-04T11:08:28"/>
    <x v="3"/>
    <n v="1.7972222222222223"/>
    <n v="0"/>
  </r>
  <r>
    <n v="6493"/>
    <x v="16"/>
    <s v="Release 2.4"/>
    <d v="2013-02-04T11:08:24"/>
    <x v="5"/>
    <n v="1.7972222222222223"/>
    <n v="0"/>
  </r>
  <r>
    <n v="6495"/>
    <x v="20"/>
    <s v="Release 2.4"/>
    <d v="2013-02-04T11:08:27"/>
    <x v="4"/>
    <n v="1.7972222222222223"/>
    <n v="0"/>
  </r>
  <r>
    <n v="6496"/>
    <x v="20"/>
    <s v="Release 2.4"/>
    <d v="2013-02-04T11:08:24"/>
    <x v="8"/>
    <n v="1.7972222222222223"/>
    <n v="0"/>
  </r>
  <r>
    <n v="6499"/>
    <x v="17"/>
    <s v="Release 2.5"/>
    <d v="2013-03-01T11:13:42"/>
    <x v="13"/>
    <n v="1.7222222222222223"/>
    <n v="0"/>
  </r>
  <r>
    <n v="6500"/>
    <x v="16"/>
    <s v="Release 2.6"/>
    <d v="2013-07-29T11:32:27"/>
    <x v="28"/>
    <n v="1.3111111111111111"/>
    <n v="0"/>
  </r>
  <r>
    <n v="6504"/>
    <x v="11"/>
    <s v="Release 2.4"/>
    <d v="2013-02-04T11:08:25"/>
    <x v="8"/>
    <n v="1.7972222222222223"/>
    <n v="0"/>
  </r>
  <r>
    <n v="6508"/>
    <x v="3"/>
    <s v="Release 2.5"/>
    <d v="2013-03-01T16:13:59"/>
    <x v="9"/>
    <n v="1.7222222222222223"/>
    <n v="0"/>
  </r>
  <r>
    <n v="6512"/>
    <x v="24"/>
    <s v="Release 3.1"/>
    <d v="2013-11-22T16:28:31"/>
    <x v="21"/>
    <n v="0.99722222222222223"/>
    <n v="1"/>
  </r>
  <r>
    <n v="6514"/>
    <x v="16"/>
    <s v="Release 2.5"/>
    <d v="2013-03-01T13:10:37"/>
    <x v="1"/>
    <n v="1.7222222222222223"/>
    <n v="0"/>
  </r>
  <r>
    <n v="6518"/>
    <x v="11"/>
    <s v="Release 2.5"/>
    <d v="2013-03-01T09:56:21"/>
    <x v="4"/>
    <n v="1.7222222222222223"/>
    <n v="0"/>
  </r>
  <r>
    <n v="6521"/>
    <x v="16"/>
    <s v="Release 2.5"/>
    <d v="2013-03-01T12:04:26"/>
    <x v="12"/>
    <n v="1.7222222222222223"/>
    <n v="0"/>
  </r>
  <r>
    <n v="6523"/>
    <x v="15"/>
    <s v="Release 2.6"/>
    <d v="2013-07-25T11:07:40"/>
    <x v="7"/>
    <n v="1.3222222222222222"/>
    <n v="0"/>
  </r>
  <r>
    <n v="6524"/>
    <x v="15"/>
    <s v="Release 2.6"/>
    <d v="2013-07-25T11:08:04"/>
    <x v="5"/>
    <n v="1.3222222222222222"/>
    <n v="0"/>
  </r>
  <r>
    <n v="6525"/>
    <x v="21"/>
    <s v="Release 2.5"/>
    <d v="2013-02-04T11:08:29"/>
    <x v="5"/>
    <n v="1.7972222222222223"/>
    <n v="0"/>
  </r>
  <r>
    <n v="6527"/>
    <x v="3"/>
    <s v="Release 2.5"/>
    <d v="2013-04-03T11:15:39"/>
    <x v="11"/>
    <n v="1.6333333333333333"/>
    <n v="0"/>
  </r>
  <r>
    <n v="6528"/>
    <x v="16"/>
    <s v="Release 2.5"/>
    <d v="2013-03-01T14:20:21"/>
    <x v="10"/>
    <n v="1.7222222222222223"/>
    <n v="0"/>
  </r>
  <r>
    <n v="6536"/>
    <x v="32"/>
    <s v="Release 2.5"/>
    <d v="2013-03-01T16:06:29"/>
    <x v="7"/>
    <n v="1.7222222222222223"/>
    <n v="0"/>
  </r>
  <r>
    <n v="6542"/>
    <x v="16"/>
    <s v="Release 2.5"/>
    <d v="2013-03-01T12:12:59"/>
    <x v="12"/>
    <n v="1.7222222222222223"/>
    <n v="0"/>
  </r>
  <r>
    <n v="6543"/>
    <x v="18"/>
    <s v="Release 2.5"/>
    <d v="2013-03-08T16:26:56"/>
    <x v="11"/>
    <n v="1.7027777777777777"/>
    <n v="0"/>
  </r>
  <r>
    <n v="6544"/>
    <x v="21"/>
    <s v="Release 2.5"/>
    <d v="2013-05-16T22:38:03"/>
    <x v="3"/>
    <n v="1.5138888888888888"/>
    <n v="0"/>
  </r>
  <r>
    <n v="6547"/>
    <x v="0"/>
    <s v="Release 2.5"/>
    <d v="2013-03-01T11:06:41"/>
    <x v="2"/>
    <n v="1.7222222222222223"/>
    <n v="0"/>
  </r>
  <r>
    <n v="6548"/>
    <x v="3"/>
    <s v="Release 2.5"/>
    <d v="2013-02-11T11:24:49"/>
    <x v="11"/>
    <n v="1.7777777777777777"/>
    <n v="0"/>
  </r>
  <r>
    <n v="6550"/>
    <x v="51"/>
    <s v="Release 2.5"/>
    <d v="2013-04-19T16:05:24"/>
    <x v="2"/>
    <n v="1.5888888888888888"/>
    <n v="0"/>
  </r>
  <r>
    <n v="6552"/>
    <x v="0"/>
    <s v="Release 3.0"/>
    <d v="2013-08-23T14:16:31"/>
    <x v="23"/>
    <n v="1.2444444444444445"/>
    <n v="0"/>
  </r>
  <r>
    <n v="6553"/>
    <x v="0"/>
    <s v="Release 2.5"/>
    <d v="2013-03-01T20:41:47"/>
    <x v="10"/>
    <n v="1.7222222222222223"/>
    <n v="0"/>
  </r>
  <r>
    <n v="6554"/>
    <x v="32"/>
    <s v="Release 2.5"/>
    <d v="2013-03-01T11:30:56"/>
    <x v="11"/>
    <n v="1.7222222222222223"/>
    <n v="0"/>
  </r>
  <r>
    <n v="6555"/>
    <x v="23"/>
    <s v="Release 2.5"/>
    <d v="2013-05-16T22:38:27"/>
    <x v="3"/>
    <n v="1.5138888888888888"/>
    <n v="0"/>
  </r>
  <r>
    <n v="6556"/>
    <x v="23"/>
    <s v="Release 2.5"/>
    <d v="2013-05-16T22:38:27"/>
    <x v="3"/>
    <n v="1.5138888888888888"/>
    <n v="0"/>
  </r>
  <r>
    <n v="6559"/>
    <x v="32"/>
    <s v="Release 2.5"/>
    <d v="2013-03-01T19:19:16"/>
    <x v="5"/>
    <n v="1.7222222222222223"/>
    <n v="0"/>
  </r>
  <r>
    <n v="6560"/>
    <x v="20"/>
    <s v="Release 2.5"/>
    <d v="2013-04-26T14:11:40"/>
    <x v="4"/>
    <n v="1.5694444444444444"/>
    <n v="0"/>
  </r>
  <r>
    <n v="6564"/>
    <x v="11"/>
    <s v="Release 2.5"/>
    <d v="2014-03-21T20:04:59"/>
    <x v="5"/>
    <n v="0.66666666666666663"/>
    <n v="1"/>
  </r>
  <r>
    <n v="6566"/>
    <x v="3"/>
    <s v="Release 2.5"/>
    <d v="2013-03-01T11:43:31"/>
    <x v="2"/>
    <n v="1.7222222222222223"/>
    <n v="0"/>
  </r>
  <r>
    <n v="6567"/>
    <x v="21"/>
    <s v="Release 2.5"/>
    <d v="2013-03-01T18:48:19"/>
    <x v="5"/>
    <n v="1.7222222222222223"/>
    <n v="0"/>
  </r>
  <r>
    <n v="6568"/>
    <x v="21"/>
    <s v="Release 2.5"/>
    <d v="2013-03-01T11:38:45"/>
    <x v="13"/>
    <n v="1.7222222222222223"/>
    <n v="0"/>
  </r>
  <r>
    <n v="6569"/>
    <x v="42"/>
    <s v="Release 2.5"/>
    <d v="2013-03-01T12:54:01"/>
    <x v="4"/>
    <n v="1.7222222222222223"/>
    <n v="0"/>
  </r>
  <r>
    <n v="6573"/>
    <x v="4"/>
    <s v="Release 2.5"/>
    <d v="2013-03-01T13:50:15"/>
    <x v="13"/>
    <n v="1.7222222222222223"/>
    <n v="0"/>
  </r>
  <r>
    <n v="6580"/>
    <x v="23"/>
    <s v="Release 2.5"/>
    <d v="2013-03-06T21:40:02"/>
    <x v="3"/>
    <n v="1.7083333333333333"/>
    <n v="0"/>
  </r>
  <r>
    <n v="6582"/>
    <x v="3"/>
    <s v="Release 2.5"/>
    <d v="2013-03-01T13:02:04"/>
    <x v="12"/>
    <n v="1.7222222222222223"/>
    <n v="0"/>
  </r>
  <r>
    <n v="6588"/>
    <x v="16"/>
    <s v="Release 2.5"/>
    <d v="2013-03-01T10:47:13"/>
    <x v="11"/>
    <n v="1.7222222222222223"/>
    <n v="0"/>
  </r>
  <r>
    <n v="6594"/>
    <x v="22"/>
    <s v="Release 2.6"/>
    <d v="2013-07-26T11:16:18"/>
    <x v="25"/>
    <n v="1.3194444444444444"/>
    <n v="0"/>
  </r>
  <r>
    <n v="6599"/>
    <x v="32"/>
    <s v="Release 2.5"/>
    <d v="2013-03-01T16:41:50"/>
    <x v="7"/>
    <n v="1.7222222222222223"/>
    <n v="0"/>
  </r>
  <r>
    <n v="6600"/>
    <x v="42"/>
    <s v="Release 2.5"/>
    <d v="2013-03-01T16:34:11"/>
    <x v="9"/>
    <n v="1.7222222222222223"/>
    <n v="0"/>
  </r>
  <r>
    <n v="6601"/>
    <x v="16"/>
    <s v="Release 2.5"/>
    <d v="2013-03-01T10:46:37"/>
    <x v="11"/>
    <n v="1.7222222222222223"/>
    <n v="0"/>
  </r>
  <r>
    <n v="6602"/>
    <x v="43"/>
    <s v="Release 2.5"/>
    <d v="2013-03-08T16:41:45"/>
    <x v="1"/>
    <n v="1.7027777777777777"/>
    <n v="0"/>
  </r>
  <r>
    <n v="6603"/>
    <x v="3"/>
    <s v="Release 2.5"/>
    <d v="2013-04-16T11:29:50"/>
    <x v="1"/>
    <n v="1.5972222222222223"/>
    <n v="0"/>
  </r>
  <r>
    <n v="6612"/>
    <x v="10"/>
    <s v="Release 2.5"/>
    <d v="2013-03-01T16:02:33"/>
    <x v="9"/>
    <n v="1.7222222222222223"/>
    <n v="0"/>
  </r>
  <r>
    <n v="6616"/>
    <x v="29"/>
    <s v="Release 3.2"/>
    <d v="2014-03-13T09:07:53"/>
    <x v="1"/>
    <n v="0.68888888888888888"/>
    <n v="1"/>
  </r>
  <r>
    <n v="6617"/>
    <x v="43"/>
    <s v="Release 2.5"/>
    <d v="2013-03-22T15:28:50"/>
    <x v="1"/>
    <n v="1.663888888888889"/>
    <n v="0"/>
  </r>
  <r>
    <n v="6619"/>
    <x v="16"/>
    <s v="Release 2.5"/>
    <d v="2013-03-01T11:12:19"/>
    <x v="11"/>
    <n v="1.7222222222222223"/>
    <n v="0"/>
  </r>
  <r>
    <n v="6621"/>
    <x v="4"/>
    <s v="Release 2.5"/>
    <d v="2013-05-22T11:45:35"/>
    <x v="16"/>
    <n v="1.4972222222222222"/>
    <n v="0"/>
  </r>
  <r>
    <n v="6622"/>
    <x v="28"/>
    <s v="Release 3.2"/>
    <d v="2014-02-18T13:01:05"/>
    <x v="1"/>
    <n v="0.7583333333333333"/>
    <n v="1"/>
  </r>
  <r>
    <n v="6623"/>
    <x v="16"/>
    <s v="Release 2.5"/>
    <d v="2013-03-01T14:03:27"/>
    <x v="5"/>
    <n v="1.7222222222222223"/>
    <n v="0"/>
  </r>
  <r>
    <n v="6630"/>
    <x v="11"/>
    <s v="Release 2.5"/>
    <d v="2013-04-19T16:05:34"/>
    <x v="9"/>
    <n v="1.5888888888888888"/>
    <n v="0"/>
  </r>
  <r>
    <n v="6633"/>
    <x v="32"/>
    <s v="Release 2.5"/>
    <d v="2013-03-01T15:05:06"/>
    <x v="3"/>
    <n v="1.7222222222222223"/>
    <n v="0"/>
  </r>
  <r>
    <n v="6634"/>
    <x v="8"/>
    <s v="Release 2.5"/>
    <d v="2013-03-01T22:11:39"/>
    <x v="8"/>
    <n v="1.7222222222222223"/>
    <n v="0"/>
  </r>
  <r>
    <n v="6635"/>
    <x v="17"/>
    <s v="Release 2.5"/>
    <d v="2013-04-05T12:48:12"/>
    <x v="9"/>
    <n v="1.6277777777777778"/>
    <n v="0"/>
  </r>
  <r>
    <n v="6640"/>
    <x v="21"/>
    <s v="Release 2.5"/>
    <d v="2013-03-01T11:04:41"/>
    <x v="4"/>
    <n v="1.7222222222222223"/>
    <n v="0"/>
  </r>
  <r>
    <n v="6644"/>
    <x v="42"/>
    <s v="Release 2.5"/>
    <d v="2013-03-28T14:24:28"/>
    <x v="12"/>
    <n v="1.6472222222222221"/>
    <n v="0"/>
  </r>
  <r>
    <n v="6645"/>
    <x v="11"/>
    <s v="Release 2.5"/>
    <d v="2013-03-01T14:04:43"/>
    <x v="5"/>
    <n v="1.7222222222222223"/>
    <n v="0"/>
  </r>
  <r>
    <n v="6646"/>
    <x v="16"/>
    <s v="Release 2.5"/>
    <d v="2013-03-21T14:40:26"/>
    <x v="3"/>
    <n v="1.6666666666666667"/>
    <n v="0"/>
  </r>
  <r>
    <n v="6653"/>
    <x v="3"/>
    <s v="Release 2.5"/>
    <d v="2013-04-05T12:48:07"/>
    <x v="7"/>
    <n v="1.6277777777777778"/>
    <n v="0"/>
  </r>
  <r>
    <n v="6654"/>
    <x v="6"/>
    <s v="Release 2.6"/>
    <d v="2013-06-21T14:03:38"/>
    <x v="18"/>
    <n v="1.4166666666666667"/>
    <n v="0"/>
  </r>
  <r>
    <n v="6655"/>
    <x v="3"/>
    <s v="Release 2.5"/>
    <d v="2013-03-21T14:40:23"/>
    <x v="7"/>
    <n v="1.6666666666666667"/>
    <n v="0"/>
  </r>
  <r>
    <n v="6656"/>
    <x v="18"/>
    <s v="Release 2.5"/>
    <d v="2013-04-18T15:26:17"/>
    <x v="12"/>
    <n v="1.5916666666666666"/>
    <n v="0"/>
  </r>
  <r>
    <n v="6657"/>
    <x v="3"/>
    <s v="Release 2.5"/>
    <d v="2013-03-04T15:58:54"/>
    <x v="7"/>
    <n v="1.7138888888888888"/>
    <n v="0"/>
  </r>
  <r>
    <n v="6659"/>
    <x v="16"/>
    <s v="Release 2.5"/>
    <d v="2013-03-21T14:40:27"/>
    <x v="3"/>
    <n v="1.6666666666666667"/>
    <n v="0"/>
  </r>
  <r>
    <n v="6661"/>
    <x v="32"/>
    <s v="Release 2.6"/>
    <d v="2013-05-29T18:16:57"/>
    <x v="7"/>
    <n v="1.4777777777777779"/>
    <n v="0"/>
  </r>
  <r>
    <n v="6662"/>
    <x v="14"/>
    <s v="Release 2.5"/>
    <d v="2013-04-05T12:47:31"/>
    <x v="5"/>
    <n v="1.6277777777777778"/>
    <n v="0"/>
  </r>
  <r>
    <n v="6664"/>
    <x v="16"/>
    <s v="Release 2.5"/>
    <d v="2013-04-05T12:47:32"/>
    <x v="22"/>
    <n v="1.6277777777777778"/>
    <n v="0"/>
  </r>
  <r>
    <n v="6665"/>
    <x v="20"/>
    <s v="Release 2.5"/>
    <d v="2013-04-19T16:05:17"/>
    <x v="4"/>
    <n v="1.5888888888888888"/>
    <n v="0"/>
  </r>
  <r>
    <n v="6666"/>
    <x v="16"/>
    <s v="Release 2.5"/>
    <d v="2013-04-05T12:47:34"/>
    <x v="12"/>
    <n v="1.6277777777777778"/>
    <n v="0"/>
  </r>
  <r>
    <n v="6667"/>
    <x v="18"/>
    <s v="Release 2.6"/>
    <d v="2013-07-26T17:35:25"/>
    <x v="4"/>
    <n v="1.3194444444444444"/>
    <n v="0"/>
  </r>
  <r>
    <n v="6669"/>
    <x v="2"/>
    <s v="Release 2.6"/>
    <d v="2013-05-22T11:45:51"/>
    <x v="4"/>
    <n v="1.4972222222222222"/>
    <n v="0"/>
  </r>
  <r>
    <n v="6670"/>
    <x v="42"/>
    <s v="Release 2.6"/>
    <d v="2013-07-25T11:14:17"/>
    <x v="23"/>
    <n v="1.3222222222222222"/>
    <n v="0"/>
  </r>
  <r>
    <n v="6675"/>
    <x v="42"/>
    <s v="Release 2.5"/>
    <d v="2013-04-18T15:26:17"/>
    <x v="5"/>
    <n v="1.5916666666666666"/>
    <n v="0"/>
  </r>
  <r>
    <n v="6680"/>
    <x v="14"/>
    <s v="Release 2.5"/>
    <d v="2013-04-18T15:26:18"/>
    <x v="10"/>
    <n v="1.5916666666666666"/>
    <n v="0"/>
  </r>
  <r>
    <n v="6682"/>
    <x v="2"/>
    <s v="Release 2.5"/>
    <d v="2013-04-18T15:26:22"/>
    <x v="3"/>
    <n v="1.5916666666666666"/>
    <n v="0"/>
  </r>
  <r>
    <n v="6684"/>
    <x v="3"/>
    <s v="Release 2.5"/>
    <d v="2013-03-19T14:15:27"/>
    <x v="37"/>
    <n v="1.6722222222222223"/>
    <n v="0"/>
  </r>
  <r>
    <n v="6687"/>
    <x v="27"/>
    <s v="Release 2.5"/>
    <d v="2013-04-19T16:05:15"/>
    <x v="2"/>
    <n v="1.5888888888888888"/>
    <n v="0"/>
  </r>
  <r>
    <n v="6693"/>
    <x v="29"/>
    <s v="Release 3.0"/>
    <d v="2013-10-25T14:54:13"/>
    <x v="18"/>
    <n v="1.0722222222222222"/>
    <n v="0"/>
  </r>
  <r>
    <n v="6694"/>
    <x v="23"/>
    <s v="Release 2.5"/>
    <d v="2013-04-18T15:26:24"/>
    <x v="9"/>
    <n v="1.5916666666666666"/>
    <n v="0"/>
  </r>
  <r>
    <n v="6695"/>
    <x v="6"/>
    <s v="Release 2.5"/>
    <d v="2013-04-18T15:26:23"/>
    <x v="18"/>
    <n v="1.5916666666666666"/>
    <n v="0"/>
  </r>
  <r>
    <n v="6703"/>
    <x v="16"/>
    <s v="Release 2.5"/>
    <d v="2013-04-05T12:48:01"/>
    <x v="11"/>
    <n v="1.6277777777777778"/>
    <n v="0"/>
  </r>
  <r>
    <n v="6706"/>
    <x v="11"/>
    <s v="Release 2.5"/>
    <d v="2013-04-05T12:48:04"/>
    <x v="5"/>
    <n v="1.6277777777777778"/>
    <n v="0"/>
  </r>
  <r>
    <n v="6707"/>
    <x v="22"/>
    <s v="Release 2.5"/>
    <d v="2013-05-16T22:40:14"/>
    <x v="7"/>
    <n v="1.5138888888888888"/>
    <n v="0"/>
  </r>
  <r>
    <n v="6708"/>
    <x v="3"/>
    <s v="Release 2.5"/>
    <d v="2013-04-19T16:05:09"/>
    <x v="2"/>
    <n v="1.5888888888888888"/>
    <n v="0"/>
  </r>
  <r>
    <n v="6716"/>
    <x v="23"/>
    <s v="Release 2.5"/>
    <d v="2013-04-19T16:05:35"/>
    <x v="21"/>
    <n v="1.5888888888888888"/>
    <n v="0"/>
  </r>
  <r>
    <n v="6718"/>
    <x v="21"/>
    <s v="Release 2.5"/>
    <d v="2013-04-19T16:05:07"/>
    <x v="8"/>
    <n v="1.5888888888888888"/>
    <n v="0"/>
  </r>
  <r>
    <n v="6722"/>
    <x v="21"/>
    <s v="Release 2.5"/>
    <d v="2013-05-16T22:37:51"/>
    <x v="3"/>
    <n v="1.5138888888888888"/>
    <n v="0"/>
  </r>
  <r>
    <n v="6725"/>
    <x v="3"/>
    <s v="Release 2.5"/>
    <d v="2013-04-19T16:05:01"/>
    <x v="2"/>
    <n v="1.5888888888888888"/>
    <n v="0"/>
  </r>
  <r>
    <n v="6726"/>
    <x v="17"/>
    <s v="Release 2.5"/>
    <d v="2013-04-16T11:29:56"/>
    <x v="4"/>
    <n v="1.5972222222222223"/>
    <n v="0"/>
  </r>
  <r>
    <n v="6728"/>
    <x v="17"/>
    <s v="Release 2.5"/>
    <d v="2013-04-19T16:05:07"/>
    <x v="4"/>
    <n v="1.5888888888888888"/>
    <n v="0"/>
  </r>
  <r>
    <n v="6730"/>
    <x v="16"/>
    <s v="Release 2.5"/>
    <d v="2013-04-19T16:05:07"/>
    <x v="11"/>
    <n v="1.5888888888888888"/>
    <n v="0"/>
  </r>
  <r>
    <n v="6732"/>
    <x v="3"/>
    <s v="Release 2.5"/>
    <d v="2013-04-19T16:05:05"/>
    <x v="11"/>
    <n v="1.5888888888888888"/>
    <n v="0"/>
  </r>
  <r>
    <n v="6733"/>
    <x v="3"/>
    <s v="Release 2.5"/>
    <d v="2013-04-19T16:05:16"/>
    <x v="12"/>
    <n v="1.5888888888888888"/>
    <n v="0"/>
  </r>
  <r>
    <n v="6734"/>
    <x v="16"/>
    <s v="Release 2.5"/>
    <d v="2013-03-22T14:43:05"/>
    <x v="5"/>
    <n v="1.663888888888889"/>
    <n v="0"/>
  </r>
  <r>
    <n v="6737"/>
    <x v="23"/>
    <s v="Release 2.5"/>
    <d v="2013-05-16T22:39:40"/>
    <x v="5"/>
    <n v="1.5138888888888888"/>
    <n v="0"/>
  </r>
  <r>
    <n v="6738"/>
    <x v="0"/>
    <s v="Release 2.5"/>
    <d v="2013-04-19T16:05:08"/>
    <x v="4"/>
    <n v="1.5888888888888888"/>
    <n v="0"/>
  </r>
  <r>
    <n v="6741"/>
    <x v="3"/>
    <s v="Release 2.5"/>
    <d v="2013-05-03T17:58:32"/>
    <x v="35"/>
    <n v="1.55"/>
    <n v="0"/>
  </r>
  <r>
    <n v="6742"/>
    <x v="17"/>
    <s v="Release 2.5"/>
    <d v="2013-04-19T16:05:13"/>
    <x v="13"/>
    <n v="1.5888888888888888"/>
    <n v="0"/>
  </r>
  <r>
    <n v="6744"/>
    <x v="22"/>
    <s v="Release 3.2"/>
    <d v="2014-02-12T15:11:19"/>
    <x v="25"/>
    <n v="0.77500000000000002"/>
    <n v="1"/>
  </r>
  <r>
    <n v="6746"/>
    <x v="23"/>
    <s v="Release 2.5"/>
    <d v="2013-04-19T16:05:11"/>
    <x v="7"/>
    <n v="1.5888888888888888"/>
    <n v="0"/>
  </r>
  <r>
    <n v="6747"/>
    <x v="23"/>
    <s v="Release 2.5"/>
    <d v="2013-05-16T22:39:27"/>
    <x v="10"/>
    <n v="1.5138888888888888"/>
    <n v="0"/>
  </r>
  <r>
    <n v="6749"/>
    <x v="23"/>
    <s v="Release 2.5"/>
    <d v="2013-05-16T22:38:17"/>
    <x v="3"/>
    <n v="1.5138888888888888"/>
    <n v="0"/>
  </r>
  <r>
    <n v="6750"/>
    <x v="23"/>
    <s v="Release 2.5"/>
    <d v="2013-05-16T22:39:46"/>
    <x v="3"/>
    <n v="1.5138888888888888"/>
    <n v="0"/>
  </r>
  <r>
    <n v="6752"/>
    <x v="17"/>
    <s v="Release 2.5"/>
    <d v="2013-05-22T11:45:29"/>
    <x v="13"/>
    <n v="1.4972222222222222"/>
    <n v="0"/>
  </r>
  <r>
    <n v="6755"/>
    <x v="17"/>
    <s v="Release 2.5"/>
    <d v="2013-05-16T22:37:54"/>
    <x v="1"/>
    <n v="1.5138888888888888"/>
    <n v="0"/>
  </r>
  <r>
    <n v="6757"/>
    <x v="32"/>
    <s v="Release 2.5"/>
    <d v="2013-04-19T16:05:15"/>
    <x v="7"/>
    <n v="1.5888888888888888"/>
    <n v="0"/>
  </r>
  <r>
    <n v="6758"/>
    <x v="51"/>
    <s v="Release 2.5"/>
    <d v="2013-04-19T16:05:25"/>
    <x v="7"/>
    <n v="1.5888888888888888"/>
    <n v="0"/>
  </r>
  <r>
    <n v="6759"/>
    <x v="22"/>
    <s v="Release 2.5"/>
    <d v="2013-04-19T16:05:15"/>
    <x v="7"/>
    <n v="1.5888888888888888"/>
    <n v="0"/>
  </r>
  <r>
    <n v="6763"/>
    <x v="16"/>
    <s v="Release 2.5"/>
    <d v="2013-04-19T16:05:26"/>
    <x v="12"/>
    <n v="1.5888888888888888"/>
    <n v="0"/>
  </r>
  <r>
    <n v="6764"/>
    <x v="17"/>
    <s v="Release 2.5"/>
    <d v="2013-04-19T16:05:35"/>
    <x v="21"/>
    <n v="1.5888888888888888"/>
    <n v="0"/>
  </r>
  <r>
    <n v="6765"/>
    <x v="21"/>
    <s v="Release 2.5"/>
    <d v="2013-04-19T16:05:27"/>
    <x v="35"/>
    <n v="1.5888888888888888"/>
    <n v="0"/>
  </r>
  <r>
    <n v="6766"/>
    <x v="23"/>
    <s v="Release 2.5"/>
    <d v="2013-05-16T22:38:14"/>
    <x v="10"/>
    <n v="1.5138888888888888"/>
    <n v="0"/>
  </r>
  <r>
    <n v="6768"/>
    <x v="0"/>
    <s v="Release 2.5"/>
    <d v="2013-04-19T16:05:26"/>
    <x v="16"/>
    <n v="1.5888888888888888"/>
    <n v="0"/>
  </r>
  <r>
    <n v="6769"/>
    <x v="22"/>
    <s v="Release 2.5"/>
    <d v="2013-04-19T16:05:26"/>
    <x v="13"/>
    <n v="1.5888888888888888"/>
    <n v="0"/>
  </r>
  <r>
    <n v="6770"/>
    <x v="3"/>
    <s v="Release 2.5"/>
    <d v="2013-05-16T22:37:48"/>
    <x v="18"/>
    <n v="1.5138888888888888"/>
    <n v="0"/>
  </r>
  <r>
    <n v="6774"/>
    <x v="41"/>
    <s v="Release 3.0"/>
    <d v="2013-10-23T14:04:39"/>
    <x v="8"/>
    <n v="1.0777777777777777"/>
    <n v="0"/>
  </r>
  <r>
    <n v="6775"/>
    <x v="41"/>
    <s v="Release 3.0"/>
    <d v="2013-10-23T14:04:59"/>
    <x v="8"/>
    <n v="1.0777777777777777"/>
    <n v="0"/>
  </r>
  <r>
    <n v="6776"/>
    <x v="42"/>
    <s v="Release 2.5"/>
    <d v="2013-04-19T16:05:27"/>
    <x v="3"/>
    <n v="1.5888888888888888"/>
    <n v="0"/>
  </r>
  <r>
    <n v="6782"/>
    <x v="3"/>
    <s v="Release 2.5"/>
    <d v="2013-04-19T16:05:29"/>
    <x v="9"/>
    <n v="1.5888888888888888"/>
    <n v="0"/>
  </r>
  <r>
    <n v="6786"/>
    <x v="8"/>
    <s v="Release 2.5"/>
    <d v="2013-04-19T16:05:33"/>
    <x v="8"/>
    <n v="1.5888888888888888"/>
    <n v="0"/>
  </r>
  <r>
    <n v="6787"/>
    <x v="8"/>
    <s v="Release 2.5"/>
    <d v="2013-04-19T16:05:33"/>
    <x v="8"/>
    <n v="1.5888888888888888"/>
    <n v="0"/>
  </r>
  <r>
    <n v="6790"/>
    <x v="16"/>
    <s v="Release 2.5"/>
    <d v="2013-04-19T16:37:36"/>
    <x v="12"/>
    <n v="1.5888888888888888"/>
    <n v="0"/>
  </r>
  <r>
    <n v="6792"/>
    <x v="42"/>
    <s v="Release 2.5"/>
    <d v="2013-04-19T16:05:35"/>
    <x v="7"/>
    <n v="1.5888888888888888"/>
    <n v="0"/>
  </r>
  <r>
    <n v="6798"/>
    <x v="11"/>
    <s v="Release 2.5"/>
    <d v="2013-04-19T16:37:37"/>
    <x v="7"/>
    <n v="1.5888888888888888"/>
    <n v="0"/>
  </r>
  <r>
    <n v="6810"/>
    <x v="3"/>
    <s v="Release 2.5"/>
    <d v="2013-05-16T22:37:47"/>
    <x v="9"/>
    <n v="1.5138888888888888"/>
    <n v="0"/>
  </r>
  <r>
    <n v="6814"/>
    <x v="21"/>
    <s v="Release 2.5"/>
    <d v="2013-05-16T22:37:45"/>
    <x v="9"/>
    <n v="1.5138888888888888"/>
    <n v="0"/>
  </r>
  <r>
    <n v="6817"/>
    <x v="42"/>
    <s v="Release 2.5"/>
    <d v="2013-04-02T23:40:33"/>
    <x v="9"/>
    <n v="1.6361111111111111"/>
    <n v="0"/>
  </r>
  <r>
    <n v="6822"/>
    <x v="11"/>
    <s v="Release 2.5"/>
    <d v="2013-05-16T22:38:12"/>
    <x v="16"/>
    <n v="1.5138888888888888"/>
    <n v="0"/>
  </r>
  <r>
    <n v="6826"/>
    <x v="3"/>
    <s v="Release 2.5"/>
    <d v="2013-05-16T22:37:57"/>
    <x v="12"/>
    <n v="1.5138888888888888"/>
    <n v="0"/>
  </r>
  <r>
    <n v="6827"/>
    <x v="11"/>
    <s v="Release 2.6"/>
    <d v="2013-07-25T11:14:30"/>
    <x v="10"/>
    <n v="1.3222222222222222"/>
    <n v="0"/>
  </r>
  <r>
    <n v="6828"/>
    <x v="21"/>
    <s v="Release 2.5"/>
    <d v="2013-05-22T11:45:37"/>
    <x v="9"/>
    <n v="1.4972222222222222"/>
    <n v="0"/>
  </r>
  <r>
    <n v="6829"/>
    <x v="11"/>
    <s v="Release 2.5"/>
    <d v="2013-05-16T22:38:11"/>
    <x v="4"/>
    <n v="1.5138888888888888"/>
    <n v="0"/>
  </r>
  <r>
    <n v="6834"/>
    <x v="11"/>
    <s v="Release 2.6"/>
    <d v="2013-07-25T11:14:54"/>
    <x v="23"/>
    <n v="1.3222222222222222"/>
    <n v="0"/>
  </r>
  <r>
    <n v="6837"/>
    <x v="14"/>
    <s v="Release 2.5"/>
    <d v="2013-05-16T22:39:03"/>
    <x v="5"/>
    <n v="1.5138888888888888"/>
    <n v="0"/>
  </r>
  <r>
    <n v="6840"/>
    <x v="51"/>
    <s v="Release 2.6"/>
    <d v="2013-07-25T11:15:13"/>
    <x v="10"/>
    <n v="1.3222222222222222"/>
    <n v="0"/>
  </r>
  <r>
    <n v="6841"/>
    <x v="18"/>
    <s v="Release 2.5"/>
    <d v="2013-05-22T11:45:29"/>
    <x v="5"/>
    <n v="1.4972222222222222"/>
    <n v="0"/>
  </r>
  <r>
    <n v="6844"/>
    <x v="23"/>
    <s v="Release 2.5"/>
    <d v="2013-05-16T22:39:04"/>
    <x v="7"/>
    <n v="1.5138888888888888"/>
    <n v="0"/>
  </r>
  <r>
    <n v="6846"/>
    <x v="11"/>
    <s v="Release 2.5"/>
    <d v="2013-05-16T22:38:31"/>
    <x v="4"/>
    <n v="1.5138888888888888"/>
    <n v="0"/>
  </r>
  <r>
    <n v="6848"/>
    <x v="51"/>
    <s v="Release 2.6"/>
    <d v="2013-07-25T11:15:32"/>
    <x v="10"/>
    <n v="1.3222222222222222"/>
    <n v="0"/>
  </r>
  <r>
    <n v="6849"/>
    <x v="8"/>
    <s v="Release 2.5"/>
    <d v="2013-05-16T22:40:10"/>
    <x v="8"/>
    <n v="1.5138888888888888"/>
    <n v="0"/>
  </r>
  <r>
    <n v="6850"/>
    <x v="43"/>
    <s v="Release 2.5"/>
    <d v="2013-05-16T22:40:10"/>
    <x v="1"/>
    <n v="1.5138888888888888"/>
    <n v="0"/>
  </r>
  <r>
    <n v="6856"/>
    <x v="18"/>
    <s v="Release 2.6"/>
    <d v="2013-06-03T13:26:44"/>
    <x v="3"/>
    <n v="1.4666666666666666"/>
    <n v="0"/>
  </r>
  <r>
    <n v="6857"/>
    <x v="14"/>
    <s v="Release 2.5"/>
    <d v="2013-05-16T22:38:42"/>
    <x v="8"/>
    <n v="1.5138888888888888"/>
    <n v="0"/>
  </r>
  <r>
    <n v="6858"/>
    <x v="11"/>
    <s v="Release 2.5"/>
    <d v="2013-05-16T22:39:38"/>
    <x v="5"/>
    <n v="1.5138888888888888"/>
    <n v="0"/>
  </r>
  <r>
    <n v="6859"/>
    <x v="16"/>
    <s v="Release 2.5"/>
    <d v="2013-05-16T22:39:00"/>
    <x v="12"/>
    <n v="1.5138888888888888"/>
    <n v="0"/>
  </r>
  <r>
    <n v="6860"/>
    <x v="3"/>
    <s v="Release 2.5"/>
    <d v="2013-05-22T11:45:36"/>
    <x v="12"/>
    <n v="1.4972222222222222"/>
    <n v="0"/>
  </r>
  <r>
    <n v="6863"/>
    <x v="23"/>
    <s v="Release 3.0"/>
    <d v="2013-10-23T11:23:37"/>
    <x v="3"/>
    <n v="1.0777777777777777"/>
    <n v="0"/>
  </r>
  <r>
    <n v="6865"/>
    <x v="18"/>
    <s v="Release 2.5"/>
    <d v="2013-05-30T14:03:53"/>
    <x v="5"/>
    <n v="1.4750000000000001"/>
    <n v="0"/>
  </r>
  <r>
    <n v="6866"/>
    <x v="27"/>
    <s v="Release 2.5"/>
    <d v="2013-05-16T22:39:41"/>
    <x v="4"/>
    <n v="1.5138888888888888"/>
    <n v="0"/>
  </r>
  <r>
    <n v="6871"/>
    <x v="32"/>
    <s v="Release 2.5"/>
    <d v="2013-05-22T11:45:34"/>
    <x v="7"/>
    <n v="1.4972222222222222"/>
    <n v="0"/>
  </r>
  <r>
    <n v="6873"/>
    <x v="3"/>
    <s v="Release 2.5"/>
    <d v="2013-05-16T22:39:33"/>
    <x v="3"/>
    <n v="1.5138888888888888"/>
    <n v="0"/>
  </r>
  <r>
    <n v="6878"/>
    <x v="11"/>
    <s v="Release 2.5"/>
    <d v="2013-05-16T22:39:44"/>
    <x v="4"/>
    <n v="1.5138888888888888"/>
    <n v="0"/>
  </r>
  <r>
    <n v="6880"/>
    <x v="3"/>
    <s v="Release 2.5"/>
    <d v="2013-05-16T22:39:44"/>
    <x v="3"/>
    <n v="1.5138888888888888"/>
    <n v="0"/>
  </r>
  <r>
    <n v="6881"/>
    <x v="23"/>
    <s v="Release 2.5"/>
    <d v="2013-05-22T11:45:37"/>
    <x v="1"/>
    <n v="1.4972222222222222"/>
    <n v="0"/>
  </r>
  <r>
    <n v="6882"/>
    <x v="3"/>
    <s v="Release 2.5"/>
    <d v="2013-05-22T11:45:36"/>
    <x v="7"/>
    <n v="1.4972222222222222"/>
    <n v="0"/>
  </r>
  <r>
    <n v="6885"/>
    <x v="8"/>
    <s v="Release 2.5"/>
    <d v="2013-05-16T22:39:47"/>
    <x v="9"/>
    <n v="1.5138888888888888"/>
    <n v="0"/>
  </r>
  <r>
    <n v="6892"/>
    <x v="10"/>
    <s v="Release 2.5"/>
    <d v="2013-05-16T22:39:51"/>
    <x v="10"/>
    <n v="1.5138888888888888"/>
    <n v="0"/>
  </r>
  <r>
    <n v="6896"/>
    <x v="17"/>
    <s v="Release 2.6"/>
    <d v="2013-07-26T16:04:59"/>
    <x v="11"/>
    <n v="1.3194444444444444"/>
    <n v="0"/>
  </r>
  <r>
    <n v="6898"/>
    <x v="10"/>
    <s v="Release 2.6"/>
    <d v="2013-07-25T11:16:36"/>
    <x v="2"/>
    <n v="1.3222222222222222"/>
    <n v="0"/>
  </r>
  <r>
    <n v="6901"/>
    <x v="27"/>
    <s v="Release 2.5"/>
    <d v="2013-05-16T22:40:17"/>
    <x v="10"/>
    <n v="1.5138888888888888"/>
    <n v="0"/>
  </r>
  <r>
    <n v="6902"/>
    <x v="0"/>
    <s v="Release 2.6"/>
    <d v="2013-05-17T10:36:16"/>
    <x v="5"/>
    <n v="1.5111111111111111"/>
    <n v="0"/>
  </r>
  <r>
    <n v="6904"/>
    <x v="23"/>
    <s v="Release 2.6"/>
    <d v="2013-06-20T18:48:48"/>
    <x v="10"/>
    <n v="1.4194444444444445"/>
    <n v="0"/>
  </r>
  <r>
    <n v="6922"/>
    <x v="6"/>
    <s v="Release 2.5"/>
    <d v="2013-05-16T22:40:24"/>
    <x v="7"/>
    <n v="1.5138888888888888"/>
    <n v="0"/>
  </r>
  <r>
    <n v="6924"/>
    <x v="15"/>
    <s v="Release 2.6"/>
    <d v="2013-06-18T19:24:06"/>
    <x v="37"/>
    <n v="1.425"/>
    <n v="0"/>
  </r>
  <r>
    <n v="6925"/>
    <x v="43"/>
    <s v="Release 2.5"/>
    <d v="2013-05-16T22:40:11"/>
    <x v="11"/>
    <n v="1.5138888888888888"/>
    <n v="0"/>
  </r>
  <r>
    <n v="6929"/>
    <x v="11"/>
    <s v="Release 2.6"/>
    <d v="2013-07-25T11:21:45"/>
    <x v="23"/>
    <n v="1.3222222222222222"/>
    <n v="0"/>
  </r>
  <r>
    <n v="6933"/>
    <x v="14"/>
    <s v="Release 2.5"/>
    <d v="2013-05-16T22:40:22"/>
    <x v="7"/>
    <n v="1.5138888888888888"/>
    <n v="0"/>
  </r>
  <r>
    <n v="6935"/>
    <x v="22"/>
    <s v="Release 2.5"/>
    <d v="2013-05-16T22:40:18"/>
    <x v="7"/>
    <n v="1.5138888888888888"/>
    <n v="0"/>
  </r>
  <r>
    <n v="6936"/>
    <x v="16"/>
    <s v="Release 2.5"/>
    <d v="2013-05-16T22:40:35"/>
    <x v="5"/>
    <n v="1.5138888888888888"/>
    <n v="0"/>
  </r>
  <r>
    <n v="6938"/>
    <x v="0"/>
    <s v="Release 3.0"/>
    <d v="2013-08-27T14:33:45"/>
    <x v="5"/>
    <n v="1.2333333333333334"/>
    <n v="0"/>
  </r>
  <r>
    <n v="6940"/>
    <x v="21"/>
    <s v="Release 2.6"/>
    <d v="2013-07-25T11:21:59"/>
    <x v="9"/>
    <n v="1.3222222222222222"/>
    <n v="0"/>
  </r>
  <r>
    <n v="6946"/>
    <x v="16"/>
    <s v="Release 2.5"/>
    <d v="2013-04-29T17:45:25"/>
    <x v="11"/>
    <n v="1.5611111111111111"/>
    <n v="0"/>
  </r>
  <r>
    <n v="6964"/>
    <x v="3"/>
    <s v="Release 2.6"/>
    <d v="2013-05-22T11:45:53"/>
    <x v="11"/>
    <n v="1.4972222222222222"/>
    <n v="0"/>
  </r>
  <r>
    <n v="6969"/>
    <x v="4"/>
    <s v="Release 2.5"/>
    <d v="2013-05-16T22:40:30"/>
    <x v="18"/>
    <n v="1.5138888888888888"/>
    <n v="0"/>
  </r>
  <r>
    <n v="6972"/>
    <x v="11"/>
    <s v="Release 3.2"/>
    <d v="2014-06-26T13:17:46"/>
    <x v="5"/>
    <n v="0.40277777777777779"/>
    <n v="1"/>
  </r>
  <r>
    <n v="6977"/>
    <x v="17"/>
    <s v="Release 3.0"/>
    <d v="2013-10-12T11:10:46"/>
    <x v="26"/>
    <n v="1.1083333333333334"/>
    <n v="0"/>
  </r>
  <r>
    <n v="6980"/>
    <x v="0"/>
    <s v="Release 3.0"/>
    <d v="2013-10-25T15:22:01"/>
    <x v="27"/>
    <n v="1.0722222222222222"/>
    <n v="0"/>
  </r>
  <r>
    <n v="6982"/>
    <x v="22"/>
    <s v="Release 2.6"/>
    <d v="2013-07-25T11:22:14"/>
    <x v="4"/>
    <n v="1.3222222222222222"/>
    <n v="0"/>
  </r>
  <r>
    <n v="6990"/>
    <x v="29"/>
    <s v="Release 3.0"/>
    <d v="2013-10-24T15:48:07"/>
    <x v="13"/>
    <n v="1.075"/>
    <n v="0"/>
  </r>
  <r>
    <n v="7001"/>
    <x v="23"/>
    <s v="Release 2.6"/>
    <d v="2013-07-25T11:22:33"/>
    <x v="3"/>
    <n v="1.3222222222222222"/>
    <n v="0"/>
  </r>
  <r>
    <n v="7014"/>
    <x v="8"/>
    <s v="Release 2.5.3"/>
    <d v="2013-05-29T09:03:48"/>
    <x v="2"/>
    <n v="1.4777777777777779"/>
    <n v="0"/>
  </r>
  <r>
    <n v="7015"/>
    <x v="10"/>
    <s v="Release 2.5"/>
    <d v="2013-05-16T22:40:41"/>
    <x v="5"/>
    <n v="1.5138888888888888"/>
    <n v="0"/>
  </r>
  <r>
    <n v="7018"/>
    <x v="8"/>
    <s v="Release 2.6"/>
    <d v="2013-07-24T14:11:54"/>
    <x v="2"/>
    <n v="1.325"/>
    <n v="0"/>
  </r>
  <r>
    <n v="7019"/>
    <x v="3"/>
    <s v="Release 3.0"/>
    <d v="2013-09-24T14:54:55"/>
    <x v="7"/>
    <n v="1.1583333333333334"/>
    <n v="0"/>
  </r>
  <r>
    <n v="7022"/>
    <x v="16"/>
    <s v="Release 2.5"/>
    <d v="2013-05-16T22:40:50"/>
    <x v="4"/>
    <n v="1.5138888888888888"/>
    <n v="0"/>
  </r>
  <r>
    <n v="7030"/>
    <x v="8"/>
    <s v="Release 2.5"/>
    <d v="2013-05-16T22:40:46"/>
    <x v="2"/>
    <n v="1.5138888888888888"/>
    <n v="0"/>
  </r>
  <r>
    <n v="7038"/>
    <x v="24"/>
    <s v="Release 2.6"/>
    <d v="2013-07-10T14:24:17"/>
    <x v="7"/>
    <n v="1.3638888888888889"/>
    <n v="0"/>
  </r>
  <r>
    <n v="7040"/>
    <x v="2"/>
    <s v="Release 2.6"/>
    <d v="2013-05-17T15:17:32"/>
    <x v="12"/>
    <n v="1.5111111111111111"/>
    <n v="0"/>
  </r>
  <r>
    <n v="7049"/>
    <x v="0"/>
    <s v="Release 2.6"/>
    <d v="2013-07-05T16:14:09"/>
    <x v="5"/>
    <n v="1.3777777777777778"/>
    <n v="0"/>
  </r>
  <r>
    <n v="7052"/>
    <x v="15"/>
    <s v="Release 2.6"/>
    <d v="2013-06-05T21:08:54"/>
    <x v="3"/>
    <n v="1.461111111111111"/>
    <n v="0"/>
  </r>
  <r>
    <n v="7056"/>
    <x v="15"/>
    <s v="Release 2.6"/>
    <d v="2013-07-25T11:23:17"/>
    <x v="7"/>
    <n v="1.3222222222222222"/>
    <n v="0"/>
  </r>
  <r>
    <n v="7057"/>
    <x v="3"/>
    <s v="Release 2.6"/>
    <d v="2013-07-25T11:23:28"/>
    <x v="12"/>
    <n v="1.3222222222222222"/>
    <n v="0"/>
  </r>
  <r>
    <n v="7058"/>
    <x v="3"/>
    <s v="Release 2.5"/>
    <d v="2013-05-16T22:40:50"/>
    <x v="11"/>
    <n v="1.5138888888888888"/>
    <n v="0"/>
  </r>
  <r>
    <n v="7059"/>
    <x v="43"/>
    <s v="Release 2.6"/>
    <d v="2013-06-14T17:35:46"/>
    <x v="11"/>
    <n v="1.4361111111111111"/>
    <n v="0"/>
  </r>
  <r>
    <n v="7061"/>
    <x v="8"/>
    <s v="Release 3.0"/>
    <d v="2013-09-13T16:25:02"/>
    <x v="2"/>
    <n v="1.1888888888888889"/>
    <n v="0"/>
  </r>
  <r>
    <n v="7065"/>
    <x v="17"/>
    <s v="Release 2.6"/>
    <d v="2013-07-12T16:17:03"/>
    <x v="13"/>
    <n v="1.3583333333333334"/>
    <n v="0"/>
  </r>
  <r>
    <n v="7069"/>
    <x v="16"/>
    <s v="Release 2.6"/>
    <d v="2013-07-25T11:26:11"/>
    <x v="12"/>
    <n v="1.3222222222222222"/>
    <n v="0"/>
  </r>
  <r>
    <n v="7071"/>
    <x v="11"/>
    <s v="Release 2.5.3"/>
    <d v="2013-05-28T13:41:43"/>
    <x v="10"/>
    <n v="1.4805555555555556"/>
    <n v="0"/>
  </r>
  <r>
    <n v="7072"/>
    <x v="17"/>
    <s v="Release 3.0"/>
    <d v="2013-10-28T08:43:12"/>
    <x v="28"/>
    <n v="1.0638888888888889"/>
    <n v="0"/>
  </r>
  <r>
    <n v="7073"/>
    <x v="51"/>
    <s v="Release 2.6"/>
    <d v="2013-07-25T11:26:25"/>
    <x v="4"/>
    <n v="1.3222222222222222"/>
    <n v="0"/>
  </r>
  <r>
    <n v="7076"/>
    <x v="3"/>
    <s v="Release 3.0"/>
    <d v="2013-10-23T10:34:10"/>
    <x v="25"/>
    <n v="1.0777777777777777"/>
    <n v="0"/>
  </r>
  <r>
    <n v="7077"/>
    <x v="16"/>
    <s v="Release 2.6"/>
    <d v="2013-07-25T11:26:38"/>
    <x v="12"/>
    <n v="1.3222222222222222"/>
    <n v="0"/>
  </r>
  <r>
    <n v="7078"/>
    <x v="2"/>
    <s v="Release 2.6"/>
    <d v="2013-07-25T11:26:52"/>
    <x v="12"/>
    <n v="1.3222222222222222"/>
    <n v="0"/>
  </r>
  <r>
    <n v="7081"/>
    <x v="11"/>
    <s v="Release 2.6"/>
    <d v="2013-07-25T11:27:08"/>
    <x v="16"/>
    <n v="1.3222222222222222"/>
    <n v="0"/>
  </r>
  <r>
    <n v="7082"/>
    <x v="16"/>
    <s v="Release 2.6"/>
    <d v="2013-07-25T11:27:31"/>
    <x v="11"/>
    <n v="1.3222222222222222"/>
    <n v="0"/>
  </r>
  <r>
    <n v="7096"/>
    <x v="27"/>
    <s v="Release 2.6"/>
    <d v="2013-07-25T11:28:04"/>
    <x v="22"/>
    <n v="1.3222222222222222"/>
    <n v="0"/>
  </r>
  <r>
    <n v="7099"/>
    <x v="11"/>
    <s v="Release 2.6"/>
    <d v="2013-07-25T11:28:36"/>
    <x v="9"/>
    <n v="1.3222222222222222"/>
    <n v="0"/>
  </r>
  <r>
    <n v="7102"/>
    <x v="3"/>
    <s v="Release 2.5.3"/>
    <d v="2013-05-29T16:16:32"/>
    <x v="22"/>
    <n v="1.4777777777777779"/>
    <n v="0"/>
  </r>
  <r>
    <n v="7104"/>
    <x v="22"/>
    <s v="Release 2.5.3"/>
    <d v="2013-05-29T09:03:48"/>
    <x v="4"/>
    <n v="1.4777777777777779"/>
    <n v="0"/>
  </r>
  <r>
    <n v="7108"/>
    <x v="16"/>
    <s v="Release 2.6"/>
    <d v="2013-07-25T11:28:53"/>
    <x v="11"/>
    <n v="1.3222222222222222"/>
    <n v="0"/>
  </r>
  <r>
    <n v="7110"/>
    <x v="10"/>
    <s v="Release 2.6"/>
    <d v="2013-05-23T16:54:34"/>
    <x v="9"/>
    <n v="1.4944444444444445"/>
    <n v="0"/>
  </r>
  <r>
    <n v="7111"/>
    <x v="20"/>
    <s v="Release 2.6"/>
    <d v="2013-07-25T11:29:19"/>
    <x v="21"/>
    <n v="1.3222222222222222"/>
    <n v="0"/>
  </r>
  <r>
    <n v="7114"/>
    <x v="42"/>
    <s v="Release 2.6"/>
    <d v="2013-07-25T11:29:49"/>
    <x v="4"/>
    <n v="1.3222222222222222"/>
    <n v="0"/>
  </r>
  <r>
    <n v="7116"/>
    <x v="2"/>
    <s v="Release 2.5.3"/>
    <d v="2013-05-29T16:16:32"/>
    <x v="7"/>
    <n v="1.4777777777777779"/>
    <n v="0"/>
  </r>
  <r>
    <n v="7118"/>
    <x v="22"/>
    <s v="Release 3.0"/>
    <d v="2013-08-13T21:48:07"/>
    <x v="5"/>
    <n v="1.2722222222222221"/>
    <n v="0"/>
  </r>
  <r>
    <n v="7120"/>
    <x v="22"/>
    <s v="Release 2.6"/>
    <d v="2013-07-25T11:30:04"/>
    <x v="2"/>
    <n v="1.3222222222222222"/>
    <n v="0"/>
  </r>
  <r>
    <n v="7139"/>
    <x v="21"/>
    <s v="Release 2.5.3"/>
    <d v="2013-05-29T17:13:55"/>
    <x v="7"/>
    <n v="1.4777777777777779"/>
    <n v="0"/>
  </r>
  <r>
    <n v="7140"/>
    <x v="27"/>
    <s v="Release 2.6"/>
    <d v="2013-07-25T11:30:27"/>
    <x v="10"/>
    <n v="1.3222222222222222"/>
    <n v="0"/>
  </r>
  <r>
    <n v="7142"/>
    <x v="3"/>
    <s v="Release 3.2"/>
    <d v="2014-03-14T14:44:28"/>
    <x v="25"/>
    <n v="0.68611111111111112"/>
    <n v="1"/>
  </r>
  <r>
    <n v="7143"/>
    <x v="15"/>
    <s v="Release 2.6"/>
    <d v="2013-07-25T11:30:39"/>
    <x v="3"/>
    <n v="1.3222222222222222"/>
    <n v="0"/>
  </r>
  <r>
    <n v="7148"/>
    <x v="8"/>
    <s v="Release 2.6"/>
    <d v="2013-07-24T14:14:46"/>
    <x v="2"/>
    <n v="1.325"/>
    <n v="0"/>
  </r>
  <r>
    <n v="7150"/>
    <x v="23"/>
    <s v="Release 2.5.3"/>
    <d v="2013-05-29T09:03:47"/>
    <x v="3"/>
    <n v="1.4777777777777779"/>
    <n v="0"/>
  </r>
  <r>
    <n v="7152"/>
    <x v="3"/>
    <s v="Release 2.5.3"/>
    <d v="2013-05-29T17:13:56"/>
    <x v="18"/>
    <n v="1.4777777777777779"/>
    <n v="0"/>
  </r>
  <r>
    <n v="7155"/>
    <x v="3"/>
    <s v="Release 2.6"/>
    <d v="2013-07-25T11:30:47"/>
    <x v="21"/>
    <n v="1.3222222222222222"/>
    <n v="0"/>
  </r>
  <r>
    <n v="7156"/>
    <x v="3"/>
    <s v="Release 2.6"/>
    <d v="2013-07-25T11:30:57"/>
    <x v="21"/>
    <n v="1.3222222222222222"/>
    <n v="0"/>
  </r>
  <r>
    <n v="7157"/>
    <x v="29"/>
    <s v="Release 2.6"/>
    <d v="2013-07-12T15:43:28"/>
    <x v="16"/>
    <n v="1.3583333333333334"/>
    <n v="0"/>
  </r>
  <r>
    <n v="7158"/>
    <x v="8"/>
    <s v="Release 2.6"/>
    <d v="2013-07-24T16:40:03"/>
    <x v="2"/>
    <n v="1.325"/>
    <n v="0"/>
  </r>
  <r>
    <n v="7159"/>
    <x v="15"/>
    <s v="Release 2.5.3"/>
    <d v="2013-05-30T18:01:53"/>
    <x v="4"/>
    <n v="1.4750000000000001"/>
    <n v="0"/>
  </r>
  <r>
    <n v="7160"/>
    <x v="8"/>
    <s v="Release 2.6"/>
    <d v="2013-07-24T16:39:34"/>
    <x v="2"/>
    <n v="1.325"/>
    <n v="0"/>
  </r>
  <r>
    <n v="7161"/>
    <x v="8"/>
    <s v="Release 2.6"/>
    <d v="2013-07-24T16:48:18"/>
    <x v="2"/>
    <n v="1.325"/>
    <n v="0"/>
  </r>
  <r>
    <n v="7162"/>
    <x v="8"/>
    <s v="Release 2.6"/>
    <d v="2013-07-24T16:37:24"/>
    <x v="2"/>
    <n v="1.325"/>
    <n v="0"/>
  </r>
  <r>
    <n v="7163"/>
    <x v="8"/>
    <s v="Release 2.6"/>
    <d v="2013-07-24T16:36:54"/>
    <x v="2"/>
    <n v="1.325"/>
    <n v="0"/>
  </r>
  <r>
    <n v="7166"/>
    <x v="11"/>
    <s v="Release 2.6"/>
    <d v="2013-05-24T15:09:58"/>
    <x v="4"/>
    <n v="1.4916666666666667"/>
    <n v="0"/>
  </r>
  <r>
    <n v="7170"/>
    <x v="29"/>
    <s v="Release 3.0"/>
    <d v="2013-10-18T11:47:47"/>
    <x v="25"/>
    <n v="1.0916666666666666"/>
    <n v="0"/>
  </r>
  <r>
    <n v="7173"/>
    <x v="3"/>
    <s v="Release 2.5.3"/>
    <d v="2013-05-29T17:13:56"/>
    <x v="1"/>
    <n v="1.4777777777777779"/>
    <n v="0"/>
  </r>
  <r>
    <n v="7174"/>
    <x v="10"/>
    <s v="Release 2.6"/>
    <d v="2013-05-23T15:46:34"/>
    <x v="7"/>
    <n v="1.4944444444444445"/>
    <n v="0"/>
  </r>
  <r>
    <n v="7178"/>
    <x v="29"/>
    <s v="Release 3.1"/>
    <d v="2014-01-27T14:16:05"/>
    <x v="15"/>
    <n v="0.81666666666666665"/>
    <n v="1"/>
  </r>
  <r>
    <n v="7179"/>
    <x v="29"/>
    <s v="Release 3.1"/>
    <d v="2014-01-31T13:10:11"/>
    <x v="15"/>
    <n v="0.80833333333333335"/>
    <n v="1"/>
  </r>
  <r>
    <n v="7183"/>
    <x v="23"/>
    <s v="Release 2.6"/>
    <d v="2013-06-06T21:01:48"/>
    <x v="23"/>
    <n v="1.4583333333333333"/>
    <n v="0"/>
  </r>
  <r>
    <n v="7186"/>
    <x v="35"/>
    <s v="Release 3.3"/>
    <d v="2014-08-01T14:15:39"/>
    <x v="29"/>
    <n v="0.30555555555555558"/>
    <n v="1"/>
  </r>
  <r>
    <n v="7188"/>
    <x v="51"/>
    <s v="Release 2.6"/>
    <d v="2013-07-25T11:32:18"/>
    <x v="10"/>
    <n v="1.3222222222222222"/>
    <n v="0"/>
  </r>
  <r>
    <n v="7189"/>
    <x v="18"/>
    <s v="Release 2.6"/>
    <d v="2013-07-29T15:20:01"/>
    <x v="4"/>
    <n v="1.3111111111111111"/>
    <n v="0"/>
  </r>
  <r>
    <n v="7192"/>
    <x v="11"/>
    <s v="Release 2.6"/>
    <d v="2013-05-31T14:30:42"/>
    <x v="18"/>
    <n v="1.4750000000000001"/>
    <n v="0"/>
  </r>
  <r>
    <n v="7193"/>
    <x v="8"/>
    <s v="Release 2.6"/>
    <d v="2013-07-24T16:34:44"/>
    <x v="3"/>
    <n v="1.325"/>
    <n v="0"/>
  </r>
  <r>
    <n v="7194"/>
    <x v="3"/>
    <s v="Release 2.6"/>
    <d v="2013-05-28T16:37:02"/>
    <x v="2"/>
    <n v="1.4805555555555556"/>
    <n v="0"/>
  </r>
  <r>
    <n v="7195"/>
    <x v="43"/>
    <s v="Release 2.6"/>
    <d v="2013-06-13T16:10:48"/>
    <x v="23"/>
    <n v="1.4388888888888889"/>
    <n v="0"/>
  </r>
  <r>
    <n v="7199"/>
    <x v="3"/>
    <s v="Release 2.6"/>
    <d v="2013-07-18T11:13:15"/>
    <x v="21"/>
    <n v="1.3416666666666666"/>
    <n v="0"/>
  </r>
  <r>
    <n v="7200"/>
    <x v="18"/>
    <s v="Release 2.6"/>
    <d v="2013-07-24T16:31:29"/>
    <x v="11"/>
    <n v="1.325"/>
    <n v="0"/>
  </r>
  <r>
    <n v="7202"/>
    <x v="8"/>
    <s v="Release 2.6"/>
    <d v="2013-05-31T15:50:50"/>
    <x v="18"/>
    <n v="1.4750000000000001"/>
    <n v="0"/>
  </r>
  <r>
    <n v="7203"/>
    <x v="8"/>
    <s v="Release 2.6"/>
    <d v="2013-07-24T16:31:10"/>
    <x v="3"/>
    <n v="1.325"/>
    <n v="0"/>
  </r>
  <r>
    <n v="7205"/>
    <x v="11"/>
    <s v="Release 2.6"/>
    <d v="2013-07-25T11:34:48"/>
    <x v="5"/>
    <n v="1.3222222222222222"/>
    <n v="0"/>
  </r>
  <r>
    <n v="7208"/>
    <x v="2"/>
    <s v="Release 2.6"/>
    <d v="2013-07-25T11:35:11"/>
    <x v="3"/>
    <n v="1.3222222222222222"/>
    <n v="0"/>
  </r>
  <r>
    <n v="7210"/>
    <x v="27"/>
    <s v="Release 2.6"/>
    <d v="2013-05-31T15:03:10"/>
    <x v="5"/>
    <n v="1.4750000000000001"/>
    <n v="0"/>
  </r>
  <r>
    <n v="7211"/>
    <x v="16"/>
    <s v="Release 2.5.3"/>
    <d v="2013-05-31T14:29:33"/>
    <x v="11"/>
    <n v="1.4750000000000001"/>
    <n v="0"/>
  </r>
  <r>
    <n v="7213"/>
    <x v="8"/>
    <s v="Release 3.0"/>
    <d v="2013-08-14T21:36:51"/>
    <x v="3"/>
    <n v="1.2694444444444444"/>
    <n v="0"/>
  </r>
  <r>
    <n v="7215"/>
    <x v="0"/>
    <s v="Release 2.6"/>
    <d v="2013-06-04T17:12:51"/>
    <x v="10"/>
    <n v="1.4638888888888888"/>
    <n v="0"/>
  </r>
  <r>
    <n v="7216"/>
    <x v="0"/>
    <s v="Release 2.6"/>
    <d v="2013-06-03T16:17:24"/>
    <x v="4"/>
    <n v="1.4666666666666666"/>
    <n v="0"/>
  </r>
  <r>
    <n v="7217"/>
    <x v="16"/>
    <s v="Release 2.6"/>
    <d v="2013-07-25T11:36:10"/>
    <x v="3"/>
    <n v="1.3222222222222222"/>
    <n v="0"/>
  </r>
  <r>
    <n v="7218"/>
    <x v="0"/>
    <s v="Release 2.6"/>
    <d v="2013-06-07T19:12:24"/>
    <x v="21"/>
    <n v="1.4555555555555555"/>
    <n v="0"/>
  </r>
  <r>
    <n v="7220"/>
    <x v="4"/>
    <s v="Release 2.6"/>
    <d v="2013-07-25T11:36:20"/>
    <x v="18"/>
    <n v="1.3222222222222222"/>
    <n v="0"/>
  </r>
  <r>
    <n v="7221"/>
    <x v="22"/>
    <s v="Release 2.6"/>
    <d v="2013-07-25T11:37:41"/>
    <x v="13"/>
    <n v="1.3222222222222222"/>
    <n v="0"/>
  </r>
  <r>
    <n v="7224"/>
    <x v="51"/>
    <s v="Release 2.6"/>
    <d v="2013-07-24T16:30:49"/>
    <x v="3"/>
    <n v="1.325"/>
    <n v="0"/>
  </r>
  <r>
    <n v="7227"/>
    <x v="51"/>
    <s v="Release 2.6"/>
    <d v="2013-07-25T11:38:02"/>
    <x v="10"/>
    <n v="1.3222222222222222"/>
    <n v="0"/>
  </r>
  <r>
    <n v="7228"/>
    <x v="18"/>
    <s v="Release 3.0"/>
    <d v="2013-10-23T11:36:51"/>
    <x v="7"/>
    <n v="1.0777777777777777"/>
    <n v="0"/>
  </r>
  <r>
    <n v="7230"/>
    <x v="3"/>
    <s v="Release 2.6"/>
    <d v="2013-06-03T16:40:44"/>
    <x v="7"/>
    <n v="1.4666666666666666"/>
    <n v="0"/>
  </r>
  <r>
    <n v="7231"/>
    <x v="21"/>
    <s v="Release 2.6"/>
    <d v="2013-07-25T11:38:50"/>
    <x v="5"/>
    <n v="1.3222222222222222"/>
    <n v="0"/>
  </r>
  <r>
    <n v="7232"/>
    <x v="3"/>
    <s v="Release 2.6"/>
    <d v="2013-07-24T16:30:14"/>
    <x v="2"/>
    <n v="1.325"/>
    <n v="0"/>
  </r>
  <r>
    <n v="7233"/>
    <x v="16"/>
    <s v="Release 2.6"/>
    <d v="2013-07-25T11:39:08"/>
    <x v="3"/>
    <n v="1.3222222222222222"/>
    <n v="0"/>
  </r>
  <r>
    <n v="7234"/>
    <x v="0"/>
    <s v="Release 2.6"/>
    <d v="2013-06-04T16:44:50"/>
    <x v="4"/>
    <n v="1.4638888888888888"/>
    <n v="0"/>
  </r>
  <r>
    <n v="7235"/>
    <x v="15"/>
    <s v="Release 2.6"/>
    <d v="2013-07-25T11:39:54"/>
    <x v="5"/>
    <n v="1.3222222222222222"/>
    <n v="0"/>
  </r>
  <r>
    <n v="7238"/>
    <x v="27"/>
    <s v="Release 2.6"/>
    <d v="2013-07-25T11:42:05"/>
    <x v="10"/>
    <n v="1.3222222222222222"/>
    <n v="0"/>
  </r>
  <r>
    <n v="7240"/>
    <x v="15"/>
    <s v="Release 2.6"/>
    <d v="2013-07-25T11:42:17"/>
    <x v="5"/>
    <n v="1.3222222222222222"/>
    <n v="0"/>
  </r>
  <r>
    <n v="7244"/>
    <x v="27"/>
    <s v="Release 2.6"/>
    <d v="2013-07-25T11:42:25"/>
    <x v="10"/>
    <n v="1.3222222222222222"/>
    <n v="0"/>
  </r>
  <r>
    <n v="7245"/>
    <x v="11"/>
    <s v="Release 2.6"/>
    <d v="2013-07-25T11:42:43"/>
    <x v="23"/>
    <n v="1.3222222222222222"/>
    <n v="0"/>
  </r>
  <r>
    <n v="7246"/>
    <x v="2"/>
    <s v="Release 2.6"/>
    <d v="2013-06-07T17:10:54"/>
    <x v="1"/>
    <n v="1.4555555555555555"/>
    <n v="0"/>
  </r>
  <r>
    <n v="7247"/>
    <x v="27"/>
    <s v="Release 2.6"/>
    <d v="2013-07-25T11:43:51"/>
    <x v="3"/>
    <n v="1.3222222222222222"/>
    <n v="0"/>
  </r>
  <r>
    <n v="7248"/>
    <x v="27"/>
    <s v="Release 2.6"/>
    <d v="2013-07-25T11:44:07"/>
    <x v="5"/>
    <n v="1.3222222222222222"/>
    <n v="0"/>
  </r>
  <r>
    <n v="7252"/>
    <x v="16"/>
    <s v="Release 2.6"/>
    <d v="2013-07-24T16:17:14"/>
    <x v="4"/>
    <n v="1.325"/>
    <n v="0"/>
  </r>
  <r>
    <n v="7255"/>
    <x v="8"/>
    <s v="Release 2.6"/>
    <d v="2013-07-24T16:48:01"/>
    <x v="2"/>
    <n v="1.325"/>
    <n v="0"/>
  </r>
  <r>
    <n v="7256"/>
    <x v="51"/>
    <s v="Release 2.6"/>
    <d v="2013-07-25T11:44:41"/>
    <x v="10"/>
    <n v="1.3222222222222222"/>
    <n v="0"/>
  </r>
  <r>
    <n v="7257"/>
    <x v="11"/>
    <s v="Release 2.6"/>
    <d v="2013-06-21T14:30:19"/>
    <x v="18"/>
    <n v="1.4166666666666667"/>
    <n v="0"/>
  </r>
  <r>
    <n v="7258"/>
    <x v="8"/>
    <s v="Release 2.6"/>
    <d v="2013-07-24T16:47:43"/>
    <x v="2"/>
    <n v="1.325"/>
    <n v="0"/>
  </r>
  <r>
    <n v="7260"/>
    <x v="15"/>
    <s v="Release 2.6"/>
    <d v="2013-07-25T11:45:15"/>
    <x v="5"/>
    <n v="1.3222222222222222"/>
    <n v="0"/>
  </r>
  <r>
    <n v="7261"/>
    <x v="16"/>
    <s v="Release 2.6"/>
    <d v="2013-07-25T11:45:25"/>
    <x v="3"/>
    <n v="1.3222222222222222"/>
    <n v="0"/>
  </r>
  <r>
    <n v="7262"/>
    <x v="3"/>
    <s v="Release 2.6"/>
    <d v="2013-07-12T15:01:42"/>
    <x v="12"/>
    <n v="1.3583333333333334"/>
    <n v="0"/>
  </r>
  <r>
    <n v="7264"/>
    <x v="16"/>
    <s v="Release 2.6"/>
    <d v="2013-07-24T16:47:13"/>
    <x v="11"/>
    <n v="1.325"/>
    <n v="0"/>
  </r>
  <r>
    <n v="7266"/>
    <x v="11"/>
    <s v="Release 2.6"/>
    <d v="2013-07-25T11:47:37"/>
    <x v="16"/>
    <n v="1.3222222222222222"/>
    <n v="0"/>
  </r>
  <r>
    <n v="7268"/>
    <x v="16"/>
    <s v="Release 2.6"/>
    <d v="2013-07-24T16:46:46"/>
    <x v="4"/>
    <n v="1.325"/>
    <n v="0"/>
  </r>
  <r>
    <n v="7270"/>
    <x v="51"/>
    <s v="Release 2.6"/>
    <d v="2013-07-25T11:48:30"/>
    <x v="3"/>
    <n v="1.3222222222222222"/>
    <n v="0"/>
  </r>
  <r>
    <n v="7272"/>
    <x v="11"/>
    <s v="Release 2.6"/>
    <d v="2013-06-11T14:28:30"/>
    <x v="5"/>
    <n v="1.4444444444444444"/>
    <n v="0"/>
  </r>
  <r>
    <n v="7273"/>
    <x v="11"/>
    <s v="Release 2.6"/>
    <d v="2013-07-25T11:48:53"/>
    <x v="23"/>
    <n v="1.3222222222222222"/>
    <n v="0"/>
  </r>
  <r>
    <n v="7277"/>
    <x v="3"/>
    <s v="Release 2.6"/>
    <d v="2013-07-12T15:00:29"/>
    <x v="18"/>
    <n v="1.3583333333333334"/>
    <n v="0"/>
  </r>
  <r>
    <n v="7278"/>
    <x v="27"/>
    <s v="Release 2.6"/>
    <d v="2013-07-24T16:46:29"/>
    <x v="5"/>
    <n v="1.325"/>
    <n v="0"/>
  </r>
  <r>
    <n v="7279"/>
    <x v="11"/>
    <s v="Release 2.6"/>
    <d v="2013-06-14T18:05:54"/>
    <x v="21"/>
    <n v="1.4361111111111111"/>
    <n v="0"/>
  </r>
  <r>
    <n v="7280"/>
    <x v="11"/>
    <s v="Release 2.6"/>
    <d v="2013-07-25T11:50:20"/>
    <x v="23"/>
    <n v="1.3222222222222222"/>
    <n v="0"/>
  </r>
  <r>
    <n v="7281"/>
    <x v="16"/>
    <s v="Release 2.6"/>
    <d v="2013-07-24T16:45:59"/>
    <x v="3"/>
    <n v="1.325"/>
    <n v="0"/>
  </r>
  <r>
    <n v="7282"/>
    <x v="16"/>
    <s v="Release 2.6"/>
    <d v="2013-07-24T16:43:58"/>
    <x v="11"/>
    <n v="1.325"/>
    <n v="0"/>
  </r>
  <r>
    <n v="7283"/>
    <x v="8"/>
    <s v="Release 2.6"/>
    <d v="2013-07-24T16:43:24"/>
    <x v="2"/>
    <n v="1.325"/>
    <n v="0"/>
  </r>
  <r>
    <n v="7285"/>
    <x v="2"/>
    <s v="Release 2.6"/>
    <d v="2013-06-12T15:13:56"/>
    <x v="3"/>
    <n v="1.4416666666666667"/>
    <n v="0"/>
  </r>
  <r>
    <n v="7290"/>
    <x v="16"/>
    <s v="Release 2.6"/>
    <d v="2013-07-25T11:51:03"/>
    <x v="11"/>
    <n v="1.3222222222222222"/>
    <n v="0"/>
  </r>
  <r>
    <n v="7292"/>
    <x v="3"/>
    <s v="Release 2.6"/>
    <d v="2013-07-25T11:51:16"/>
    <x v="5"/>
    <n v="1.3222222222222222"/>
    <n v="0"/>
  </r>
  <r>
    <n v="7294"/>
    <x v="8"/>
    <s v="Release 2.6"/>
    <d v="2013-07-24T16:40:37"/>
    <x v="2"/>
    <n v="1.325"/>
    <n v="0"/>
  </r>
  <r>
    <n v="7295"/>
    <x v="32"/>
    <s v="Release 2.6"/>
    <d v="2013-06-19T14:16:13"/>
    <x v="23"/>
    <n v="1.4222222222222223"/>
    <n v="0"/>
  </r>
  <r>
    <n v="7296"/>
    <x v="27"/>
    <s v="Release 2.6"/>
    <d v="2013-06-13T19:14:38"/>
    <x v="23"/>
    <n v="1.4388888888888889"/>
    <n v="0"/>
  </r>
  <r>
    <n v="7299"/>
    <x v="11"/>
    <s v="Release 2.6"/>
    <d v="2013-06-20T14:18:46"/>
    <x v="23"/>
    <n v="1.4194444444444445"/>
    <n v="0"/>
  </r>
  <r>
    <n v="7303"/>
    <x v="16"/>
    <s v="Release 2.6"/>
    <d v="2013-07-24T16:52:14"/>
    <x v="3"/>
    <n v="1.325"/>
    <n v="0"/>
  </r>
  <r>
    <n v="7305"/>
    <x v="16"/>
    <s v="Release 2.6"/>
    <d v="2013-07-24T16:51:36"/>
    <x v="5"/>
    <n v="1.325"/>
    <n v="0"/>
  </r>
  <r>
    <n v="7308"/>
    <x v="4"/>
    <s v="Release 2.6"/>
    <d v="2013-06-18T16:57:09"/>
    <x v="23"/>
    <n v="1.425"/>
    <n v="0"/>
  </r>
  <r>
    <n v="7310"/>
    <x v="16"/>
    <s v="Release 2.6"/>
    <d v="2013-07-24T16:51:21"/>
    <x v="3"/>
    <n v="1.325"/>
    <n v="0"/>
  </r>
  <r>
    <n v="7311"/>
    <x v="15"/>
    <s v="Release 2.6"/>
    <d v="2013-07-25T11:54:53"/>
    <x v="10"/>
    <n v="1.3222222222222222"/>
    <n v="0"/>
  </r>
  <r>
    <n v="7314"/>
    <x v="22"/>
    <s v="Release 2.6"/>
    <d v="2013-07-25T11:55:35"/>
    <x v="13"/>
    <n v="1.3222222222222222"/>
    <n v="0"/>
  </r>
  <r>
    <n v="7317"/>
    <x v="16"/>
    <s v="Release 2.6"/>
    <d v="2013-07-25T11:55:47"/>
    <x v="4"/>
    <n v="1.3222222222222222"/>
    <n v="0"/>
  </r>
  <r>
    <n v="7318"/>
    <x v="20"/>
    <s v="Release 2.6"/>
    <d v="2013-07-25T11:56:02"/>
    <x v="5"/>
    <n v="1.3222222222222222"/>
    <n v="0"/>
  </r>
  <r>
    <n v="7319"/>
    <x v="16"/>
    <s v="Release 2.6"/>
    <d v="2013-07-25T11:56:11"/>
    <x v="13"/>
    <n v="1.3222222222222222"/>
    <n v="0"/>
  </r>
  <r>
    <n v="7321"/>
    <x v="11"/>
    <s v="Release 3.0"/>
    <d v="2013-08-16T14:19:38"/>
    <x v="25"/>
    <n v="1.2638888888888888"/>
    <n v="0"/>
  </r>
  <r>
    <n v="7323"/>
    <x v="16"/>
    <s v="Release 2.6"/>
    <d v="2013-07-25T11:56:36"/>
    <x v="4"/>
    <n v="1.3222222222222222"/>
    <n v="0"/>
  </r>
  <r>
    <n v="7324"/>
    <x v="2"/>
    <s v="Release 2.6"/>
    <d v="2013-06-21T14:30:00"/>
    <x v="2"/>
    <n v="1.4166666666666667"/>
    <n v="0"/>
  </r>
  <r>
    <n v="7325"/>
    <x v="16"/>
    <s v="Release 2.6"/>
    <d v="2013-07-24T16:51:03"/>
    <x v="5"/>
    <n v="1.325"/>
    <n v="0"/>
  </r>
  <r>
    <n v="7327"/>
    <x v="15"/>
    <s v="Release 2.6"/>
    <d v="2013-07-25T11:57:12"/>
    <x v="10"/>
    <n v="1.3222222222222222"/>
    <n v="0"/>
  </r>
  <r>
    <n v="7328"/>
    <x v="15"/>
    <s v="Release 2.6"/>
    <d v="2013-06-21T16:27:59"/>
    <x v="10"/>
    <n v="1.4166666666666667"/>
    <n v="0"/>
  </r>
  <r>
    <n v="7338"/>
    <x v="17"/>
    <s v="Release 2.6"/>
    <d v="2013-07-25T11:57:45"/>
    <x v="23"/>
    <n v="1.3222222222222222"/>
    <n v="0"/>
  </r>
  <r>
    <n v="7339"/>
    <x v="8"/>
    <s v="Release 2.6"/>
    <d v="2013-07-25T12:00:26"/>
    <x v="21"/>
    <n v="1.3222222222222222"/>
    <n v="0"/>
  </r>
  <r>
    <n v="7341"/>
    <x v="15"/>
    <s v="Release 2.6"/>
    <d v="2013-07-02T19:11:07"/>
    <x v="10"/>
    <n v="1.3861111111111111"/>
    <n v="0"/>
  </r>
  <r>
    <n v="7343"/>
    <x v="2"/>
    <s v="Release 2.6"/>
    <d v="2013-06-28T16:22:54"/>
    <x v="1"/>
    <n v="1.3972222222222221"/>
    <n v="0"/>
  </r>
  <r>
    <n v="7348"/>
    <x v="8"/>
    <s v="Release 2.6"/>
    <d v="2013-07-24T16:49:55"/>
    <x v="3"/>
    <n v="1.325"/>
    <n v="0"/>
  </r>
  <r>
    <n v="7351"/>
    <x v="18"/>
    <s v="Release 2.6"/>
    <d v="2013-07-25T12:02:11"/>
    <x v="4"/>
    <n v="1.3222222222222222"/>
    <n v="0"/>
  </r>
  <r>
    <n v="7352"/>
    <x v="3"/>
    <s v="Release 2.6"/>
    <d v="2013-06-26T18:27:30"/>
    <x v="5"/>
    <n v="1.4027777777777777"/>
    <n v="0"/>
  </r>
  <r>
    <n v="7353"/>
    <x v="8"/>
    <s v="Release 2.6"/>
    <d v="2013-07-24T16:49:29"/>
    <x v="3"/>
    <n v="1.325"/>
    <n v="0"/>
  </r>
  <r>
    <n v="7354"/>
    <x v="8"/>
    <s v="Release 2.6"/>
    <d v="2013-07-24T16:49:15"/>
    <x v="4"/>
    <n v="1.325"/>
    <n v="0"/>
  </r>
  <r>
    <n v="7355"/>
    <x v="15"/>
    <s v="Release 2.6"/>
    <d v="2013-06-28T15:56:45"/>
    <x v="1"/>
    <n v="1.3972222222222221"/>
    <n v="0"/>
  </r>
  <r>
    <n v="7356"/>
    <x v="2"/>
    <s v="Release 2.6"/>
    <d v="2013-07-25T12:02:53"/>
    <x v="13"/>
    <n v="1.3222222222222222"/>
    <n v="0"/>
  </r>
  <r>
    <n v="7358"/>
    <x v="2"/>
    <s v="Release 2.6"/>
    <d v="2013-06-28T15:36:37"/>
    <x v="2"/>
    <n v="1.3972222222222221"/>
    <n v="0"/>
  </r>
  <r>
    <n v="7360"/>
    <x v="15"/>
    <s v="Release 2.6"/>
    <d v="2013-07-25T12:03:38"/>
    <x v="7"/>
    <n v="1.3222222222222222"/>
    <n v="0"/>
  </r>
  <r>
    <n v="7365"/>
    <x v="17"/>
    <s v="Release 2.6"/>
    <d v="2013-07-25T12:03:52"/>
    <x v="16"/>
    <n v="1.3222222222222222"/>
    <n v="0"/>
  </r>
  <r>
    <n v="7367"/>
    <x v="29"/>
    <s v="Release 3.1"/>
    <d v="2013-11-15T15:39:20"/>
    <x v="18"/>
    <n v="1.0166666666666666"/>
    <n v="0"/>
  </r>
  <r>
    <n v="7369"/>
    <x v="4"/>
    <s v="Release 2.6"/>
    <d v="2013-06-28T16:58:59"/>
    <x v="10"/>
    <n v="1.3972222222222221"/>
    <n v="0"/>
  </r>
  <r>
    <n v="7370"/>
    <x v="27"/>
    <s v="Release 2.6"/>
    <d v="2013-06-27T12:46:46"/>
    <x v="10"/>
    <n v="1.4"/>
    <n v="0"/>
  </r>
  <r>
    <n v="7371"/>
    <x v="16"/>
    <s v="Release 2.6"/>
    <d v="2013-07-25T12:06:28"/>
    <x v="4"/>
    <n v="1.3222222222222222"/>
    <n v="0"/>
  </r>
  <r>
    <n v="7373"/>
    <x v="16"/>
    <s v="Release 2.6"/>
    <d v="2013-07-24T16:48:59"/>
    <x v="5"/>
    <n v="1.325"/>
    <n v="0"/>
  </r>
  <r>
    <n v="7376"/>
    <x v="3"/>
    <s v="Release 2.6"/>
    <d v="2013-07-25T12:06:39"/>
    <x v="1"/>
    <n v="1.3222222222222222"/>
    <n v="0"/>
  </r>
  <r>
    <n v="7379"/>
    <x v="15"/>
    <s v="Release 2.6"/>
    <d v="2013-07-25T12:07:03"/>
    <x v="5"/>
    <n v="1.3222222222222222"/>
    <n v="0"/>
  </r>
  <r>
    <n v="7380"/>
    <x v="15"/>
    <s v="Release 2.6"/>
    <d v="2013-07-25T12:07:15"/>
    <x v="18"/>
    <n v="1.3222222222222222"/>
    <n v="0"/>
  </r>
  <r>
    <n v="7381"/>
    <x v="16"/>
    <s v="Release 2.6"/>
    <d v="2013-07-25T12:07:24"/>
    <x v="13"/>
    <n v="1.3222222222222222"/>
    <n v="0"/>
  </r>
  <r>
    <n v="7383"/>
    <x v="41"/>
    <s v="Release 3.0"/>
    <d v="2013-09-18T08:19:02"/>
    <x v="13"/>
    <n v="1.175"/>
    <n v="0"/>
  </r>
  <r>
    <n v="7384"/>
    <x v="16"/>
    <s v="Release 2.6"/>
    <d v="2013-07-26T10:08:39"/>
    <x v="12"/>
    <n v="1.3194444444444444"/>
    <n v="0"/>
  </r>
  <r>
    <n v="7386"/>
    <x v="16"/>
    <s v="Release 2.6"/>
    <d v="2013-07-05T09:29:19"/>
    <x v="4"/>
    <n v="1.3777777777777778"/>
    <n v="0"/>
  </r>
  <r>
    <n v="7387"/>
    <x v="22"/>
    <s v="Release 2.6"/>
    <d v="2013-07-25T12:09:17"/>
    <x v="13"/>
    <n v="1.3222222222222222"/>
    <n v="0"/>
  </r>
  <r>
    <n v="7388"/>
    <x v="16"/>
    <s v="Release 2.6"/>
    <d v="2013-07-25T12:09:27"/>
    <x v="4"/>
    <n v="1.3222222222222222"/>
    <n v="0"/>
  </r>
  <r>
    <n v="7390"/>
    <x v="0"/>
    <s v="Release 3.0"/>
    <d v="2013-08-22T14:44:07"/>
    <x v="23"/>
    <n v="1.2472222222222222"/>
    <n v="0"/>
  </r>
  <r>
    <n v="7391"/>
    <x v="0"/>
    <s v="Release 2.6"/>
    <d v="2013-07-05T12:54:29"/>
    <x v="2"/>
    <n v="1.3777777777777778"/>
    <n v="0"/>
  </r>
  <r>
    <n v="7394"/>
    <x v="16"/>
    <s v="Release 2.6"/>
    <d v="2013-07-25T12:10:05"/>
    <x v="12"/>
    <n v="1.3222222222222222"/>
    <n v="0"/>
  </r>
  <r>
    <n v="7398"/>
    <x v="18"/>
    <s v="Release 2.6"/>
    <d v="2013-07-11T20:27:36"/>
    <x v="3"/>
    <n v="1.3611111111111112"/>
    <n v="0"/>
  </r>
  <r>
    <n v="7399"/>
    <x v="3"/>
    <s v="Release 2.6"/>
    <d v="2013-07-25T12:11:03"/>
    <x v="1"/>
    <n v="1.3222222222222222"/>
    <n v="0"/>
  </r>
  <r>
    <n v="7403"/>
    <x v="2"/>
    <s v="Release 2.6"/>
    <d v="2013-07-19T21:19:24"/>
    <x v="4"/>
    <n v="1.3388888888888888"/>
    <n v="0"/>
  </r>
  <r>
    <n v="7405"/>
    <x v="15"/>
    <s v="Release 2.6"/>
    <d v="2013-07-09T17:21:03"/>
    <x v="10"/>
    <n v="1.3666666666666667"/>
    <n v="0"/>
  </r>
  <r>
    <n v="7408"/>
    <x v="8"/>
    <s v="Release 2.6"/>
    <d v="2013-07-24T16:54:34"/>
    <x v="3"/>
    <n v="1.325"/>
    <n v="0"/>
  </r>
  <r>
    <n v="7412"/>
    <x v="21"/>
    <s v="Release 2.6"/>
    <d v="2013-07-29T10:35:45"/>
    <x v="26"/>
    <n v="1.3111111111111111"/>
    <n v="0"/>
  </r>
  <r>
    <n v="7415"/>
    <x v="11"/>
    <s v="Release 2.6"/>
    <d v="2013-07-22T14:22:41"/>
    <x v="10"/>
    <n v="1.3305555555555555"/>
    <n v="0"/>
  </r>
  <r>
    <n v="7416"/>
    <x v="11"/>
    <s v="Release 2.6"/>
    <d v="2013-07-26T15:12:01"/>
    <x v="26"/>
    <n v="1.3194444444444444"/>
    <n v="0"/>
  </r>
  <r>
    <n v="7417"/>
    <x v="0"/>
    <s v="Release 2.6"/>
    <d v="2013-07-12T14:55:42"/>
    <x v="16"/>
    <n v="1.3583333333333334"/>
    <n v="0"/>
  </r>
  <r>
    <n v="7420"/>
    <x v="30"/>
    <s v="Release 2.6"/>
    <d v="2013-07-24T16:54:17"/>
    <x v="4"/>
    <n v="1.325"/>
    <n v="0"/>
  </r>
  <r>
    <n v="7425"/>
    <x v="15"/>
    <s v="Release 2.6"/>
    <d v="2013-07-10T22:14:06"/>
    <x v="10"/>
    <n v="1.3638888888888889"/>
    <n v="0"/>
  </r>
  <r>
    <n v="7427"/>
    <x v="3"/>
    <s v="Release 2.6"/>
    <d v="2013-07-25T12:14:47"/>
    <x v="1"/>
    <n v="1.3222222222222222"/>
    <n v="0"/>
  </r>
  <r>
    <n v="7428"/>
    <x v="18"/>
    <s v="Release 2.6"/>
    <d v="2013-07-29T13:16:31"/>
    <x v="11"/>
    <n v="1.3111111111111111"/>
    <n v="0"/>
  </r>
  <r>
    <n v="7429"/>
    <x v="8"/>
    <s v="Release 3.0"/>
    <d v="2013-10-11T16:00:51"/>
    <x v="2"/>
    <n v="1.1111111111111112"/>
    <n v="0"/>
  </r>
  <r>
    <n v="7430"/>
    <x v="8"/>
    <s v="Release 3.0"/>
    <d v="2013-08-09T14:49:41"/>
    <x v="3"/>
    <n v="1.2833333333333334"/>
    <n v="0"/>
  </r>
  <r>
    <n v="7432"/>
    <x v="21"/>
    <s v="Release 2.6"/>
    <d v="2013-07-29T18:59:54"/>
    <x v="9"/>
    <n v="1.3111111111111111"/>
    <n v="0"/>
  </r>
  <r>
    <n v="7434"/>
    <x v="8"/>
    <s v="Release 2.6"/>
    <d v="2013-07-24T16:54:04"/>
    <x v="7"/>
    <n v="1.325"/>
    <n v="0"/>
  </r>
  <r>
    <n v="7437"/>
    <x v="22"/>
    <s v="Release 2.6"/>
    <d v="2013-07-25T12:14:58"/>
    <x v="4"/>
    <n v="1.3222222222222222"/>
    <n v="0"/>
  </r>
  <r>
    <n v="7442"/>
    <x v="0"/>
    <s v="Release 2.6"/>
    <d v="2013-07-16T19:40:24"/>
    <x v="9"/>
    <n v="1.3472222222222223"/>
    <n v="0"/>
  </r>
  <r>
    <n v="7443"/>
    <x v="28"/>
    <s v="Release 2.6"/>
    <d v="2013-07-18T21:10:55"/>
    <x v="23"/>
    <n v="1.3416666666666666"/>
    <n v="0"/>
  </r>
  <r>
    <n v="7444"/>
    <x v="16"/>
    <s v="Release 2.6"/>
    <d v="2013-07-15T10:54:48"/>
    <x v="4"/>
    <n v="1.35"/>
    <n v="0"/>
  </r>
  <r>
    <n v="7449"/>
    <x v="21"/>
    <s v="Release 3.0"/>
    <d v="2013-10-23T11:12:08"/>
    <x v="3"/>
    <n v="1.0777777777777777"/>
    <n v="0"/>
  </r>
  <r>
    <n v="7452"/>
    <x v="43"/>
    <s v="Release 3.2"/>
    <d v="2014-04-24T15:27:00"/>
    <x v="21"/>
    <n v="0.57499999999999996"/>
    <n v="1"/>
  </r>
  <r>
    <n v="7454"/>
    <x v="18"/>
    <s v="Release 2.6"/>
    <d v="2013-07-16T17:22:53"/>
    <x v="4"/>
    <n v="1.3472222222222223"/>
    <n v="0"/>
  </r>
  <r>
    <n v="7458"/>
    <x v="15"/>
    <s v="Release 2.6"/>
    <d v="2013-07-25T12:15:32"/>
    <x v="12"/>
    <n v="1.3222222222222222"/>
    <n v="0"/>
  </r>
  <r>
    <n v="7461"/>
    <x v="3"/>
    <s v="Release 2.6"/>
    <d v="2013-07-22T21:34:21"/>
    <x v="23"/>
    <n v="1.3305555555555555"/>
    <n v="0"/>
  </r>
  <r>
    <n v="7465"/>
    <x v="15"/>
    <s v="Release 2.6"/>
    <d v="2013-07-25T12:15:45"/>
    <x v="9"/>
    <n v="1.3222222222222222"/>
    <n v="0"/>
  </r>
  <r>
    <n v="7469"/>
    <x v="3"/>
    <s v="Release 2.6"/>
    <d v="2013-07-25T12:15:53"/>
    <x v="0"/>
    <n v="1.3222222222222222"/>
    <n v="0"/>
  </r>
  <r>
    <n v="7471"/>
    <x v="16"/>
    <s v="Release 2.6"/>
    <d v="2013-07-18T09:41:01"/>
    <x v="4"/>
    <n v="1.3416666666666666"/>
    <n v="0"/>
  </r>
  <r>
    <n v="7472"/>
    <x v="16"/>
    <s v="Release 2.6"/>
    <d v="2013-07-19T15:21:53"/>
    <x v="11"/>
    <n v="1.3388888888888888"/>
    <n v="0"/>
  </r>
  <r>
    <n v="7474"/>
    <x v="16"/>
    <s v="Release 2.6"/>
    <d v="2013-07-25T11:09:41"/>
    <x v="25"/>
    <n v="1.3222222222222222"/>
    <n v="0"/>
  </r>
  <r>
    <n v="7476"/>
    <x v="23"/>
    <s v="Release 3.0"/>
    <d v="2013-10-18T14:41:54"/>
    <x v="10"/>
    <n v="1.0916666666666666"/>
    <n v="0"/>
  </r>
  <r>
    <n v="7477"/>
    <x v="11"/>
    <s v="Release 2.6"/>
    <d v="2013-07-18T17:07:32"/>
    <x v="23"/>
    <n v="1.3416666666666666"/>
    <n v="0"/>
  </r>
  <r>
    <n v="7481"/>
    <x v="15"/>
    <s v="Release 2.6"/>
    <d v="2013-07-19T18:03:00"/>
    <x v="7"/>
    <n v="1.3388888888888888"/>
    <n v="0"/>
  </r>
  <r>
    <n v="7482"/>
    <x v="3"/>
    <s v="Release 2.6"/>
    <d v="2013-07-23T09:53:08"/>
    <x v="12"/>
    <n v="1.3277777777777777"/>
    <n v="0"/>
  </r>
  <r>
    <n v="7483"/>
    <x v="0"/>
    <s v="Release 2.6"/>
    <d v="2013-07-19T19:06:42"/>
    <x v="23"/>
    <n v="1.3388888888888888"/>
    <n v="0"/>
  </r>
  <r>
    <n v="7484"/>
    <x v="17"/>
    <s v="Release 2.6"/>
    <d v="2013-07-29T14:11:11"/>
    <x v="28"/>
    <n v="1.3111111111111111"/>
    <n v="0"/>
  </r>
  <r>
    <n v="7485"/>
    <x v="18"/>
    <s v="Release 2.6"/>
    <d v="2013-07-29T16:04:35"/>
    <x v="4"/>
    <n v="1.3111111111111111"/>
    <n v="0"/>
  </r>
  <r>
    <n v="7486"/>
    <x v="18"/>
    <s v="Release 2.6"/>
    <d v="2013-07-26T16:44:08"/>
    <x v="11"/>
    <n v="1.3194444444444444"/>
    <n v="0"/>
  </r>
  <r>
    <n v="7488"/>
    <x v="22"/>
    <s v="Release 2.6"/>
    <d v="2013-07-22T13:40:38"/>
    <x v="13"/>
    <n v="1.3305555555555555"/>
    <n v="0"/>
  </r>
  <r>
    <n v="7495"/>
    <x v="22"/>
    <s v="Release 2.6"/>
    <d v="2013-07-24T15:36:11"/>
    <x v="18"/>
    <n v="1.325"/>
    <n v="0"/>
  </r>
  <r>
    <n v="7496"/>
    <x v="22"/>
    <s v="Release 2.6"/>
    <d v="2013-07-25T12:34:42"/>
    <x v="25"/>
    <n v="1.3222222222222222"/>
    <n v="0"/>
  </r>
  <r>
    <n v="7498"/>
    <x v="11"/>
    <s v="Release 2.6"/>
    <d v="2013-07-25T15:34:25"/>
    <x v="10"/>
    <n v="1.3222222222222222"/>
    <n v="0"/>
  </r>
  <r>
    <n v="7501"/>
    <x v="22"/>
    <s v="Release 2.6"/>
    <d v="2013-07-26T14:53:47"/>
    <x v="18"/>
    <n v="1.3194444444444444"/>
    <n v="0"/>
  </r>
  <r>
    <n v="7507"/>
    <x v="43"/>
    <s v="Release 2.6"/>
    <d v="2013-07-26T15:47:59"/>
    <x v="11"/>
    <n v="1.3194444444444444"/>
    <n v="0"/>
  </r>
  <r>
    <n v="7510"/>
    <x v="3"/>
    <s v="Release 2.6"/>
    <d v="2013-07-26T16:44:38"/>
    <x v="26"/>
    <n v="1.3194444444444444"/>
    <n v="0"/>
  </r>
  <r>
    <n v="7513"/>
    <x v="16"/>
    <s v="Release 3.0"/>
    <d v="2013-10-25T15:39:06"/>
    <x v="5"/>
    <n v="1.0722222222222222"/>
    <n v="0"/>
  </r>
  <r>
    <n v="7516"/>
    <x v="22"/>
    <s v="Release 3.0"/>
    <d v="2013-09-20T15:10:31"/>
    <x v="5"/>
    <n v="1.1694444444444445"/>
    <n v="0"/>
  </r>
  <r>
    <n v="7521"/>
    <x v="0"/>
    <s v="Release 3.2"/>
    <d v="2014-05-23T15:28:34"/>
    <x v="16"/>
    <n v="0.49444444444444446"/>
    <n v="1"/>
  </r>
  <r>
    <n v="7535"/>
    <x v="16"/>
    <s v="Release 3.0"/>
    <d v="2013-10-23T11:22:52"/>
    <x v="25"/>
    <n v="1.0777777777777777"/>
    <n v="0"/>
  </r>
  <r>
    <n v="7541"/>
    <x v="16"/>
    <s v="Release 3.0"/>
    <d v="2013-09-02T15:18:22"/>
    <x v="28"/>
    <n v="1.2194444444444446"/>
    <n v="0"/>
  </r>
  <r>
    <n v="7553"/>
    <x v="21"/>
    <s v="Release 3.0"/>
    <d v="2013-10-23T10:47:33"/>
    <x v="3"/>
    <n v="1.0777777777777777"/>
    <n v="0"/>
  </r>
  <r>
    <n v="7559"/>
    <x v="28"/>
    <s v="Release 3.0"/>
    <d v="2013-10-23T11:11:27"/>
    <x v="5"/>
    <n v="1.0777777777777777"/>
    <n v="0"/>
  </r>
  <r>
    <n v="7570"/>
    <x v="34"/>
    <s v="Release 3.3"/>
    <d v="2014-08-22T14:12:52"/>
    <x v="4"/>
    <n v="0.24722222222222223"/>
    <n v="1"/>
  </r>
  <r>
    <n v="7579"/>
    <x v="29"/>
    <s v="Release 3.0"/>
    <d v="2013-09-25T16:51:23"/>
    <x v="13"/>
    <n v="1.1555555555555554"/>
    <n v="0"/>
  </r>
  <r>
    <n v="7581"/>
    <x v="29"/>
    <s v="Release 3.0"/>
    <d v="2013-09-24T08:54:17"/>
    <x v="13"/>
    <n v="1.1583333333333334"/>
    <n v="0"/>
  </r>
  <r>
    <n v="7586"/>
    <x v="34"/>
    <s v="Release 3.3"/>
    <d v="2014-11-12T16:42:37"/>
    <x v="41"/>
    <n v="2.5000000000000001E-2"/>
    <n v="1"/>
  </r>
  <r>
    <n v="7590"/>
    <x v="8"/>
    <s v="Release 2.6"/>
    <d v="2013-07-31T08:31:05"/>
    <x v="2"/>
    <n v="1.3083333333333333"/>
    <n v="0"/>
  </r>
  <r>
    <n v="7603"/>
    <x v="22"/>
    <s v="Release 3.0"/>
    <d v="2013-08-09T15:57:12"/>
    <x v="27"/>
    <n v="1.2833333333333334"/>
    <n v="0"/>
  </r>
  <r>
    <n v="7604"/>
    <x v="0"/>
    <s v="Release 3.0"/>
    <d v="2013-10-11T16:18:04"/>
    <x v="26"/>
    <n v="1.1111111111111112"/>
    <n v="0"/>
  </r>
  <r>
    <n v="7606"/>
    <x v="6"/>
    <s v="Release 3.1"/>
    <d v="2014-01-03T13:30:45"/>
    <x v="1"/>
    <n v="0.8833333333333333"/>
    <n v="1"/>
  </r>
  <r>
    <n v="7611"/>
    <x v="29"/>
    <s v="Release 3.2"/>
    <d v="2014-03-28T14:31:09"/>
    <x v="25"/>
    <n v="0.64722222222222225"/>
    <n v="1"/>
  </r>
  <r>
    <n v="7617"/>
    <x v="17"/>
    <s v="Release 3.0"/>
    <d v="2013-10-09T16:15:23"/>
    <x v="16"/>
    <n v="1.1166666666666667"/>
    <n v="0"/>
  </r>
  <r>
    <n v="7620"/>
    <x v="6"/>
    <s v="Release 3.0"/>
    <d v="2013-09-17T15:53:59"/>
    <x v="9"/>
    <n v="1.1777777777777778"/>
    <n v="0"/>
  </r>
  <r>
    <n v="7623"/>
    <x v="4"/>
    <s v="Release 3.0"/>
    <d v="2013-08-30T16:31:57"/>
    <x v="26"/>
    <n v="1.2250000000000001"/>
    <n v="0"/>
  </r>
  <r>
    <n v="7624"/>
    <x v="4"/>
    <s v="Release 3.0"/>
    <d v="2013-08-30T16:54:18"/>
    <x v="26"/>
    <n v="1.2250000000000001"/>
    <n v="0"/>
  </r>
  <r>
    <n v="7626"/>
    <x v="28"/>
    <s v="Release 3.0"/>
    <d v="2013-08-02T16:24:02"/>
    <x v="25"/>
    <n v="1.3027777777777778"/>
    <n v="0"/>
  </r>
  <r>
    <n v="7633"/>
    <x v="15"/>
    <s v="Release 3.0"/>
    <d v="2013-08-30T19:52:32"/>
    <x v="9"/>
    <n v="1.2250000000000001"/>
    <n v="0"/>
  </r>
  <r>
    <n v="7635"/>
    <x v="22"/>
    <s v="Release 3.0"/>
    <d v="2013-08-09T13:02:57"/>
    <x v="25"/>
    <n v="1.2833333333333334"/>
    <n v="0"/>
  </r>
  <r>
    <n v="7636"/>
    <x v="24"/>
    <s v="Release 3.1"/>
    <d v="2014-01-31T13:54:43"/>
    <x v="1"/>
    <n v="0.80833333333333335"/>
    <n v="1"/>
  </r>
  <r>
    <n v="7637"/>
    <x v="24"/>
    <s v="Release 3.0"/>
    <d v="2013-10-24T15:23:39"/>
    <x v="2"/>
    <n v="1.075"/>
    <n v="0"/>
  </r>
  <r>
    <n v="7639"/>
    <x v="24"/>
    <s v="Release 3.0"/>
    <d v="2013-09-05T09:43:17"/>
    <x v="2"/>
    <n v="1.211111111111111"/>
    <n v="0"/>
  </r>
  <r>
    <n v="7640"/>
    <x v="24"/>
    <s v="Release 3.2"/>
    <d v="2014-04-11T14:20:58"/>
    <x v="15"/>
    <n v="0.61111111111111116"/>
    <n v="1"/>
  </r>
  <r>
    <n v="7643"/>
    <x v="22"/>
    <s v="Release 3.0"/>
    <d v="2013-10-04T13:59:42"/>
    <x v="25"/>
    <n v="1.1305555555555555"/>
    <n v="0"/>
  </r>
  <r>
    <n v="7649"/>
    <x v="3"/>
    <s v="Release 3.0"/>
    <d v="2013-10-23T10:36:59"/>
    <x v="7"/>
    <n v="1.0777777777777777"/>
    <n v="0"/>
  </r>
  <r>
    <n v="7650"/>
    <x v="21"/>
    <s v="Release 3.0"/>
    <d v="2013-10-25T15:56:36"/>
    <x v="28"/>
    <n v="1.0722222222222222"/>
    <n v="0"/>
  </r>
  <r>
    <n v="7652"/>
    <x v="23"/>
    <s v="Release 3.0"/>
    <d v="2013-10-23T11:46:33"/>
    <x v="1"/>
    <n v="1.0777777777777777"/>
    <n v="0"/>
  </r>
  <r>
    <n v="7653"/>
    <x v="23"/>
    <s v="Release 3.0"/>
    <d v="2013-10-23T11:37:41"/>
    <x v="10"/>
    <n v="1.0777777777777777"/>
    <n v="0"/>
  </r>
  <r>
    <n v="7654"/>
    <x v="14"/>
    <s v="Release 3.0"/>
    <d v="2013-08-14T18:59:41"/>
    <x v="7"/>
    <n v="1.2694444444444444"/>
    <n v="0"/>
  </r>
  <r>
    <n v="7659"/>
    <x v="21"/>
    <s v="Release 3.0"/>
    <d v="2013-10-23T10:38:53"/>
    <x v="16"/>
    <n v="1.0777777777777777"/>
    <n v="0"/>
  </r>
  <r>
    <n v="7660"/>
    <x v="28"/>
    <s v="Release 3.0"/>
    <d v="2013-08-09T15:10:29"/>
    <x v="12"/>
    <n v="1.2833333333333334"/>
    <n v="0"/>
  </r>
  <r>
    <n v="7661"/>
    <x v="28"/>
    <s v="Release 3.0"/>
    <d v="2013-08-22T11:54:31"/>
    <x v="4"/>
    <n v="1.2472222222222222"/>
    <n v="0"/>
  </r>
  <r>
    <n v="7662"/>
    <x v="22"/>
    <s v="Release 3.0"/>
    <d v="2013-08-09T13:28:48"/>
    <x v="21"/>
    <n v="1.2833333333333334"/>
    <n v="0"/>
  </r>
  <r>
    <n v="7663"/>
    <x v="18"/>
    <s v="Release 3.0"/>
    <d v="2013-09-13T15:50:06"/>
    <x v="25"/>
    <n v="1.1888888888888889"/>
    <n v="0"/>
  </r>
  <r>
    <n v="7664"/>
    <x v="16"/>
    <s v="Release 3.0"/>
    <d v="2013-10-23T11:19:05"/>
    <x v="7"/>
    <n v="1.0777777777777777"/>
    <n v="0"/>
  </r>
  <r>
    <n v="7665"/>
    <x v="22"/>
    <s v="Release 3.0"/>
    <d v="2013-08-09T16:52:57"/>
    <x v="7"/>
    <n v="1.2833333333333334"/>
    <n v="0"/>
  </r>
  <r>
    <n v="7668"/>
    <x v="29"/>
    <s v="Release 3.0"/>
    <d v="2013-09-26T10:24:52"/>
    <x v="13"/>
    <n v="1.1527777777777777"/>
    <n v="0"/>
  </r>
  <r>
    <n v="7670"/>
    <x v="24"/>
    <s v="Release 3.0"/>
    <d v="2013-08-30T16:26:09"/>
    <x v="4"/>
    <n v="1.2250000000000001"/>
    <n v="0"/>
  </r>
  <r>
    <n v="7673"/>
    <x v="11"/>
    <s v="Release 3.0"/>
    <d v="2013-08-08T14:45:29"/>
    <x v="5"/>
    <n v="1.2861111111111112"/>
    <n v="0"/>
  </r>
  <r>
    <n v="7674"/>
    <x v="17"/>
    <s v="Release 3.0"/>
    <d v="2013-08-30T15:43:20"/>
    <x v="7"/>
    <n v="1.2250000000000001"/>
    <n v="0"/>
  </r>
  <r>
    <n v="7675"/>
    <x v="8"/>
    <s v="Release 3.0"/>
    <d v="2013-08-07T21:08:25"/>
    <x v="3"/>
    <n v="1.288888888888889"/>
    <n v="0"/>
  </r>
  <r>
    <n v="7678"/>
    <x v="22"/>
    <s v="Release 3.0"/>
    <d v="2013-08-09T15:24:04"/>
    <x v="25"/>
    <n v="1.2833333333333334"/>
    <n v="0"/>
  </r>
  <r>
    <n v="7681"/>
    <x v="28"/>
    <s v="Release 3.0"/>
    <d v="2013-09-06T18:53:57"/>
    <x v="7"/>
    <n v="1.2083333333333333"/>
    <n v="0"/>
  </r>
  <r>
    <n v="7685"/>
    <x v="21"/>
    <s v="Release 3.0"/>
    <d v="2013-08-12T20:13:02"/>
    <x v="16"/>
    <n v="1.2749999999999999"/>
    <n v="0"/>
  </r>
  <r>
    <n v="7686"/>
    <x v="11"/>
    <s v="Release 3.0"/>
    <d v="2013-08-08T15:57:09"/>
    <x v="5"/>
    <n v="1.2861111111111112"/>
    <n v="0"/>
  </r>
  <r>
    <n v="7688"/>
    <x v="24"/>
    <s v="Release 3.0"/>
    <d v="2013-08-12T08:50:09"/>
    <x v="4"/>
    <n v="1.2749999999999999"/>
    <n v="0"/>
  </r>
  <r>
    <n v="7699"/>
    <x v="15"/>
    <s v="Release 3.0"/>
    <d v="2013-10-23T10:47:46"/>
    <x v="5"/>
    <n v="1.0777777777777777"/>
    <n v="0"/>
  </r>
  <r>
    <n v="7700"/>
    <x v="8"/>
    <s v="Release 3.0"/>
    <d v="2013-08-12T15:42:53"/>
    <x v="3"/>
    <n v="1.2749999999999999"/>
    <n v="0"/>
  </r>
  <r>
    <n v="7701"/>
    <x v="15"/>
    <s v="Release 3.0"/>
    <d v="2013-10-23T10:47:53"/>
    <x v="4"/>
    <n v="1.0777777777777777"/>
    <n v="0"/>
  </r>
  <r>
    <n v="7702"/>
    <x v="22"/>
    <s v="Release 3.0"/>
    <d v="2013-08-09T12:30:06"/>
    <x v="21"/>
    <n v="1.2833333333333334"/>
    <n v="0"/>
  </r>
  <r>
    <n v="7704"/>
    <x v="23"/>
    <s v="Release 3.0"/>
    <d v="2013-10-23T10:51:05"/>
    <x v="25"/>
    <n v="1.0777777777777777"/>
    <n v="0"/>
  </r>
  <r>
    <n v="7709"/>
    <x v="16"/>
    <s v="Release 3.0"/>
    <d v="2013-09-26T14:21:45"/>
    <x v="15"/>
    <n v="1.1527777777777777"/>
    <n v="0"/>
  </r>
  <r>
    <n v="7710"/>
    <x v="28"/>
    <s v="Release 3.0"/>
    <d v="2013-09-06T18:54:57"/>
    <x v="7"/>
    <n v="1.2083333333333333"/>
    <n v="0"/>
  </r>
  <r>
    <n v="7711"/>
    <x v="28"/>
    <s v="Release 3.0"/>
    <d v="2013-10-15T12:04:58"/>
    <x v="12"/>
    <n v="1.1000000000000001"/>
    <n v="0"/>
  </r>
  <r>
    <n v="7714"/>
    <x v="4"/>
    <s v="Release 3.1"/>
    <d v="2013-11-08T16:20:48"/>
    <x v="26"/>
    <n v="1.0361111111111112"/>
    <n v="0"/>
  </r>
  <r>
    <n v="7715"/>
    <x v="29"/>
    <s v="Release 3.0"/>
    <d v="2013-08-22T13:41:16"/>
    <x v="4"/>
    <n v="1.2472222222222222"/>
    <n v="0"/>
  </r>
  <r>
    <n v="7718"/>
    <x v="10"/>
    <m/>
    <d v="2013-09-13T15:18:54"/>
    <x v="26"/>
    <n v="1.1888888888888889"/>
    <n v="0"/>
  </r>
  <r>
    <n v="7719"/>
    <x v="4"/>
    <s v="Release 3.0"/>
    <d v="2013-08-09T17:45:13"/>
    <x v="4"/>
    <n v="1.2833333333333334"/>
    <n v="0"/>
  </r>
  <r>
    <n v="7726"/>
    <x v="2"/>
    <s v="Release 3.0"/>
    <d v="2013-09-17T14:29:34"/>
    <x v="1"/>
    <n v="1.1777777777777778"/>
    <n v="0"/>
  </r>
  <r>
    <n v="7728"/>
    <x v="8"/>
    <s v="Release 3.0"/>
    <d v="2013-08-14T21:34:59"/>
    <x v="3"/>
    <n v="1.2694444444444444"/>
    <n v="0"/>
  </r>
  <r>
    <n v="7729"/>
    <x v="28"/>
    <s v="Release 3.0"/>
    <d v="2013-10-23T11:26:40"/>
    <x v="1"/>
    <n v="1.0777777777777777"/>
    <n v="0"/>
  </r>
  <r>
    <n v="7730"/>
    <x v="28"/>
    <s v="Release 3.0"/>
    <d v="2013-08-23T14:12:06"/>
    <x v="5"/>
    <n v="1.2444444444444445"/>
    <n v="0"/>
  </r>
  <r>
    <n v="7731"/>
    <x v="28"/>
    <s v="Release 3.0"/>
    <d v="2013-10-11T13:10:35"/>
    <x v="15"/>
    <n v="1.1111111111111112"/>
    <n v="0"/>
  </r>
  <r>
    <n v="7732"/>
    <x v="30"/>
    <s v="Release 3.1"/>
    <d v="2013-11-25T08:56:32"/>
    <x v="18"/>
    <n v="0.98888888888888893"/>
    <n v="1"/>
  </r>
  <r>
    <n v="7735"/>
    <x v="28"/>
    <s v="Release 3.0"/>
    <d v="2013-08-16T18:18:06"/>
    <x v="7"/>
    <n v="1.2638888888888888"/>
    <n v="0"/>
  </r>
  <r>
    <n v="7736"/>
    <x v="11"/>
    <s v="Release 3.0"/>
    <d v="2013-08-19T08:09:44"/>
    <x v="16"/>
    <n v="1.2555555555555555"/>
    <n v="0"/>
  </r>
  <r>
    <n v="7738"/>
    <x v="14"/>
    <s v="Release 3.0"/>
    <d v="2013-10-25T15:02:38"/>
    <x v="5"/>
    <n v="1.0722222222222222"/>
    <n v="0"/>
  </r>
  <r>
    <n v="7739"/>
    <x v="23"/>
    <s v="Release 3.0"/>
    <d v="2013-10-23T11:09:31"/>
    <x v="3"/>
    <n v="1.0777777777777777"/>
    <n v="0"/>
  </r>
  <r>
    <n v="7740"/>
    <x v="23"/>
    <s v="Release 3.0"/>
    <d v="2013-10-23T11:07:36"/>
    <x v="9"/>
    <n v="1.0777777777777777"/>
    <n v="0"/>
  </r>
  <r>
    <n v="7742"/>
    <x v="28"/>
    <s v="Release 3.0"/>
    <d v="2013-08-14T20:08:49"/>
    <x v="7"/>
    <n v="1.2694444444444444"/>
    <n v="0"/>
  </r>
  <r>
    <n v="7746"/>
    <x v="0"/>
    <s v="Release 3.0"/>
    <d v="2013-08-26T16:27:07"/>
    <x v="16"/>
    <n v="1.2361111111111112"/>
    <n v="0"/>
  </r>
  <r>
    <n v="7749"/>
    <x v="15"/>
    <s v="Release 3.0"/>
    <d v="2013-10-23T10:51:20"/>
    <x v="25"/>
    <n v="1.0777777777777777"/>
    <n v="0"/>
  </r>
  <r>
    <n v="7750"/>
    <x v="0"/>
    <s v="Release 3.0"/>
    <d v="2013-08-16T16:17:42"/>
    <x v="25"/>
    <n v="1.2638888888888888"/>
    <n v="0"/>
  </r>
  <r>
    <n v="7754"/>
    <x v="8"/>
    <s v="Release 3.0"/>
    <d v="2013-09-05T09:43:17"/>
    <x v="3"/>
    <n v="1.211111111111111"/>
    <n v="0"/>
  </r>
  <r>
    <n v="7755"/>
    <x v="29"/>
    <s v="Release 3.0"/>
    <d v="2013-09-27T14:52:40"/>
    <x v="1"/>
    <n v="1.1499999999999999"/>
    <n v="0"/>
  </r>
  <r>
    <n v="7756"/>
    <x v="29"/>
    <s v="Release 3.0"/>
    <d v="2013-09-27T17:03:20"/>
    <x v="1"/>
    <n v="1.1499999999999999"/>
    <n v="0"/>
  </r>
  <r>
    <n v="7757"/>
    <x v="41"/>
    <s v="Release 3.0"/>
    <d v="2013-10-23T11:14:32"/>
    <x v="1"/>
    <n v="1.0777777777777777"/>
    <n v="0"/>
  </r>
  <r>
    <n v="7758"/>
    <x v="41"/>
    <s v="Release 3.0"/>
    <d v="2013-10-23T11:14:56"/>
    <x v="12"/>
    <n v="1.0777777777777777"/>
    <n v="0"/>
  </r>
  <r>
    <n v="7759"/>
    <x v="41"/>
    <s v="Release 3.0"/>
    <d v="2013-08-23T15:13:29"/>
    <x v="1"/>
    <n v="1.2444444444444445"/>
    <n v="0"/>
  </r>
  <r>
    <n v="7761"/>
    <x v="28"/>
    <s v="Release 3.0"/>
    <d v="2013-08-22T20:21:06"/>
    <x v="23"/>
    <n v="1.2472222222222222"/>
    <n v="0"/>
  </r>
  <r>
    <n v="7764"/>
    <x v="28"/>
    <s v="Release 3.0"/>
    <d v="2013-08-22T17:58:38"/>
    <x v="23"/>
    <n v="1.2472222222222222"/>
    <n v="0"/>
  </r>
  <r>
    <n v="7768"/>
    <x v="0"/>
    <s v="Release 3.0"/>
    <d v="2013-10-04T14:31:31"/>
    <x v="16"/>
    <n v="1.1305555555555555"/>
    <n v="0"/>
  </r>
  <r>
    <n v="7769"/>
    <x v="32"/>
    <s v="Release 3.0"/>
    <d v="2013-09-12T02:27:23"/>
    <x v="10"/>
    <n v="1.1916666666666667"/>
    <n v="0"/>
  </r>
  <r>
    <n v="7770"/>
    <x v="15"/>
    <s v="Release 3.0"/>
    <d v="2013-10-23T11:24:04"/>
    <x v="25"/>
    <n v="1.0777777777777777"/>
    <n v="0"/>
  </r>
  <r>
    <n v="7775"/>
    <x v="8"/>
    <s v="Release 3.0"/>
    <d v="2013-08-20T09:02:26"/>
    <x v="3"/>
    <n v="1.2527777777777778"/>
    <n v="0"/>
  </r>
  <r>
    <n v="7776"/>
    <x v="22"/>
    <s v="Release 3.0"/>
    <d v="2013-10-23T11:20:50"/>
    <x v="2"/>
    <n v="1.0777777777777777"/>
    <n v="0"/>
  </r>
  <r>
    <n v="7777"/>
    <x v="0"/>
    <s v="Release 3.0"/>
    <d v="2013-10-10T22:01:52"/>
    <x v="8"/>
    <n v="1.1138888888888889"/>
    <n v="0"/>
  </r>
  <r>
    <n v="7778"/>
    <x v="0"/>
    <s v="Release 3.2"/>
    <d v="2014-06-20T11:45:37"/>
    <x v="26"/>
    <n v="0.41944444444444445"/>
    <n v="1"/>
  </r>
  <r>
    <n v="7779"/>
    <x v="0"/>
    <s v="Release 3.0"/>
    <d v="2013-08-23T16:50:16"/>
    <x v="16"/>
    <n v="1.2444444444444445"/>
    <n v="0"/>
  </r>
  <r>
    <n v="7781"/>
    <x v="8"/>
    <s v="Release 3.0"/>
    <d v="2013-08-23T16:00:33"/>
    <x v="25"/>
    <n v="1.2444444444444445"/>
    <n v="0"/>
  </r>
  <r>
    <n v="7783"/>
    <x v="21"/>
    <s v="Release 3.0"/>
    <d v="2013-09-09T22:28:23"/>
    <x v="7"/>
    <n v="1.2"/>
    <n v="0"/>
  </r>
  <r>
    <n v="7786"/>
    <x v="21"/>
    <s v="Release 3.0"/>
    <d v="2013-10-23T15:49:38"/>
    <x v="3"/>
    <n v="1.0777777777777777"/>
    <n v="0"/>
  </r>
  <r>
    <n v="7787"/>
    <x v="14"/>
    <s v="Release 3.0"/>
    <d v="2013-08-30T15:17:02"/>
    <x v="5"/>
    <n v="1.2250000000000001"/>
    <n v="0"/>
  </r>
  <r>
    <n v="7789"/>
    <x v="23"/>
    <s v="Release 3.2"/>
    <d v="2014-05-12T16:30:45"/>
    <x v="10"/>
    <n v="0.52500000000000002"/>
    <n v="1"/>
  </r>
  <r>
    <n v="7790"/>
    <x v="41"/>
    <s v="Release 3.0"/>
    <d v="2013-10-23T11:15:04"/>
    <x v="1"/>
    <n v="1.0777777777777777"/>
    <n v="0"/>
  </r>
  <r>
    <n v="7791"/>
    <x v="16"/>
    <s v="Release 3.0"/>
    <d v="2013-08-30T15:59:42"/>
    <x v="25"/>
    <n v="1.2250000000000001"/>
    <n v="0"/>
  </r>
  <r>
    <n v="7792"/>
    <x v="41"/>
    <s v="Release 3.0"/>
    <d v="2013-08-30T13:47:09"/>
    <x v="18"/>
    <n v="1.2250000000000001"/>
    <n v="0"/>
  </r>
  <r>
    <n v="7793"/>
    <x v="41"/>
    <s v="Release 3.0"/>
    <d v="2013-08-23T15:29:29"/>
    <x v="1"/>
    <n v="1.2444444444444445"/>
    <n v="0"/>
  </r>
  <r>
    <n v="7794"/>
    <x v="41"/>
    <s v="Release 3.0"/>
    <d v="2013-10-23T11:25:30"/>
    <x v="7"/>
    <n v="1.0777777777777777"/>
    <n v="0"/>
  </r>
  <r>
    <n v="7795"/>
    <x v="41"/>
    <s v="Release 3.0"/>
    <d v="2013-08-30T19:00:42"/>
    <x v="9"/>
    <n v="1.2250000000000001"/>
    <n v="0"/>
  </r>
  <r>
    <n v="7796"/>
    <x v="41"/>
    <s v="Release 3.0"/>
    <d v="2013-10-23T11:14:45"/>
    <x v="1"/>
    <n v="1.0777777777777777"/>
    <n v="0"/>
  </r>
  <r>
    <n v="7797"/>
    <x v="11"/>
    <s v="Release 3.0"/>
    <d v="2013-08-23T13:55:36"/>
    <x v="12"/>
    <n v="1.2444444444444445"/>
    <n v="0"/>
  </r>
  <r>
    <n v="7801"/>
    <x v="41"/>
    <s v="Release 3.0"/>
    <d v="2013-08-23T15:43:02"/>
    <x v="1"/>
    <n v="1.2444444444444445"/>
    <n v="0"/>
  </r>
  <r>
    <n v="7805"/>
    <x v="28"/>
    <s v="Release 3.0"/>
    <d v="2013-09-17T15:36:06"/>
    <x v="2"/>
    <n v="1.1777777777777778"/>
    <n v="0"/>
  </r>
  <r>
    <n v="7806"/>
    <x v="21"/>
    <s v="Release 3.0"/>
    <d v="2013-09-11T21:28:12"/>
    <x v="3"/>
    <n v="1.1944444444444444"/>
    <n v="0"/>
  </r>
  <r>
    <n v="7808"/>
    <x v="2"/>
    <s v="Release 3.0"/>
    <d v="2013-09-11T16:39:38"/>
    <x v="3"/>
    <n v="1.1944444444444444"/>
    <n v="0"/>
  </r>
  <r>
    <n v="7809"/>
    <x v="44"/>
    <s v="Release 3.3"/>
    <d v="2014-10-24T17:39:24"/>
    <x v="32"/>
    <n v="7.4999999999999997E-2"/>
    <n v="1"/>
  </r>
  <r>
    <n v="7812"/>
    <x v="26"/>
    <s v="Release 3.0"/>
    <d v="2013-10-23T11:29:11"/>
    <x v="5"/>
    <n v="1.0777777777777777"/>
    <n v="0"/>
  </r>
  <r>
    <n v="7817"/>
    <x v="21"/>
    <s v="Release 3.1"/>
    <d v="2013-12-05T15:51:35"/>
    <x v="3"/>
    <n v="0.96111111111111114"/>
    <n v="1"/>
  </r>
  <r>
    <n v="7818"/>
    <x v="15"/>
    <s v="Release 3.0"/>
    <d v="2013-11-21T15:01:12"/>
    <x v="25"/>
    <n v="1"/>
    <n v="0"/>
  </r>
  <r>
    <n v="7819"/>
    <x v="3"/>
    <s v="Release 3.0"/>
    <d v="2013-09-09T15:50:13"/>
    <x v="2"/>
    <n v="1.2"/>
    <n v="0"/>
  </r>
  <r>
    <n v="7820"/>
    <x v="11"/>
    <s v="Release 3.0"/>
    <d v="2013-08-28T13:30:30"/>
    <x v="2"/>
    <n v="1.2305555555555556"/>
    <n v="0"/>
  </r>
  <r>
    <n v="7824"/>
    <x v="22"/>
    <s v="Release 3.0"/>
    <d v="2013-09-27T16:24:59"/>
    <x v="25"/>
    <n v="1.1499999999999999"/>
    <n v="0"/>
  </r>
  <r>
    <n v="7825"/>
    <x v="41"/>
    <s v="Release 3.0"/>
    <d v="2013-09-09T18:20:05"/>
    <x v="7"/>
    <n v="1.2"/>
    <n v="0"/>
  </r>
  <r>
    <n v="7826"/>
    <x v="28"/>
    <s v="Release 3.3"/>
    <d v="2014-08-13T08:30:54"/>
    <x v="4"/>
    <n v="0.2722222222222222"/>
    <n v="1"/>
  </r>
  <r>
    <n v="7827"/>
    <x v="16"/>
    <s v="Release 3.0"/>
    <d v="2013-09-06T19:42:51"/>
    <x v="9"/>
    <n v="1.2083333333333333"/>
    <n v="0"/>
  </r>
  <r>
    <n v="7828"/>
    <x v="15"/>
    <s v="Release 3.0"/>
    <d v="2013-10-23T11:25:44"/>
    <x v="7"/>
    <n v="1.0777777777777777"/>
    <n v="0"/>
  </r>
  <r>
    <n v="7829"/>
    <x v="22"/>
    <s v="Release 3.0"/>
    <d v="2013-10-28T16:43:20"/>
    <x v="26"/>
    <n v="1.0638888888888889"/>
    <n v="0"/>
  </r>
  <r>
    <n v="7832"/>
    <x v="21"/>
    <s v="Release 3.3"/>
    <d v="2014-08-05T19:37:26"/>
    <x v="16"/>
    <n v="0.29444444444444445"/>
    <n v="1"/>
  </r>
  <r>
    <n v="7835"/>
    <x v="28"/>
    <s v="Release 3.0"/>
    <d v="2013-10-04T10:39:53"/>
    <x v="4"/>
    <n v="1.1305555555555555"/>
    <n v="0"/>
  </r>
  <r>
    <n v="7836"/>
    <x v="28"/>
    <s v="Release 3.0"/>
    <d v="2013-10-11T14:42:07"/>
    <x v="25"/>
    <n v="1.1111111111111112"/>
    <n v="0"/>
  </r>
  <r>
    <n v="7837"/>
    <x v="28"/>
    <s v="Release 3.0"/>
    <d v="2013-10-11T15:20:44"/>
    <x v="25"/>
    <n v="1.1111111111111112"/>
    <n v="0"/>
  </r>
  <r>
    <n v="7839"/>
    <x v="28"/>
    <s v="Release 3.0"/>
    <d v="2013-09-20T16:46:20"/>
    <x v="15"/>
    <n v="1.1694444444444445"/>
    <n v="0"/>
  </r>
  <r>
    <n v="7840"/>
    <x v="28"/>
    <s v="Release 3.0"/>
    <d v="2013-10-25T15:15:11"/>
    <x v="15"/>
    <n v="1.0722222222222222"/>
    <n v="0"/>
  </r>
  <r>
    <n v="7841"/>
    <x v="28"/>
    <s v="Release 3.0"/>
    <d v="2013-10-18T11:58:13"/>
    <x v="25"/>
    <n v="1.0916666666666666"/>
    <n v="0"/>
  </r>
  <r>
    <n v="7845"/>
    <x v="11"/>
    <s v="Release 3.0"/>
    <d v="2013-08-31T13:46:20"/>
    <x v="12"/>
    <n v="1.2250000000000001"/>
    <n v="0"/>
  </r>
  <r>
    <n v="7846"/>
    <x v="11"/>
    <s v="Release 3.0"/>
    <d v="2013-09-06T22:31:18"/>
    <x v="9"/>
    <n v="1.2083333333333333"/>
    <n v="0"/>
  </r>
  <r>
    <n v="7849"/>
    <x v="8"/>
    <s v="Release 3.0"/>
    <d v="2013-09-06T14:27:11"/>
    <x v="2"/>
    <n v="1.2083333333333333"/>
    <n v="0"/>
  </r>
  <r>
    <n v="7851"/>
    <x v="28"/>
    <s v="Release 3.0"/>
    <d v="2013-10-02T11:09:40"/>
    <x v="15"/>
    <n v="1.1361111111111111"/>
    <n v="0"/>
  </r>
  <r>
    <n v="7852"/>
    <x v="29"/>
    <s v="Release 3.0"/>
    <d v="2013-09-06T14:45:47"/>
    <x v="1"/>
    <n v="1.2083333333333333"/>
    <n v="0"/>
  </r>
  <r>
    <n v="7857"/>
    <x v="0"/>
    <s v="Release 3.0"/>
    <d v="2013-09-05T15:37:04"/>
    <x v="5"/>
    <n v="1.211111111111111"/>
    <n v="0"/>
  </r>
  <r>
    <n v="7859"/>
    <x v="28"/>
    <s v="Release 3.1"/>
    <d v="2014-01-31T14:30:31"/>
    <x v="12"/>
    <n v="0.80833333333333335"/>
    <n v="1"/>
  </r>
  <r>
    <n v="7860"/>
    <x v="34"/>
    <s v="Release 3.3"/>
    <d v="2014-10-31T15:50:59"/>
    <x v="41"/>
    <n v="5.8333333333333334E-2"/>
    <n v="1"/>
  </r>
  <r>
    <n v="7861"/>
    <x v="22"/>
    <s v="Release 3.0"/>
    <d v="2013-09-06T14:42:22"/>
    <x v="25"/>
    <n v="1.2083333333333333"/>
    <n v="0"/>
  </r>
  <r>
    <n v="7863"/>
    <x v="22"/>
    <s v="Release 3.0"/>
    <d v="2013-09-06T13:25:24"/>
    <x v="25"/>
    <n v="1.2083333333333333"/>
    <n v="0"/>
  </r>
  <r>
    <n v="7864"/>
    <x v="14"/>
    <s v="Release 3.1"/>
    <d v="2013-11-08T16:30:49"/>
    <x v="27"/>
    <n v="1.0361111111111112"/>
    <n v="0"/>
  </r>
  <r>
    <n v="7866"/>
    <x v="24"/>
    <s v="Release 3.0"/>
    <d v="2013-10-17T13:08:12"/>
    <x v="4"/>
    <n v="1.0944444444444446"/>
    <n v="0"/>
  </r>
  <r>
    <n v="7868"/>
    <x v="15"/>
    <s v="Release 3.0"/>
    <d v="2013-09-03T20:43:39"/>
    <x v="8"/>
    <n v="1.2166666666666666"/>
    <n v="0"/>
  </r>
  <r>
    <n v="7869"/>
    <x v="29"/>
    <s v="Release 3.0"/>
    <d v="2013-09-13T16:56:01"/>
    <x v="13"/>
    <n v="1.1888888888888889"/>
    <n v="0"/>
  </r>
  <r>
    <n v="7870"/>
    <x v="28"/>
    <s v="Release 3.0"/>
    <d v="2013-10-18T15:42:13"/>
    <x v="25"/>
    <n v="1.0916666666666666"/>
    <n v="0"/>
  </r>
  <r>
    <n v="7871"/>
    <x v="24"/>
    <s v="Release 3.0"/>
    <d v="2013-09-20T16:06:40"/>
    <x v="11"/>
    <n v="1.1694444444444445"/>
    <n v="0"/>
  </r>
  <r>
    <n v="7875"/>
    <x v="11"/>
    <s v="Release 3.0"/>
    <d v="2013-09-05T16:18:03"/>
    <x v="5"/>
    <n v="1.211111111111111"/>
    <n v="0"/>
  </r>
  <r>
    <n v="7876"/>
    <x v="0"/>
    <s v="Release 3.0"/>
    <d v="2013-09-12T18:20:10"/>
    <x v="3"/>
    <n v="1.1916666666666667"/>
    <n v="0"/>
  </r>
  <r>
    <n v="7878"/>
    <x v="0"/>
    <s v="Release 3.0"/>
    <d v="2013-09-12T18:46:09"/>
    <x v="3"/>
    <n v="1.1916666666666667"/>
    <n v="0"/>
  </r>
  <r>
    <n v="7887"/>
    <x v="29"/>
    <s v="Release 3.0"/>
    <d v="2013-10-04T11:51:54"/>
    <x v="15"/>
    <n v="1.1305555555555555"/>
    <n v="0"/>
  </r>
  <r>
    <n v="7888"/>
    <x v="10"/>
    <s v="Release 3.0"/>
    <d v="2013-09-06T20:22:19"/>
    <x v="9"/>
    <n v="1.2083333333333333"/>
    <n v="0"/>
  </r>
  <r>
    <n v="7890"/>
    <x v="22"/>
    <s v="Release 3.0"/>
    <d v="2013-10-04T13:54:01"/>
    <x v="4"/>
    <n v="1.1305555555555555"/>
    <n v="0"/>
  </r>
  <r>
    <n v="7892"/>
    <x v="10"/>
    <s v="Release 3.0"/>
    <d v="2013-09-13T15:17:25"/>
    <x v="4"/>
    <n v="1.1888888888888889"/>
    <n v="0"/>
  </r>
  <r>
    <n v="7894"/>
    <x v="11"/>
    <s v="Release 3.0"/>
    <d v="2013-09-13T15:29:54"/>
    <x v="5"/>
    <n v="1.1888888888888889"/>
    <n v="0"/>
  </r>
  <r>
    <n v="7895"/>
    <x v="11"/>
    <s v="Release 3.0"/>
    <d v="2013-09-27T15:57:42"/>
    <x v="26"/>
    <n v="1.1499999999999999"/>
    <n v="0"/>
  </r>
  <r>
    <n v="7896"/>
    <x v="11"/>
    <s v="Release 3.3"/>
    <d v="2014-09-15T21:14:02"/>
    <x v="5"/>
    <n v="0.18333333333333332"/>
    <n v="1"/>
  </r>
  <r>
    <n v="7898"/>
    <x v="21"/>
    <s v="Release 3.0"/>
    <d v="2013-09-19T19:55:23"/>
    <x v="3"/>
    <n v="1.1722222222222223"/>
    <n v="0"/>
  </r>
  <r>
    <n v="7904"/>
    <x v="18"/>
    <s v="Release 3.0"/>
    <d v="2013-10-23T11:30:21"/>
    <x v="25"/>
    <n v="1.0777777777777777"/>
    <n v="0"/>
  </r>
  <r>
    <n v="7906"/>
    <x v="2"/>
    <s v="Release 3.0"/>
    <d v="2013-10-23T11:30:37"/>
    <x v="25"/>
    <n v="1.0777777777777777"/>
    <n v="0"/>
  </r>
  <r>
    <n v="7909"/>
    <x v="26"/>
    <s v="Release 3.0"/>
    <d v="2013-09-12T14:52:54"/>
    <x v="23"/>
    <n v="1.1916666666666667"/>
    <n v="0"/>
  </r>
  <r>
    <n v="7910"/>
    <x v="2"/>
    <s v="Release 3.1"/>
    <d v="2013-11-15T15:04:33"/>
    <x v="27"/>
    <n v="1.0166666666666666"/>
    <n v="0"/>
  </r>
  <r>
    <n v="7912"/>
    <x v="2"/>
    <s v="Release 3.1"/>
    <d v="2013-11-25T15:19:26"/>
    <x v="5"/>
    <n v="0.98888888888888893"/>
    <n v="1"/>
  </r>
  <r>
    <n v="7917"/>
    <x v="15"/>
    <s v="Release 3.0"/>
    <d v="2013-10-23T11:29:32"/>
    <x v="3"/>
    <n v="1.0777777777777777"/>
    <n v="0"/>
  </r>
  <r>
    <n v="7920"/>
    <x v="11"/>
    <s v="Release 3.0"/>
    <d v="2013-09-16T14:32:47"/>
    <x v="10"/>
    <n v="1.1805555555555556"/>
    <n v="0"/>
  </r>
  <r>
    <n v="7921"/>
    <x v="15"/>
    <s v="Release 3.0"/>
    <d v="2013-10-23T11:30:03"/>
    <x v="0"/>
    <n v="1.0777777777777777"/>
    <n v="0"/>
  </r>
  <r>
    <n v="7922"/>
    <x v="10"/>
    <s v="Release 3.0"/>
    <d v="2013-09-18T15:35:23"/>
    <x v="9"/>
    <n v="1.175"/>
    <n v="0"/>
  </r>
  <r>
    <n v="7924"/>
    <x v="26"/>
    <s v="Release 3.0"/>
    <d v="2013-10-25T13:50:24"/>
    <x v="23"/>
    <n v="1.0722222222222222"/>
    <n v="0"/>
  </r>
  <r>
    <n v="7926"/>
    <x v="28"/>
    <s v="Release 3.0"/>
    <d v="2013-10-23T11:42:24"/>
    <x v="15"/>
    <n v="1.0777777777777777"/>
    <n v="0"/>
  </r>
  <r>
    <n v="7929"/>
    <x v="24"/>
    <s v="Release 3.1"/>
    <d v="2014-01-16T19:21:15"/>
    <x v="9"/>
    <n v="0.84722222222222221"/>
    <n v="1"/>
  </r>
  <r>
    <n v="7931"/>
    <x v="8"/>
    <s v="Release 3.0"/>
    <d v="2013-09-17T16:01:48"/>
    <x v="2"/>
    <n v="1.1777777777777778"/>
    <n v="0"/>
  </r>
  <r>
    <n v="7933"/>
    <x v="8"/>
    <s v="Release 3.1"/>
    <d v="2013-11-13T19:07:40"/>
    <x v="9"/>
    <n v="1.0222222222222221"/>
    <n v="0"/>
  </r>
  <r>
    <n v="7940"/>
    <x v="19"/>
    <s v="Release 3.0"/>
    <d v="2013-10-24T14:20:17"/>
    <x v="26"/>
    <n v="1.075"/>
    <n v="0"/>
  </r>
  <r>
    <n v="7948"/>
    <x v="23"/>
    <s v="Release 3.0"/>
    <d v="2013-10-29T20:06:02"/>
    <x v="10"/>
    <n v="1.0611111111111111"/>
    <n v="0"/>
  </r>
  <r>
    <n v="7949"/>
    <x v="21"/>
    <s v="Release 3.0"/>
    <d v="2013-10-11T13:55:53"/>
    <x v="2"/>
    <n v="1.1111111111111112"/>
    <n v="0"/>
  </r>
  <r>
    <n v="7952"/>
    <x v="10"/>
    <s v="Release 3.0"/>
    <d v="2013-09-20T16:15:15"/>
    <x v="4"/>
    <n v="1.1694444444444445"/>
    <n v="0"/>
  </r>
  <r>
    <n v="7953"/>
    <x v="11"/>
    <s v="Release 3.0"/>
    <d v="2013-09-27T15:34:03"/>
    <x v="5"/>
    <n v="1.1499999999999999"/>
    <n v="0"/>
  </r>
  <r>
    <n v="7955"/>
    <x v="29"/>
    <s v="Release 3.0"/>
    <d v="2013-09-20T15:18:37"/>
    <x v="12"/>
    <n v="1.1694444444444445"/>
    <n v="0"/>
  </r>
  <r>
    <n v="7956"/>
    <x v="21"/>
    <s v="Release 3.0"/>
    <d v="2013-09-27T15:40:51"/>
    <x v="2"/>
    <n v="1.1499999999999999"/>
    <n v="0"/>
  </r>
  <r>
    <n v="7957"/>
    <x v="16"/>
    <s v="Release 3.0"/>
    <d v="2013-10-14T18:22:07"/>
    <x v="9"/>
    <n v="1.1027777777777779"/>
    <n v="0"/>
  </r>
  <r>
    <n v="7958"/>
    <x v="41"/>
    <s v="Release 3.0"/>
    <d v="2013-10-23T11:34:16"/>
    <x v="3"/>
    <n v="1.0777777777777777"/>
    <n v="0"/>
  </r>
  <r>
    <n v="7959"/>
    <x v="10"/>
    <s v="Release 3.0"/>
    <d v="2013-09-19T19:51:01"/>
    <x v="3"/>
    <n v="1.1722222222222223"/>
    <n v="0"/>
  </r>
  <r>
    <n v="7961"/>
    <x v="15"/>
    <s v="Release 3.0"/>
    <d v="2013-10-23T11:33:57"/>
    <x v="5"/>
    <n v="1.0777777777777777"/>
    <n v="0"/>
  </r>
  <r>
    <n v="7962"/>
    <x v="16"/>
    <s v="Release 3.0"/>
    <d v="2013-09-20T17:26:28"/>
    <x v="12"/>
    <n v="1.1694444444444445"/>
    <n v="0"/>
  </r>
  <r>
    <n v="7964"/>
    <x v="28"/>
    <s v="Release 3.0"/>
    <d v="2013-09-20T17:04:07"/>
    <x v="11"/>
    <n v="1.1694444444444445"/>
    <n v="0"/>
  </r>
  <r>
    <n v="7965"/>
    <x v="28"/>
    <s v="Release 3.0"/>
    <d v="2013-10-24T15:41:21"/>
    <x v="15"/>
    <n v="1.075"/>
    <n v="0"/>
  </r>
  <r>
    <n v="7966"/>
    <x v="28"/>
    <s v="Release 3.0"/>
    <d v="2013-10-24T14:05:44"/>
    <x v="10"/>
    <n v="1.075"/>
    <n v="0"/>
  </r>
  <r>
    <n v="7967"/>
    <x v="17"/>
    <s v="Release 3.1"/>
    <d v="2013-11-15T16:02:38"/>
    <x v="4"/>
    <n v="1.0166666666666666"/>
    <n v="0"/>
  </r>
  <r>
    <n v="7970"/>
    <x v="19"/>
    <s v="Release 3.0"/>
    <d v="2013-10-22T16:32:25"/>
    <x v="12"/>
    <n v="1.0805555555555555"/>
    <n v="0"/>
  </r>
  <r>
    <n v="7971"/>
    <x v="19"/>
    <s v="Release 3.0"/>
    <d v="2013-10-11T15:28:10"/>
    <x v="26"/>
    <n v="1.1111111111111112"/>
    <n v="0"/>
  </r>
  <r>
    <n v="7972"/>
    <x v="28"/>
    <s v="Release 3.0"/>
    <d v="2013-10-28T13:53:50"/>
    <x v="2"/>
    <n v="1.0638888888888889"/>
    <n v="0"/>
  </r>
  <r>
    <n v="7975"/>
    <x v="15"/>
    <s v="Release 3.0"/>
    <d v="2013-10-23T11:34:06"/>
    <x v="5"/>
    <n v="1.0777777777777777"/>
    <n v="0"/>
  </r>
  <r>
    <n v="7976"/>
    <x v="28"/>
    <s v="Release 3.0"/>
    <d v="2013-10-11T17:19:58"/>
    <x v="12"/>
    <n v="1.1111111111111112"/>
    <n v="0"/>
  </r>
  <r>
    <n v="7977"/>
    <x v="28"/>
    <s v="Release 3.0"/>
    <d v="2013-10-11T12:05:21"/>
    <x v="15"/>
    <n v="1.1111111111111112"/>
    <n v="0"/>
  </r>
  <r>
    <n v="7978"/>
    <x v="32"/>
    <s v="Release 3.0"/>
    <d v="2013-09-25T15:22:00"/>
    <x v="7"/>
    <n v="1.1555555555555554"/>
    <n v="0"/>
  </r>
  <r>
    <n v="7979"/>
    <x v="32"/>
    <s v="Release 3.0"/>
    <d v="2013-09-25T15:10:10"/>
    <x v="7"/>
    <n v="1.1555555555555554"/>
    <n v="0"/>
  </r>
  <r>
    <n v="7985"/>
    <x v="22"/>
    <s v="Release 3.0"/>
    <d v="2013-09-24T20:05:33"/>
    <x v="5"/>
    <n v="1.1583333333333334"/>
    <n v="0"/>
  </r>
  <r>
    <n v="7986"/>
    <x v="15"/>
    <s v="Release 3.0"/>
    <d v="2013-10-23T11:36:37"/>
    <x v="37"/>
    <n v="1.0777777777777777"/>
    <n v="0"/>
  </r>
  <r>
    <n v="7989"/>
    <x v="11"/>
    <s v="Release 3.0"/>
    <d v="2013-10-28T12:35:12"/>
    <x v="10"/>
    <n v="1.0638888888888889"/>
    <n v="0"/>
  </r>
  <r>
    <n v="7990"/>
    <x v="15"/>
    <s v="Release 3.0"/>
    <d v="2013-10-23T11:39:05"/>
    <x v="26"/>
    <n v="1.0777777777777777"/>
    <n v="0"/>
  </r>
  <r>
    <n v="7992"/>
    <x v="11"/>
    <s v="Release 3.0"/>
    <d v="2013-09-23T18:02:37"/>
    <x v="5"/>
    <n v="1.1611111111111112"/>
    <n v="0"/>
  </r>
  <r>
    <n v="7994"/>
    <x v="3"/>
    <s v="Release 3.0"/>
    <d v="2013-10-11T19:20:37"/>
    <x v="7"/>
    <n v="1.1111111111111112"/>
    <n v="0"/>
  </r>
  <r>
    <n v="7996"/>
    <x v="26"/>
    <s v="Release 3.0"/>
    <d v="2013-09-27T13:58:42"/>
    <x v="10"/>
    <n v="1.1499999999999999"/>
    <n v="0"/>
  </r>
  <r>
    <n v="7997"/>
    <x v="11"/>
    <s v="Release 3.0"/>
    <d v="2013-09-25T09:50:32"/>
    <x v="27"/>
    <n v="1.1555555555555554"/>
    <n v="0"/>
  </r>
  <r>
    <n v="7998"/>
    <x v="22"/>
    <s v="Release 3.0"/>
    <d v="2013-10-04T14:27:53"/>
    <x v="25"/>
    <n v="1.1305555555555555"/>
    <n v="0"/>
  </r>
  <r>
    <n v="8003"/>
    <x v="22"/>
    <s v="Release 3.0"/>
    <d v="2013-09-27T16:23:44"/>
    <x v="25"/>
    <n v="1.1499999999999999"/>
    <n v="0"/>
  </r>
  <r>
    <n v="8009"/>
    <x v="10"/>
    <s v="Release 3.0"/>
    <d v="2013-10-25T19:13:09"/>
    <x v="9"/>
    <n v="1.0722222222222222"/>
    <n v="0"/>
  </r>
  <r>
    <n v="8010"/>
    <x v="28"/>
    <s v="Release 3.0"/>
    <d v="2013-10-04T12:22:35"/>
    <x v="25"/>
    <n v="1.1305555555555555"/>
    <n v="0"/>
  </r>
  <r>
    <n v="8015"/>
    <x v="28"/>
    <s v="Release 3.0"/>
    <d v="2013-09-27T16:22:30"/>
    <x v="25"/>
    <n v="1.1499999999999999"/>
    <n v="0"/>
  </r>
  <r>
    <n v="8017"/>
    <x v="4"/>
    <s v="Release 3.0"/>
    <d v="2013-10-23T16:00:11"/>
    <x v="3"/>
    <n v="1.0777777777777777"/>
    <n v="0"/>
  </r>
  <r>
    <n v="8019"/>
    <x v="23"/>
    <s v="Release 3.0"/>
    <d v="2013-10-23T11:37:02"/>
    <x v="3"/>
    <n v="1.0777777777777777"/>
    <n v="0"/>
  </r>
  <r>
    <n v="8020"/>
    <x v="29"/>
    <s v="Release 3.2"/>
    <d v="2014-02-26T13:16:18"/>
    <x v="13"/>
    <n v="0.73611111111111116"/>
    <n v="1"/>
  </r>
  <r>
    <n v="8021"/>
    <x v="28"/>
    <s v="Release 3.0"/>
    <d v="2013-09-27T16:12:02"/>
    <x v="15"/>
    <n v="1.1499999999999999"/>
    <n v="0"/>
  </r>
  <r>
    <n v="8022"/>
    <x v="8"/>
    <s v="Release 3.0"/>
    <d v="2013-10-03T22:21:34"/>
    <x v="7"/>
    <n v="1.1333333333333333"/>
    <n v="0"/>
  </r>
  <r>
    <n v="8023"/>
    <x v="11"/>
    <s v="Release 3.0"/>
    <d v="2013-10-11T21:37:43"/>
    <x v="9"/>
    <n v="1.1111111111111112"/>
    <n v="0"/>
  </r>
  <r>
    <n v="8025"/>
    <x v="11"/>
    <s v="Release 3.0"/>
    <d v="2013-10-23T11:38:23"/>
    <x v="7"/>
    <n v="1.0777777777777777"/>
    <n v="0"/>
  </r>
  <r>
    <n v="8028"/>
    <x v="19"/>
    <s v="Release 3.0"/>
    <d v="2013-10-03T15:37:12"/>
    <x v="7"/>
    <n v="1.1333333333333333"/>
    <n v="0"/>
  </r>
  <r>
    <n v="8030"/>
    <x v="29"/>
    <s v="Release 3.2"/>
    <d v="2014-03-17T14:23:08"/>
    <x v="13"/>
    <n v="0.67777777777777781"/>
    <n v="1"/>
  </r>
  <r>
    <n v="8031"/>
    <x v="30"/>
    <s v="Release 3.1"/>
    <d v="2013-11-22T14:44:58"/>
    <x v="18"/>
    <n v="0.99722222222222223"/>
    <n v="1"/>
  </r>
  <r>
    <n v="8034"/>
    <x v="16"/>
    <s v="Release 3.0"/>
    <d v="2013-10-04T15:26:03"/>
    <x v="25"/>
    <n v="1.1305555555555555"/>
    <n v="0"/>
  </r>
  <r>
    <n v="8041"/>
    <x v="28"/>
    <s v="Release 3.0"/>
    <d v="2013-10-23T11:43:27"/>
    <x v="25"/>
    <n v="1.0777777777777777"/>
    <n v="0"/>
  </r>
  <r>
    <n v="8042"/>
    <x v="16"/>
    <s v="Release 3.0"/>
    <d v="2013-10-11T14:15:57"/>
    <x v="12"/>
    <n v="1.1111111111111112"/>
    <n v="0"/>
  </r>
  <r>
    <n v="8044"/>
    <x v="18"/>
    <s v="Release 3.0"/>
    <d v="2013-10-28T10:45:30"/>
    <x v="0"/>
    <n v="1.0638888888888889"/>
    <n v="0"/>
  </r>
  <r>
    <n v="8045"/>
    <x v="26"/>
    <s v="Release 3.0"/>
    <d v="2013-10-23T11:41:42"/>
    <x v="28"/>
    <n v="1.0777777777777777"/>
    <n v="0"/>
  </r>
  <r>
    <n v="8049"/>
    <x v="22"/>
    <s v="Release 3.0"/>
    <d v="2013-09-30T13:57:55"/>
    <x v="4"/>
    <n v="1.1416666666666666"/>
    <n v="0"/>
  </r>
  <r>
    <n v="8052"/>
    <x v="22"/>
    <s v="Release 3.0"/>
    <d v="2013-10-11T15:27:48"/>
    <x v="4"/>
    <n v="1.1111111111111112"/>
    <n v="0"/>
  </r>
  <r>
    <n v="8053"/>
    <x v="17"/>
    <s v="Release 3.1"/>
    <d v="2013-11-29T14:32:32"/>
    <x v="12"/>
    <n v="0.97777777777777775"/>
    <n v="1"/>
  </r>
  <r>
    <n v="8054"/>
    <x v="22"/>
    <s v="Release 3.0"/>
    <d v="2013-10-04T11:58:37"/>
    <x v="4"/>
    <n v="1.1305555555555555"/>
    <n v="0"/>
  </r>
  <r>
    <n v="8055"/>
    <x v="22"/>
    <s v="Release 3.0"/>
    <d v="2013-10-02T08:57:46"/>
    <x v="4"/>
    <n v="1.1361111111111111"/>
    <n v="0"/>
  </r>
  <r>
    <n v="8057"/>
    <x v="3"/>
    <s v="Release 3.0"/>
    <d v="2013-10-23T11:49:11"/>
    <x v="21"/>
    <n v="1.0777777777777777"/>
    <n v="0"/>
  </r>
  <r>
    <n v="8060"/>
    <x v="18"/>
    <s v="Release 3.2"/>
    <d v="2014-05-06T15:14:48"/>
    <x v="5"/>
    <n v="0.54166666666666663"/>
    <n v="1"/>
  </r>
  <r>
    <n v="8063"/>
    <x v="2"/>
    <s v="Release 3.0"/>
    <d v="2013-10-04T08:32:39"/>
    <x v="2"/>
    <n v="1.1305555555555555"/>
    <n v="0"/>
  </r>
  <r>
    <n v="8064"/>
    <x v="22"/>
    <s v="Release 3.0"/>
    <d v="2013-10-04T13:54:01"/>
    <x v="25"/>
    <n v="1.1305555555555555"/>
    <n v="0"/>
  </r>
  <r>
    <n v="8065"/>
    <x v="0"/>
    <s v="Release 3.0"/>
    <d v="2013-10-25T20:35:36"/>
    <x v="5"/>
    <n v="1.0722222222222222"/>
    <n v="0"/>
  </r>
  <r>
    <n v="8066"/>
    <x v="4"/>
    <s v="Release 3.0"/>
    <d v="2013-10-28T14:06:22"/>
    <x v="16"/>
    <n v="1.0638888888888889"/>
    <n v="0"/>
  </r>
  <r>
    <n v="8067"/>
    <x v="11"/>
    <s v="Release 3.0"/>
    <d v="2013-10-02T17:10:40"/>
    <x v="7"/>
    <n v="1.1361111111111111"/>
    <n v="0"/>
  </r>
  <r>
    <n v="8070"/>
    <x v="26"/>
    <s v="Release 3.0"/>
    <d v="2013-10-23T11:47:28"/>
    <x v="23"/>
    <n v="1.0777777777777777"/>
    <n v="0"/>
  </r>
  <r>
    <n v="8072"/>
    <x v="28"/>
    <s v="Release 3.0"/>
    <d v="2013-10-11T16:15:47"/>
    <x v="15"/>
    <n v="1.1111111111111112"/>
    <n v="0"/>
  </r>
  <r>
    <n v="8073"/>
    <x v="17"/>
    <s v="Release 3.1"/>
    <d v="2013-11-15T13:55:47"/>
    <x v="4"/>
    <n v="1.0166666666666666"/>
    <n v="0"/>
  </r>
  <r>
    <n v="8074"/>
    <x v="11"/>
    <s v="Release 3.0"/>
    <d v="2013-10-09T15:16:12"/>
    <x v="16"/>
    <n v="1.1166666666666667"/>
    <n v="0"/>
  </r>
  <r>
    <n v="8075"/>
    <x v="28"/>
    <s v="Release 3.0"/>
    <d v="2013-10-11T15:00:00"/>
    <x v="25"/>
    <n v="1.1111111111111112"/>
    <n v="0"/>
  </r>
  <r>
    <n v="8076"/>
    <x v="8"/>
    <s v="Release 3.0"/>
    <d v="2013-10-04T16:33:58"/>
    <x v="21"/>
    <n v="1.1305555555555555"/>
    <n v="0"/>
  </r>
  <r>
    <n v="8077"/>
    <x v="14"/>
    <s v="Release 3.0"/>
    <d v="2013-10-07T13:21:50"/>
    <x v="5"/>
    <n v="1.1222222222222222"/>
    <n v="0"/>
  </r>
  <r>
    <n v="8082"/>
    <x v="26"/>
    <s v="Release 3.0"/>
    <d v="2013-10-23T11:47:14"/>
    <x v="23"/>
    <n v="1.0777777777777777"/>
    <n v="0"/>
  </r>
  <r>
    <n v="8083"/>
    <x v="22"/>
    <s v="Release 3.0"/>
    <d v="2013-10-09T10:43:38"/>
    <x v="4"/>
    <n v="1.1166666666666667"/>
    <n v="0"/>
  </r>
  <r>
    <n v="8088"/>
    <x v="21"/>
    <s v="Release 3.0"/>
    <d v="2013-10-11T14:59:55"/>
    <x v="26"/>
    <n v="1.1111111111111112"/>
    <n v="0"/>
  </r>
  <r>
    <n v="8089"/>
    <x v="23"/>
    <s v="Release 3.1"/>
    <d v="2013-12-11T09:56:48"/>
    <x v="21"/>
    <n v="0.94444444444444442"/>
    <n v="1"/>
  </r>
  <r>
    <n v="8090"/>
    <x v="16"/>
    <s v="Release 3.0"/>
    <d v="2013-10-23T11:53:20"/>
    <x v="16"/>
    <n v="1.0777777777777777"/>
    <n v="0"/>
  </r>
  <r>
    <n v="8091"/>
    <x v="44"/>
    <s v="Release 3.3"/>
    <d v="2014-11-07T09:50:38"/>
    <x v="29"/>
    <n v="3.888888888888889E-2"/>
    <n v="1"/>
  </r>
  <r>
    <n v="8092"/>
    <x v="8"/>
    <s v="Release 3.0"/>
    <d v="2013-10-09T16:56:10"/>
    <x v="7"/>
    <n v="1.1166666666666667"/>
    <n v="0"/>
  </r>
  <r>
    <n v="8093"/>
    <x v="21"/>
    <s v="Release 3.0"/>
    <d v="2013-10-11T21:52:32"/>
    <x v="9"/>
    <n v="1.1111111111111112"/>
    <n v="0"/>
  </r>
  <r>
    <n v="8094"/>
    <x v="21"/>
    <s v="Release 3.0"/>
    <d v="2013-10-18T16:53:34"/>
    <x v="28"/>
    <n v="1.0916666666666666"/>
    <n v="0"/>
  </r>
  <r>
    <n v="8095"/>
    <x v="18"/>
    <s v="Release 3.0"/>
    <d v="2013-10-28T12:18:02"/>
    <x v="2"/>
    <n v="1.0638888888888889"/>
    <n v="0"/>
  </r>
  <r>
    <n v="8096"/>
    <x v="23"/>
    <s v="Release 3.0"/>
    <d v="2013-10-23T11:50:13"/>
    <x v="18"/>
    <n v="1.0777777777777777"/>
    <n v="0"/>
  </r>
  <r>
    <n v="8099"/>
    <x v="4"/>
    <s v="Release 3.0"/>
    <d v="2013-10-25T20:51:40"/>
    <x v="7"/>
    <n v="1.0722222222222222"/>
    <n v="0"/>
  </r>
  <r>
    <n v="8100"/>
    <x v="0"/>
    <s v="Release 3.0"/>
    <d v="2013-10-23T11:56:20"/>
    <x v="9"/>
    <n v="1.0777777777777777"/>
    <n v="0"/>
  </r>
  <r>
    <n v="8101"/>
    <x v="23"/>
    <s v="Release 3.0"/>
    <d v="2013-10-25T16:27:57"/>
    <x v="26"/>
    <n v="1.0722222222222222"/>
    <n v="0"/>
  </r>
  <r>
    <n v="8103"/>
    <x v="14"/>
    <s v="Release 3.0"/>
    <d v="2013-10-11T14:52:39"/>
    <x v="3"/>
    <n v="1.1111111111111112"/>
    <n v="0"/>
  </r>
  <r>
    <n v="8105"/>
    <x v="0"/>
    <s v="Release 3.0"/>
    <d v="2013-10-25T14:06:19"/>
    <x v="5"/>
    <n v="1.0722222222222222"/>
    <n v="0"/>
  </r>
  <r>
    <n v="8109"/>
    <x v="23"/>
    <s v="Release 3.0"/>
    <d v="2013-10-23T11:55:44"/>
    <x v="10"/>
    <n v="1.0777777777777777"/>
    <n v="0"/>
  </r>
  <r>
    <n v="8113"/>
    <x v="21"/>
    <s v="Release 3.0"/>
    <d v="2013-10-11T20:49:32"/>
    <x v="7"/>
    <n v="1.1111111111111112"/>
    <n v="0"/>
  </r>
  <r>
    <n v="8118"/>
    <x v="21"/>
    <s v="Release 3.0"/>
    <d v="2013-10-18T17:01:24"/>
    <x v="16"/>
    <n v="1.0916666666666666"/>
    <n v="0"/>
  </r>
  <r>
    <n v="8120"/>
    <x v="21"/>
    <s v="Release 3.0"/>
    <d v="2013-10-18T14:16:16"/>
    <x v="26"/>
    <n v="1.0916666666666666"/>
    <n v="0"/>
  </r>
  <r>
    <n v="8121"/>
    <x v="21"/>
    <s v="Release 3.0"/>
    <d v="2014-03-27T09:08:35"/>
    <x v="9"/>
    <n v="0.65"/>
    <n v="1"/>
  </r>
  <r>
    <n v="8124"/>
    <x v="16"/>
    <s v="Release 3.0"/>
    <d v="2013-10-15T13:40:59"/>
    <x v="12"/>
    <n v="1.1000000000000001"/>
    <n v="0"/>
  </r>
  <r>
    <n v="8125"/>
    <x v="16"/>
    <s v="Release 3.0"/>
    <d v="2013-10-28T09:06:55"/>
    <x v="12"/>
    <n v="1.0638888888888889"/>
    <n v="0"/>
  </r>
  <r>
    <n v="8127"/>
    <x v="21"/>
    <s v="Release 3.0"/>
    <d v="2013-10-17T14:39:17"/>
    <x v="16"/>
    <n v="1.0944444444444446"/>
    <n v="0"/>
  </r>
  <r>
    <n v="8134"/>
    <x v="16"/>
    <s v="Release 3.0"/>
    <d v="2013-10-28T16:10:25"/>
    <x v="12"/>
    <n v="1.0638888888888889"/>
    <n v="0"/>
  </r>
  <r>
    <n v="8135"/>
    <x v="3"/>
    <s v="Release 3.1"/>
    <d v="2014-01-27T13:29:52"/>
    <x v="11"/>
    <n v="0.81666666666666665"/>
    <n v="1"/>
  </r>
  <r>
    <n v="8136"/>
    <x v="26"/>
    <s v="Release 3.0"/>
    <d v="2013-10-23T11:56:07"/>
    <x v="0"/>
    <n v="1.0777777777777777"/>
    <n v="0"/>
  </r>
  <r>
    <n v="8137"/>
    <x v="16"/>
    <s v="Release 3.0"/>
    <d v="2013-10-28T13:45:07"/>
    <x v="11"/>
    <n v="1.0638888888888889"/>
    <n v="0"/>
  </r>
  <r>
    <n v="8140"/>
    <x v="28"/>
    <s v="Release 3.1"/>
    <d v="2014-03-12T11:25:55"/>
    <x v="1"/>
    <n v="0.69166666666666665"/>
    <n v="1"/>
  </r>
  <r>
    <n v="8141"/>
    <x v="15"/>
    <s v="Release 3.0"/>
    <d v="2013-10-18T14:06:08"/>
    <x v="25"/>
    <n v="1.0916666666666666"/>
    <n v="0"/>
  </r>
  <r>
    <n v="8143"/>
    <x v="11"/>
    <s v="Release 3.0"/>
    <d v="2013-10-21T20:10:46"/>
    <x v="7"/>
    <n v="1.0833333333333333"/>
    <n v="0"/>
  </r>
  <r>
    <n v="8144"/>
    <x v="24"/>
    <s v="Release 3.0"/>
    <d v="2013-10-17T14:06:03"/>
    <x v="4"/>
    <n v="1.0944444444444446"/>
    <n v="0"/>
  </r>
  <r>
    <n v="8146"/>
    <x v="28"/>
    <s v="Release 3.0"/>
    <d v="2013-10-28T07:53:17"/>
    <x v="12"/>
    <n v="1.0638888888888889"/>
    <n v="0"/>
  </r>
  <r>
    <n v="8147"/>
    <x v="22"/>
    <s v="Release 3.0"/>
    <d v="2013-10-28T08:02:47"/>
    <x v="26"/>
    <n v="1.0638888888888889"/>
    <n v="0"/>
  </r>
  <r>
    <n v="8152"/>
    <x v="24"/>
    <s v="Release 3.1"/>
    <d v="2014-01-27T13:29:47"/>
    <x v="12"/>
    <n v="0.81666666666666665"/>
    <n v="1"/>
  </r>
  <r>
    <n v="8159"/>
    <x v="0"/>
    <s v="Release 3.0"/>
    <d v="2013-10-21T15:27:38"/>
    <x v="3"/>
    <n v="1.0833333333333333"/>
    <n v="0"/>
  </r>
  <r>
    <n v="8164"/>
    <x v="10"/>
    <s v="Release 3.0"/>
    <d v="2013-10-24T14:18:43"/>
    <x v="11"/>
    <n v="1.075"/>
    <n v="0"/>
  </r>
  <r>
    <n v="8166"/>
    <x v="26"/>
    <s v="Release 3.0"/>
    <d v="2013-10-29T17:49:36"/>
    <x v="0"/>
    <n v="1.0611111111111111"/>
    <n v="0"/>
  </r>
  <r>
    <n v="8168"/>
    <x v="11"/>
    <s v="Release 3.0"/>
    <d v="2013-10-28T14:10:04"/>
    <x v="10"/>
    <n v="1.0638888888888889"/>
    <n v="0"/>
  </r>
  <r>
    <n v="8170"/>
    <x v="28"/>
    <s v="Release 3.0"/>
    <d v="2013-10-28T10:06:21"/>
    <x v="1"/>
    <n v="1.0638888888888889"/>
    <n v="0"/>
  </r>
  <r>
    <n v="8173"/>
    <x v="28"/>
    <s v="Release 3.0"/>
    <d v="2013-10-24T11:16:44"/>
    <x v="18"/>
    <n v="1.075"/>
    <n v="0"/>
  </r>
  <r>
    <n v="8174"/>
    <x v="28"/>
    <s v="Release 3.0"/>
    <d v="2013-10-24T11:27:21"/>
    <x v="18"/>
    <n v="1.075"/>
    <n v="0"/>
  </r>
  <r>
    <n v="8176"/>
    <x v="28"/>
    <s v="Release 3.1"/>
    <d v="2014-01-03T14:37:43"/>
    <x v="18"/>
    <n v="0.8833333333333333"/>
    <n v="1"/>
  </r>
  <r>
    <n v="8177"/>
    <x v="3"/>
    <s v="Release 3.0"/>
    <d v="2013-10-23T17:35:20"/>
    <x v="27"/>
    <n v="1.0777777777777777"/>
    <n v="0"/>
  </r>
  <r>
    <n v="8184"/>
    <x v="0"/>
    <s v="Release 3.1"/>
    <d v="2013-11-29T13:46:32"/>
    <x v="26"/>
    <n v="0.97777777777777775"/>
    <n v="1"/>
  </r>
  <r>
    <n v="8188"/>
    <x v="28"/>
    <s v="Release 3.0"/>
    <d v="2013-10-25T16:38:13"/>
    <x v="1"/>
    <n v="1.0722222222222222"/>
    <n v="0"/>
  </r>
  <r>
    <n v="8190"/>
    <x v="18"/>
    <s v="Release 3.0"/>
    <d v="2013-10-25T14:07:19"/>
    <x v="28"/>
    <n v="1.0722222222222222"/>
    <n v="0"/>
  </r>
  <r>
    <n v="8192"/>
    <x v="24"/>
    <s v="Release 3.1"/>
    <d v="2014-10-08T11:44:18"/>
    <x v="11"/>
    <n v="0.11944444444444445"/>
    <n v="1"/>
  </r>
  <r>
    <n v="8197"/>
    <x v="16"/>
    <s v="Release 3.0"/>
    <d v="2013-10-24T15:33:46"/>
    <x v="11"/>
    <n v="1.075"/>
    <n v="0"/>
  </r>
  <r>
    <n v="8198"/>
    <x v="34"/>
    <s v="Release 3.3"/>
    <d v="2014-09-05T15:20:20"/>
    <x v="1"/>
    <n v="0.21111111111111111"/>
    <n v="1"/>
  </r>
  <r>
    <n v="8208"/>
    <x v="21"/>
    <s v="Release 3.1"/>
    <d v="2014-01-31T13:57:22"/>
    <x v="3"/>
    <n v="0.80833333333333335"/>
    <n v="1"/>
  </r>
  <r>
    <n v="8214"/>
    <x v="6"/>
    <s v="Release 3.3"/>
    <d v="2014-09-12T13:59:18"/>
    <x v="4"/>
    <n v="0.19166666666666668"/>
    <n v="1"/>
  </r>
  <r>
    <n v="8225"/>
    <x v="28"/>
    <s v="Release 3.0"/>
    <d v="2013-10-28T15:19:27"/>
    <x v="15"/>
    <n v="1.0638888888888889"/>
    <n v="0"/>
  </r>
  <r>
    <n v="8227"/>
    <x v="17"/>
    <s v="Release 3.2"/>
    <d v="2014-02-10T18:18:26"/>
    <x v="7"/>
    <n v="0.78055555555555556"/>
    <n v="1"/>
  </r>
  <r>
    <n v="8228"/>
    <x v="4"/>
    <s v="Release 3.0"/>
    <d v="2013-10-28T14:36:45"/>
    <x v="16"/>
    <n v="1.0638888888888889"/>
    <n v="0"/>
  </r>
  <r>
    <n v="8230"/>
    <x v="24"/>
    <s v="Release 3.1"/>
    <d v="2014-01-27T13:29:54"/>
    <x v="21"/>
    <n v="0.81666666666666665"/>
    <n v="1"/>
  </r>
  <r>
    <n v="8231"/>
    <x v="16"/>
    <s v="Release 3.0"/>
    <d v="2013-10-25T17:11:34"/>
    <x v="9"/>
    <n v="1.0722222222222222"/>
    <n v="0"/>
  </r>
  <r>
    <n v="8241"/>
    <x v="21"/>
    <s v="Release 3.1"/>
    <d v="2014-01-27T13:29:55"/>
    <x v="18"/>
    <n v="0.81666666666666665"/>
    <n v="1"/>
  </r>
  <r>
    <n v="8244"/>
    <x v="24"/>
    <s v="Release 3.1"/>
    <d v="2014-01-27T13:29:49"/>
    <x v="1"/>
    <n v="0.81666666666666665"/>
    <n v="1"/>
  </r>
  <r>
    <n v="8247"/>
    <x v="28"/>
    <s v="Release 3.0"/>
    <d v="2013-10-28T16:37:36"/>
    <x v="15"/>
    <n v="1.0638888888888889"/>
    <n v="0"/>
  </r>
  <r>
    <n v="8250"/>
    <x v="23"/>
    <s v="Release 3.1"/>
    <d v="2014-01-27T13:29:59"/>
    <x v="10"/>
    <n v="0.81666666666666665"/>
    <n v="1"/>
  </r>
  <r>
    <n v="8251"/>
    <x v="21"/>
    <s v="Release 3.1"/>
    <d v="2013-12-13T21:49:03"/>
    <x v="16"/>
    <n v="0.93888888888888888"/>
    <n v="1"/>
  </r>
  <r>
    <n v="8259"/>
    <x v="0"/>
    <s v="Release 3.0"/>
    <d v="2013-10-29T08:50:04"/>
    <x v="11"/>
    <n v="1.0611111111111111"/>
    <n v="0"/>
  </r>
  <r>
    <n v="8261"/>
    <x v="53"/>
    <s v="Release 3.3"/>
    <d v="2014-10-22T14:29:54"/>
    <x v="13"/>
    <n v="8.0555555555555561E-2"/>
    <n v="1"/>
  </r>
  <r>
    <n v="8263"/>
    <x v="17"/>
    <s v="Release 3.1"/>
    <d v="2013-12-12T15:00:11"/>
    <x v="13"/>
    <n v="0.94166666666666665"/>
    <n v="1"/>
  </r>
  <r>
    <n v="8264"/>
    <x v="24"/>
    <s v="Release 3.2"/>
    <d v="2014-03-10T08:51:36"/>
    <x v="26"/>
    <n v="0.69722222222222219"/>
    <n v="1"/>
  </r>
  <r>
    <n v="8266"/>
    <x v="11"/>
    <s v="Release 3.0"/>
    <d v="2013-10-31T11:50:31"/>
    <x v="4"/>
    <n v="1.0583333333333333"/>
    <n v="0"/>
  </r>
  <r>
    <n v="8271"/>
    <x v="24"/>
    <s v="Release 3.1"/>
    <d v="2014-01-17T12:39:10"/>
    <x v="27"/>
    <n v="0.84444444444444444"/>
    <n v="1"/>
  </r>
  <r>
    <n v="8274"/>
    <x v="24"/>
    <s v="Release 3.1"/>
    <d v="2014-01-27T13:29:48"/>
    <x v="12"/>
    <n v="0.81666666666666665"/>
    <n v="1"/>
  </r>
  <r>
    <n v="8275"/>
    <x v="29"/>
    <s v="Release 3.0"/>
    <d v="2013-10-31T15:52:01"/>
    <x v="15"/>
    <n v="1.0583333333333333"/>
    <n v="0"/>
  </r>
  <r>
    <n v="8276"/>
    <x v="28"/>
    <s v="Release 3.0"/>
    <d v="2013-10-29T15:52:08"/>
    <x v="1"/>
    <n v="1.0611111111111111"/>
    <n v="0"/>
  </r>
  <r>
    <n v="8286"/>
    <x v="28"/>
    <s v="Release 3.0"/>
    <d v="2013-10-30T12:44:29"/>
    <x v="4"/>
    <n v="1.0583333333333333"/>
    <n v="0"/>
  </r>
  <r>
    <n v="8291"/>
    <x v="23"/>
    <s v="Release 3.2"/>
    <d v="2014-03-13T13:51:18"/>
    <x v="7"/>
    <n v="0.68888888888888888"/>
    <n v="1"/>
  </r>
  <r>
    <n v="8292"/>
    <x v="28"/>
    <s v="Release 3.1"/>
    <d v="2013-11-15T15:25:54"/>
    <x v="4"/>
    <n v="1.0166666666666666"/>
    <n v="0"/>
  </r>
  <r>
    <n v="8296"/>
    <x v="24"/>
    <s v="Release 3.1"/>
    <d v="2013-11-22T14:08:05"/>
    <x v="4"/>
    <n v="0.99722222222222223"/>
    <n v="1"/>
  </r>
  <r>
    <n v="8304"/>
    <x v="3"/>
    <s v="Release 3.2"/>
    <d v="2014-02-28T16:29:18"/>
    <x v="9"/>
    <n v="0.72499999999999998"/>
    <n v="1"/>
  </r>
  <r>
    <n v="8309"/>
    <x v="28"/>
    <s v="Release 3.0"/>
    <d v="2013-10-31T15:29:39"/>
    <x v="15"/>
    <n v="1.0583333333333333"/>
    <n v="0"/>
  </r>
  <r>
    <n v="8313"/>
    <x v="22"/>
    <s v="Release 3.1"/>
    <d v="2013-11-12T09:28:42"/>
    <x v="15"/>
    <n v="1.0249999999999999"/>
    <n v="0"/>
  </r>
  <r>
    <n v="8315"/>
    <x v="19"/>
    <s v="Release 3.1"/>
    <d v="2014-01-17T13:02:50"/>
    <x v="27"/>
    <n v="0.84444444444444444"/>
    <n v="1"/>
  </r>
  <r>
    <n v="8332"/>
    <x v="23"/>
    <s v="Release 3.1"/>
    <d v="2013-11-18T13:49:10"/>
    <x v="2"/>
    <n v="1.0083333333333333"/>
    <n v="0"/>
  </r>
  <r>
    <n v="8333"/>
    <x v="28"/>
    <s v="Release 3.2"/>
    <d v="2014-04-04T15:49:21"/>
    <x v="1"/>
    <n v="0.63055555555555554"/>
    <n v="1"/>
  </r>
  <r>
    <n v="8336"/>
    <x v="34"/>
    <s v="Release 3.3"/>
    <d v="2014-09-12T14:02:59"/>
    <x v="18"/>
    <n v="0.19166666666666668"/>
    <n v="1"/>
  </r>
  <r>
    <n v="8338"/>
    <x v="0"/>
    <s v="Release 3.0"/>
    <d v="2013-11-04T15:21:22"/>
    <x v="0"/>
    <n v="1.0472222222222223"/>
    <n v="0"/>
  </r>
  <r>
    <n v="8341"/>
    <x v="22"/>
    <s v="Release 3.1"/>
    <d v="2013-11-11T10:17:31"/>
    <x v="15"/>
    <n v="1.0277777777777777"/>
    <n v="0"/>
  </r>
  <r>
    <n v="8342"/>
    <x v="0"/>
    <s v="Release 3.2"/>
    <d v="2014-06-23T16:02:11"/>
    <x v="10"/>
    <n v="0.41111111111111109"/>
    <n v="1"/>
  </r>
  <r>
    <n v="8343"/>
    <x v="28"/>
    <s v="Release 3.1"/>
    <d v="2013-11-15T15:45:21"/>
    <x v="12"/>
    <n v="1.0166666666666666"/>
    <n v="0"/>
  </r>
  <r>
    <n v="8346"/>
    <x v="28"/>
    <s v="Release 3.1"/>
    <d v="2014-01-03T14:33:48"/>
    <x v="1"/>
    <n v="0.8833333333333333"/>
    <n v="1"/>
  </r>
  <r>
    <n v="8347"/>
    <x v="28"/>
    <s v="Release 3.1"/>
    <d v="2014-01-31T14:09:52"/>
    <x v="1"/>
    <n v="0.80833333333333335"/>
    <n v="1"/>
  </r>
  <r>
    <n v="8352"/>
    <x v="11"/>
    <s v="Release 3.1"/>
    <d v="2013-11-07T19:48:08"/>
    <x v="8"/>
    <n v="1.038888888888889"/>
    <n v="0"/>
  </r>
  <r>
    <n v="8354"/>
    <x v="19"/>
    <s v="Release 3.2"/>
    <d v="2014-02-07T15:19:21"/>
    <x v="4"/>
    <n v="0.78888888888888886"/>
    <n v="1"/>
  </r>
  <r>
    <n v="8355"/>
    <x v="11"/>
    <s v="Release 3.1"/>
    <d v="2013-11-15T15:32:22"/>
    <x v="5"/>
    <n v="1.0166666666666666"/>
    <n v="0"/>
  </r>
  <r>
    <n v="8356"/>
    <x v="0"/>
    <s v="Release 3.2"/>
    <d v="2014-03-13T11:35:13"/>
    <x v="4"/>
    <n v="0.68888888888888888"/>
    <n v="1"/>
  </r>
  <r>
    <n v="8357"/>
    <x v="0"/>
    <s v="Release 3.2"/>
    <d v="2014-04-02T15:47:20"/>
    <x v="4"/>
    <n v="0.63611111111111107"/>
    <n v="1"/>
  </r>
  <r>
    <n v="8358"/>
    <x v="0"/>
    <s v="Release 3.2"/>
    <d v="2014-05-02T15:37:41"/>
    <x v="16"/>
    <n v="0.55277777777777781"/>
    <n v="1"/>
  </r>
  <r>
    <n v="8359"/>
    <x v="0"/>
    <s v="Release 3.2"/>
    <d v="2014-02-21T18:29:12"/>
    <x v="16"/>
    <n v="0.75"/>
    <n v="1"/>
  </r>
  <r>
    <n v="8360"/>
    <x v="0"/>
    <s v="Release 3.2"/>
    <d v="2014-03-24T18:06:35"/>
    <x v="3"/>
    <n v="0.65833333333333333"/>
    <n v="1"/>
  </r>
  <r>
    <n v="8361"/>
    <x v="0"/>
    <s v="Release 3.2"/>
    <d v="2014-05-16T19:03:16"/>
    <x v="16"/>
    <n v="0.51388888888888884"/>
    <n v="1"/>
  </r>
  <r>
    <n v="8362"/>
    <x v="0"/>
    <s v="Release 3.2"/>
    <d v="2014-05-09T13:32:26"/>
    <x v="2"/>
    <n v="0.53333333333333333"/>
    <n v="1"/>
  </r>
  <r>
    <n v="8363"/>
    <x v="3"/>
    <s v="Release 3.1"/>
    <d v="2013-11-08T13:30:25"/>
    <x v="5"/>
    <n v="1.0361111111111112"/>
    <n v="0"/>
  </r>
  <r>
    <n v="8365"/>
    <x v="43"/>
    <s v="Release 3.2"/>
    <d v="2014-07-01T17:01:06"/>
    <x v="4"/>
    <n v="0.3888888888888889"/>
    <n v="1"/>
  </r>
  <r>
    <n v="8375"/>
    <x v="2"/>
    <s v="Release 3.1"/>
    <d v="2013-11-07T22:02:06"/>
    <x v="5"/>
    <n v="1.038888888888889"/>
    <n v="0"/>
  </r>
  <r>
    <n v="8376"/>
    <x v="16"/>
    <s v="Release 3.2"/>
    <d v="2014-02-25T19:07:34"/>
    <x v="5"/>
    <n v="0.73888888888888893"/>
    <n v="1"/>
  </r>
  <r>
    <n v="8379"/>
    <x v="28"/>
    <s v="Release 3.1"/>
    <d v="2013-11-15T15:10:24"/>
    <x v="25"/>
    <n v="1.0166666666666666"/>
    <n v="0"/>
  </r>
  <r>
    <n v="8381"/>
    <x v="16"/>
    <s v="Release 3.1"/>
    <d v="2013-11-18T09:14:48"/>
    <x v="4"/>
    <n v="1.0083333333333333"/>
    <n v="0"/>
  </r>
  <r>
    <n v="8382"/>
    <x v="2"/>
    <s v="Release 3.1"/>
    <d v="2013-11-15T18:44:47"/>
    <x v="7"/>
    <n v="1.0166666666666666"/>
    <n v="0"/>
  </r>
  <r>
    <n v="8384"/>
    <x v="8"/>
    <s v="Release 3.1"/>
    <d v="2013-11-14T20:44:29"/>
    <x v="3"/>
    <n v="1.0194444444444444"/>
    <n v="0"/>
  </r>
  <r>
    <n v="8385"/>
    <x v="28"/>
    <s v="Release 3.1"/>
    <d v="2013-11-13T15:03:47"/>
    <x v="28"/>
    <n v="1.0222222222222221"/>
    <n v="0"/>
  </r>
  <r>
    <n v="8387"/>
    <x v="28"/>
    <s v="Release 3.1"/>
    <d v="2013-11-18T09:58:42"/>
    <x v="1"/>
    <n v="1.0083333333333333"/>
    <n v="0"/>
  </r>
  <r>
    <n v="8388"/>
    <x v="28"/>
    <s v="Release 3.1"/>
    <d v="2013-11-18T15:02:08"/>
    <x v="21"/>
    <n v="1.0083333333333333"/>
    <n v="0"/>
  </r>
  <r>
    <n v="8389"/>
    <x v="28"/>
    <s v="Release 3.1"/>
    <d v="2013-11-29T15:54:14"/>
    <x v="11"/>
    <n v="0.97777777777777775"/>
    <n v="1"/>
  </r>
  <r>
    <n v="8391"/>
    <x v="28"/>
    <s v="Release 3.1"/>
    <d v="2014-01-31T08:55:46"/>
    <x v="1"/>
    <n v="0.80833333333333335"/>
    <n v="1"/>
  </r>
  <r>
    <n v="8392"/>
    <x v="28"/>
    <s v="Release 3.1"/>
    <d v="2014-01-31T15:23:52"/>
    <x v="15"/>
    <n v="0.80833333333333335"/>
    <n v="1"/>
  </r>
  <r>
    <n v="8393"/>
    <x v="28"/>
    <s v="Release 3.1"/>
    <d v="2013-11-29T12:18:37"/>
    <x v="25"/>
    <n v="0.97777777777777775"/>
    <n v="1"/>
  </r>
  <r>
    <n v="8395"/>
    <x v="22"/>
    <s v="Release 3.1"/>
    <d v="2013-11-18T15:29:44"/>
    <x v="15"/>
    <n v="1.0083333333333333"/>
    <n v="0"/>
  </r>
  <r>
    <n v="8396"/>
    <x v="17"/>
    <s v="Release 3.1"/>
    <d v="2014-01-03T11:39:12"/>
    <x v="16"/>
    <n v="0.8833333333333333"/>
    <n v="1"/>
  </r>
  <r>
    <n v="8397"/>
    <x v="17"/>
    <s v="Release 3.1"/>
    <d v="2013-11-26T01:48:04"/>
    <x v="16"/>
    <n v="0.98611111111111116"/>
    <n v="1"/>
  </r>
  <r>
    <n v="8398"/>
    <x v="17"/>
    <s v="Release 3.1"/>
    <d v="2014-01-07T15:13:01"/>
    <x v="13"/>
    <n v="0.87222222222222223"/>
    <n v="1"/>
  </r>
  <r>
    <n v="8400"/>
    <x v="17"/>
    <s v="Release 3.1"/>
    <d v="2014-01-08T16:15:56"/>
    <x v="16"/>
    <n v="0.86944444444444446"/>
    <n v="1"/>
  </r>
  <r>
    <n v="8401"/>
    <x v="24"/>
    <s v="Release 3.1"/>
    <d v="2014-01-27T13:29:50"/>
    <x v="12"/>
    <n v="0.81666666666666665"/>
    <n v="1"/>
  </r>
  <r>
    <n v="8402"/>
    <x v="17"/>
    <s v="Release 3.1"/>
    <d v="2014-01-17T15:20:50"/>
    <x v="16"/>
    <n v="0.84444444444444444"/>
    <n v="1"/>
  </r>
  <r>
    <n v="8403"/>
    <x v="17"/>
    <s v="Release 3.1"/>
    <d v="2014-01-09T18:45:21"/>
    <x v="16"/>
    <n v="0.8666666666666667"/>
    <n v="1"/>
  </r>
  <r>
    <n v="8404"/>
    <x v="17"/>
    <s v="Release 3.1"/>
    <d v="2014-01-31T13:59:40"/>
    <x v="16"/>
    <n v="0.80833333333333335"/>
    <n v="1"/>
  </r>
  <r>
    <n v="8405"/>
    <x v="23"/>
    <s v="Release 3.1"/>
    <d v="2014-01-27T13:29:48"/>
    <x v="9"/>
    <n v="0.81666666666666665"/>
    <n v="1"/>
  </r>
  <r>
    <n v="8410"/>
    <x v="11"/>
    <s v="Release 3.1"/>
    <d v="2013-12-12T17:13:38"/>
    <x v="7"/>
    <n v="0.94166666666666665"/>
    <n v="1"/>
  </r>
  <r>
    <n v="8412"/>
    <x v="3"/>
    <s v="Release 3.1"/>
    <d v="2013-11-15T16:37:15"/>
    <x v="27"/>
    <n v="1.0166666666666666"/>
    <n v="0"/>
  </r>
  <r>
    <n v="8418"/>
    <x v="2"/>
    <s v="Release 3.1"/>
    <d v="2013-11-18T09:19:51"/>
    <x v="26"/>
    <n v="1.0083333333333333"/>
    <n v="0"/>
  </r>
  <r>
    <n v="8419"/>
    <x v="44"/>
    <s v="Release 3.3"/>
    <d v="2014-10-16T10:01:55"/>
    <x v="13"/>
    <n v="9.7222222222222224E-2"/>
    <n v="1"/>
  </r>
  <r>
    <n v="8425"/>
    <x v="3"/>
    <s v="Release 3.1"/>
    <d v="2013-11-12T16:08:53"/>
    <x v="25"/>
    <n v="1.0249999999999999"/>
    <n v="0"/>
  </r>
  <r>
    <n v="8427"/>
    <x v="23"/>
    <s v="Release 3.1"/>
    <d v="2013-12-20T19:55:01"/>
    <x v="9"/>
    <n v="0.9194444444444444"/>
    <n v="1"/>
  </r>
  <r>
    <n v="8428"/>
    <x v="16"/>
    <s v="Release 3.1"/>
    <d v="2013-11-19T08:39:36"/>
    <x v="4"/>
    <n v="1.0055555555555555"/>
    <n v="0"/>
  </r>
  <r>
    <n v="8431"/>
    <x v="28"/>
    <s v="Release 3.1"/>
    <d v="2013-11-15T14:00:20"/>
    <x v="5"/>
    <n v="1.0166666666666666"/>
    <n v="0"/>
  </r>
  <r>
    <n v="8434"/>
    <x v="26"/>
    <s v="Release 3.1"/>
    <d v="2014-01-31T14:01:08"/>
    <x v="0"/>
    <n v="0.80833333333333335"/>
    <n v="1"/>
  </r>
  <r>
    <n v="8435"/>
    <x v="22"/>
    <s v="Release 3.1"/>
    <d v="2013-11-26T13:54:02"/>
    <x v="15"/>
    <n v="0.98611111111111116"/>
    <n v="1"/>
  </r>
  <r>
    <n v="8436"/>
    <x v="4"/>
    <s v="Release 3.1"/>
    <d v="2014-01-27T13:29:54"/>
    <x v="26"/>
    <n v="0.81666666666666665"/>
    <n v="1"/>
  </r>
  <r>
    <n v="8437"/>
    <x v="2"/>
    <s v="Release 3.1"/>
    <d v="2013-11-18T10:17:26"/>
    <x v="26"/>
    <n v="1.0083333333333333"/>
    <n v="0"/>
  </r>
  <r>
    <n v="8438"/>
    <x v="22"/>
    <s v="Release 3.1"/>
    <d v="2013-11-22T15:41:23"/>
    <x v="13"/>
    <n v="0.99722222222222223"/>
    <n v="1"/>
  </r>
  <r>
    <n v="8440"/>
    <x v="3"/>
    <s v="Release 3.1"/>
    <d v="2013-11-15T13:53:36"/>
    <x v="11"/>
    <n v="1.0166666666666666"/>
    <n v="0"/>
  </r>
  <r>
    <n v="8441"/>
    <x v="3"/>
    <s v="Release 3.1"/>
    <d v="2014-01-30T11:20:35"/>
    <x v="25"/>
    <n v="0.80833333333333335"/>
    <n v="1"/>
  </r>
  <r>
    <n v="8442"/>
    <x v="24"/>
    <s v="Release 3.1"/>
    <d v="2014-01-27T13:30:00"/>
    <x v="7"/>
    <n v="0.81666666666666665"/>
    <n v="1"/>
  </r>
  <r>
    <n v="8443"/>
    <x v="22"/>
    <s v="Release 3.1"/>
    <d v="2013-11-26T14:19:20"/>
    <x v="15"/>
    <n v="0.98611111111111116"/>
    <n v="1"/>
  </r>
  <r>
    <n v="8444"/>
    <x v="22"/>
    <s v="Release 3.1"/>
    <d v="2013-12-04T09:39:42"/>
    <x v="15"/>
    <n v="0.96388888888888891"/>
    <n v="1"/>
  </r>
  <r>
    <n v="8445"/>
    <x v="24"/>
    <s v="Release 3.1"/>
    <d v="2014-01-27T13:29:50"/>
    <x v="26"/>
    <n v="0.81666666666666665"/>
    <n v="1"/>
  </r>
  <r>
    <n v="8449"/>
    <x v="42"/>
    <s v="Release 3.1"/>
    <d v="2014-01-31T14:01:18"/>
    <x v="18"/>
    <n v="0.80833333333333335"/>
    <n v="1"/>
  </r>
  <r>
    <n v="8450"/>
    <x v="2"/>
    <s v="Release 3.1"/>
    <d v="2014-01-31T14:01:25"/>
    <x v="28"/>
    <n v="0.80833333333333335"/>
    <n v="1"/>
  </r>
  <r>
    <n v="8455"/>
    <x v="22"/>
    <s v="Release 3.1"/>
    <d v="2013-11-29T14:55:50"/>
    <x v="15"/>
    <n v="0.97777777777777775"/>
    <n v="1"/>
  </r>
  <r>
    <n v="8461"/>
    <x v="22"/>
    <s v="Release 3.1"/>
    <d v="2013-12-05T12:19:52"/>
    <x v="15"/>
    <n v="0.96111111111111114"/>
    <n v="1"/>
  </r>
  <r>
    <n v="8462"/>
    <x v="24"/>
    <s v="Release 3.1"/>
    <d v="2013-11-15T16:13:23"/>
    <x v="12"/>
    <n v="1.0166666666666666"/>
    <n v="0"/>
  </r>
  <r>
    <n v="8464"/>
    <x v="3"/>
    <s v="Release 3.1"/>
    <d v="2013-11-19T14:50:21"/>
    <x v="35"/>
    <n v="1.0055555555555555"/>
    <n v="0"/>
  </r>
  <r>
    <n v="8466"/>
    <x v="2"/>
    <s v="Release 3.1"/>
    <d v="2013-11-19T11:28:29"/>
    <x v="4"/>
    <n v="1.0055555555555555"/>
    <n v="0"/>
  </r>
  <r>
    <n v="8471"/>
    <x v="21"/>
    <s v="Release 3.1"/>
    <d v="2013-12-05T19:07:31"/>
    <x v="5"/>
    <n v="0.96111111111111114"/>
    <n v="1"/>
  </r>
  <r>
    <n v="8472"/>
    <x v="23"/>
    <s v="Release 3.1"/>
    <d v="2013-12-13T16:35:50"/>
    <x v="10"/>
    <n v="0.93888888888888888"/>
    <n v="1"/>
  </r>
  <r>
    <n v="8474"/>
    <x v="3"/>
    <s v="Release 3.1"/>
    <d v="2013-11-19T14:47:49"/>
    <x v="11"/>
    <n v="1.0055555555555555"/>
    <n v="0"/>
  </r>
  <r>
    <n v="8478"/>
    <x v="2"/>
    <s v="Release 3.1"/>
    <d v="2013-11-22T16:29:29"/>
    <x v="2"/>
    <n v="0.99722222222222223"/>
    <n v="1"/>
  </r>
  <r>
    <n v="8480"/>
    <x v="18"/>
    <s v="Release 3.1"/>
    <d v="2013-11-28T08:58:44"/>
    <x v="4"/>
    <n v="0.98055555555555551"/>
    <n v="1"/>
  </r>
  <r>
    <n v="8481"/>
    <x v="3"/>
    <s v="Release 3.1"/>
    <d v="2013-11-22T14:12:53"/>
    <x v="21"/>
    <n v="0.99722222222222223"/>
    <n v="1"/>
  </r>
  <r>
    <n v="8482"/>
    <x v="44"/>
    <s v="Release 3.3"/>
    <d v="2014-11-21T10:56:59"/>
    <x v="32"/>
    <n v="0"/>
    <n v="1"/>
  </r>
  <r>
    <n v="8483"/>
    <x v="0"/>
    <s v="Release 3.2"/>
    <d v="2014-03-14T10:11:31"/>
    <x v="25"/>
    <n v="0.68611111111111112"/>
    <n v="1"/>
  </r>
  <r>
    <n v="8487"/>
    <x v="0"/>
    <s v="Release 3.2"/>
    <d v="2014-03-07T13:50:15"/>
    <x v="11"/>
    <n v="0.7055555555555556"/>
    <n v="1"/>
  </r>
  <r>
    <n v="8488"/>
    <x v="18"/>
    <s v="Release 3.1"/>
    <d v="2014-01-15T20:43:27"/>
    <x v="9"/>
    <n v="0.85"/>
    <n v="1"/>
  </r>
  <r>
    <n v="8489"/>
    <x v="0"/>
    <s v="Release 3.2"/>
    <d v="2014-02-08T12:32:04"/>
    <x v="15"/>
    <n v="0.78611111111111109"/>
    <n v="1"/>
  </r>
  <r>
    <n v="8490"/>
    <x v="0"/>
    <s v="Release 3.2"/>
    <d v="2014-03-13T10:36:36"/>
    <x v="25"/>
    <n v="0.68888888888888888"/>
    <n v="1"/>
  </r>
  <r>
    <n v="8494"/>
    <x v="29"/>
    <s v="Release 3.2"/>
    <d v="2014-02-28T17:27:24"/>
    <x v="12"/>
    <n v="0.72499999999999998"/>
    <n v="1"/>
  </r>
  <r>
    <n v="8495"/>
    <x v="11"/>
    <s v="Release 3.2"/>
    <d v="2014-03-28T13:46:50"/>
    <x v="10"/>
    <n v="0.64722222222222225"/>
    <n v="1"/>
  </r>
  <r>
    <n v="8496"/>
    <x v="21"/>
    <s v="Release 3.1"/>
    <d v="2014-01-31T14:03:23"/>
    <x v="3"/>
    <n v="0.80833333333333335"/>
    <n v="1"/>
  </r>
  <r>
    <n v="8497"/>
    <x v="11"/>
    <s v="Release 3.1"/>
    <d v="2013-12-13T14:47:52"/>
    <x v="5"/>
    <n v="0.93888888888888888"/>
    <n v="1"/>
  </r>
  <r>
    <n v="8501"/>
    <x v="0"/>
    <s v="Release 3.2"/>
    <d v="2014-06-19T16:44:49"/>
    <x v="3"/>
    <n v="0.42222222222222222"/>
    <n v="1"/>
  </r>
  <r>
    <n v="8502"/>
    <x v="21"/>
    <s v="Release 3.1"/>
    <d v="2014-01-31T14:03:14"/>
    <x v="2"/>
    <n v="0.80833333333333335"/>
    <n v="1"/>
  </r>
  <r>
    <n v="8505"/>
    <x v="22"/>
    <s v="Release 3.1"/>
    <d v="2013-12-04T15:11:40"/>
    <x v="15"/>
    <n v="0.96388888888888891"/>
    <n v="1"/>
  </r>
  <r>
    <n v="8506"/>
    <x v="29"/>
    <s v="Release 3.1"/>
    <d v="2013-11-29T16:05:42"/>
    <x v="18"/>
    <n v="0.97777777777777775"/>
    <n v="1"/>
  </r>
  <r>
    <n v="8512"/>
    <x v="28"/>
    <s v="Release 3.1"/>
    <d v="2013-12-13T15:10:02"/>
    <x v="15"/>
    <n v="0.93888888888888888"/>
    <n v="1"/>
  </r>
  <r>
    <n v="8513"/>
    <x v="34"/>
    <s v="Release 3.3"/>
    <d v="2014-07-14T16:32:53"/>
    <x v="9"/>
    <n v="0.3527777777777778"/>
    <n v="1"/>
  </r>
  <r>
    <n v="8515"/>
    <x v="28"/>
    <s v="Release 3.1"/>
    <d v="2013-11-29T13:44:59"/>
    <x v="25"/>
    <n v="0.97777777777777775"/>
    <n v="1"/>
  </r>
  <r>
    <n v="8516"/>
    <x v="16"/>
    <s v="Release 3.1"/>
    <d v="2013-11-29T15:04:34"/>
    <x v="12"/>
    <n v="0.97777777777777775"/>
    <n v="1"/>
  </r>
  <r>
    <n v="8518"/>
    <x v="23"/>
    <s v="Release 3.1"/>
    <d v="2014-01-31T14:03:04"/>
    <x v="7"/>
    <n v="0.80833333333333335"/>
    <n v="1"/>
  </r>
  <r>
    <n v="8526"/>
    <x v="43"/>
    <s v="Release 3.1"/>
    <d v="2013-12-13T15:27:02"/>
    <x v="26"/>
    <n v="0.93888888888888888"/>
    <n v="1"/>
  </r>
  <r>
    <n v="8528"/>
    <x v="22"/>
    <s v="Release 3.1"/>
    <d v="2013-12-04T15:13:15"/>
    <x v="15"/>
    <n v="0.96388888888888891"/>
    <n v="1"/>
  </r>
  <r>
    <n v="8531"/>
    <x v="30"/>
    <s v="Release 3.1"/>
    <d v="2013-12-09T10:56:20"/>
    <x v="2"/>
    <n v="0.95"/>
    <n v="1"/>
  </r>
  <r>
    <n v="8532"/>
    <x v="30"/>
    <s v="Release 3.1"/>
    <d v="2013-12-09T16:13:49"/>
    <x v="2"/>
    <n v="0.95"/>
    <n v="1"/>
  </r>
  <r>
    <n v="8533"/>
    <x v="3"/>
    <s v="Release 3.1"/>
    <d v="2013-11-29T09:27:15"/>
    <x v="0"/>
    <n v="0.97777777777777775"/>
    <n v="1"/>
  </r>
  <r>
    <n v="8534"/>
    <x v="29"/>
    <s v="Release 3.1"/>
    <d v="2013-12-05T10:22:08"/>
    <x v="13"/>
    <n v="0.96111111111111114"/>
    <n v="1"/>
  </r>
  <r>
    <n v="8535"/>
    <x v="22"/>
    <s v="Release 3.1"/>
    <d v="2013-12-05T11:07:14"/>
    <x v="15"/>
    <n v="0.96111111111111114"/>
    <n v="1"/>
  </r>
  <r>
    <n v="8536"/>
    <x v="11"/>
    <s v="Release 3.1"/>
    <d v="2013-12-10T21:15:07"/>
    <x v="16"/>
    <n v="0.94722222222222219"/>
    <n v="1"/>
  </r>
  <r>
    <n v="8537"/>
    <x v="24"/>
    <s v="Release 3.1"/>
    <d v="2014-01-16T15:57:31"/>
    <x v="15"/>
    <n v="0.84722222222222221"/>
    <n v="1"/>
  </r>
  <r>
    <n v="8541"/>
    <x v="6"/>
    <s v="Release 3.1"/>
    <d v="2013-12-04T11:32:29"/>
    <x v="27"/>
    <n v="0.96388888888888891"/>
    <n v="1"/>
  </r>
  <r>
    <n v="8545"/>
    <x v="22"/>
    <s v="Release 3.1"/>
    <d v="2013-12-05T16:39:59"/>
    <x v="15"/>
    <n v="0.96111111111111114"/>
    <n v="1"/>
  </r>
  <r>
    <n v="8546"/>
    <x v="17"/>
    <s v="Release 3.1"/>
    <d v="2013-12-12T13:02:15"/>
    <x v="13"/>
    <n v="0.94166666666666665"/>
    <n v="1"/>
  </r>
  <r>
    <n v="8548"/>
    <x v="22"/>
    <s v="Release 3.1"/>
    <d v="2013-12-04T15:03:08"/>
    <x v="15"/>
    <n v="0.96388888888888891"/>
    <n v="1"/>
  </r>
  <r>
    <n v="8550"/>
    <x v="29"/>
    <s v="Release 3.1"/>
    <d v="2013-12-11T11:10:48"/>
    <x v="0"/>
    <n v="0.94444444444444442"/>
    <n v="1"/>
  </r>
  <r>
    <n v="8554"/>
    <x v="11"/>
    <s v="Release 3.1"/>
    <d v="2014-01-27T13:29:55"/>
    <x v="10"/>
    <n v="0.81666666666666665"/>
    <n v="1"/>
  </r>
  <r>
    <n v="8555"/>
    <x v="4"/>
    <s v="Release 3.1"/>
    <d v="2013-12-13T14:45:40"/>
    <x v="26"/>
    <n v="0.93888888888888888"/>
    <n v="1"/>
  </r>
  <r>
    <n v="8557"/>
    <x v="18"/>
    <s v="Release 3.2"/>
    <d v="2014-03-07T15:04:22"/>
    <x v="11"/>
    <n v="0.7055555555555556"/>
    <n v="1"/>
  </r>
  <r>
    <n v="8558"/>
    <x v="22"/>
    <s v="Release 3.1"/>
    <d v="2013-12-06T19:16:20"/>
    <x v="7"/>
    <n v="0.95833333333333337"/>
    <n v="1"/>
  </r>
  <r>
    <n v="8561"/>
    <x v="16"/>
    <s v="Release 3.1"/>
    <d v="2014-01-10T16:52:44"/>
    <x v="10"/>
    <n v="0.86388888888888893"/>
    <n v="1"/>
  </r>
  <r>
    <n v="8563"/>
    <x v="29"/>
    <s v="Release 3.1"/>
    <d v="2013-12-06T15:34:19"/>
    <x v="9"/>
    <n v="0.95833333333333337"/>
    <n v="1"/>
  </r>
  <r>
    <n v="8565"/>
    <x v="11"/>
    <s v="Release 3.1"/>
    <d v="2013-12-09T16:16:49"/>
    <x v="10"/>
    <n v="0.95"/>
    <n v="1"/>
  </r>
  <r>
    <n v="8566"/>
    <x v="11"/>
    <s v="Release 3.1"/>
    <d v="2013-12-09T20:38:50"/>
    <x v="10"/>
    <n v="0.95"/>
    <n v="1"/>
  </r>
  <r>
    <n v="8568"/>
    <x v="4"/>
    <s v="Release 3.2"/>
    <d v="2014-03-20T12:14:38"/>
    <x v="10"/>
    <n v="0.6694444444444444"/>
    <n v="1"/>
  </r>
  <r>
    <n v="8569"/>
    <x v="4"/>
    <s v="Release 3.1"/>
    <d v="2014-01-03T13:29:13"/>
    <x v="2"/>
    <n v="0.8833333333333333"/>
    <n v="1"/>
  </r>
  <r>
    <n v="8571"/>
    <x v="21"/>
    <s v="Release 3.1"/>
    <d v="2014-01-31T14:03:42"/>
    <x v="2"/>
    <n v="0.80833333333333335"/>
    <n v="1"/>
  </r>
  <r>
    <n v="8572"/>
    <x v="21"/>
    <s v="Release 3.1"/>
    <d v="2014-01-31T14:03:55"/>
    <x v="9"/>
    <n v="0.80833333333333335"/>
    <n v="1"/>
  </r>
  <r>
    <n v="8575"/>
    <x v="3"/>
    <s v="Release 3.1"/>
    <d v="2013-12-20T16:38:15"/>
    <x v="7"/>
    <n v="0.9194444444444444"/>
    <n v="1"/>
  </r>
  <r>
    <n v="8579"/>
    <x v="11"/>
    <s v="Release 3.1"/>
    <d v="2013-12-09T20:47:47"/>
    <x v="10"/>
    <n v="0.95"/>
    <n v="1"/>
  </r>
  <r>
    <n v="8580"/>
    <x v="4"/>
    <s v="Release 3.1"/>
    <d v="2014-01-03T14:11:51"/>
    <x v="2"/>
    <n v="0.8833333333333333"/>
    <n v="1"/>
  </r>
  <r>
    <n v="8581"/>
    <x v="24"/>
    <s v="Release 3.1"/>
    <d v="2014-01-27T13:29:56"/>
    <x v="4"/>
    <n v="0.81666666666666665"/>
    <n v="1"/>
  </r>
  <r>
    <n v="8585"/>
    <x v="28"/>
    <s v="Release 3.1"/>
    <d v="2014-01-31T14:04:08"/>
    <x v="21"/>
    <n v="0.80833333333333335"/>
    <n v="1"/>
  </r>
  <r>
    <n v="8586"/>
    <x v="11"/>
    <s v="Release 3.1"/>
    <d v="2013-12-13T16:39:25"/>
    <x v="16"/>
    <n v="0.93888888888888888"/>
    <n v="1"/>
  </r>
  <r>
    <n v="8587"/>
    <x v="28"/>
    <s v="Release 3.1"/>
    <d v="2014-01-31T15:05:53"/>
    <x v="1"/>
    <n v="0.80833333333333335"/>
    <n v="1"/>
  </r>
  <r>
    <n v="8588"/>
    <x v="16"/>
    <s v="Release 3.1"/>
    <d v="2013-12-13T10:02:01"/>
    <x v="15"/>
    <n v="0.93888888888888888"/>
    <n v="1"/>
  </r>
  <r>
    <n v="8592"/>
    <x v="11"/>
    <s v="Release 3.1"/>
    <d v="2013-12-11T12:47:34"/>
    <x v="10"/>
    <n v="0.94444444444444442"/>
    <n v="1"/>
  </r>
  <r>
    <n v="8594"/>
    <x v="28"/>
    <s v="Release 3.2"/>
    <d v="2014-05-15T18:56:09"/>
    <x v="5"/>
    <n v="0.51666666666666672"/>
    <n v="1"/>
  </r>
  <r>
    <n v="8595"/>
    <x v="23"/>
    <s v="Release 3.1"/>
    <d v="2014-01-31T12:07:20"/>
    <x v="11"/>
    <n v="0.80833333333333335"/>
    <n v="1"/>
  </r>
  <r>
    <n v="8597"/>
    <x v="29"/>
    <s v="Release 3.1"/>
    <d v="2013-12-12T16:39:09"/>
    <x v="1"/>
    <n v="0.94166666666666665"/>
    <n v="1"/>
  </r>
  <r>
    <n v="8599"/>
    <x v="24"/>
    <s v="Release 3.1"/>
    <d v="2013-12-13T14:48:28"/>
    <x v="15"/>
    <n v="0.93888888888888888"/>
    <n v="1"/>
  </r>
  <r>
    <n v="8600"/>
    <x v="21"/>
    <s v="Release 3.1"/>
    <d v="2013-12-13T18:24:11"/>
    <x v="16"/>
    <n v="0.93888888888888888"/>
    <n v="1"/>
  </r>
  <r>
    <n v="8601"/>
    <x v="23"/>
    <s v="Release 3.2"/>
    <d v="2014-03-07T16:36:17"/>
    <x v="1"/>
    <n v="0.7055555555555556"/>
    <n v="1"/>
  </r>
  <r>
    <n v="8602"/>
    <x v="4"/>
    <s v="Release 3.1"/>
    <d v="2014-01-31T12:13:50"/>
    <x v="11"/>
    <n v="0.80833333333333335"/>
    <n v="1"/>
  </r>
  <r>
    <n v="8609"/>
    <x v="18"/>
    <s v="Release 3.1"/>
    <d v="2013-12-26T20:08:32"/>
    <x v="35"/>
    <n v="0.90277777777777779"/>
    <n v="1"/>
  </r>
  <r>
    <n v="8610"/>
    <x v="29"/>
    <s v="Release 3.2"/>
    <d v="2014-02-14T15:44:04"/>
    <x v="13"/>
    <n v="0.76944444444444449"/>
    <n v="1"/>
  </r>
  <r>
    <n v="8611"/>
    <x v="21"/>
    <s v="Release 3.1"/>
    <d v="2014-01-31T14:07:12"/>
    <x v="9"/>
    <n v="0.80833333333333335"/>
    <n v="1"/>
  </r>
  <r>
    <n v="8613"/>
    <x v="0"/>
    <s v="Release 3.1"/>
    <d v="2013-12-13T15:14:00"/>
    <x v="5"/>
    <n v="0.93888888888888888"/>
    <n v="1"/>
  </r>
  <r>
    <n v="8614"/>
    <x v="18"/>
    <s v="Release 3.1.1"/>
    <d v="2014-02-27T15:28:05"/>
    <x v="0"/>
    <n v="0.73333333333333328"/>
    <n v="1"/>
  </r>
  <r>
    <n v="8617"/>
    <x v="16"/>
    <s v="Release 3.1"/>
    <d v="2013-12-23T10:05:37"/>
    <x v="18"/>
    <n v="0.91111111111111109"/>
    <n v="1"/>
  </r>
  <r>
    <n v="8619"/>
    <x v="16"/>
    <s v="Release 3.1"/>
    <d v="2014-01-08T20:43:44"/>
    <x v="5"/>
    <n v="0.86944444444444446"/>
    <n v="1"/>
  </r>
  <r>
    <n v="8622"/>
    <x v="21"/>
    <s v="Release 3.1"/>
    <d v="2013-12-20T16:56:00"/>
    <x v="9"/>
    <n v="0.9194444444444444"/>
    <n v="1"/>
  </r>
  <r>
    <n v="8623"/>
    <x v="11"/>
    <s v="Release 3.1"/>
    <d v="2014-01-08T20:23:32"/>
    <x v="9"/>
    <n v="0.86944444444444446"/>
    <n v="1"/>
  </r>
  <r>
    <n v="8624"/>
    <x v="42"/>
    <s v="Release 3.1"/>
    <d v="2014-02-05T00:42:06"/>
    <x v="1"/>
    <n v="0.7944444444444444"/>
    <n v="1"/>
  </r>
  <r>
    <n v="8626"/>
    <x v="14"/>
    <s v="Release 3.1"/>
    <d v="2014-01-03T20:35:02"/>
    <x v="8"/>
    <n v="0.8833333333333333"/>
    <n v="1"/>
  </r>
  <r>
    <n v="8628"/>
    <x v="16"/>
    <s v="Release 3.1"/>
    <d v="2014-01-27T13:29:58"/>
    <x v="4"/>
    <n v="0.81666666666666665"/>
    <n v="1"/>
  </r>
  <r>
    <n v="8630"/>
    <x v="11"/>
    <s v="Release 3.1"/>
    <d v="2013-12-27T15:40:23"/>
    <x v="9"/>
    <n v="0.9"/>
    <n v="1"/>
  </r>
  <r>
    <n v="8631"/>
    <x v="42"/>
    <s v="Release 3.1"/>
    <d v="2014-02-05T00:42:19"/>
    <x v="7"/>
    <n v="0.7944444444444444"/>
    <n v="1"/>
  </r>
  <r>
    <n v="8632"/>
    <x v="8"/>
    <s v="Release 3.1"/>
    <d v="2014-01-07T22:32:44"/>
    <x v="7"/>
    <n v="0.87222222222222223"/>
    <n v="1"/>
  </r>
  <r>
    <n v="8634"/>
    <x v="0"/>
    <s v="Release 3.1"/>
    <d v="2013-12-23T15:35:40"/>
    <x v="3"/>
    <n v="0.91111111111111109"/>
    <n v="1"/>
  </r>
  <r>
    <n v="8635"/>
    <x v="11"/>
    <s v="Release 3.1"/>
    <d v="2013-12-23T22:27:37"/>
    <x v="7"/>
    <n v="0.91111111111111109"/>
    <n v="1"/>
  </r>
  <r>
    <n v="8637"/>
    <x v="0"/>
    <s v="Release 3.1"/>
    <d v="2014-02-03T17:12:27"/>
    <x v="9"/>
    <n v="0.8"/>
    <n v="1"/>
  </r>
  <r>
    <n v="8640"/>
    <x v="18"/>
    <s v="Release 3.1"/>
    <d v="2014-02-05T19:12:50"/>
    <x v="4"/>
    <n v="0.7944444444444444"/>
    <n v="1"/>
  </r>
  <r>
    <n v="8642"/>
    <x v="11"/>
    <s v="Release 3.1"/>
    <d v="2013-12-23T22:06:39"/>
    <x v="9"/>
    <n v="0.91111111111111109"/>
    <n v="1"/>
  </r>
  <r>
    <n v="8646"/>
    <x v="23"/>
    <s v="Release 3.1"/>
    <d v="2014-01-31T17:42:14"/>
    <x v="10"/>
    <n v="0.80833333333333335"/>
    <n v="1"/>
  </r>
  <r>
    <n v="8648"/>
    <x v="18"/>
    <s v="Release 3.1"/>
    <d v="2013-12-27T15:47:16"/>
    <x v="9"/>
    <n v="0.9"/>
    <n v="1"/>
  </r>
  <r>
    <n v="8649"/>
    <x v="21"/>
    <s v="Release 3.1"/>
    <d v="2014-01-31T14:08:08"/>
    <x v="3"/>
    <n v="0.80833333333333335"/>
    <n v="1"/>
  </r>
  <r>
    <n v="8650"/>
    <x v="11"/>
    <s v="Release 3.1"/>
    <d v="2014-01-28T16:00:44"/>
    <x v="9"/>
    <n v="0.81388888888888888"/>
    <n v="1"/>
  </r>
  <r>
    <n v="8651"/>
    <x v="21"/>
    <s v="Release 3.1"/>
    <d v="2014-01-27T13:30:00"/>
    <x v="3"/>
    <n v="0.81666666666666665"/>
    <n v="1"/>
  </r>
  <r>
    <n v="8655"/>
    <x v="23"/>
    <s v="Release 3.2"/>
    <d v="2014-04-25T15:37:31"/>
    <x v="10"/>
    <n v="0.57222222222222219"/>
    <n v="1"/>
  </r>
  <r>
    <n v="8662"/>
    <x v="10"/>
    <s v="Release 3.1"/>
    <d v="2014-01-27T13:30:00"/>
    <x v="9"/>
    <n v="0.81666666666666665"/>
    <n v="1"/>
  </r>
  <r>
    <n v="8667"/>
    <x v="6"/>
    <s v="Release 3.1"/>
    <d v="2014-01-10T16:06:08"/>
    <x v="7"/>
    <n v="0.86388888888888893"/>
    <n v="1"/>
  </r>
  <r>
    <n v="8669"/>
    <x v="0"/>
    <s v="Release 3.1"/>
    <d v="2014-01-09T20:11:17"/>
    <x v="5"/>
    <n v="0.8666666666666667"/>
    <n v="1"/>
  </r>
  <r>
    <n v="8673"/>
    <x v="16"/>
    <s v="Release 3.1"/>
    <d v="2014-01-06T21:04:58"/>
    <x v="3"/>
    <n v="0.875"/>
    <n v="1"/>
  </r>
  <r>
    <n v="8674"/>
    <x v="14"/>
    <s v="Release 3.1"/>
    <d v="2014-01-07T13:29:19"/>
    <x v="3"/>
    <n v="0.87222222222222223"/>
    <n v="1"/>
  </r>
  <r>
    <n v="8675"/>
    <x v="11"/>
    <s v="Release 3.2"/>
    <d v="2014-03-28T14:11:00"/>
    <x v="10"/>
    <n v="0.64722222222222225"/>
    <n v="1"/>
  </r>
  <r>
    <n v="8676"/>
    <x v="23"/>
    <s v="Release 3.1"/>
    <d v="2014-01-09T14:29:25"/>
    <x v="3"/>
    <n v="0.8666666666666667"/>
    <n v="1"/>
  </r>
  <r>
    <n v="8677"/>
    <x v="29"/>
    <s v="Release 3.1"/>
    <d v="2014-01-15T16:24:38"/>
    <x v="13"/>
    <n v="0.85"/>
    <n v="1"/>
  </r>
  <r>
    <n v="8682"/>
    <x v="21"/>
    <s v="Release 3.1"/>
    <d v="2014-01-31T14:08:16"/>
    <x v="9"/>
    <n v="0.80833333333333335"/>
    <n v="1"/>
  </r>
  <r>
    <n v="8684"/>
    <x v="16"/>
    <s v="Release 3.1"/>
    <d v="2014-01-24T15:35:50"/>
    <x v="27"/>
    <n v="0.82499999999999996"/>
    <n v="1"/>
  </r>
  <r>
    <n v="8685"/>
    <x v="23"/>
    <s v="Release 3.2"/>
    <d v="2014-04-15T18:39:06"/>
    <x v="9"/>
    <n v="0.6"/>
    <n v="1"/>
  </r>
  <r>
    <n v="8686"/>
    <x v="11"/>
    <s v="Release 3.1"/>
    <d v="2014-01-09T17:09:11"/>
    <x v="4"/>
    <n v="0.8666666666666667"/>
    <n v="1"/>
  </r>
  <r>
    <n v="8689"/>
    <x v="16"/>
    <s v="Release 3.1"/>
    <d v="2014-01-10T16:40:06"/>
    <x v="7"/>
    <n v="0.86388888888888893"/>
    <n v="1"/>
  </r>
  <r>
    <n v="8698"/>
    <x v="54"/>
    <s v="Release 3.3"/>
    <d v="2014-10-24T16:38:37"/>
    <x v="43"/>
    <n v="7.4999999999999997E-2"/>
    <n v="1"/>
  </r>
  <r>
    <n v="8700"/>
    <x v="29"/>
    <s v="Release 3.1"/>
    <d v="2014-01-27T13:30:01"/>
    <x v="26"/>
    <n v="0.81666666666666665"/>
    <n v="1"/>
  </r>
  <r>
    <n v="8702"/>
    <x v="29"/>
    <s v="Release 3.2"/>
    <d v="2014-02-25T14:35:37"/>
    <x v="4"/>
    <n v="0.73888888888888893"/>
    <n v="1"/>
  </r>
  <r>
    <n v="8703"/>
    <x v="0"/>
    <s v="Release 3.1"/>
    <d v="2014-02-04T16:31:59"/>
    <x v="9"/>
    <n v="0.79722222222222228"/>
    <n v="1"/>
  </r>
  <r>
    <n v="8704"/>
    <x v="6"/>
    <s v="Release 3.1"/>
    <d v="2014-01-15T14:48:02"/>
    <x v="9"/>
    <n v="0.85"/>
    <n v="1"/>
  </r>
  <r>
    <n v="8705"/>
    <x v="17"/>
    <s v="Release 3.1"/>
    <d v="2014-01-15T15:54:09"/>
    <x v="13"/>
    <n v="0.85"/>
    <n v="1"/>
  </r>
  <r>
    <n v="8706"/>
    <x v="14"/>
    <s v="Release 3.1"/>
    <d v="2014-01-14T20:20:47"/>
    <x v="0"/>
    <n v="0.85277777777777775"/>
    <n v="1"/>
  </r>
  <r>
    <n v="8707"/>
    <x v="14"/>
    <s v="Release 3.1"/>
    <d v="2014-01-15T14:26:58"/>
    <x v="35"/>
    <n v="0.85"/>
    <n v="1"/>
  </r>
  <r>
    <n v="8709"/>
    <x v="6"/>
    <s v="Release 3.1"/>
    <d v="2014-01-31T14:46:25"/>
    <x v="18"/>
    <n v="0.80833333333333335"/>
    <n v="1"/>
  </r>
  <r>
    <n v="8710"/>
    <x v="43"/>
    <s v="Release 3.1"/>
    <d v="2014-01-27T13:30:01"/>
    <x v="28"/>
    <n v="0.81666666666666665"/>
    <n v="1"/>
  </r>
  <r>
    <n v="8711"/>
    <x v="21"/>
    <s v="Release 3.1"/>
    <d v="2014-01-31T14:09:13"/>
    <x v="9"/>
    <n v="0.80833333333333335"/>
    <n v="1"/>
  </r>
  <r>
    <n v="8713"/>
    <x v="30"/>
    <s v="Release 3.1"/>
    <d v="2014-01-24T21:04:32"/>
    <x v="35"/>
    <n v="0.82499999999999996"/>
    <n v="1"/>
  </r>
  <r>
    <n v="8716"/>
    <x v="29"/>
    <s v="Release 3.1"/>
    <d v="2014-01-28T15:57:20"/>
    <x v="25"/>
    <n v="0.81388888888888888"/>
    <n v="1"/>
  </r>
  <r>
    <n v="8718"/>
    <x v="42"/>
    <s v="Release 3.1"/>
    <d v="2014-01-15T19:45:12"/>
    <x v="9"/>
    <n v="0.85"/>
    <n v="1"/>
  </r>
  <r>
    <n v="8723"/>
    <x v="21"/>
    <s v="Release 3.2"/>
    <d v="2014-03-07T16:04:51"/>
    <x v="16"/>
    <n v="0.7055555555555556"/>
    <n v="1"/>
  </r>
  <r>
    <n v="8724"/>
    <x v="17"/>
    <s v="Release 3.1"/>
    <d v="2014-01-31T19:31:04"/>
    <x v="16"/>
    <n v="0.80833333333333335"/>
    <n v="1"/>
  </r>
  <r>
    <n v="8726"/>
    <x v="6"/>
    <s v="Release 3.1"/>
    <d v="2014-01-17T15:28:41"/>
    <x v="18"/>
    <n v="0.84444444444444444"/>
    <n v="1"/>
  </r>
  <r>
    <n v="8730"/>
    <x v="24"/>
    <s v="Release 3.1"/>
    <d v="2014-01-21T16:22:01"/>
    <x v="27"/>
    <n v="0.83333333333333337"/>
    <n v="1"/>
  </r>
  <r>
    <n v="8733"/>
    <x v="16"/>
    <s v="Release 3.1"/>
    <d v="2014-02-03T16:55:53"/>
    <x v="28"/>
    <n v="0.8"/>
    <n v="1"/>
  </r>
  <r>
    <n v="8739"/>
    <x v="28"/>
    <s v="Release 3.2"/>
    <d v="2014-03-28T20:28:34"/>
    <x v="15"/>
    <n v="0.64722222222222225"/>
    <n v="1"/>
  </r>
  <r>
    <n v="8742"/>
    <x v="24"/>
    <s v="Release 3.1"/>
    <d v="2014-02-03T09:54:24"/>
    <x v="26"/>
    <n v="0.8"/>
    <n v="1"/>
  </r>
  <r>
    <n v="8743"/>
    <x v="21"/>
    <s v="Release 3.1"/>
    <d v="2014-01-31T16:09:23"/>
    <x v="16"/>
    <n v="0.80833333333333335"/>
    <n v="1"/>
  </r>
  <r>
    <n v="8747"/>
    <x v="30"/>
    <s v="Release 3.1"/>
    <d v="2014-01-30T12:37:41"/>
    <x v="25"/>
    <n v="0.80833333333333335"/>
    <n v="1"/>
  </r>
  <r>
    <n v="8748"/>
    <x v="16"/>
    <s v="Release 3.1"/>
    <d v="2014-01-24T20:24:43"/>
    <x v="9"/>
    <n v="0.82499999999999996"/>
    <n v="1"/>
  </r>
  <r>
    <n v="8749"/>
    <x v="23"/>
    <s v="Release 3.1"/>
    <d v="2014-01-30T15:49:34"/>
    <x v="9"/>
    <n v="0.80833333333333335"/>
    <n v="1"/>
  </r>
  <r>
    <n v="8753"/>
    <x v="22"/>
    <s v="Release 3.1"/>
    <d v="2014-02-03T08:34:31"/>
    <x v="26"/>
    <n v="0.8"/>
    <n v="1"/>
  </r>
  <r>
    <n v="8760"/>
    <x v="3"/>
    <s v="Release 3.2"/>
    <d v="2014-06-20T11:20:37"/>
    <x v="26"/>
    <n v="0.41944444444444445"/>
    <n v="1"/>
  </r>
  <r>
    <n v="8761"/>
    <x v="21"/>
    <s v="Release 3.1"/>
    <d v="2014-01-31T18:57:28"/>
    <x v="9"/>
    <n v="0.80833333333333335"/>
    <n v="1"/>
  </r>
  <r>
    <n v="8762"/>
    <x v="11"/>
    <s v="Release 3.1"/>
    <d v="2014-01-30T21:30:55"/>
    <x v="9"/>
    <n v="0.80833333333333335"/>
    <n v="1"/>
  </r>
  <r>
    <n v="8765"/>
    <x v="16"/>
    <s v="Release 3.1"/>
    <d v="2014-01-30T10:48:25"/>
    <x v="28"/>
    <n v="0.80833333333333335"/>
    <n v="1"/>
  </r>
  <r>
    <n v="8768"/>
    <x v="28"/>
    <s v="Release 3.1"/>
    <d v="2014-01-30T11:41:53"/>
    <x v="25"/>
    <n v="0.80833333333333335"/>
    <n v="1"/>
  </r>
  <r>
    <n v="8770"/>
    <x v="18"/>
    <s v="Release 3.1"/>
    <d v="2014-01-31T13:30:58"/>
    <x v="26"/>
    <n v="0.80833333333333335"/>
    <n v="1"/>
  </r>
  <r>
    <n v="8775"/>
    <x v="4"/>
    <s v="Release 3.2"/>
    <d v="2014-02-14T14:32:41"/>
    <x v="12"/>
    <n v="0.76944444444444449"/>
    <n v="1"/>
  </r>
  <r>
    <n v="8776"/>
    <x v="29"/>
    <s v="Release 3.1"/>
    <d v="2014-01-31T10:01:15"/>
    <x v="25"/>
    <n v="0.80833333333333335"/>
    <n v="1"/>
  </r>
  <r>
    <n v="8778"/>
    <x v="42"/>
    <s v="Release 3.2"/>
    <d v="2014-02-26T21:32:02"/>
    <x v="5"/>
    <n v="0.73611111111111116"/>
    <n v="1"/>
  </r>
  <r>
    <n v="8780"/>
    <x v="16"/>
    <s v="Release 3.1"/>
    <d v="2014-01-31T09:35:54"/>
    <x v="28"/>
    <n v="0.80833333333333335"/>
    <n v="1"/>
  </r>
  <r>
    <n v="8782"/>
    <x v="14"/>
    <s v="Release 3.1"/>
    <d v="2014-01-31T16:14:49"/>
    <x v="16"/>
    <n v="0.80833333333333335"/>
    <n v="1"/>
  </r>
  <r>
    <n v="8784"/>
    <x v="3"/>
    <s v="Release 3.2"/>
    <d v="2014-02-17T15:35:47"/>
    <x v="15"/>
    <n v="0.76111111111111107"/>
    <n v="1"/>
  </r>
  <r>
    <n v="8791"/>
    <x v="2"/>
    <s v="Release 3.1"/>
    <d v="2014-01-31T13:27:53"/>
    <x v="26"/>
    <n v="0.80833333333333335"/>
    <n v="1"/>
  </r>
  <r>
    <n v="8792"/>
    <x v="8"/>
    <s v="Release 3.1"/>
    <d v="2014-01-31T20:45:32"/>
    <x v="9"/>
    <n v="0.80833333333333335"/>
    <n v="1"/>
  </r>
  <r>
    <n v="8794"/>
    <x v="18"/>
    <s v="Release 3.1"/>
    <d v="2014-01-31T16:17:07"/>
    <x v="1"/>
    <n v="0.80833333333333335"/>
    <n v="1"/>
  </r>
  <r>
    <n v="8798"/>
    <x v="28"/>
    <s v="Release 3.1"/>
    <d v="2014-01-31T13:35:44"/>
    <x v="1"/>
    <n v="0.80833333333333335"/>
    <n v="1"/>
  </r>
  <r>
    <n v="8800"/>
    <x v="28"/>
    <s v="Release 3.2"/>
    <d v="2014-02-21T15:49:11"/>
    <x v="1"/>
    <n v="0.75"/>
    <n v="1"/>
  </r>
  <r>
    <n v="8801"/>
    <x v="28"/>
    <s v="Release 3.2"/>
    <d v="2014-04-28T13:34:16"/>
    <x v="21"/>
    <n v="0.56388888888888888"/>
    <n v="1"/>
  </r>
  <r>
    <n v="8802"/>
    <x v="34"/>
    <s v="Release 3.3"/>
    <d v="2014-10-15T22:20:38"/>
    <x v="35"/>
    <n v="0.1"/>
    <n v="1"/>
  </r>
  <r>
    <n v="8804"/>
    <x v="18"/>
    <s v="Release 3.2"/>
    <d v="2014-03-21T10:03:53"/>
    <x v="4"/>
    <n v="0.66666666666666663"/>
    <n v="1"/>
  </r>
  <r>
    <n v="8805"/>
    <x v="2"/>
    <s v="Release 3.1"/>
    <d v="2014-01-31T14:18:39"/>
    <x v="26"/>
    <n v="0.80833333333333335"/>
    <n v="1"/>
  </r>
  <r>
    <n v="8806"/>
    <x v="28"/>
    <s v="Release 3.2"/>
    <d v="2014-02-21T15:14:58"/>
    <x v="1"/>
    <n v="0.75"/>
    <n v="1"/>
  </r>
  <r>
    <n v="8807"/>
    <x v="28"/>
    <s v="Release 3.2"/>
    <d v="2014-02-17T11:32:30"/>
    <x v="4"/>
    <n v="0.76111111111111107"/>
    <n v="1"/>
  </r>
  <r>
    <n v="8809"/>
    <x v="2"/>
    <s v="Release 3.1"/>
    <d v="2014-01-31T15:58:31"/>
    <x v="0"/>
    <n v="0.80833333333333335"/>
    <n v="1"/>
  </r>
  <r>
    <n v="8810"/>
    <x v="18"/>
    <s v="Release 3.1"/>
    <d v="2014-02-03T18:37:55"/>
    <x v="9"/>
    <n v="0.8"/>
    <n v="1"/>
  </r>
  <r>
    <n v="8816"/>
    <x v="21"/>
    <s v="Release 3.2"/>
    <d v="2014-03-07T16:40:43"/>
    <x v="16"/>
    <n v="0.7055555555555556"/>
    <n v="1"/>
  </r>
  <r>
    <n v="8828"/>
    <x v="35"/>
    <s v="Release 3.3"/>
    <d v="2014-07-18T15:25:37"/>
    <x v="15"/>
    <n v="0.34166666666666667"/>
    <n v="1"/>
  </r>
  <r>
    <n v="8832"/>
    <x v="28"/>
    <s v="Release 3.2"/>
    <d v="2014-02-24T19:26:56"/>
    <x v="5"/>
    <n v="0.7416666666666667"/>
    <n v="1"/>
  </r>
  <r>
    <n v="8835"/>
    <x v="29"/>
    <s v="Release 3.2"/>
    <d v="2014-02-21T15:22:20"/>
    <x v="1"/>
    <n v="0.75"/>
    <n v="1"/>
  </r>
  <r>
    <n v="8839"/>
    <x v="29"/>
    <s v="Release 3.2"/>
    <d v="2014-02-17T14:33:01"/>
    <x v="18"/>
    <n v="0.76111111111111107"/>
    <n v="1"/>
  </r>
  <r>
    <n v="8842"/>
    <x v="28"/>
    <s v="Release 3.2"/>
    <d v="2014-05-30T12:41:38"/>
    <x v="25"/>
    <n v="0.47499999999999998"/>
    <n v="1"/>
  </r>
  <r>
    <n v="8855"/>
    <x v="29"/>
    <s v="Release 3.2"/>
    <d v="2014-02-28T14:09:06"/>
    <x v="1"/>
    <n v="0.72499999999999998"/>
    <n v="1"/>
  </r>
  <r>
    <n v="8860"/>
    <x v="29"/>
    <s v="Release 3.2"/>
    <d v="2014-02-28T14:17:42"/>
    <x v="18"/>
    <n v="0.72499999999999998"/>
    <n v="1"/>
  </r>
  <r>
    <n v="8863"/>
    <x v="29"/>
    <s v="Release 3.2"/>
    <d v="2014-02-28T14:20:01"/>
    <x v="13"/>
    <n v="0.72499999999999998"/>
    <n v="1"/>
  </r>
  <r>
    <n v="8869"/>
    <x v="24"/>
    <s v="Release 3.1"/>
    <d v="2014-02-04T14:33:16"/>
    <x v="11"/>
    <n v="0.79722222222222228"/>
    <n v="1"/>
  </r>
  <r>
    <n v="8875"/>
    <x v="24"/>
    <s v="Release 3.2"/>
    <d v="2014-02-21T15:38:48"/>
    <x v="15"/>
    <n v="0.75"/>
    <n v="1"/>
  </r>
  <r>
    <n v="8876"/>
    <x v="28"/>
    <s v="Release 3.1"/>
    <d v="2014-02-05T08:45:05"/>
    <x v="1"/>
    <n v="0.7944444444444444"/>
    <n v="1"/>
  </r>
  <r>
    <n v="8879"/>
    <x v="22"/>
    <s v="Release 3.1"/>
    <d v="2014-02-05T14:58:57"/>
    <x v="5"/>
    <n v="0.7944444444444444"/>
    <n v="1"/>
  </r>
  <r>
    <n v="8891"/>
    <x v="44"/>
    <s v="Release 3.3"/>
    <d v="2014-10-10T18:27:51"/>
    <x v="16"/>
    <n v="0.11388888888888889"/>
    <n v="1"/>
  </r>
  <r>
    <n v="8900"/>
    <x v="24"/>
    <s v="Release 3.2"/>
    <d v="2014-02-21T16:12:05"/>
    <x v="26"/>
    <n v="0.75"/>
    <n v="1"/>
  </r>
  <r>
    <n v="8901"/>
    <x v="28"/>
    <s v="Release 3.2"/>
    <d v="2014-03-25T20:14:43"/>
    <x v="35"/>
    <n v="0.65555555555555556"/>
    <n v="1"/>
  </r>
  <r>
    <n v="8905"/>
    <x v="42"/>
    <s v="Release 3.2"/>
    <d v="2014-02-11T15:23:14"/>
    <x v="9"/>
    <n v="0.77777777777777779"/>
    <n v="1"/>
  </r>
  <r>
    <n v="8908"/>
    <x v="4"/>
    <s v="Release 3.2"/>
    <d v="2014-02-10T11:55:21"/>
    <x v="15"/>
    <n v="0.78055555555555556"/>
    <n v="1"/>
  </r>
  <r>
    <n v="8909"/>
    <x v="4"/>
    <s v="Release 3.2"/>
    <d v="2014-07-04T13:27:34"/>
    <x v="26"/>
    <n v="0.38055555555555554"/>
    <n v="1"/>
  </r>
  <r>
    <n v="8910"/>
    <x v="19"/>
    <s v="Release 3.2"/>
    <d v="2014-06-24T13:23:02"/>
    <x v="1"/>
    <n v="0.40833333333333333"/>
    <n v="1"/>
  </r>
  <r>
    <n v="8911"/>
    <x v="4"/>
    <s v="Release 3.3"/>
    <d v="2014-11-19T09:07:12"/>
    <x v="29"/>
    <n v="5.5555555555555558E-3"/>
    <n v="1"/>
  </r>
  <r>
    <n v="8913"/>
    <x v="28"/>
    <s v="Release 3.2"/>
    <d v="2014-05-12T17:16:54"/>
    <x v="13"/>
    <n v="0.52500000000000002"/>
    <n v="1"/>
  </r>
  <r>
    <n v="8917"/>
    <x v="17"/>
    <s v="Release 3.2"/>
    <d v="2014-06-25T13:10:18"/>
    <x v="11"/>
    <n v="0.40555555555555556"/>
    <n v="1"/>
  </r>
  <r>
    <n v="8922"/>
    <x v="28"/>
    <s v="Release 3.2"/>
    <d v="2014-05-30T09:26:26"/>
    <x v="1"/>
    <n v="0.47499999999999998"/>
    <n v="1"/>
  </r>
  <r>
    <n v="8923"/>
    <x v="3"/>
    <s v="Release 3.2"/>
    <d v="2014-06-23T09:21:53"/>
    <x v="11"/>
    <n v="0.41111111111111109"/>
    <n v="1"/>
  </r>
  <r>
    <n v="8932"/>
    <x v="56"/>
    <s v="Release 3.2"/>
    <d v="2014-06-24T19:01:32"/>
    <x v="23"/>
    <n v="0.40833333333333333"/>
    <n v="1"/>
  </r>
  <r>
    <n v="8938"/>
    <x v="24"/>
    <s v="Release 3.2"/>
    <d v="2014-03-13T13:40:29"/>
    <x v="26"/>
    <n v="0.68888888888888888"/>
    <n v="1"/>
  </r>
  <r>
    <n v="8940"/>
    <x v="3"/>
    <s v="Release 3.2"/>
    <d v="2014-02-13T21:08:51"/>
    <x v="7"/>
    <n v="0.77222222222222225"/>
    <n v="1"/>
  </r>
  <r>
    <n v="8942"/>
    <x v="35"/>
    <s v="Release 3.3"/>
    <d v="2014-10-14T17:29:09"/>
    <x v="0"/>
    <n v="0.10277777777777777"/>
    <n v="1"/>
  </r>
  <r>
    <n v="8947"/>
    <x v="3"/>
    <s v="Release 3.2"/>
    <d v="2014-03-04T23:27:12"/>
    <x v="35"/>
    <n v="0.71388888888888891"/>
    <n v="1"/>
  </r>
  <r>
    <n v="8949"/>
    <x v="22"/>
    <s v="Release 3.2"/>
    <d v="2014-02-12T15:10:07"/>
    <x v="25"/>
    <n v="0.77500000000000002"/>
    <n v="1"/>
  </r>
  <r>
    <n v="8951"/>
    <x v="16"/>
    <s v="Release 3.1.1"/>
    <d v="2014-02-25T20:22:20"/>
    <x v="12"/>
    <n v="0.73888888888888893"/>
    <n v="1"/>
  </r>
  <r>
    <n v="8953"/>
    <x v="19"/>
    <s v="Release 3.1.1"/>
    <d v="2014-02-26T18:04:14"/>
    <x v="0"/>
    <n v="0.73611111111111116"/>
    <n v="1"/>
  </r>
  <r>
    <n v="8957"/>
    <x v="6"/>
    <s v="Release 3.3"/>
    <d v="2014-07-16T16:19:29"/>
    <x v="18"/>
    <n v="0.34722222222222221"/>
    <n v="1"/>
  </r>
  <r>
    <n v="8958"/>
    <x v="30"/>
    <s v="Release 3.2"/>
    <d v="2014-03-12T16:21:00"/>
    <x v="1"/>
    <n v="0.69166666666666665"/>
    <n v="1"/>
  </r>
  <r>
    <n v="8960"/>
    <x v="30"/>
    <s v="Release 3.2"/>
    <d v="2014-03-28T16:04:26"/>
    <x v="26"/>
    <n v="0.64722222222222225"/>
    <n v="1"/>
  </r>
  <r>
    <n v="8961"/>
    <x v="52"/>
    <s v="Release 3.3"/>
    <d v="2014-11-20T15:47:20"/>
    <x v="32"/>
    <n v="2.7777777777777779E-3"/>
    <n v="1"/>
  </r>
  <r>
    <n v="8970"/>
    <x v="22"/>
    <s v="Release 3.1.1"/>
    <d v="2014-02-25T19:17:47"/>
    <x v="15"/>
    <n v="0.73888888888888893"/>
    <n v="1"/>
  </r>
  <r>
    <n v="8974"/>
    <x v="17"/>
    <s v="Release 3.2"/>
    <d v="2014-04-01T14:59:49"/>
    <x v="16"/>
    <n v="0.63888888888888884"/>
    <n v="1"/>
  </r>
  <r>
    <n v="8978"/>
    <x v="2"/>
    <s v="Release 3.2"/>
    <d v="2014-03-21T10:36:09"/>
    <x v="26"/>
    <n v="0.66666666666666663"/>
    <n v="1"/>
  </r>
  <r>
    <n v="8979"/>
    <x v="11"/>
    <s v="Release 3.2"/>
    <d v="2014-02-14T13:56:24"/>
    <x v="4"/>
    <n v="0.76944444444444449"/>
    <n v="1"/>
  </r>
  <r>
    <n v="8981"/>
    <x v="17"/>
    <s v="Release 3.2"/>
    <d v="2014-02-14T04:58:57"/>
    <x v="16"/>
    <n v="0.76944444444444449"/>
    <n v="1"/>
  </r>
  <r>
    <n v="8983"/>
    <x v="3"/>
    <s v="Release 3.2"/>
    <d v="2014-03-03T20:19:31"/>
    <x v="3"/>
    <n v="0.71666666666666667"/>
    <n v="1"/>
  </r>
  <r>
    <n v="8985"/>
    <x v="29"/>
    <s v="Release 3.2"/>
    <d v="2014-02-21T15:23:05"/>
    <x v="13"/>
    <n v="0.75"/>
    <n v="1"/>
  </r>
  <r>
    <n v="8993"/>
    <x v="8"/>
    <s v="Release 3.1.1"/>
    <d v="2014-02-24T21:26:45"/>
    <x v="8"/>
    <n v="0.7416666666666667"/>
    <n v="1"/>
  </r>
  <r>
    <n v="9004"/>
    <x v="17"/>
    <s v="Release 3.2"/>
    <d v="2014-06-23T09:45:15"/>
    <x v="11"/>
    <n v="0.41111111111111109"/>
    <n v="1"/>
  </r>
  <r>
    <n v="9005"/>
    <x v="17"/>
    <s v="Release 3.2"/>
    <d v="2014-06-23T09:40:00"/>
    <x v="11"/>
    <n v="0.41111111111111109"/>
    <n v="1"/>
  </r>
  <r>
    <n v="9006"/>
    <x v="0"/>
    <s v="Release 3.2"/>
    <d v="2014-05-02T14:17:37"/>
    <x v="26"/>
    <n v="0.55277777777777781"/>
    <n v="1"/>
  </r>
  <r>
    <n v="9007"/>
    <x v="28"/>
    <s v="Release 3.2"/>
    <d v="2014-03-28T15:03:08"/>
    <x v="28"/>
    <n v="0.64722222222222225"/>
    <n v="1"/>
  </r>
  <r>
    <n v="9014"/>
    <x v="22"/>
    <s v="Release 3.2"/>
    <d v="2014-03-04T10:49:07"/>
    <x v="15"/>
    <n v="0.71388888888888891"/>
    <n v="1"/>
  </r>
  <r>
    <n v="9017"/>
    <x v="4"/>
    <s v="Release 3.2"/>
    <d v="2014-03-13T18:56:42"/>
    <x v="3"/>
    <n v="0.68888888888888888"/>
    <n v="1"/>
  </r>
  <r>
    <n v="9018"/>
    <x v="11"/>
    <s v="Release 3.2"/>
    <d v="2014-02-28T18:46:27"/>
    <x v="16"/>
    <n v="0.72499999999999998"/>
    <n v="1"/>
  </r>
  <r>
    <n v="9021"/>
    <x v="8"/>
    <s v="Release 3.1.1"/>
    <d v="2014-02-25T19:43:07"/>
    <x v="8"/>
    <n v="0.73888888888888893"/>
    <n v="1"/>
  </r>
  <r>
    <n v="9022"/>
    <x v="18"/>
    <s v="Release 3.2"/>
    <d v="2014-04-08T12:57:50"/>
    <x v="4"/>
    <n v="0.61944444444444446"/>
    <n v="1"/>
  </r>
  <r>
    <n v="9024"/>
    <x v="34"/>
    <s v="Release 3.3"/>
    <d v="2014-07-25T16:59:58"/>
    <x v="1"/>
    <n v="0.32222222222222224"/>
    <n v="1"/>
  </r>
  <r>
    <n v="9026"/>
    <x v="24"/>
    <s v="Release 3.2"/>
    <d v="2014-02-26T11:43:54"/>
    <x v="15"/>
    <n v="0.73611111111111116"/>
    <n v="1"/>
  </r>
  <r>
    <n v="9027"/>
    <x v="11"/>
    <s v="Release 3.2"/>
    <d v="2014-02-17T19:30:06"/>
    <x v="16"/>
    <n v="0.76111111111111107"/>
    <n v="1"/>
  </r>
  <r>
    <n v="9028"/>
    <x v="11"/>
    <s v="Release 3.2"/>
    <d v="2014-03-31T10:03:58"/>
    <x v="16"/>
    <n v="0.64166666666666672"/>
    <n v="1"/>
  </r>
  <r>
    <n v="9030"/>
    <x v="4"/>
    <s v="Release 3.2"/>
    <d v="2014-05-02T09:48:48"/>
    <x v="16"/>
    <n v="0.55277777777777781"/>
    <n v="1"/>
  </r>
  <r>
    <n v="9031"/>
    <x v="15"/>
    <s v="Release 3.1.1"/>
    <d v="2014-02-24T22:18:15"/>
    <x v="25"/>
    <n v="0.7416666666666667"/>
    <n v="1"/>
  </r>
  <r>
    <n v="9032"/>
    <x v="22"/>
    <s v="Release 3.1.1"/>
    <d v="2014-02-25T19:18:20"/>
    <x v="15"/>
    <n v="0.73888888888888893"/>
    <n v="1"/>
  </r>
  <r>
    <n v="9035"/>
    <x v="32"/>
    <s v="Release 3.2"/>
    <d v="2014-06-20T11:25:15"/>
    <x v="18"/>
    <n v="0.41944444444444445"/>
    <n v="1"/>
  </r>
  <r>
    <n v="9042"/>
    <x v="30"/>
    <s v="Release 3.2"/>
    <d v="2014-03-28T14:08:27"/>
    <x v="11"/>
    <n v="0.64722222222222225"/>
    <n v="1"/>
  </r>
  <r>
    <n v="9047"/>
    <x v="17"/>
    <s v="Release 3.2"/>
    <d v="2014-03-31T15:04:24"/>
    <x v="11"/>
    <n v="0.64166666666666672"/>
    <n v="1"/>
  </r>
  <r>
    <n v="9048"/>
    <x v="18"/>
    <s v="Release 3.2"/>
    <d v="2014-02-28T16:22:32"/>
    <x v="11"/>
    <n v="0.72499999999999998"/>
    <n v="1"/>
  </r>
  <r>
    <n v="9051"/>
    <x v="29"/>
    <s v="Release 3.2"/>
    <d v="2014-03-07T14:47:32"/>
    <x v="26"/>
    <n v="0.7055555555555556"/>
    <n v="1"/>
  </r>
  <r>
    <n v="9056"/>
    <x v="29"/>
    <s v="Release 3.2"/>
    <d v="2014-03-07T15:27:56"/>
    <x v="12"/>
    <n v="0.7055555555555556"/>
    <n v="1"/>
  </r>
  <r>
    <n v="9058"/>
    <x v="29"/>
    <s v="Release 3.2"/>
    <d v="2014-03-05T15:03:27"/>
    <x v="25"/>
    <n v="0.71111111111111114"/>
    <n v="1"/>
  </r>
  <r>
    <n v="9059"/>
    <x v="3"/>
    <s v="Release 3.2"/>
    <d v="2014-03-31T08:07:08"/>
    <x v="11"/>
    <n v="0.64166666666666672"/>
    <n v="1"/>
  </r>
  <r>
    <n v="9060"/>
    <x v="3"/>
    <s v="Release 3.2"/>
    <d v="2014-03-28T15:24:16"/>
    <x v="5"/>
    <n v="0.64722222222222225"/>
    <n v="1"/>
  </r>
  <r>
    <n v="9061"/>
    <x v="18"/>
    <s v="Release 3.1.1"/>
    <d v="2014-02-27T15:28:05"/>
    <x v="11"/>
    <n v="0.73333333333333328"/>
    <n v="1"/>
  </r>
  <r>
    <n v="9064"/>
    <x v="2"/>
    <s v="Release 3.2"/>
    <d v="2014-03-07T17:06:57"/>
    <x v="16"/>
    <n v="0.7055555555555556"/>
    <n v="1"/>
  </r>
  <r>
    <n v="9068"/>
    <x v="8"/>
    <s v="Release 3.1.1"/>
    <d v="2014-02-26T18:37:59"/>
    <x v="2"/>
    <n v="0.73611111111111116"/>
    <n v="1"/>
  </r>
  <r>
    <n v="9069"/>
    <x v="24"/>
    <s v="Release 3.2"/>
    <d v="2014-03-21T12:30:24"/>
    <x v="4"/>
    <n v="0.66666666666666663"/>
    <n v="1"/>
  </r>
  <r>
    <n v="9070"/>
    <x v="28"/>
    <s v="Release 3.2"/>
    <d v="2014-02-25T13:31:54"/>
    <x v="25"/>
    <n v="0.73888888888888893"/>
    <n v="1"/>
  </r>
  <r>
    <n v="9072"/>
    <x v="2"/>
    <s v="Release 3.1.1"/>
    <d v="2014-02-24T22:25:52"/>
    <x v="26"/>
    <n v="0.7416666666666667"/>
    <n v="1"/>
  </r>
  <r>
    <n v="9074"/>
    <x v="8"/>
    <s v="Release 3.2"/>
    <d v="2014-02-26T21:42:01"/>
    <x v="3"/>
    <n v="0.73611111111111116"/>
    <n v="1"/>
  </r>
  <r>
    <n v="9078"/>
    <x v="3"/>
    <s v="Release 3.1.1"/>
    <d v="2014-02-26T20:02:26"/>
    <x v="5"/>
    <n v="0.73611111111111116"/>
    <n v="1"/>
  </r>
  <r>
    <n v="9081"/>
    <x v="42"/>
    <s v="Release 3.2"/>
    <d v="2014-03-11T13:34:44"/>
    <x v="10"/>
    <n v="0.69444444444444442"/>
    <n v="1"/>
  </r>
  <r>
    <n v="9084"/>
    <x v="24"/>
    <s v="Release 3.2"/>
    <d v="2014-03-06T20:33:49"/>
    <x v="15"/>
    <n v="0.70833333333333337"/>
    <n v="1"/>
  </r>
  <r>
    <n v="9089"/>
    <x v="24"/>
    <s v="Release 3.2"/>
    <d v="2014-03-31T10:12:02"/>
    <x v="4"/>
    <n v="0.64166666666666672"/>
    <n v="1"/>
  </r>
  <r>
    <n v="9095"/>
    <x v="23"/>
    <s v="Release 3.2"/>
    <d v="2014-05-23T16:44:04"/>
    <x v="10"/>
    <n v="0.49444444444444446"/>
    <n v="1"/>
  </r>
  <r>
    <n v="9097"/>
    <x v="19"/>
    <s v="Release 3.2"/>
    <d v="2014-03-07T16:29:18"/>
    <x v="1"/>
    <n v="0.7055555555555556"/>
    <n v="1"/>
  </r>
  <r>
    <n v="9098"/>
    <x v="28"/>
    <s v="Release 3.2"/>
    <d v="2014-04-25T15:14:35"/>
    <x v="15"/>
    <n v="0.57222222222222219"/>
    <n v="1"/>
  </r>
  <r>
    <n v="9099"/>
    <x v="21"/>
    <s v="Release 3.2"/>
    <d v="2014-02-28T14:38:12"/>
    <x v="11"/>
    <n v="0.72499999999999998"/>
    <n v="1"/>
  </r>
  <r>
    <n v="9101"/>
    <x v="23"/>
    <s v="Release 3.2"/>
    <d v="2014-03-24T20:45:23"/>
    <x v="3"/>
    <n v="0.65833333333333333"/>
    <n v="1"/>
  </r>
  <r>
    <n v="9102"/>
    <x v="17"/>
    <s v="Release 3.2"/>
    <d v="2014-03-31T15:04:39"/>
    <x v="27"/>
    <n v="0.64166666666666672"/>
    <n v="1"/>
  </r>
  <r>
    <n v="9104"/>
    <x v="29"/>
    <s v="Release 3.2"/>
    <d v="2014-03-19T09:48:00"/>
    <x v="4"/>
    <n v="0.67222222222222228"/>
    <n v="1"/>
  </r>
  <r>
    <n v="9108"/>
    <x v="21"/>
    <s v="Release 3.2"/>
    <d v="2014-03-07T08:41:13"/>
    <x v="3"/>
    <n v="0.7055555555555556"/>
    <n v="1"/>
  </r>
  <r>
    <n v="9110"/>
    <x v="29"/>
    <s v="Release 3.2"/>
    <d v="2014-03-20T09:49:22"/>
    <x v="4"/>
    <n v="0.6694444444444444"/>
    <n v="1"/>
  </r>
  <r>
    <n v="9112"/>
    <x v="24"/>
    <s v="Release 3.2"/>
    <d v="2014-03-28T16:59:13"/>
    <x v="11"/>
    <n v="0.64722222222222225"/>
    <n v="1"/>
  </r>
  <r>
    <n v="9113"/>
    <x v="19"/>
    <s v="Release 3.2"/>
    <d v="2014-05-16T09:10:51"/>
    <x v="25"/>
    <n v="0.51388888888888884"/>
    <n v="1"/>
  </r>
  <r>
    <n v="9114"/>
    <x v="6"/>
    <s v="Release 3.2"/>
    <d v="2014-06-19T04:25:00"/>
    <x v="15"/>
    <n v="0.42222222222222222"/>
    <n v="1"/>
  </r>
  <r>
    <n v="9115"/>
    <x v="16"/>
    <s v="Release 3.2"/>
    <d v="2014-03-25T11:45:48"/>
    <x v="4"/>
    <n v="0.65555555555555556"/>
    <n v="1"/>
  </r>
  <r>
    <n v="9116"/>
    <x v="6"/>
    <s v="Release 3.2"/>
    <d v="2014-06-19T04:27:19"/>
    <x v="18"/>
    <n v="0.42222222222222222"/>
    <n v="1"/>
  </r>
  <r>
    <n v="9117"/>
    <x v="19"/>
    <s v="Release 3.2"/>
    <d v="2014-03-10T10:09:23"/>
    <x v="18"/>
    <n v="0.69722222222222219"/>
    <n v="1"/>
  </r>
  <r>
    <n v="9118"/>
    <x v="0"/>
    <s v="Release 3.2"/>
    <d v="2014-03-06T15:57:39"/>
    <x v="2"/>
    <n v="0.70833333333333337"/>
    <n v="1"/>
  </r>
  <r>
    <n v="9119"/>
    <x v="29"/>
    <s v="Release 3.2"/>
    <d v="2014-03-07T17:37:47"/>
    <x v="7"/>
    <n v="0.7055555555555556"/>
    <n v="1"/>
  </r>
  <r>
    <n v="9120"/>
    <x v="29"/>
    <s v="Release 3.2"/>
    <d v="2014-03-05T16:53:12"/>
    <x v="25"/>
    <n v="0.71111111111111114"/>
    <n v="1"/>
  </r>
  <r>
    <n v="9121"/>
    <x v="11"/>
    <s v="Release 3.2"/>
    <d v="2014-03-11T20:54:56"/>
    <x v="16"/>
    <n v="0.69444444444444442"/>
    <n v="1"/>
  </r>
  <r>
    <n v="9125"/>
    <x v="21"/>
    <s v="Release 3.2"/>
    <d v="2014-06-20T16:11:39"/>
    <x v="18"/>
    <n v="0.41944444444444445"/>
    <n v="1"/>
  </r>
  <r>
    <n v="9127"/>
    <x v="8"/>
    <s v="Release 3.2"/>
    <d v="2014-03-13T21:38:00"/>
    <x v="9"/>
    <n v="0.68888888888888888"/>
    <n v="1"/>
  </r>
  <r>
    <n v="9128"/>
    <x v="15"/>
    <s v="Release 3.2"/>
    <d v="2014-06-26T11:01:36"/>
    <x v="15"/>
    <n v="0.40277777777777779"/>
    <n v="1"/>
  </r>
  <r>
    <n v="9129"/>
    <x v="29"/>
    <s v="Release 3.2"/>
    <d v="2014-03-19T09:14:14"/>
    <x v="4"/>
    <n v="0.67222222222222228"/>
    <n v="1"/>
  </r>
  <r>
    <n v="9133"/>
    <x v="6"/>
    <s v="Release 3.2"/>
    <d v="2014-06-19T04:30:39"/>
    <x v="18"/>
    <n v="0.42222222222222222"/>
    <n v="1"/>
  </r>
  <r>
    <n v="9135"/>
    <x v="18"/>
    <s v="Release 3.2"/>
    <d v="2014-05-02T15:23:56"/>
    <x v="13"/>
    <n v="0.55277777777777781"/>
    <n v="1"/>
  </r>
  <r>
    <n v="9136"/>
    <x v="29"/>
    <s v="Release 3.2"/>
    <d v="2014-03-27T16:01:57"/>
    <x v="13"/>
    <n v="0.65"/>
    <n v="1"/>
  </r>
  <r>
    <n v="9137"/>
    <x v="6"/>
    <s v="Release 3.2"/>
    <d v="2014-06-19T05:26:31"/>
    <x v="4"/>
    <n v="0.42222222222222222"/>
    <n v="1"/>
  </r>
  <r>
    <n v="9144"/>
    <x v="35"/>
    <s v="Release 3.3"/>
    <d v="2014-08-01T13:40:19"/>
    <x v="18"/>
    <n v="0.30555555555555558"/>
    <n v="1"/>
  </r>
  <r>
    <n v="9147"/>
    <x v="4"/>
    <s v="Release 3.2"/>
    <d v="2014-03-28T18:30:26"/>
    <x v="16"/>
    <n v="0.64722222222222225"/>
    <n v="1"/>
  </r>
  <r>
    <n v="9154"/>
    <x v="16"/>
    <s v="Release 3.2"/>
    <d v="2014-04-25T14:59:44"/>
    <x v="5"/>
    <n v="0.57222222222222219"/>
    <n v="1"/>
  </r>
  <r>
    <n v="9155"/>
    <x v="8"/>
    <s v="Release 3.2"/>
    <d v="2014-03-14T14:40:31"/>
    <x v="18"/>
    <n v="0.68611111111111112"/>
    <n v="1"/>
  </r>
  <r>
    <n v="9157"/>
    <x v="11"/>
    <s v="Release 3.2"/>
    <d v="2014-03-13T15:10:30"/>
    <x v="10"/>
    <n v="0.68888888888888888"/>
    <n v="1"/>
  </r>
  <r>
    <n v="9159"/>
    <x v="15"/>
    <s v="Release 3.2"/>
    <d v="2014-03-14T17:02:36"/>
    <x v="5"/>
    <n v="0.68611111111111112"/>
    <n v="1"/>
  </r>
  <r>
    <n v="9160"/>
    <x v="21"/>
    <s v="Release 3.2"/>
    <d v="2014-03-12T13:28:43"/>
    <x v="3"/>
    <n v="0.69166666666666665"/>
    <n v="1"/>
  </r>
  <r>
    <n v="9162"/>
    <x v="28"/>
    <s v="Release 3.2"/>
    <d v="2014-05-01T11:12:56"/>
    <x v="1"/>
    <n v="0.55555555555555558"/>
    <n v="1"/>
  </r>
  <r>
    <n v="9163"/>
    <x v="32"/>
    <s v="Release 3.2"/>
    <d v="2014-04-23T19:49:12"/>
    <x v="7"/>
    <n v="0.57777777777777772"/>
    <n v="1"/>
  </r>
  <r>
    <n v="9165"/>
    <x v="8"/>
    <s v="Release 3.2"/>
    <d v="2014-03-19T09:16:58"/>
    <x v="4"/>
    <n v="0.67222222222222228"/>
    <n v="1"/>
  </r>
  <r>
    <n v="9167"/>
    <x v="30"/>
    <s v="Release 3.2"/>
    <d v="2014-04-23T08:50:07"/>
    <x v="2"/>
    <n v="0.57777777777777772"/>
    <n v="1"/>
  </r>
  <r>
    <n v="9170"/>
    <x v="30"/>
    <s v="Release 3.2"/>
    <d v="2014-03-24T08:59:53"/>
    <x v="4"/>
    <n v="0.65833333333333333"/>
    <n v="1"/>
  </r>
  <r>
    <n v="9172"/>
    <x v="29"/>
    <s v="Release 3.2"/>
    <d v="2014-03-14T14:23:21"/>
    <x v="25"/>
    <n v="0.68611111111111112"/>
    <n v="1"/>
  </r>
  <r>
    <n v="9174"/>
    <x v="28"/>
    <s v="Release 3.2"/>
    <d v="2014-03-13T15:54:27"/>
    <x v="1"/>
    <n v="0.68888888888888888"/>
    <n v="1"/>
  </r>
  <r>
    <n v="9175"/>
    <x v="23"/>
    <s v="Release 3.2"/>
    <d v="2014-06-13T20:11:26"/>
    <x v="7"/>
    <n v="0.43888888888888888"/>
    <n v="1"/>
  </r>
  <r>
    <n v="9177"/>
    <x v="3"/>
    <s v="Release 3.2"/>
    <d v="2014-03-13T14:49:30"/>
    <x v="2"/>
    <n v="0.68888888888888888"/>
    <n v="1"/>
  </r>
  <r>
    <n v="9179"/>
    <x v="15"/>
    <s v="Release 3.2"/>
    <d v="2014-06-13T21:37:11"/>
    <x v="3"/>
    <n v="0.43888888888888888"/>
    <n v="1"/>
  </r>
  <r>
    <n v="9182"/>
    <x v="17"/>
    <s v="Release 3.2"/>
    <d v="2014-04-04T16:01:21"/>
    <x v="1"/>
    <n v="0.63055555555555554"/>
    <n v="1"/>
  </r>
  <r>
    <n v="9183"/>
    <x v="17"/>
    <s v="Release 3.2"/>
    <d v="2014-04-08T09:03:14"/>
    <x v="0"/>
    <n v="0.61944444444444446"/>
    <n v="1"/>
  </r>
  <r>
    <n v="9189"/>
    <x v="21"/>
    <s v="Release 3.2"/>
    <d v="2014-03-14T15:10:48"/>
    <x v="18"/>
    <n v="0.68611111111111112"/>
    <n v="1"/>
  </r>
  <r>
    <n v="9191"/>
    <x v="17"/>
    <s v="Release 3.2"/>
    <d v="2014-04-03T08:53:01"/>
    <x v="4"/>
    <n v="0.6333333333333333"/>
    <n v="1"/>
  </r>
  <r>
    <n v="9192"/>
    <x v="21"/>
    <s v="Release 3.2"/>
    <d v="2014-03-19T20:16:43"/>
    <x v="7"/>
    <n v="0.67222222222222228"/>
    <n v="1"/>
  </r>
  <r>
    <n v="9193"/>
    <x v="43"/>
    <s v="Release 3.2"/>
    <d v="2014-03-19T15:50:47"/>
    <x v="25"/>
    <n v="0.67222222222222228"/>
    <n v="1"/>
  </r>
  <r>
    <n v="9194"/>
    <x v="16"/>
    <s v="Release 3.3"/>
    <d v="2014-04-04T14:03:38"/>
    <x v="10"/>
    <n v="0.63055555555555554"/>
    <n v="1"/>
  </r>
  <r>
    <n v="9195"/>
    <x v="10"/>
    <s v="Release 3.2"/>
    <d v="2014-03-19T18:16:51"/>
    <x v="7"/>
    <n v="0.67222222222222228"/>
    <n v="1"/>
  </r>
  <r>
    <n v="9197"/>
    <x v="43"/>
    <s v="Release 3.2"/>
    <d v="2014-04-11T14:31:41"/>
    <x v="26"/>
    <n v="0.61111111111111116"/>
    <n v="1"/>
  </r>
  <r>
    <n v="9199"/>
    <x v="4"/>
    <s v="Release 3.2"/>
    <d v="2014-04-03T16:51:24"/>
    <x v="26"/>
    <n v="0.6333333333333333"/>
    <n v="1"/>
  </r>
  <r>
    <n v="9200"/>
    <x v="21"/>
    <s v="Release 3.2"/>
    <d v="2014-03-27T18:42:38"/>
    <x v="3"/>
    <n v="0.65"/>
    <n v="1"/>
  </r>
  <r>
    <n v="9202"/>
    <x v="14"/>
    <s v="Release 3.3"/>
    <d v="2014-10-06T15:06:37"/>
    <x v="10"/>
    <n v="0.125"/>
    <n v="1"/>
  </r>
  <r>
    <n v="9209"/>
    <x v="28"/>
    <s v="Release 3.2"/>
    <d v="2014-07-10T22:22:15"/>
    <x v="13"/>
    <n v="0.36388888888888887"/>
    <n v="1"/>
  </r>
  <r>
    <n v="9213"/>
    <x v="29"/>
    <s v="Release 3.2"/>
    <d v="2014-05-20T15:32:41"/>
    <x v="13"/>
    <n v="0.50277777777777777"/>
    <n v="1"/>
  </r>
  <r>
    <n v="9217"/>
    <x v="10"/>
    <s v="Release 3.2"/>
    <d v="2014-04-16T21:12:19"/>
    <x v="5"/>
    <n v="0.59722222222222221"/>
    <n v="1"/>
  </r>
  <r>
    <n v="9218"/>
    <x v="15"/>
    <s v="Release 3.2"/>
    <d v="2014-03-25T18:53:54"/>
    <x v="5"/>
    <n v="0.65555555555555556"/>
    <n v="1"/>
  </r>
  <r>
    <n v="9219"/>
    <x v="11"/>
    <s v="Release 3.2"/>
    <d v="2014-03-28T13:51:41"/>
    <x v="10"/>
    <n v="0.64722222222222225"/>
    <n v="1"/>
  </r>
  <r>
    <n v="9221"/>
    <x v="4"/>
    <s v="Release 3.2"/>
    <d v="2014-05-13T14:52:53"/>
    <x v="25"/>
    <n v="0.52222222222222225"/>
    <n v="1"/>
  </r>
  <r>
    <n v="9223"/>
    <x v="24"/>
    <s v="Release 3.2"/>
    <d v="2014-04-25T11:16:31"/>
    <x v="0"/>
    <n v="0.57222222222222219"/>
    <n v="1"/>
  </r>
  <r>
    <n v="9225"/>
    <x v="21"/>
    <s v="Release 3.2"/>
    <d v="2014-04-11T22:19:03"/>
    <x v="9"/>
    <n v="0.61111111111111116"/>
    <n v="1"/>
  </r>
  <r>
    <n v="9226"/>
    <x v="11"/>
    <s v="Release 3.2"/>
    <d v="2014-03-28T13:57:44"/>
    <x v="10"/>
    <n v="0.64722222222222225"/>
    <n v="1"/>
  </r>
  <r>
    <n v="9229"/>
    <x v="21"/>
    <s v="Release 3.2"/>
    <d v="2014-04-04T14:08:39"/>
    <x v="2"/>
    <n v="0.63055555555555554"/>
    <n v="1"/>
  </r>
  <r>
    <n v="9230"/>
    <x v="21"/>
    <s v="Release 3.2"/>
    <d v="2014-04-04T19:44:42"/>
    <x v="7"/>
    <n v="0.63055555555555554"/>
    <n v="1"/>
  </r>
  <r>
    <n v="9235"/>
    <x v="42"/>
    <s v="Release 3.2"/>
    <d v="2014-03-31T20:45:21"/>
    <x v="10"/>
    <n v="0.64166666666666672"/>
    <n v="1"/>
  </r>
  <r>
    <n v="9238"/>
    <x v="6"/>
    <s v="Release 3.2"/>
    <d v="2014-04-14T13:26:59"/>
    <x v="16"/>
    <n v="0.60277777777777775"/>
    <n v="1"/>
  </r>
  <r>
    <n v="9241"/>
    <x v="21"/>
    <s v="Release 3.2"/>
    <d v="2014-04-11T15:58:42"/>
    <x v="21"/>
    <n v="0.61111111111111116"/>
    <n v="1"/>
  </r>
  <r>
    <n v="9244"/>
    <x v="23"/>
    <s v="Release 3.2"/>
    <d v="2014-04-23T21:02:31"/>
    <x v="7"/>
    <n v="0.57777777777777772"/>
    <n v="1"/>
  </r>
  <r>
    <n v="9245"/>
    <x v="19"/>
    <s v="Release 3.2"/>
    <d v="2014-05-30T13:43:57"/>
    <x v="18"/>
    <n v="0.47499999999999998"/>
    <n v="1"/>
  </r>
  <r>
    <n v="9246"/>
    <x v="3"/>
    <s v="Release 3.2"/>
    <d v="2014-04-02T09:59:45"/>
    <x v="1"/>
    <n v="0.63611111111111107"/>
    <n v="1"/>
  </r>
  <r>
    <n v="9247"/>
    <x v="8"/>
    <s v="Release 3.2"/>
    <d v="2014-04-30T16:36:20"/>
    <x v="7"/>
    <n v="0.55833333333333335"/>
    <n v="1"/>
  </r>
  <r>
    <n v="9249"/>
    <x v="43"/>
    <s v="Release 3.2"/>
    <d v="2014-07-03T17:05:21"/>
    <x v="26"/>
    <n v="0.38333333333333336"/>
    <n v="1"/>
  </r>
  <r>
    <n v="9250"/>
    <x v="0"/>
    <s v="Release 3.2"/>
    <d v="2014-04-03T08:26:57"/>
    <x v="4"/>
    <n v="0.6333333333333333"/>
    <n v="1"/>
  </r>
  <r>
    <n v="9252"/>
    <x v="3"/>
    <s v="Release 3.2"/>
    <d v="2014-04-22T18:13:17"/>
    <x v="3"/>
    <n v="0.5805555555555556"/>
    <n v="1"/>
  </r>
  <r>
    <n v="9253"/>
    <x v="8"/>
    <s v="Release 3.2"/>
    <d v="2014-04-11T21:17:24"/>
    <x v="3"/>
    <n v="0.61111111111111116"/>
    <n v="1"/>
  </r>
  <r>
    <n v="9257"/>
    <x v="16"/>
    <s v="Release 3.2"/>
    <d v="2014-04-23T14:14:08"/>
    <x v="4"/>
    <n v="0.57777777777777772"/>
    <n v="1"/>
  </r>
  <r>
    <n v="9258"/>
    <x v="6"/>
    <s v="Release 3.2"/>
    <d v="2014-04-23T10:01:11"/>
    <x v="27"/>
    <n v="0.57777777777777772"/>
    <n v="1"/>
  </r>
  <r>
    <n v="9259"/>
    <x v="6"/>
    <s v="Release 3.2"/>
    <d v="2014-04-23T10:12:15"/>
    <x v="27"/>
    <n v="0.57777777777777772"/>
    <n v="1"/>
  </r>
  <r>
    <n v="9260"/>
    <x v="17"/>
    <s v="Release 3.2"/>
    <d v="2014-04-25T15:20:05"/>
    <x v="16"/>
    <n v="0.57222222222222219"/>
    <n v="1"/>
  </r>
  <r>
    <n v="9262"/>
    <x v="28"/>
    <s v="Release 3.2"/>
    <d v="2014-04-11T14:02:24"/>
    <x v="4"/>
    <n v="0.61111111111111116"/>
    <n v="1"/>
  </r>
  <r>
    <n v="9264"/>
    <x v="11"/>
    <s v="Release 3.2"/>
    <d v="2014-04-04T13:41:58"/>
    <x v="10"/>
    <n v="0.63055555555555554"/>
    <n v="1"/>
  </r>
  <r>
    <n v="9265"/>
    <x v="3"/>
    <s v="Release 3.2"/>
    <d v="2014-04-11T14:18:27"/>
    <x v="27"/>
    <n v="0.61111111111111116"/>
    <n v="1"/>
  </r>
  <r>
    <n v="9266"/>
    <x v="11"/>
    <s v="Release 3.2"/>
    <d v="2014-05-28T18:38:16"/>
    <x v="5"/>
    <n v="0.48055555555555557"/>
    <n v="1"/>
  </r>
  <r>
    <n v="9270"/>
    <x v="3"/>
    <s v="Release 3.2"/>
    <d v="2014-05-09T15:18:56"/>
    <x v="27"/>
    <n v="0.53333333333333333"/>
    <n v="1"/>
  </r>
  <r>
    <n v="9312"/>
    <x v="18"/>
    <s v="Release 3.2"/>
    <d v="2014-05-02T15:20:01"/>
    <x v="18"/>
    <n v="0.55277777777777781"/>
    <n v="1"/>
  </r>
  <r>
    <n v="9313"/>
    <x v="21"/>
    <s v="Release 3.2"/>
    <d v="2014-04-11T20:00:31"/>
    <x v="5"/>
    <n v="0.61111111111111116"/>
    <n v="1"/>
  </r>
  <r>
    <n v="9318"/>
    <x v="11"/>
    <s v="Release 3.2"/>
    <d v="2014-04-10T19:57:10"/>
    <x v="8"/>
    <n v="0.61388888888888893"/>
    <n v="1"/>
  </r>
  <r>
    <n v="9319"/>
    <x v="3"/>
    <s v="Release 3.2"/>
    <d v="2014-04-29T15:38:01"/>
    <x v="25"/>
    <n v="0.56111111111111112"/>
    <n v="1"/>
  </r>
  <r>
    <n v="9320"/>
    <x v="18"/>
    <s v="Release 3.2"/>
    <d v="2014-05-20T16:26:21"/>
    <x v="28"/>
    <n v="0.50277777777777777"/>
    <n v="1"/>
  </r>
  <r>
    <n v="9322"/>
    <x v="10"/>
    <s v="Release 3.2"/>
    <d v="2014-04-25T13:27:15"/>
    <x v="2"/>
    <n v="0.57222222222222219"/>
    <n v="1"/>
  </r>
  <r>
    <n v="9323"/>
    <x v="11"/>
    <s v="Release 3.2"/>
    <d v="2014-04-16T18:32:37"/>
    <x v="5"/>
    <n v="0.59722222222222221"/>
    <n v="1"/>
  </r>
  <r>
    <n v="9325"/>
    <x v="21"/>
    <s v="Release 3.2"/>
    <d v="2014-04-25T15:34:49"/>
    <x v="16"/>
    <n v="0.57222222222222219"/>
    <n v="1"/>
  </r>
  <r>
    <n v="9328"/>
    <x v="11"/>
    <s v="Release 3.2"/>
    <d v="2014-04-15T19:06:22"/>
    <x v="8"/>
    <n v="0.6"/>
    <n v="1"/>
  </r>
  <r>
    <n v="9329"/>
    <x v="11"/>
    <s v="Release 3.2"/>
    <d v="2014-04-15T19:06:12"/>
    <x v="16"/>
    <n v="0.6"/>
    <n v="1"/>
  </r>
  <r>
    <n v="9332"/>
    <x v="24"/>
    <s v="Release 3.2"/>
    <d v="2014-04-25T15:25:58"/>
    <x v="21"/>
    <n v="0.57222222222222219"/>
    <n v="1"/>
  </r>
  <r>
    <n v="9334"/>
    <x v="21"/>
    <s v="Release 3.2"/>
    <d v="2014-04-17T14:38:08"/>
    <x v="5"/>
    <n v="0.59444444444444444"/>
    <n v="1"/>
  </r>
  <r>
    <n v="9335"/>
    <x v="23"/>
    <s v="Release 3.2.1"/>
    <d v="2014-08-21T10:42:28"/>
    <x v="1"/>
    <n v="0.25"/>
    <n v="1"/>
  </r>
  <r>
    <n v="9337"/>
    <x v="28"/>
    <s v="Release 3.2"/>
    <d v="2014-06-26T10:41:56"/>
    <x v="15"/>
    <n v="0.40277777777777779"/>
    <n v="1"/>
  </r>
  <r>
    <n v="9338"/>
    <x v="34"/>
    <s v="Release 3.3"/>
    <d v="2014-10-06T15:06:32"/>
    <x v="13"/>
    <n v="0.125"/>
    <n v="1"/>
  </r>
  <r>
    <n v="9342"/>
    <x v="3"/>
    <s v="Release 3.3"/>
    <d v="2014-08-28T17:49:42"/>
    <x v="3"/>
    <n v="0.23055555555555557"/>
    <n v="1"/>
  </r>
  <r>
    <n v="9343"/>
    <x v="28"/>
    <s v="Release 3.3"/>
    <d v="2014-08-08T12:42:04"/>
    <x v="2"/>
    <n v="0.28611111111111109"/>
    <n v="1"/>
  </r>
  <r>
    <n v="9345"/>
    <x v="34"/>
    <s v="Release 3.3"/>
    <d v="2014-10-14T08:52:15"/>
    <x v="4"/>
    <n v="0.10277777777777777"/>
    <n v="1"/>
  </r>
  <r>
    <n v="9353"/>
    <x v="14"/>
    <s v="Release 3.2"/>
    <d v="2014-05-08T21:15:22"/>
    <x v="5"/>
    <n v="0.53611111111111109"/>
    <n v="1"/>
  </r>
  <r>
    <n v="9354"/>
    <x v="11"/>
    <s v="Release 3.2"/>
    <d v="2014-04-25T15:00:00"/>
    <x v="16"/>
    <n v="0.57222222222222219"/>
    <n v="1"/>
  </r>
  <r>
    <n v="9357"/>
    <x v="0"/>
    <s v="Release 3.2"/>
    <d v="2014-05-28T16:08:54"/>
    <x v="5"/>
    <n v="0.48055555555555557"/>
    <n v="1"/>
  </r>
  <r>
    <n v="9358"/>
    <x v="23"/>
    <s v="Release 3.2"/>
    <d v="2014-07-03T17:05:21"/>
    <x v="10"/>
    <n v="0.38333333333333336"/>
    <n v="1"/>
  </r>
  <r>
    <n v="9359"/>
    <x v="19"/>
    <s v="Release 3.2"/>
    <d v="2014-05-08T06:05:21"/>
    <x v="0"/>
    <n v="0.53611111111111109"/>
    <n v="1"/>
  </r>
  <r>
    <n v="9360"/>
    <x v="16"/>
    <s v="Release 3.2"/>
    <d v="2014-04-25T14:58:52"/>
    <x v="5"/>
    <n v="0.57222222222222219"/>
    <n v="1"/>
  </r>
  <r>
    <n v="9364"/>
    <x v="18"/>
    <s v="Release 3.2"/>
    <d v="2014-05-30T16:22:18"/>
    <x v="11"/>
    <n v="0.47499999999999998"/>
    <n v="1"/>
  </r>
  <r>
    <n v="9369"/>
    <x v="28"/>
    <s v="Release 3.2"/>
    <d v="2014-07-03T17:05:18"/>
    <x v="4"/>
    <n v="0.38333333333333336"/>
    <n v="1"/>
  </r>
  <r>
    <n v="9370"/>
    <x v="28"/>
    <s v="Release 3.2"/>
    <d v="2014-06-23T10:20:16"/>
    <x v="11"/>
    <n v="0.41111111111111109"/>
    <n v="1"/>
  </r>
  <r>
    <n v="9371"/>
    <x v="35"/>
    <s v="Release 3.3"/>
    <d v="2014-09-09T12:13:40"/>
    <x v="2"/>
    <n v="0.2"/>
    <n v="1"/>
  </r>
  <r>
    <n v="9376"/>
    <x v="24"/>
    <s v="Release 3.2"/>
    <d v="2014-05-02T17:12:03"/>
    <x v="15"/>
    <n v="0.55277777777777781"/>
    <n v="1"/>
  </r>
  <r>
    <n v="9377"/>
    <x v="21"/>
    <s v="Release 3.2"/>
    <d v="2014-06-23T20:31:05"/>
    <x v="9"/>
    <n v="0.41111111111111109"/>
    <n v="1"/>
  </r>
  <r>
    <n v="9379"/>
    <x v="21"/>
    <s v="Release 3.2"/>
    <d v="2014-05-15T20:15:32"/>
    <x v="5"/>
    <n v="0.51666666666666672"/>
    <n v="1"/>
  </r>
  <r>
    <n v="9380"/>
    <x v="53"/>
    <s v="Release 3.3"/>
    <d v="2014-11-18T12:01:11"/>
    <x v="30"/>
    <n v="8.3333333333333332E-3"/>
    <n v="1"/>
  </r>
  <r>
    <n v="9381"/>
    <x v="8"/>
    <s v="Release 3.2"/>
    <d v="2014-05-02T21:18:56"/>
    <x v="3"/>
    <n v="0.55277777777777781"/>
    <n v="1"/>
  </r>
  <r>
    <n v="9387"/>
    <x v="18"/>
    <s v="Release 3.2"/>
    <d v="2014-05-09T16:07:44"/>
    <x v="13"/>
    <n v="0.53333333333333333"/>
    <n v="1"/>
  </r>
  <r>
    <n v="9389"/>
    <x v="16"/>
    <s v="Release 3.2"/>
    <d v="2014-05-08T11:15:28"/>
    <x v="0"/>
    <n v="0.53611111111111109"/>
    <n v="1"/>
  </r>
  <r>
    <n v="9390"/>
    <x v="43"/>
    <s v="Release 3.2"/>
    <d v="2014-06-06T18:39:31"/>
    <x v="7"/>
    <n v="0.45833333333333331"/>
    <n v="1"/>
  </r>
  <r>
    <n v="9392"/>
    <x v="11"/>
    <s v="Release 3.3"/>
    <d v="2014-10-27T15:42:30"/>
    <x v="0"/>
    <n v="6.6666666666666666E-2"/>
    <n v="1"/>
  </r>
  <r>
    <n v="9393"/>
    <x v="14"/>
    <s v="Release 3.2"/>
    <d v="2014-05-06T14:26:56"/>
    <x v="5"/>
    <n v="0.54166666666666663"/>
    <n v="1"/>
  </r>
  <r>
    <n v="9399"/>
    <x v="23"/>
    <s v="Release 3.2"/>
    <d v="2014-05-14T15:58:24"/>
    <x v="3"/>
    <n v="0.51944444444444449"/>
    <n v="1"/>
  </r>
  <r>
    <n v="9400"/>
    <x v="3"/>
    <s v="Release 3.2"/>
    <d v="2014-05-01T11:48:32"/>
    <x v="27"/>
    <n v="0.55555555555555558"/>
    <n v="1"/>
  </r>
  <r>
    <n v="9402"/>
    <x v="3"/>
    <s v="Release 3.2"/>
    <d v="2014-05-07T18:48:31"/>
    <x v="7"/>
    <n v="0.53888888888888886"/>
    <n v="1"/>
  </r>
  <r>
    <n v="9404"/>
    <x v="28"/>
    <s v="Release 3.2"/>
    <d v="2014-06-06T14:42:08"/>
    <x v="18"/>
    <n v="0.45833333333333331"/>
    <n v="1"/>
  </r>
  <r>
    <n v="9407"/>
    <x v="11"/>
    <s v="Release 3.2"/>
    <d v="2014-05-14T16:32:56"/>
    <x v="16"/>
    <n v="0.51944444444444449"/>
    <n v="1"/>
  </r>
  <r>
    <n v="9410"/>
    <x v="21"/>
    <s v="Release 3.2"/>
    <d v="2014-05-20T14:31:23"/>
    <x v="16"/>
    <n v="0.50277777777777777"/>
    <n v="1"/>
  </r>
  <r>
    <n v="9412"/>
    <x v="21"/>
    <s v="Release 3.2"/>
    <d v="2014-05-22T19:14:01"/>
    <x v="16"/>
    <n v="0.49722222222222223"/>
    <n v="1"/>
  </r>
  <r>
    <n v="9413"/>
    <x v="21"/>
    <s v="Release 3.2"/>
    <d v="2014-05-22T15:32:12"/>
    <x v="5"/>
    <n v="0.49722222222222223"/>
    <n v="1"/>
  </r>
  <r>
    <n v="9415"/>
    <x v="0"/>
    <s v="Release 3.2"/>
    <d v="2014-05-05T16:43:27"/>
    <x v="16"/>
    <n v="0.5444444444444444"/>
    <n v="1"/>
  </r>
  <r>
    <n v="9416"/>
    <x v="6"/>
    <s v="Release 3.2"/>
    <d v="2014-05-09T14:30:23"/>
    <x v="11"/>
    <n v="0.53333333333333333"/>
    <n v="1"/>
  </r>
  <r>
    <n v="9417"/>
    <x v="6"/>
    <s v="Release 3.2"/>
    <d v="2014-05-20T12:08:40"/>
    <x v="28"/>
    <n v="0.50277777777777777"/>
    <n v="1"/>
  </r>
  <r>
    <n v="9418"/>
    <x v="21"/>
    <s v="Release 3.2"/>
    <d v="2014-05-14T18:41:41"/>
    <x v="3"/>
    <n v="0.51944444444444449"/>
    <n v="1"/>
  </r>
  <r>
    <n v="9420"/>
    <x v="2"/>
    <s v="Release 3.2"/>
    <d v="2014-05-09T14:45:39"/>
    <x v="26"/>
    <n v="0.53333333333333333"/>
    <n v="1"/>
  </r>
  <r>
    <n v="9421"/>
    <x v="3"/>
    <s v="Release 3.2"/>
    <d v="2014-05-12T18:44:43"/>
    <x v="5"/>
    <n v="0.52500000000000002"/>
    <n v="1"/>
  </r>
  <r>
    <n v="9423"/>
    <x v="4"/>
    <s v="Release 3.2"/>
    <d v="2014-05-13T10:55:35"/>
    <x v="4"/>
    <n v="0.52222222222222225"/>
    <n v="1"/>
  </r>
  <r>
    <n v="9424"/>
    <x v="32"/>
    <s v="Release 3.2"/>
    <d v="2014-05-16T19:07:06"/>
    <x v="7"/>
    <n v="0.51388888888888884"/>
    <n v="1"/>
  </r>
  <r>
    <n v="9425"/>
    <x v="11"/>
    <s v="Release 3.2"/>
    <d v="2014-05-09T10:46:01"/>
    <x v="25"/>
    <n v="0.53333333333333333"/>
    <n v="1"/>
  </r>
  <r>
    <n v="9428"/>
    <x v="16"/>
    <s v="Release 3.2"/>
    <d v="2014-07-07T10:34:25"/>
    <x v="0"/>
    <n v="0.37222222222222223"/>
    <n v="1"/>
  </r>
  <r>
    <n v="9429"/>
    <x v="19"/>
    <s v="Release 3.2"/>
    <d v="2014-06-05T16:21:04"/>
    <x v="26"/>
    <n v="0.46111111111111114"/>
    <n v="1"/>
  </r>
  <r>
    <n v="9431"/>
    <x v="21"/>
    <s v="Release 3.2"/>
    <d v="2014-05-09T14:16:02"/>
    <x v="5"/>
    <n v="0.53333333333333333"/>
    <n v="1"/>
  </r>
  <r>
    <n v="9432"/>
    <x v="45"/>
    <s v="Release 3.2"/>
    <d v="2014-05-16T14:28:45"/>
    <x v="1"/>
    <n v="0.51388888888888884"/>
    <n v="1"/>
  </r>
  <r>
    <n v="9434"/>
    <x v="3"/>
    <s v="Release 3.2"/>
    <d v="2014-05-09T13:38:07"/>
    <x v="13"/>
    <n v="0.53333333333333333"/>
    <n v="1"/>
  </r>
  <r>
    <n v="9436"/>
    <x v="45"/>
    <s v="Release 3.2"/>
    <d v="2014-08-12T10:02:30"/>
    <x v="2"/>
    <n v="0.27500000000000002"/>
    <n v="1"/>
  </r>
  <r>
    <n v="9437"/>
    <x v="19"/>
    <s v="Release 3.2"/>
    <d v="2014-06-13T12:38:40"/>
    <x v="11"/>
    <n v="0.43888888888888888"/>
    <n v="1"/>
  </r>
  <r>
    <n v="9438"/>
    <x v="18"/>
    <s v="Release 3.2"/>
    <d v="2014-05-30T14:33:11"/>
    <x v="18"/>
    <n v="0.47499999999999998"/>
    <n v="1"/>
  </r>
  <r>
    <n v="9439"/>
    <x v="4"/>
    <s v="Release 3.2"/>
    <d v="2014-05-30T13:05:28"/>
    <x v="0"/>
    <n v="0.47499999999999998"/>
    <n v="1"/>
  </r>
  <r>
    <n v="9445"/>
    <x v="45"/>
    <s v="Release 3.3"/>
    <d v="2014-08-12T10:02:30"/>
    <x v="1"/>
    <n v="0.27500000000000002"/>
    <n v="1"/>
  </r>
  <r>
    <n v="9446"/>
    <x v="32"/>
    <s v="Release 3.2"/>
    <d v="2014-05-16T19:48:19"/>
    <x v="7"/>
    <n v="0.51388888888888884"/>
    <n v="1"/>
  </r>
  <r>
    <n v="9447"/>
    <x v="23"/>
    <s v="Release 3.2"/>
    <d v="2014-06-10T16:05:40"/>
    <x v="25"/>
    <n v="0.44722222222222224"/>
    <n v="1"/>
  </r>
  <r>
    <n v="9448"/>
    <x v="45"/>
    <s v="Release 3.2"/>
    <d v="2014-05-16T15:09:13"/>
    <x v="1"/>
    <n v="0.51388888888888884"/>
    <n v="1"/>
  </r>
  <r>
    <n v="9455"/>
    <x v="16"/>
    <s v="Release 3.2"/>
    <d v="2014-05-16T15:17:55"/>
    <x v="26"/>
    <n v="0.51388888888888884"/>
    <n v="1"/>
  </r>
  <r>
    <n v="9463"/>
    <x v="23"/>
    <s v="Release 3.2"/>
    <d v="2014-06-11T17:51:06"/>
    <x v="3"/>
    <n v="0.44444444444444442"/>
    <n v="1"/>
  </r>
  <r>
    <n v="9465"/>
    <x v="23"/>
    <s v="Release 3.2"/>
    <d v="2014-06-13T20:30:10"/>
    <x v="7"/>
    <n v="0.43888888888888888"/>
    <n v="1"/>
  </r>
  <r>
    <n v="9466"/>
    <x v="11"/>
    <s v="Release 3.2"/>
    <d v="2014-05-22T14:08:04"/>
    <x v="5"/>
    <n v="0.49722222222222223"/>
    <n v="1"/>
  </r>
  <r>
    <n v="9472"/>
    <x v="6"/>
    <s v="Release 3.2"/>
    <d v="2014-05-20T15:04:34"/>
    <x v="15"/>
    <n v="0.50277777777777777"/>
    <n v="1"/>
  </r>
  <r>
    <n v="9473"/>
    <x v="35"/>
    <s v="Release 3.3"/>
    <d v="2014-10-10T14:42:07"/>
    <x v="2"/>
    <n v="0.11388888888888889"/>
    <n v="1"/>
  </r>
  <r>
    <n v="9474"/>
    <x v="6"/>
    <s v="Release 3.2"/>
    <d v="2014-05-23T17:44:37"/>
    <x v="3"/>
    <n v="0.49444444444444446"/>
    <n v="1"/>
  </r>
  <r>
    <n v="9476"/>
    <x v="19"/>
    <s v="Release 3.2"/>
    <d v="2014-05-16T14:36:37"/>
    <x v="25"/>
    <n v="0.51388888888888884"/>
    <n v="1"/>
  </r>
  <r>
    <n v="9480"/>
    <x v="21"/>
    <s v="Release 3.2"/>
    <d v="2014-05-22T22:00:54"/>
    <x v="5"/>
    <n v="0.49722222222222223"/>
    <n v="1"/>
  </r>
  <r>
    <n v="9481"/>
    <x v="19"/>
    <s v="Release 3.2"/>
    <d v="2014-06-05T09:36:46"/>
    <x v="25"/>
    <n v="0.46111111111111114"/>
    <n v="1"/>
  </r>
  <r>
    <n v="9483"/>
    <x v="11"/>
    <s v="Release 3.2"/>
    <d v="2014-05-20T20:03:36"/>
    <x v="7"/>
    <n v="0.50277777777777777"/>
    <n v="1"/>
  </r>
  <r>
    <n v="9487"/>
    <x v="3"/>
    <s v="Release 3.2"/>
    <d v="2014-06-23T09:50:28"/>
    <x v="15"/>
    <n v="0.41111111111111109"/>
    <n v="1"/>
  </r>
  <r>
    <n v="9488"/>
    <x v="3"/>
    <s v="Release 3.2"/>
    <d v="2014-06-20T14:48:42"/>
    <x v="11"/>
    <n v="0.41944444444444445"/>
    <n v="1"/>
  </r>
  <r>
    <n v="9492"/>
    <x v="29"/>
    <s v="Release 3.2"/>
    <d v="2014-05-23T14:00:09"/>
    <x v="13"/>
    <n v="0.49444444444444446"/>
    <n v="1"/>
  </r>
  <r>
    <n v="9493"/>
    <x v="6"/>
    <s v="Release 3.2"/>
    <d v="2014-05-30T15:24:45"/>
    <x v="2"/>
    <n v="0.47499999999999998"/>
    <n v="1"/>
  </r>
  <r>
    <n v="9500"/>
    <x v="30"/>
    <s v="Release 3.2"/>
    <d v="2014-06-25T10:25:16"/>
    <x v="1"/>
    <n v="0.40555555555555556"/>
    <n v="1"/>
  </r>
  <r>
    <n v="9508"/>
    <x v="2"/>
    <s v="Release 3.2"/>
    <d v="2014-06-24T18:38:03"/>
    <x v="5"/>
    <n v="0.40833333333333333"/>
    <n v="1"/>
  </r>
  <r>
    <n v="9509"/>
    <x v="16"/>
    <s v="Release 3.2"/>
    <d v="2014-06-16T11:23:01"/>
    <x v="26"/>
    <n v="0.43055555555555558"/>
    <n v="1"/>
  </r>
  <r>
    <n v="9517"/>
    <x v="28"/>
    <s v="Release 3.2"/>
    <d v="2014-06-24T09:43:53"/>
    <x v="11"/>
    <n v="0.40833333333333333"/>
    <n v="1"/>
  </r>
  <r>
    <n v="9519"/>
    <x v="16"/>
    <s v="Release 3.2"/>
    <d v="2014-05-23T15:13:14"/>
    <x v="16"/>
    <n v="0.49444444444444446"/>
    <n v="1"/>
  </r>
  <r>
    <n v="9527"/>
    <x v="6"/>
    <s v="Release 3.2"/>
    <d v="2014-05-28T11:17:07"/>
    <x v="11"/>
    <n v="0.48055555555555557"/>
    <n v="1"/>
  </r>
  <r>
    <n v="9529"/>
    <x v="8"/>
    <s v="Release 3.2"/>
    <d v="2014-06-26T16:39:12"/>
    <x v="3"/>
    <n v="0.40277777777777779"/>
    <n v="1"/>
  </r>
  <r>
    <n v="9531"/>
    <x v="45"/>
    <s v="Release 3.2"/>
    <d v="2014-06-12T09:34:17"/>
    <x v="1"/>
    <n v="0.44166666666666665"/>
    <n v="1"/>
  </r>
  <r>
    <n v="9532"/>
    <x v="28"/>
    <s v="Release 3.2"/>
    <d v="2014-06-23T16:30:34"/>
    <x v="15"/>
    <n v="0.41111111111111109"/>
    <n v="1"/>
  </r>
  <r>
    <n v="9533"/>
    <x v="6"/>
    <s v="Release 3.2"/>
    <d v="2014-05-30T16:26:46"/>
    <x v="11"/>
    <n v="0.47499999999999998"/>
    <n v="1"/>
  </r>
  <r>
    <n v="9535"/>
    <x v="4"/>
    <s v="Release 3.2"/>
    <d v="2014-06-03T09:56:25"/>
    <x v="4"/>
    <n v="0.46666666666666667"/>
    <n v="1"/>
  </r>
  <r>
    <n v="9538"/>
    <x v="11"/>
    <s v="Release 3.2"/>
    <d v="2014-06-06T15:33:38"/>
    <x v="18"/>
    <n v="0.45833333333333331"/>
    <n v="1"/>
  </r>
  <r>
    <n v="9544"/>
    <x v="0"/>
    <s v="Release 3.2"/>
    <d v="2014-06-19T15:37:19"/>
    <x v="9"/>
    <n v="0.42222222222222222"/>
    <n v="1"/>
  </r>
  <r>
    <n v="9546"/>
    <x v="21"/>
    <s v="Release 3.2"/>
    <d v="2014-05-30T19:29:25"/>
    <x v="16"/>
    <n v="0.47499999999999998"/>
    <n v="1"/>
  </r>
  <r>
    <n v="9548"/>
    <x v="28"/>
    <s v="Release 3.2"/>
    <d v="2014-06-20T13:45:46"/>
    <x v="38"/>
    <n v="0.41944444444444445"/>
    <n v="1"/>
  </r>
  <r>
    <n v="9549"/>
    <x v="16"/>
    <s v="Release 3.2"/>
    <d v="2014-06-10T08:50:48"/>
    <x v="0"/>
    <n v="0.44722222222222224"/>
    <n v="1"/>
  </r>
  <r>
    <n v="9563"/>
    <x v="32"/>
    <s v="Release 3.2"/>
    <d v="2014-06-05T19:23:09"/>
    <x v="7"/>
    <n v="0.46111111111111114"/>
    <n v="1"/>
  </r>
  <r>
    <n v="9564"/>
    <x v="45"/>
    <s v="Release 3.2"/>
    <d v="2014-06-13T12:53:19"/>
    <x v="11"/>
    <n v="0.43888888888888888"/>
    <n v="1"/>
  </r>
  <r>
    <n v="9596"/>
    <x v="2"/>
    <s v="Release 3.3"/>
    <d v="2014-08-08T13:28:05"/>
    <x v="29"/>
    <n v="0.28611111111111109"/>
    <n v="1"/>
  </r>
  <r>
    <n v="9599"/>
    <x v="3"/>
    <s v="Release 3.2"/>
    <d v="2014-06-11T15:33:47"/>
    <x v="25"/>
    <n v="0.44444444444444442"/>
    <n v="1"/>
  </r>
  <r>
    <n v="9605"/>
    <x v="35"/>
    <s v="Release 3.3"/>
    <d v="2014-07-25T16:54:47"/>
    <x v="11"/>
    <n v="0.32222222222222224"/>
    <n v="1"/>
  </r>
  <r>
    <n v="9606"/>
    <x v="21"/>
    <s v="Release 3.2"/>
    <d v="2014-06-11T18:15:09"/>
    <x v="3"/>
    <n v="0.44444444444444442"/>
    <n v="1"/>
  </r>
  <r>
    <n v="9620"/>
    <x v="34"/>
    <s v="Release 3.3"/>
    <d v="2014-10-16T13:29:36"/>
    <x v="41"/>
    <n v="9.7222222222222224E-2"/>
    <n v="1"/>
  </r>
  <r>
    <n v="9622"/>
    <x v="45"/>
    <s v="Release 3.2"/>
    <d v="2014-07-10T13:18:11"/>
    <x v="11"/>
    <n v="0.36388888888888887"/>
    <n v="1"/>
  </r>
  <r>
    <n v="9630"/>
    <x v="45"/>
    <s v="Release 3.2"/>
    <d v="2014-08-12T10:02:30"/>
    <x v="11"/>
    <n v="0.27500000000000002"/>
    <n v="1"/>
  </r>
  <r>
    <n v="9631"/>
    <x v="2"/>
    <s v="Release 3.2"/>
    <d v="2014-06-16T11:39:07"/>
    <x v="26"/>
    <n v="0.43055555555555558"/>
    <n v="1"/>
  </r>
  <r>
    <n v="9635"/>
    <x v="2"/>
    <s v="Release 3.2"/>
    <d v="2014-06-13T08:48:49"/>
    <x v="4"/>
    <n v="0.43888888888888888"/>
    <n v="1"/>
  </r>
  <r>
    <n v="9637"/>
    <x v="8"/>
    <s v="Release 3.2"/>
    <d v="2014-06-17T08:34:08"/>
    <x v="4"/>
    <n v="0.42777777777777776"/>
    <n v="1"/>
  </r>
  <r>
    <n v="9640"/>
    <x v="34"/>
    <s v="Release 3.3"/>
    <d v="2014-09-09T09:08:55"/>
    <x v="1"/>
    <n v="0.2"/>
    <n v="1"/>
  </r>
  <r>
    <n v="9642"/>
    <x v="3"/>
    <s v="Release 3.3"/>
    <d v="2014-08-08T14:10:46"/>
    <x v="18"/>
    <n v="0.28611111111111109"/>
    <n v="1"/>
  </r>
  <r>
    <n v="9643"/>
    <x v="23"/>
    <s v="Release 3.3"/>
    <d v="2014-09-03T18:45:14"/>
    <x v="10"/>
    <n v="0.21666666666666667"/>
    <n v="1"/>
  </r>
  <r>
    <n v="9645"/>
    <x v="2"/>
    <s v="Release 3.2"/>
    <d v="2014-06-13T16:58:29"/>
    <x v="18"/>
    <n v="0.43888888888888888"/>
    <n v="1"/>
  </r>
  <r>
    <n v="9649"/>
    <x v="2"/>
    <s v="Release 3.2"/>
    <d v="2014-06-13T16:25:50"/>
    <x v="2"/>
    <n v="0.43888888888888888"/>
    <n v="1"/>
  </r>
  <r>
    <n v="9650"/>
    <x v="4"/>
    <s v="Release 3.2"/>
    <d v="2014-06-20T08:56:23"/>
    <x v="38"/>
    <n v="0.41944444444444445"/>
    <n v="1"/>
  </r>
  <r>
    <n v="9653"/>
    <x v="2"/>
    <s v="Release 3.2"/>
    <d v="2014-06-20T12:19:06"/>
    <x v="26"/>
    <n v="0.41944444444444445"/>
    <n v="1"/>
  </r>
  <r>
    <n v="9658"/>
    <x v="15"/>
    <s v="Release 3.2"/>
    <d v="2014-06-20T15:12:06"/>
    <x v="11"/>
    <n v="0.41944444444444445"/>
    <n v="1"/>
  </r>
  <r>
    <n v="9661"/>
    <x v="16"/>
    <s v="Release 3.2"/>
    <d v="2014-06-20T14:18:25"/>
    <x v="26"/>
    <n v="0.41944444444444445"/>
    <n v="1"/>
  </r>
  <r>
    <n v="9662"/>
    <x v="21"/>
    <s v="Release 3.2"/>
    <d v="2014-06-20T19:33:02"/>
    <x v="5"/>
    <n v="0.41944444444444445"/>
    <n v="1"/>
  </r>
  <r>
    <n v="9665"/>
    <x v="28"/>
    <s v="Release 3.2"/>
    <d v="2014-06-20T16:40:32"/>
    <x v="15"/>
    <n v="0.41944444444444445"/>
    <n v="1"/>
  </r>
  <r>
    <n v="9681"/>
    <x v="3"/>
    <s v="Release 3.2"/>
    <d v="2014-06-18T16:43:23"/>
    <x v="15"/>
    <n v="0.42499999999999999"/>
    <n v="1"/>
  </r>
  <r>
    <n v="9682"/>
    <x v="45"/>
    <s v="Release 3.3"/>
    <d v="2014-08-04T10:18:43"/>
    <x v="4"/>
    <n v="0.29722222222222222"/>
    <n v="1"/>
  </r>
  <r>
    <n v="9684"/>
    <x v="15"/>
    <s v="Release 3.2"/>
    <d v="2014-07-08T09:29:33"/>
    <x v="11"/>
    <n v="0.36944444444444446"/>
    <n v="1"/>
  </r>
  <r>
    <n v="9687"/>
    <x v="28"/>
    <s v="Release 3.2"/>
    <d v="2014-06-20T14:32:50"/>
    <x v="38"/>
    <n v="0.41944444444444445"/>
    <n v="1"/>
  </r>
  <r>
    <n v="9688"/>
    <x v="28"/>
    <s v="Release 3.2"/>
    <d v="2014-06-26T09:02:27"/>
    <x v="15"/>
    <n v="0.40277777777777779"/>
    <n v="1"/>
  </r>
  <r>
    <n v="9689"/>
    <x v="34"/>
    <s v="Release 3.3"/>
    <d v="2014-10-14T09:05:22"/>
    <x v="4"/>
    <n v="0.10277777777777777"/>
    <n v="1"/>
  </r>
  <r>
    <n v="9691"/>
    <x v="34"/>
    <s v="Release 3.3"/>
    <d v="2014-08-05T19:39:39"/>
    <x v="16"/>
    <n v="0.29444444444444445"/>
    <n v="1"/>
  </r>
  <r>
    <n v="9703"/>
    <x v="15"/>
    <s v="Release 3.2"/>
    <d v="2014-06-20T14:56:13"/>
    <x v="11"/>
    <n v="0.41944444444444445"/>
    <n v="1"/>
  </r>
  <r>
    <n v="9706"/>
    <x v="23"/>
    <s v="Release 3.3"/>
    <d v="2014-08-01T14:48:09"/>
    <x v="10"/>
    <n v="0.30555555555555558"/>
    <n v="1"/>
  </r>
  <r>
    <n v="9708"/>
    <x v="23"/>
    <s v="Release 3.3"/>
    <d v="2014-08-01T15:13:15"/>
    <x v="10"/>
    <n v="0.30555555555555558"/>
    <n v="1"/>
  </r>
  <r>
    <n v="9711"/>
    <x v="45"/>
    <s v="Release 3.3"/>
    <d v="2014-10-24T16:14:05"/>
    <x v="1"/>
    <n v="7.4999999999999997E-2"/>
    <n v="1"/>
  </r>
  <r>
    <n v="9714"/>
    <x v="21"/>
    <s v="Release 3.3"/>
    <d v="2014-08-08T15:28:27"/>
    <x v="16"/>
    <n v="0.28611111111111109"/>
    <n v="1"/>
  </r>
  <r>
    <n v="9734"/>
    <x v="2"/>
    <s v="Release 3.2"/>
    <d v="2014-07-03T17:05:22"/>
    <x v="1"/>
    <n v="0.38333333333333336"/>
    <n v="1"/>
  </r>
  <r>
    <n v="9748"/>
    <x v="32"/>
    <s v="Release 3.2"/>
    <d v="2014-06-26T21:24:36"/>
    <x v="10"/>
    <n v="0.40277777777777779"/>
    <n v="1"/>
  </r>
  <r>
    <n v="9749"/>
    <x v="3"/>
    <s v="Release 3.2"/>
    <d v="2014-06-25T20:28:28"/>
    <x v="3"/>
    <n v="0.40555555555555556"/>
    <n v="1"/>
  </r>
  <r>
    <n v="9757"/>
    <x v="3"/>
    <s v="Release 3.2"/>
    <d v="2014-06-26T14:21:55"/>
    <x v="18"/>
    <n v="0.40277777777777779"/>
    <n v="1"/>
  </r>
  <r>
    <n v="9762"/>
    <x v="4"/>
    <s v="Release 3.2"/>
    <d v="2014-08-19T14:54:47"/>
    <x v="18"/>
    <n v="0.25555555555555554"/>
    <n v="1"/>
  </r>
  <r>
    <n v="9763"/>
    <x v="21"/>
    <s v="Release 3.3"/>
    <d v="2014-08-01T15:39:57"/>
    <x v="16"/>
    <n v="0.30555555555555558"/>
    <n v="1"/>
  </r>
  <r>
    <n v="9772"/>
    <x v="19"/>
    <s v="Release 3.2"/>
    <d v="2014-07-01T11:19:49"/>
    <x v="13"/>
    <n v="0.3888888888888889"/>
    <n v="1"/>
  </r>
  <r>
    <n v="9774"/>
    <x v="35"/>
    <s v="Release 3.3"/>
    <d v="2014-08-28T11:03:11"/>
    <x v="2"/>
    <n v="0.23055555555555557"/>
    <n v="1"/>
  </r>
  <r>
    <n v="9775"/>
    <x v="10"/>
    <s v="Release 3.2"/>
    <d v="2014-06-27T21:26:57"/>
    <x v="0"/>
    <n v="0.4"/>
    <n v="1"/>
  </r>
  <r>
    <n v="9776"/>
    <x v="11"/>
    <s v="Release 3.2"/>
    <d v="2014-06-30T15:02:36"/>
    <x v="9"/>
    <n v="0.39166666666666666"/>
    <n v="1"/>
  </r>
  <r>
    <n v="9777"/>
    <x v="11"/>
    <s v="Release 3.2"/>
    <d v="2014-07-01T20:01:17"/>
    <x v="5"/>
    <n v="0.3888888888888889"/>
    <n v="1"/>
  </r>
  <r>
    <n v="9778"/>
    <x v="18"/>
    <s v="Release 3.3"/>
    <d v="2014-09-12T13:43:13"/>
    <x v="4"/>
    <n v="0.19166666666666668"/>
    <n v="1"/>
  </r>
  <r>
    <n v="9785"/>
    <x v="16"/>
    <s v="Release 3.2"/>
    <d v="2014-07-02T11:15:35"/>
    <x v="15"/>
    <n v="0.38611111111111113"/>
    <n v="1"/>
  </r>
  <r>
    <n v="9786"/>
    <x v="19"/>
    <s v="Release 3.2"/>
    <d v="2014-07-03T10:31:25"/>
    <x v="11"/>
    <n v="0.38333333333333336"/>
    <n v="1"/>
  </r>
  <r>
    <n v="9797"/>
    <x v="16"/>
    <s v="Release 3.2"/>
    <d v="2014-07-02T11:36:40"/>
    <x v="15"/>
    <n v="0.38611111111111113"/>
    <n v="1"/>
  </r>
  <r>
    <n v="9800"/>
    <x v="14"/>
    <s v="Release 3.2"/>
    <d v="2014-07-03T17:05:24"/>
    <x v="3"/>
    <n v="0.38333333333333336"/>
    <n v="1"/>
  </r>
  <r>
    <n v="9810"/>
    <x v="15"/>
    <s v="Release 3.2"/>
    <d v="2014-07-08T09:49:42"/>
    <x v="26"/>
    <n v="0.36944444444444446"/>
    <n v="1"/>
  </r>
  <r>
    <n v="9817"/>
    <x v="14"/>
    <s v="Release 3.2"/>
    <d v="2014-07-04T10:46:48"/>
    <x v="2"/>
    <n v="0.38055555555555554"/>
    <n v="1"/>
  </r>
  <r>
    <n v="9823"/>
    <x v="17"/>
    <s v="Release 3.2"/>
    <d v="2014-07-08T14:53:56"/>
    <x v="11"/>
    <n v="0.36944444444444446"/>
    <n v="1"/>
  </r>
  <r>
    <n v="9829"/>
    <x v="34"/>
    <s v="Release 3.3"/>
    <d v="2014-08-15T09:21:08"/>
    <x v="26"/>
    <n v="0.26666666666666666"/>
    <n v="1"/>
  </r>
  <r>
    <n v="9836"/>
    <x v="2"/>
    <s v="Release 3.2"/>
    <d v="2014-07-10T14:34:17"/>
    <x v="18"/>
    <n v="0.36388888888888887"/>
    <n v="1"/>
  </r>
  <r>
    <n v="9837"/>
    <x v="14"/>
    <s v="Release 3.3"/>
    <d v="2014-07-18T19:34:23"/>
    <x v="3"/>
    <n v="0.34166666666666667"/>
    <n v="1"/>
  </r>
  <r>
    <n v="9842"/>
    <x v="3"/>
    <s v="Release 3.3"/>
    <d v="2014-10-16T21:37:00"/>
    <x v="31"/>
    <n v="9.7222222222222224E-2"/>
    <n v="1"/>
  </r>
  <r>
    <n v="9845"/>
    <x v="4"/>
    <s v="Release 3.2"/>
    <d v="2014-07-09T13:03:04"/>
    <x v="11"/>
    <n v="0.36666666666666664"/>
    <n v="1"/>
  </r>
  <r>
    <n v="9851"/>
    <x v="16"/>
    <s v="Release 3.2"/>
    <d v="2014-07-09T16:37:07"/>
    <x v="15"/>
    <n v="0.36666666666666664"/>
    <n v="1"/>
  </r>
  <r>
    <n v="9852"/>
    <x v="16"/>
    <s v="Release 3.2"/>
    <d v="2014-07-09T16:56:11"/>
    <x v="15"/>
    <n v="0.36666666666666664"/>
    <n v="1"/>
  </r>
  <r>
    <n v="9854"/>
    <x v="28"/>
    <s v="Release 3.2"/>
    <d v="2014-07-10T11:25:39"/>
    <x v="18"/>
    <n v="0.36388888888888887"/>
    <n v="1"/>
  </r>
  <r>
    <n v="9860"/>
    <x v="3"/>
    <s v="Release 3.3"/>
    <d v="2014-08-08T12:56:41"/>
    <x v="2"/>
    <n v="0.28611111111111109"/>
    <n v="1"/>
  </r>
  <r>
    <n v="9862"/>
    <x v="18"/>
    <s v="Release 3.3"/>
    <d v="2014-10-14T08:23:15"/>
    <x v="4"/>
    <n v="0.10277777777777777"/>
    <n v="1"/>
  </r>
  <r>
    <n v="9866"/>
    <x v="4"/>
    <s v="Release 3.3"/>
    <d v="2014-10-06T15:06:38"/>
    <x v="21"/>
    <n v="0.125"/>
    <n v="1"/>
  </r>
  <r>
    <n v="9868"/>
    <x v="2"/>
    <s v="Release 3.3"/>
    <d v="2014-09-05T11:42:29"/>
    <x v="29"/>
    <n v="0.21111111111111111"/>
    <n v="1"/>
  </r>
  <r>
    <n v="9875"/>
    <x v="4"/>
    <s v="Release 3.2"/>
    <d v="2014-07-11T17:29:20"/>
    <x v="4"/>
    <n v="0.3611111111111111"/>
    <n v="1"/>
  </r>
  <r>
    <n v="9876"/>
    <x v="2"/>
    <s v="Release 3.3"/>
    <d v="2014-07-25T16:31:29"/>
    <x v="15"/>
    <n v="0.32222222222222224"/>
    <n v="1"/>
  </r>
  <r>
    <n v="9877"/>
    <x v="3"/>
    <s v="Release 3.3"/>
    <d v="2014-07-17T21:04:40"/>
    <x v="5"/>
    <n v="0.34444444444444444"/>
    <n v="1"/>
  </r>
  <r>
    <n v="9878"/>
    <x v="17"/>
    <s v="Release 3.3"/>
    <d v="2014-07-25T16:43:52"/>
    <x v="41"/>
    <n v="0.32222222222222224"/>
    <n v="1"/>
  </r>
  <r>
    <n v="9881"/>
    <x v="15"/>
    <s v="Release 3.3"/>
    <d v="2014-08-01T15:46:44"/>
    <x v="10"/>
    <n v="0.30555555555555558"/>
    <n v="1"/>
  </r>
  <r>
    <n v="9884"/>
    <x v="15"/>
    <s v="Release 3.3"/>
    <d v="2014-08-01T15:57:19"/>
    <x v="10"/>
    <n v="0.30555555555555558"/>
    <n v="1"/>
  </r>
  <r>
    <n v="9887"/>
    <x v="16"/>
    <s v="Release 3.2.1"/>
    <d v="2014-08-19T12:12:32"/>
    <x v="21"/>
    <n v="0.25555555555555554"/>
    <n v="1"/>
  </r>
  <r>
    <n v="9888"/>
    <x v="16"/>
    <s v="Release 3.3"/>
    <d v="2014-09-12T14:15:34"/>
    <x v="11"/>
    <n v="0.19166666666666668"/>
    <n v="1"/>
  </r>
  <r>
    <n v="9891"/>
    <x v="4"/>
    <s v="Release 3.3"/>
    <d v="2014-10-27T09:22:32"/>
    <x v="21"/>
    <n v="6.6666666666666666E-2"/>
    <n v="1"/>
  </r>
  <r>
    <n v="9892"/>
    <x v="42"/>
    <s v="Release 3.3"/>
    <d v="2014-07-18T22:51:46"/>
    <x v="9"/>
    <n v="0.34166666666666667"/>
    <n v="1"/>
  </r>
  <r>
    <n v="9894"/>
    <x v="21"/>
    <s v="Release 3.3"/>
    <d v="2014-07-17T13:35:40"/>
    <x v="2"/>
    <n v="0.34444444444444444"/>
    <n v="1"/>
  </r>
  <r>
    <n v="9895"/>
    <x v="18"/>
    <s v="Release 3.3"/>
    <d v="2014-08-15T13:45:06"/>
    <x v="41"/>
    <n v="0.26666666666666666"/>
    <n v="1"/>
  </r>
  <r>
    <n v="9898"/>
    <x v="2"/>
    <s v="Release 3.3"/>
    <d v="2014-08-04T16:47:04"/>
    <x v="9"/>
    <n v="0.29722222222222222"/>
    <n v="1"/>
  </r>
  <r>
    <n v="9900"/>
    <x v="4"/>
    <s v="Release 3.3"/>
    <d v="2014-08-21T11:33:47"/>
    <x v="2"/>
    <n v="0.25"/>
    <n v="1"/>
  </r>
  <r>
    <n v="9901"/>
    <x v="14"/>
    <s v="Release 3.3"/>
    <d v="2014-07-18T10:48:32"/>
    <x v="2"/>
    <n v="0.34166666666666667"/>
    <n v="1"/>
  </r>
  <r>
    <n v="9903"/>
    <x v="43"/>
    <s v="Release 3.3"/>
    <d v="2014-07-25T16:52:32"/>
    <x v="32"/>
    <n v="0.32222222222222224"/>
    <n v="1"/>
  </r>
  <r>
    <n v="9904"/>
    <x v="28"/>
    <s v="Release 3.3"/>
    <d v="2014-07-17T15:23:41"/>
    <x v="0"/>
    <n v="0.34444444444444444"/>
    <n v="1"/>
  </r>
  <r>
    <n v="9906"/>
    <x v="16"/>
    <s v="Release 3.3"/>
    <d v="2014-07-25T17:20:12"/>
    <x v="0"/>
    <n v="0.32222222222222224"/>
    <n v="1"/>
  </r>
  <r>
    <n v="9908"/>
    <x v="2"/>
    <s v="Release 3.3"/>
    <d v="2014-08-22T18:44:00"/>
    <x v="5"/>
    <n v="0.24722222222222223"/>
    <n v="1"/>
  </r>
  <r>
    <n v="9909"/>
    <x v="18"/>
    <s v="Release 3.3"/>
    <d v="2014-10-17T09:35:58"/>
    <x v="41"/>
    <n v="9.4444444444444442E-2"/>
    <n v="1"/>
  </r>
  <r>
    <n v="9910"/>
    <x v="6"/>
    <s v="Release 3.3"/>
    <d v="2014-08-08T15:29:59"/>
    <x v="41"/>
    <n v="0.28611111111111109"/>
    <n v="1"/>
  </r>
  <r>
    <n v="9912"/>
    <x v="42"/>
    <s v="Release 3.3"/>
    <d v="2014-08-01T16:27:58"/>
    <x v="10"/>
    <n v="0.30555555555555558"/>
    <n v="1"/>
  </r>
  <r>
    <n v="9923"/>
    <x v="2"/>
    <s v="Release 3.3"/>
    <d v="2014-08-19T10:58:47"/>
    <x v="4"/>
    <n v="0.25555555555555554"/>
    <n v="1"/>
  </r>
  <r>
    <n v="9924"/>
    <x v="28"/>
    <s v="Release 3.3"/>
    <d v="2014-08-01T14:31:05"/>
    <x v="29"/>
    <n v="0.30555555555555558"/>
    <n v="1"/>
  </r>
  <r>
    <n v="9929"/>
    <x v="28"/>
    <s v="Release 3.3"/>
    <d v="2014-07-25T14:21:38"/>
    <x v="41"/>
    <n v="0.32222222222222224"/>
    <n v="1"/>
  </r>
  <r>
    <n v="9930"/>
    <x v="8"/>
    <s v="Release 3.3"/>
    <d v="2014-08-08T16:26:29"/>
    <x v="4"/>
    <n v="0.28611111111111109"/>
    <n v="1"/>
  </r>
  <r>
    <n v="9931"/>
    <x v="16"/>
    <s v="Release 3.3"/>
    <d v="2014-08-05T16:08:23"/>
    <x v="41"/>
    <n v="0.29444444444444445"/>
    <n v="1"/>
  </r>
  <r>
    <n v="9932"/>
    <x v="23"/>
    <s v="Release 3.3"/>
    <d v="2014-07-25T16:32:06"/>
    <x v="41"/>
    <n v="0.32222222222222224"/>
    <n v="1"/>
  </r>
  <r>
    <n v="9933"/>
    <x v="23"/>
    <s v="Release 3.3"/>
    <d v="2014-08-01T12:38:05"/>
    <x v="18"/>
    <n v="0.30555555555555558"/>
    <n v="1"/>
  </r>
  <r>
    <n v="9937"/>
    <x v="18"/>
    <s v="Release 3.3"/>
    <d v="2014-08-13T13:58:47"/>
    <x v="41"/>
    <n v="0.2722222222222222"/>
    <n v="1"/>
  </r>
  <r>
    <n v="9942"/>
    <x v="16"/>
    <s v="Release 3.3"/>
    <d v="2014-08-08T14:12:44"/>
    <x v="41"/>
    <n v="0.28611111111111109"/>
    <n v="1"/>
  </r>
  <r>
    <n v="9951"/>
    <x v="3"/>
    <s v="Release 3.3"/>
    <d v="2014-08-04T10:37:57"/>
    <x v="2"/>
    <n v="0.29722222222222222"/>
    <n v="1"/>
  </r>
  <r>
    <n v="9954"/>
    <x v="16"/>
    <s v="Release 3.2.1"/>
    <d v="2014-08-21T09:34:15"/>
    <x v="16"/>
    <n v="0.25"/>
    <n v="1"/>
  </r>
  <r>
    <n v="9959"/>
    <x v="35"/>
    <s v="Release 3.3"/>
    <d v="2014-07-30T08:55:34"/>
    <x v="13"/>
    <n v="0.30833333333333335"/>
    <n v="1"/>
  </r>
  <r>
    <n v="9961"/>
    <x v="18"/>
    <s v="Release 3.2.1"/>
    <d v="2014-08-20T13:48:55"/>
    <x v="4"/>
    <n v="0.25277777777777777"/>
    <n v="1"/>
  </r>
  <r>
    <n v="9964"/>
    <x v="34"/>
    <s v="Release 3.3"/>
    <d v="2014-10-10T09:10:28"/>
    <x v="4"/>
    <n v="0.11388888888888889"/>
    <n v="1"/>
  </r>
  <r>
    <n v="9966"/>
    <x v="34"/>
    <s v="Release 3.3"/>
    <d v="2014-07-23T12:19:13"/>
    <x v="0"/>
    <n v="0.32777777777777778"/>
    <n v="1"/>
  </r>
  <r>
    <n v="9968"/>
    <x v="34"/>
    <s v="Release 3.3"/>
    <d v="2014-08-19T10:58:47"/>
    <x v="26"/>
    <n v="0.25555555555555554"/>
    <n v="1"/>
  </r>
  <r>
    <n v="9969"/>
    <x v="34"/>
    <s v="Release 3.3"/>
    <d v="2014-10-23T15:09:04"/>
    <x v="41"/>
    <n v="7.7777777777777779E-2"/>
    <n v="1"/>
  </r>
  <r>
    <n v="9971"/>
    <x v="3"/>
    <s v="Release 3.2.1"/>
    <d v="2014-08-19T11:53:38"/>
    <x v="21"/>
    <n v="0.25555555555555554"/>
    <n v="1"/>
  </r>
  <r>
    <n v="9976"/>
    <x v="19"/>
    <s v="Release 3.3"/>
    <d v="2014-07-25T16:35:33"/>
    <x v="1"/>
    <n v="0.32222222222222224"/>
    <n v="1"/>
  </r>
  <r>
    <n v="9978"/>
    <x v="11"/>
    <s v="Release 3.3"/>
    <d v="2014-09-12T17:02:04"/>
    <x v="10"/>
    <n v="0.19166666666666668"/>
    <n v="1"/>
  </r>
  <r>
    <n v="9980"/>
    <x v="16"/>
    <s v="Release 3.2.1"/>
    <d v="2014-08-20T12:16:44"/>
    <x v="13"/>
    <n v="0.25277777777777777"/>
    <n v="1"/>
  </r>
  <r>
    <n v="9981"/>
    <x v="34"/>
    <s v="Release 3.3"/>
    <d v="2014-07-23T15:09:39"/>
    <x v="0"/>
    <n v="0.32777777777777778"/>
    <n v="1"/>
  </r>
  <r>
    <n v="9984"/>
    <x v="57"/>
    <s v="Release 3.3"/>
    <d v="2014-11-11T19:22:19"/>
    <x v="9"/>
    <n v="2.7777777777777776E-2"/>
    <n v="1"/>
  </r>
  <r>
    <n v="9985"/>
    <x v="34"/>
    <s v="Release 3.3"/>
    <d v="2014-09-19T19:50:41"/>
    <x v="5"/>
    <n v="0.17222222222222222"/>
    <n v="1"/>
  </r>
  <r>
    <n v="9987"/>
    <x v="17"/>
    <s v="Release 3.3"/>
    <d v="2014-11-03T14:05:13"/>
    <x v="21"/>
    <n v="0.05"/>
    <n v="1"/>
  </r>
  <r>
    <n v="9988"/>
    <x v="34"/>
    <s v="Release 3.3"/>
    <d v="2014-08-22T19:30:19"/>
    <x v="5"/>
    <n v="0.24722222222222223"/>
    <n v="1"/>
  </r>
  <r>
    <n v="9989"/>
    <x v="18"/>
    <s v="Release 3.3"/>
    <d v="2014-10-31T17:09:59"/>
    <x v="30"/>
    <n v="5.8333333333333334E-2"/>
    <n v="1"/>
  </r>
  <r>
    <n v="9990"/>
    <x v="45"/>
    <s v="Release 3.3"/>
    <d v="2014-08-22T13:53:49"/>
    <x v="29"/>
    <n v="0.24722222222222223"/>
    <n v="1"/>
  </r>
  <r>
    <n v="9993"/>
    <x v="45"/>
    <s v="Release 3.3"/>
    <d v="2014-08-18T21:22:08"/>
    <x v="9"/>
    <n v="0.25833333333333336"/>
    <n v="1"/>
  </r>
  <r>
    <n v="9996"/>
    <x v="17"/>
    <s v="Release 3.3"/>
    <d v="2014-08-04T08:05:06"/>
    <x v="13"/>
    <n v="0.29722222222222222"/>
    <n v="1"/>
  </r>
  <r>
    <n v="9997"/>
    <x v="17"/>
    <s v="Release 3.3"/>
    <d v="2014-08-04T13:24:05"/>
    <x v="13"/>
    <n v="0.29722222222222222"/>
    <n v="1"/>
  </r>
  <r>
    <n v="9998"/>
    <x v="18"/>
    <s v="Release 3.3"/>
    <d v="2014-10-10T14:01:48"/>
    <x v="29"/>
    <n v="0.11388888888888889"/>
    <n v="1"/>
  </r>
  <r>
    <n v="10000"/>
    <x v="45"/>
    <s v="Release 3.3"/>
    <d v="2014-08-08T15:28:21"/>
    <x v="11"/>
    <n v="0.28611111111111109"/>
    <n v="1"/>
  </r>
  <r>
    <n v="10003"/>
    <x v="34"/>
    <s v="Release 3.3"/>
    <d v="2014-08-28T21:14:14"/>
    <x v="5"/>
    <n v="0.23055555555555557"/>
    <n v="1"/>
  </r>
  <r>
    <n v="10008"/>
    <x v="4"/>
    <s v="Release 3.3"/>
    <d v="2014-08-04T10:17:31"/>
    <x v="2"/>
    <n v="0.29722222222222222"/>
    <n v="1"/>
  </r>
  <r>
    <n v="10012"/>
    <x v="3"/>
    <s v="Release 3.2.1"/>
    <d v="2014-08-19T11:45:49"/>
    <x v="21"/>
    <n v="0.25555555555555554"/>
    <n v="1"/>
  </r>
  <r>
    <n v="10014"/>
    <x v="14"/>
    <s v="Release 3.3"/>
    <d v="2014-08-01T15:05:28"/>
    <x v="16"/>
    <n v="0.30555555555555558"/>
    <n v="1"/>
  </r>
  <r>
    <n v="10015"/>
    <x v="34"/>
    <s v="Release 3.3"/>
    <d v="2014-11-14T14:48:25"/>
    <x v="3"/>
    <n v="1.9444444444444445E-2"/>
    <n v="1"/>
  </r>
  <r>
    <n v="10016"/>
    <x v="11"/>
    <s v="Release 3.3"/>
    <d v="2014-09-17T19:27:20"/>
    <x v="5"/>
    <n v="0.17777777777777778"/>
    <n v="1"/>
  </r>
  <r>
    <n v="10020"/>
    <x v="35"/>
    <s v="Release 3.3"/>
    <d v="2014-08-08T10:54:57"/>
    <x v="13"/>
    <n v="0.28611111111111109"/>
    <n v="1"/>
  </r>
  <r>
    <n v="10026"/>
    <x v="21"/>
    <s v="Release 3.3"/>
    <d v="2014-08-19T10:58:48"/>
    <x v="18"/>
    <n v="0.25555555555555554"/>
    <n v="1"/>
  </r>
  <r>
    <n v="10029"/>
    <x v="16"/>
    <s v="Release 3.3"/>
    <d v="2014-08-05T15:28:24"/>
    <x v="38"/>
    <n v="0.29444444444444445"/>
    <n v="1"/>
  </r>
  <r>
    <n v="10030"/>
    <x v="6"/>
    <s v="Release 3.3"/>
    <d v="2014-08-08T15:09:54"/>
    <x v="16"/>
    <n v="0.28611111111111109"/>
    <n v="1"/>
  </r>
  <r>
    <n v="10031"/>
    <x v="4"/>
    <s v="Release 3.3"/>
    <d v="2014-11-07T10:24:27"/>
    <x v="29"/>
    <n v="3.888888888888889E-2"/>
    <n v="1"/>
  </r>
  <r>
    <n v="10032"/>
    <x v="28"/>
    <s v="Release 3.3"/>
    <d v="2014-08-06T13:38:44"/>
    <x v="4"/>
    <n v="0.29166666666666669"/>
    <n v="1"/>
  </r>
  <r>
    <n v="10033"/>
    <x v="16"/>
    <s v="Release 3.3"/>
    <d v="2014-08-01T14:49:21"/>
    <x v="16"/>
    <n v="0.30555555555555558"/>
    <n v="1"/>
  </r>
  <r>
    <n v="10035"/>
    <x v="17"/>
    <s v="Release 3.3"/>
    <d v="2014-09-24T10:19:22"/>
    <x v="13"/>
    <n v="0.15833333333333333"/>
    <n v="1"/>
  </r>
  <r>
    <n v="10039"/>
    <x v="35"/>
    <s v="Release 3.3"/>
    <d v="2014-08-04T16:44:31"/>
    <x v="9"/>
    <n v="0.29722222222222222"/>
    <n v="1"/>
  </r>
  <r>
    <n v="10040"/>
    <x v="18"/>
    <s v="Release 3.3"/>
    <d v="2014-08-22T14:05:19"/>
    <x v="41"/>
    <n v="0.24722222222222223"/>
    <n v="1"/>
  </r>
  <r>
    <n v="10051"/>
    <x v="2"/>
    <s v="Release 3.3"/>
    <d v="2014-08-08T08:21:50"/>
    <x v="38"/>
    <n v="0.28611111111111109"/>
    <n v="1"/>
  </r>
  <r>
    <n v="10053"/>
    <x v="34"/>
    <s v="Release 3.3"/>
    <d v="2014-08-11T08:37:25"/>
    <x v="26"/>
    <n v="0.27777777777777779"/>
    <n v="1"/>
  </r>
  <r>
    <n v="10054"/>
    <x v="16"/>
    <s v="Release 3.3"/>
    <d v="2014-08-08T14:55:44"/>
    <x v="41"/>
    <n v="0.28611111111111109"/>
    <n v="1"/>
  </r>
  <r>
    <n v="10057"/>
    <x v="34"/>
    <s v="Release 3.3"/>
    <d v="2014-10-06T15:06:37"/>
    <x v="13"/>
    <n v="0.125"/>
    <n v="1"/>
  </r>
  <r>
    <n v="10059"/>
    <x v="18"/>
    <s v="Release 3.3"/>
    <d v="2014-08-18T10:17:41"/>
    <x v="4"/>
    <n v="0.25833333333333336"/>
    <n v="1"/>
  </r>
  <r>
    <n v="10061"/>
    <x v="54"/>
    <s v="Release 3.3"/>
    <d v="2014-09-26T13:03:45"/>
    <x v="13"/>
    <n v="0.15277777777777779"/>
    <n v="1"/>
  </r>
  <r>
    <n v="10064"/>
    <x v="34"/>
    <s v="Release 3.3"/>
    <d v="2014-10-21T12:23:28"/>
    <x v="30"/>
    <n v="8.3333333333333329E-2"/>
    <n v="1"/>
  </r>
  <r>
    <n v="10065"/>
    <x v="34"/>
    <s v="Release 3.3"/>
    <d v="2014-10-14T11:10:02"/>
    <x v="21"/>
    <n v="0.10277777777777777"/>
    <n v="1"/>
  </r>
  <r>
    <n v="10069"/>
    <x v="23"/>
    <s v="Release 3.3"/>
    <d v="2014-11-18T09:52:05"/>
    <x v="10"/>
    <n v="8.3333333333333332E-3"/>
    <n v="1"/>
  </r>
  <r>
    <n v="10070"/>
    <x v="34"/>
    <s v="Release 3.3"/>
    <d v="2014-08-08T14:42:03"/>
    <x v="26"/>
    <n v="0.28611111111111109"/>
    <n v="1"/>
  </r>
  <r>
    <n v="10072"/>
    <x v="44"/>
    <s v="Release 3.3"/>
    <d v="2014-11-21T08:46:37"/>
    <x v="29"/>
    <n v="0"/>
    <n v="1"/>
  </r>
  <r>
    <n v="10074"/>
    <x v="45"/>
    <s v="Release 3.3"/>
    <d v="2014-08-12T10:06:47"/>
    <x v="4"/>
    <n v="0.27500000000000002"/>
    <n v="1"/>
  </r>
  <r>
    <n v="10075"/>
    <x v="34"/>
    <s v="Release 3.3"/>
    <d v="2014-08-08T14:57:09"/>
    <x v="26"/>
    <n v="0.28611111111111109"/>
    <n v="1"/>
  </r>
  <r>
    <n v="10081"/>
    <x v="10"/>
    <s v="Release 3.3"/>
    <d v="2014-08-15T20:44:52"/>
    <x v="5"/>
    <n v="0.26666666666666666"/>
    <n v="1"/>
  </r>
  <r>
    <n v="10083"/>
    <x v="34"/>
    <s v="Release 3.3"/>
    <d v="2014-10-06T15:06:38"/>
    <x v="41"/>
    <n v="0.125"/>
    <n v="1"/>
  </r>
  <r>
    <n v="10085"/>
    <x v="34"/>
    <s v="Release 3.3"/>
    <d v="2014-10-06T15:06:38"/>
    <x v="13"/>
    <n v="0.125"/>
    <n v="1"/>
  </r>
  <r>
    <n v="10090"/>
    <x v="45"/>
    <s v="Release 3.3"/>
    <d v="2014-11-07T11:42:44"/>
    <x v="29"/>
    <n v="3.888888888888889E-2"/>
    <n v="1"/>
  </r>
  <r>
    <n v="10091"/>
    <x v="6"/>
    <s v="Release 3.3"/>
    <d v="2014-08-27T09:51:08"/>
    <x v="4"/>
    <n v="0.23333333333333334"/>
    <n v="1"/>
  </r>
  <r>
    <n v="10092"/>
    <x v="34"/>
    <s v="Release 3.3"/>
    <d v="2014-09-18T10:06:25"/>
    <x v="4"/>
    <n v="0.17499999999999999"/>
    <n v="1"/>
  </r>
  <r>
    <n v="10096"/>
    <x v="42"/>
    <s v="Release 3.3"/>
    <d v="2014-08-15T13:34:00"/>
    <x v="10"/>
    <n v="0.26666666666666666"/>
    <n v="1"/>
  </r>
  <r>
    <n v="10098"/>
    <x v="35"/>
    <s v="Release 3.3"/>
    <d v="2014-08-15T15:49:28"/>
    <x v="2"/>
    <n v="0.26666666666666666"/>
    <n v="1"/>
  </r>
  <r>
    <n v="10099"/>
    <x v="35"/>
    <s v="Release 3.3"/>
    <d v="2014-09-08T11:01:51"/>
    <x v="2"/>
    <n v="0.20277777777777778"/>
    <n v="1"/>
  </r>
  <r>
    <n v="10103"/>
    <x v="35"/>
    <s v="Release 3.3"/>
    <d v="2014-08-21T09:37:02"/>
    <x v="2"/>
    <n v="0.25"/>
    <n v="1"/>
  </r>
  <r>
    <n v="10106"/>
    <x v="21"/>
    <s v="Release 3.3"/>
    <d v="2014-08-15T15:05:48"/>
    <x v="5"/>
    <n v="0.26666666666666666"/>
    <n v="1"/>
  </r>
  <r>
    <n v="10109"/>
    <x v="6"/>
    <s v="Release 3.3"/>
    <d v="2014-09-19T15:33:42"/>
    <x v="41"/>
    <n v="0.17222222222222222"/>
    <n v="1"/>
  </r>
  <r>
    <n v="10112"/>
    <x v="35"/>
    <s v="Release 3.3"/>
    <d v="2014-08-21T09:48:10"/>
    <x v="2"/>
    <n v="0.25"/>
    <n v="1"/>
  </r>
  <r>
    <n v="10113"/>
    <x v="16"/>
    <s v="Release 3.2.1"/>
    <d v="2014-08-19T14:10:17"/>
    <x v="4"/>
    <n v="0.25555555555555554"/>
    <n v="1"/>
  </r>
  <r>
    <n v="10114"/>
    <x v="35"/>
    <s v="Release 3.3"/>
    <d v="2014-08-15T15:16:13"/>
    <x v="26"/>
    <n v="0.26666666666666666"/>
    <n v="1"/>
  </r>
  <r>
    <n v="10115"/>
    <x v="35"/>
    <s v="Release 3.3"/>
    <d v="2014-08-21T10:05:47"/>
    <x v="2"/>
    <n v="0.25"/>
    <n v="1"/>
  </r>
  <r>
    <n v="10116"/>
    <x v="35"/>
    <s v="Release 3.3"/>
    <d v="2014-08-28T15:49:07"/>
    <x v="2"/>
    <n v="0.23055555555555557"/>
    <n v="1"/>
  </r>
  <r>
    <n v="10118"/>
    <x v="16"/>
    <s v="Release 3.3"/>
    <d v="2014-09-04T10:15:56"/>
    <x v="41"/>
    <n v="0.21388888888888888"/>
    <n v="1"/>
  </r>
  <r>
    <n v="10119"/>
    <x v="11"/>
    <s v="Release 3.3"/>
    <d v="2014-09-17T19:27:18"/>
    <x v="8"/>
    <n v="0.17777777777777778"/>
    <n v="1"/>
  </r>
  <r>
    <n v="10124"/>
    <x v="11"/>
    <s v="Release 3.3"/>
    <d v="2014-08-21T11:16:19"/>
    <x v="11"/>
    <n v="0.25"/>
    <n v="1"/>
  </r>
  <r>
    <n v="10125"/>
    <x v="34"/>
    <s v="Release 3.3"/>
    <d v="2014-09-19T13:32:21"/>
    <x v="18"/>
    <n v="0.17222222222222222"/>
    <n v="1"/>
  </r>
  <r>
    <n v="10131"/>
    <x v="16"/>
    <s v="Release 3.3"/>
    <d v="2014-09-08T11:18:34"/>
    <x v="4"/>
    <n v="0.20277777777777778"/>
    <n v="1"/>
  </r>
  <r>
    <n v="10132"/>
    <x v="8"/>
    <s v="Release 3.2.1"/>
    <d v="2014-08-21T16:00:37"/>
    <x v="8"/>
    <n v="0.25"/>
    <n v="1"/>
  </r>
  <r>
    <n v="10133"/>
    <x v="11"/>
    <s v="Release 3.3"/>
    <d v="2014-08-22T13:19:47"/>
    <x v="5"/>
    <n v="0.24722222222222223"/>
    <n v="1"/>
  </r>
  <r>
    <n v="10135"/>
    <x v="45"/>
    <s v="Release 3.3"/>
    <d v="2014-09-25T11:35:02"/>
    <x v="13"/>
    <n v="0.15555555555555556"/>
    <n v="1"/>
  </r>
  <r>
    <n v="10138"/>
    <x v="14"/>
    <s v="Release 3.2.1"/>
    <d v="2014-08-21T16:58:40"/>
    <x v="8"/>
    <n v="0.25"/>
    <n v="1"/>
  </r>
  <r>
    <n v="10139"/>
    <x v="2"/>
    <s v="Release 3.3"/>
    <d v="2014-08-22T16:39:05"/>
    <x v="1"/>
    <n v="0.24722222222222223"/>
    <n v="1"/>
  </r>
  <r>
    <n v="10140"/>
    <x v="34"/>
    <s v="Release 3.3"/>
    <d v="2014-09-12T13:49:04"/>
    <x v="41"/>
    <n v="0.19166666666666668"/>
    <n v="1"/>
  </r>
  <r>
    <n v="10144"/>
    <x v="11"/>
    <s v="Release 3.3"/>
    <d v="2014-08-22T13:22:07"/>
    <x v="41"/>
    <n v="0.24722222222222223"/>
    <n v="1"/>
  </r>
  <r>
    <n v="10146"/>
    <x v="23"/>
    <s v="Release 3.3"/>
    <d v="2014-08-22T17:49:17"/>
    <x v="3"/>
    <n v="0.24722222222222223"/>
    <n v="1"/>
  </r>
  <r>
    <n v="10149"/>
    <x v="6"/>
    <s v="Release 3.3"/>
    <d v="2014-08-26T10:37:35"/>
    <x v="2"/>
    <n v="0.2361111111111111"/>
    <n v="1"/>
  </r>
  <r>
    <n v="10150"/>
    <x v="3"/>
    <s v="Release 3.3"/>
    <d v="2014-08-26T13:47:22"/>
    <x v="2"/>
    <n v="0.2361111111111111"/>
    <n v="1"/>
  </r>
  <r>
    <n v="10152"/>
    <x v="33"/>
    <s v="Release 3.3"/>
    <d v="2014-09-19T15:09:54"/>
    <x v="13"/>
    <n v="0.17222222222222222"/>
    <n v="1"/>
  </r>
  <r>
    <n v="10153"/>
    <x v="26"/>
    <s v="Release 3.3"/>
    <d v="2014-09-19T13:26:11"/>
    <x v="10"/>
    <n v="0.17222222222222222"/>
    <n v="1"/>
  </r>
  <r>
    <n v="10155"/>
    <x v="2"/>
    <s v="Release 3.3"/>
    <d v="2014-08-22T14:50:32"/>
    <x v="29"/>
    <n v="0.24722222222222223"/>
    <n v="1"/>
  </r>
  <r>
    <n v="10156"/>
    <x v="43"/>
    <s v="Release 3.3"/>
    <d v="2014-09-09T13:45:12"/>
    <x v="13"/>
    <n v="0.2"/>
    <n v="1"/>
  </r>
  <r>
    <n v="10161"/>
    <x v="16"/>
    <s v="Release 3.3"/>
    <d v="2014-09-05T15:50:59"/>
    <x v="0"/>
    <n v="0.21111111111111111"/>
    <n v="1"/>
  </r>
  <r>
    <n v="10171"/>
    <x v="4"/>
    <s v="Release 3.3"/>
    <d v="2014-10-07T18:18:31"/>
    <x v="16"/>
    <n v="0.12222222222222222"/>
    <n v="1"/>
  </r>
  <r>
    <n v="10172"/>
    <x v="4"/>
    <s v="Release 3.3"/>
    <d v="2014-09-03T16:13:46"/>
    <x v="18"/>
    <n v="0.21666666666666667"/>
    <n v="1"/>
  </r>
  <r>
    <n v="10174"/>
    <x v="11"/>
    <s v="Release 3.3"/>
    <d v="2014-09-02T21:17:00"/>
    <x v="2"/>
    <n v="0.21944444444444444"/>
    <n v="1"/>
  </r>
  <r>
    <n v="10179"/>
    <x v="6"/>
    <s v="Release 3.3"/>
    <d v="2014-10-06T15:06:31"/>
    <x v="18"/>
    <n v="0.125"/>
    <n v="1"/>
  </r>
  <r>
    <n v="10182"/>
    <x v="23"/>
    <s v="Release 3.3"/>
    <d v="2014-09-03T16:08:58"/>
    <x v="10"/>
    <n v="0.21666666666666667"/>
    <n v="1"/>
  </r>
  <r>
    <n v="10185"/>
    <x v="35"/>
    <s v="Release 3.3"/>
    <d v="2014-09-19T16:51:02"/>
    <x v="13"/>
    <n v="0.17222222222222222"/>
    <n v="1"/>
  </r>
  <r>
    <n v="10190"/>
    <x v="11"/>
    <s v="Release 3.3"/>
    <d v="2014-10-27T21:39:05"/>
    <x v="40"/>
    <n v="6.6666666666666666E-2"/>
    <n v="1"/>
  </r>
  <r>
    <n v="10191"/>
    <x v="11"/>
    <s v="Release 3.3"/>
    <d v="2014-09-03T13:55:49"/>
    <x v="5"/>
    <n v="0.21666666666666667"/>
    <n v="1"/>
  </r>
  <r>
    <n v="10194"/>
    <x v="54"/>
    <s v="Release 3.3"/>
    <d v="2014-10-22T14:31:53"/>
    <x v="43"/>
    <n v="8.0555555555555561E-2"/>
    <n v="1"/>
  </r>
  <r>
    <n v="10195"/>
    <x v="3"/>
    <s v="Release 3.3"/>
    <d v="2014-09-05T11:45:13"/>
    <x v="29"/>
    <n v="0.21111111111111111"/>
    <n v="1"/>
  </r>
  <r>
    <n v="10196"/>
    <x v="35"/>
    <s v="Release 3.3"/>
    <d v="2014-09-04T13:56:54"/>
    <x v="0"/>
    <n v="0.21388888888888888"/>
    <n v="1"/>
  </r>
  <r>
    <n v="10198"/>
    <x v="35"/>
    <s v="Release 3.3"/>
    <d v="2014-09-03T13:49:32"/>
    <x v="2"/>
    <n v="0.21666666666666667"/>
    <n v="1"/>
  </r>
  <r>
    <n v="10202"/>
    <x v="16"/>
    <s v="Release 3.3"/>
    <d v="2014-09-05T15:44:22"/>
    <x v="0"/>
    <n v="0.21111111111111111"/>
    <n v="1"/>
  </r>
  <r>
    <n v="10203"/>
    <x v="23"/>
    <s v="Release 3.3"/>
    <d v="2014-09-05T15:51:33"/>
    <x v="10"/>
    <n v="0.21111111111111111"/>
    <n v="1"/>
  </r>
  <r>
    <n v="10207"/>
    <x v="16"/>
    <s v="Release 3.3"/>
    <d v="2014-09-12T14:03:49"/>
    <x v="41"/>
    <n v="0.19166666666666668"/>
    <n v="1"/>
  </r>
  <r>
    <n v="10209"/>
    <x v="23"/>
    <s v="Release 3.3"/>
    <d v="2014-09-05T15:56:26"/>
    <x v="10"/>
    <n v="0.21111111111111111"/>
    <n v="1"/>
  </r>
  <r>
    <n v="10210"/>
    <x v="35"/>
    <s v="Release 3.3"/>
    <d v="2014-09-08T10:21:37"/>
    <x v="2"/>
    <n v="0.20277777777777778"/>
    <n v="1"/>
  </r>
  <r>
    <n v="10211"/>
    <x v="2"/>
    <s v="Release 3.3"/>
    <d v="2014-09-09T15:14:14"/>
    <x v="29"/>
    <n v="0.2"/>
    <n v="1"/>
  </r>
  <r>
    <n v="10212"/>
    <x v="2"/>
    <s v="Release 3.3"/>
    <d v="2014-09-09T14:53:07"/>
    <x v="29"/>
    <n v="0.2"/>
    <n v="1"/>
  </r>
  <r>
    <n v="10213"/>
    <x v="58"/>
    <s v="Release 3.3"/>
    <d v="2014-11-07T14:03:29"/>
    <x v="0"/>
    <n v="3.888888888888889E-2"/>
    <n v="1"/>
  </r>
  <r>
    <n v="10215"/>
    <x v="34"/>
    <s v="Release 3.3"/>
    <d v="2014-10-20T12:27:03"/>
    <x v="21"/>
    <n v="8.611111111111111E-2"/>
    <n v="1"/>
  </r>
  <r>
    <n v="10216"/>
    <x v="23"/>
    <s v="Release 3.3"/>
    <d v="2014-09-12T14:45:36"/>
    <x v="18"/>
    <n v="0.19166666666666668"/>
    <n v="1"/>
  </r>
  <r>
    <n v="10222"/>
    <x v="35"/>
    <s v="Release 3.3"/>
    <d v="2014-09-10T16:59:17"/>
    <x v="0"/>
    <n v="0.19722222222222222"/>
    <n v="1"/>
  </r>
  <r>
    <n v="10224"/>
    <x v="23"/>
    <s v="Release 3.3"/>
    <d v="2014-10-06T15:06:38"/>
    <x v="18"/>
    <n v="0.125"/>
    <n v="1"/>
  </r>
  <r>
    <n v="10227"/>
    <x v="23"/>
    <s v="Release 3.3"/>
    <d v="2014-11-05T11:23:27"/>
    <x v="3"/>
    <n v="4.4444444444444446E-2"/>
    <n v="1"/>
  </r>
  <r>
    <n v="10230"/>
    <x v="2"/>
    <s v="Release 3.3"/>
    <d v="2014-09-22T09:03:25"/>
    <x v="4"/>
    <n v="0.16388888888888889"/>
    <n v="1"/>
  </r>
  <r>
    <n v="10233"/>
    <x v="16"/>
    <s v="Release 3.3"/>
    <d v="2014-09-19T15:27:49"/>
    <x v="41"/>
    <n v="0.17222222222222222"/>
    <n v="1"/>
  </r>
  <r>
    <n v="10234"/>
    <x v="34"/>
    <s v="Release 3.3"/>
    <d v="2014-10-06T15:06:32"/>
    <x v="5"/>
    <n v="0.125"/>
    <n v="1"/>
  </r>
  <r>
    <n v="10235"/>
    <x v="35"/>
    <s v="Release 3.3"/>
    <d v="2014-10-06T15:06:39"/>
    <x v="2"/>
    <n v="0.125"/>
    <n v="1"/>
  </r>
  <r>
    <n v="10239"/>
    <x v="35"/>
    <s v="Release 3.3"/>
    <d v="2014-10-06T15:06:38"/>
    <x v="2"/>
    <n v="0.125"/>
    <n v="1"/>
  </r>
  <r>
    <n v="10242"/>
    <x v="33"/>
    <s v="Release 3.3"/>
    <d v="2014-09-26T13:52:22"/>
    <x v="13"/>
    <n v="0.15277777777777779"/>
    <n v="1"/>
  </r>
  <r>
    <n v="10243"/>
    <x v="23"/>
    <s v="Release 3.3"/>
    <d v="2014-10-06T15:06:37"/>
    <x v="18"/>
    <n v="0.125"/>
    <n v="1"/>
  </r>
  <r>
    <n v="10244"/>
    <x v="44"/>
    <s v="Release 3.3"/>
    <d v="2014-11-21T08:43:43"/>
    <x v="29"/>
    <n v="0"/>
    <n v="1"/>
  </r>
  <r>
    <n v="10246"/>
    <x v="46"/>
    <s v="Release 3.3"/>
    <d v="2014-10-09T16:07:14"/>
    <x v="8"/>
    <n v="0.11666666666666667"/>
    <n v="1"/>
  </r>
  <r>
    <n v="10250"/>
    <x v="35"/>
    <s v="Release 3.3"/>
    <d v="2014-09-19T14:53:19"/>
    <x v="13"/>
    <n v="0.17222222222222222"/>
    <n v="1"/>
  </r>
  <r>
    <n v="10254"/>
    <x v="21"/>
    <s v="Release 3.3"/>
    <d v="2014-10-10T13:56:37"/>
    <x v="2"/>
    <n v="0.11388888888888889"/>
    <n v="1"/>
  </r>
  <r>
    <n v="10255"/>
    <x v="34"/>
    <s v="Release 3.3"/>
    <d v="2014-09-19T16:10:34"/>
    <x v="38"/>
    <n v="0.17222222222222222"/>
    <n v="1"/>
  </r>
  <r>
    <n v="10259"/>
    <x v="34"/>
    <s v="Release 3.3"/>
    <d v="2014-10-16T13:48:20"/>
    <x v="41"/>
    <n v="9.7222222222222224E-2"/>
    <n v="1"/>
  </r>
  <r>
    <n v="10260"/>
    <x v="35"/>
    <s v="Release 3.3"/>
    <d v="2014-10-06T15:06:38"/>
    <x v="29"/>
    <n v="0.125"/>
    <n v="1"/>
  </r>
  <r>
    <n v="10264"/>
    <x v="34"/>
    <s v="Release 3.3"/>
    <d v="2014-10-06T15:06:38"/>
    <x v="21"/>
    <n v="0.125"/>
    <n v="1"/>
  </r>
  <r>
    <n v="10265"/>
    <x v="26"/>
    <s v="Release 3.3"/>
    <d v="2014-10-15T20:29:04"/>
    <x v="3"/>
    <n v="0.1"/>
    <n v="1"/>
  </r>
  <r>
    <n v="10266"/>
    <x v="34"/>
    <s v="Release 3.3"/>
    <d v="2014-11-04T16:04:50"/>
    <x v="41"/>
    <n v="4.7222222222222221E-2"/>
    <n v="1"/>
  </r>
  <r>
    <n v="10267"/>
    <x v="33"/>
    <s v="Release 3.3"/>
    <d v="2014-09-23T13:35:34"/>
    <x v="13"/>
    <n v="0.16111111111111112"/>
    <n v="1"/>
  </r>
  <r>
    <n v="10273"/>
    <x v="6"/>
    <s v="Release 3.3"/>
    <d v="2014-09-26T13:53:08"/>
    <x v="18"/>
    <n v="0.15277777777777779"/>
    <n v="1"/>
  </r>
  <r>
    <n v="10274"/>
    <x v="34"/>
    <s v="Release 3.3"/>
    <d v="2014-10-06T15:06:39"/>
    <x v="5"/>
    <n v="0.125"/>
    <n v="1"/>
  </r>
  <r>
    <n v="10275"/>
    <x v="35"/>
    <s v="Release 3.3"/>
    <d v="2014-10-06T15:06:32"/>
    <x v="29"/>
    <n v="0.125"/>
    <n v="1"/>
  </r>
  <r>
    <n v="10277"/>
    <x v="34"/>
    <s v="Release 3.3"/>
    <d v="2014-11-07T15:29:34"/>
    <x v="1"/>
    <n v="3.888888888888889E-2"/>
    <n v="1"/>
  </r>
  <r>
    <n v="10279"/>
    <x v="42"/>
    <s v="Release 3.3"/>
    <d v="2014-10-16T09:18:32"/>
    <x v="13"/>
    <n v="9.7222222222222224E-2"/>
    <n v="1"/>
  </r>
  <r>
    <n v="10280"/>
    <x v="45"/>
    <s v="Release 3.3"/>
    <d v="2014-10-09T10:26:36"/>
    <x v="13"/>
    <n v="0.11666666666666667"/>
    <n v="1"/>
  </r>
  <r>
    <n v="10281"/>
    <x v="45"/>
    <s v="Release 3.3"/>
    <d v="2014-10-17T11:28:54"/>
    <x v="13"/>
    <n v="9.4444444444444442E-2"/>
    <n v="1"/>
  </r>
  <r>
    <n v="10282"/>
    <x v="45"/>
    <s v="Release 3.3"/>
    <d v="2014-11-06T15:51:28"/>
    <x v="13"/>
    <n v="4.1666666666666664E-2"/>
    <n v="1"/>
  </r>
  <r>
    <n v="10284"/>
    <x v="33"/>
    <s v="Release 3.3"/>
    <d v="2014-10-06T14:46:04"/>
    <x v="13"/>
    <n v="0.125"/>
    <n v="1"/>
  </r>
  <r>
    <n v="10286"/>
    <x v="33"/>
    <s v="Release 3.3"/>
    <d v="2014-10-07T14:28:13"/>
    <x v="32"/>
    <n v="0.12222222222222222"/>
    <n v="1"/>
  </r>
  <r>
    <n v="10287"/>
    <x v="6"/>
    <s v="Release 3.3"/>
    <d v="2014-10-07T16:24:08"/>
    <x v="35"/>
    <n v="0.12222222222222222"/>
    <n v="1"/>
  </r>
  <r>
    <n v="10299"/>
    <x v="34"/>
    <s v="Release 3.3"/>
    <d v="2014-10-16T16:33:24"/>
    <x v="41"/>
    <n v="9.7222222222222224E-2"/>
    <n v="1"/>
  </r>
  <r>
    <n v="10300"/>
    <x v="34"/>
    <s v="Release 3.3"/>
    <d v="2014-10-10T15:08:43"/>
    <x v="38"/>
    <n v="0.11388888888888889"/>
    <n v="1"/>
  </r>
  <r>
    <n v="10301"/>
    <x v="35"/>
    <s v="Release 3.3"/>
    <d v="2014-10-17T11:14:45"/>
    <x v="2"/>
    <n v="9.4444444444444442E-2"/>
    <n v="1"/>
  </r>
  <r>
    <n v="10302"/>
    <x v="35"/>
    <s v="Release 3.3"/>
    <d v="2014-10-15T15:10:06"/>
    <x v="2"/>
    <n v="0.1"/>
    <n v="1"/>
  </r>
  <r>
    <n v="10303"/>
    <x v="16"/>
    <s v="Release 3.3"/>
    <d v="2014-11-07T15:35:57"/>
    <x v="1"/>
    <n v="3.888888888888889E-2"/>
    <n v="1"/>
  </r>
  <r>
    <n v="10304"/>
    <x v="35"/>
    <s v="Release 3.3"/>
    <d v="2014-11-03T13:44:51"/>
    <x v="2"/>
    <n v="0.05"/>
    <n v="1"/>
  </r>
  <r>
    <n v="10306"/>
    <x v="34"/>
    <s v="Release 3.3"/>
    <d v="2014-10-31T16:54:14"/>
    <x v="43"/>
    <n v="5.8333333333333334E-2"/>
    <n v="1"/>
  </r>
  <r>
    <n v="10309"/>
    <x v="18"/>
    <s v="Release 3.3"/>
    <d v="2014-10-17T13:46:23"/>
    <x v="4"/>
    <n v="9.4444444444444442E-2"/>
    <n v="1"/>
  </r>
  <r>
    <n v="10313"/>
    <x v="33"/>
    <s v="Release 3.3"/>
    <d v="2014-10-23T15:51:39"/>
    <x v="13"/>
    <n v="7.7777777777777779E-2"/>
    <n v="1"/>
  </r>
  <r>
    <n v="10314"/>
    <x v="33"/>
    <s v="Release 3.3"/>
    <d v="2014-10-23T16:57:16"/>
    <x v="13"/>
    <n v="7.7777777777777779E-2"/>
    <n v="1"/>
  </r>
  <r>
    <n v="10315"/>
    <x v="33"/>
    <s v="Release 3.3"/>
    <d v="2014-10-23T16:05:46"/>
    <x v="13"/>
    <n v="7.7777777777777779E-2"/>
    <n v="1"/>
  </r>
  <r>
    <n v="10316"/>
    <x v="33"/>
    <s v="Release 3.3"/>
    <d v="2014-10-23T16:33:52"/>
    <x v="13"/>
    <n v="7.7777777777777779E-2"/>
    <n v="1"/>
  </r>
  <r>
    <n v="10317"/>
    <x v="33"/>
    <s v="Release 3.3"/>
    <d v="2014-10-23T16:28:58"/>
    <x v="13"/>
    <n v="7.7777777777777779E-2"/>
    <n v="1"/>
  </r>
  <r>
    <n v="10323"/>
    <x v="34"/>
    <s v="Release 3.3"/>
    <d v="2014-10-23T11:00:49"/>
    <x v="41"/>
    <n v="7.7777777777777779E-2"/>
    <n v="1"/>
  </r>
  <r>
    <n v="10324"/>
    <x v="34"/>
    <s v="Release 3.3"/>
    <d v="2014-10-29T14:25:48"/>
    <x v="41"/>
    <n v="6.1111111111111109E-2"/>
    <n v="1"/>
  </r>
  <r>
    <n v="10330"/>
    <x v="46"/>
    <s v="Backlog"/>
    <d v="2014-11-12T15:56:44"/>
    <x v="31"/>
    <n v="2.5000000000000001E-2"/>
    <n v="1"/>
  </r>
  <r>
    <n v="10331"/>
    <x v="34"/>
    <s v="Release 3.3"/>
    <d v="2014-10-13T19:11:22"/>
    <x v="5"/>
    <n v="0.10555555555555556"/>
    <n v="1"/>
  </r>
  <r>
    <n v="10332"/>
    <x v="18"/>
    <s v="Release 3.3"/>
    <d v="2014-10-31T11:43:17"/>
    <x v="30"/>
    <n v="5.8333333333333334E-2"/>
    <n v="1"/>
  </r>
  <r>
    <n v="10333"/>
    <x v="16"/>
    <s v="Release 3.3"/>
    <d v="2014-10-21T12:43:50"/>
    <x v="8"/>
    <n v="8.3333333333333329E-2"/>
    <n v="1"/>
  </r>
  <r>
    <n v="10334"/>
    <x v="34"/>
    <s v="Release 3.3"/>
    <d v="2014-10-16T14:39:09"/>
    <x v="41"/>
    <n v="9.7222222222222224E-2"/>
    <n v="1"/>
  </r>
  <r>
    <n v="10339"/>
    <x v="21"/>
    <s v="Release 3.3"/>
    <d v="2014-10-15T16:20:30"/>
    <x v="2"/>
    <n v="0.1"/>
    <n v="1"/>
  </r>
  <r>
    <n v="10342"/>
    <x v="15"/>
    <s v="Release 3.3"/>
    <d v="2014-11-07T14:00:28"/>
    <x v="30"/>
    <n v="3.888888888888889E-2"/>
    <n v="1"/>
  </r>
  <r>
    <n v="10343"/>
    <x v="46"/>
    <s v="Release 3.3"/>
    <d v="2014-10-14T15:27:46"/>
    <x v="3"/>
    <n v="0.10277777777777777"/>
    <n v="1"/>
  </r>
  <r>
    <n v="10345"/>
    <x v="34"/>
    <s v="Release 3.3"/>
    <d v="2014-11-19T11:55:41"/>
    <x v="41"/>
    <n v="5.5555555555555558E-3"/>
    <n v="1"/>
  </r>
  <r>
    <n v="10347"/>
    <x v="35"/>
    <s v="Release 3.3"/>
    <d v="2014-10-31T11:14:37"/>
    <x v="30"/>
    <n v="5.8333333333333334E-2"/>
    <n v="1"/>
  </r>
  <r>
    <n v="10348"/>
    <x v="35"/>
    <s v="Release 3.3"/>
    <d v="2014-10-23T10:53:39"/>
    <x v="2"/>
    <n v="7.7777777777777779E-2"/>
    <n v="1"/>
  </r>
  <r>
    <n v="10349"/>
    <x v="35"/>
    <s v="Release 3.3"/>
    <d v="2014-10-24T15:26:46"/>
    <x v="30"/>
    <n v="7.4999999999999997E-2"/>
    <n v="1"/>
  </r>
  <r>
    <n v="10352"/>
    <x v="14"/>
    <s v="Release 3.3"/>
    <d v="2014-10-16T16:42:57"/>
    <x v="41"/>
    <n v="9.7222222222222224E-2"/>
    <n v="1"/>
  </r>
  <r>
    <n v="10354"/>
    <x v="35"/>
    <s v="Release 3.3"/>
    <d v="2014-11-11T09:22:38"/>
    <x v="13"/>
    <n v="2.7777777777777776E-2"/>
    <n v="1"/>
  </r>
  <r>
    <n v="10357"/>
    <x v="23"/>
    <s v="Release 3.3"/>
    <d v="2014-11-12T16:57:02"/>
    <x v="41"/>
    <n v="2.5000000000000001E-2"/>
    <n v="1"/>
  </r>
  <r>
    <n v="10364"/>
    <x v="35"/>
    <s v="Release 3.3"/>
    <d v="2014-10-20T09:28:39"/>
    <x v="2"/>
    <n v="8.611111111111111E-2"/>
    <n v="1"/>
  </r>
  <r>
    <n v="10368"/>
    <x v="34"/>
    <s v="Release 3.3"/>
    <d v="2014-11-17T11:26:40"/>
    <x v="43"/>
    <n v="1.1111111111111112E-2"/>
    <n v="1"/>
  </r>
  <r>
    <n v="10369"/>
    <x v="3"/>
    <s v="Release 3.3"/>
    <d v="2014-11-10T17:11:46"/>
    <x v="2"/>
    <n v="3.0555555555555555E-2"/>
    <n v="1"/>
  </r>
  <r>
    <n v="10370"/>
    <x v="55"/>
    <s v="Backlog"/>
    <d v="2014-10-17T11:17:51"/>
    <x v="21"/>
    <n v="9.4444444444444442E-2"/>
    <n v="1"/>
  </r>
  <r>
    <n v="10372"/>
    <x v="35"/>
    <s v="Release 3.3"/>
    <d v="2014-10-23T16:34:00"/>
    <x v="0"/>
    <n v="7.7777777777777779E-2"/>
    <n v="1"/>
  </r>
  <r>
    <n v="10376"/>
    <x v="35"/>
    <s v="Release 3.3"/>
    <d v="2014-10-23T13:30:55"/>
    <x v="2"/>
    <n v="7.7777777777777779E-2"/>
    <n v="1"/>
  </r>
  <r>
    <n v="10377"/>
    <x v="34"/>
    <s v="Release 3.3"/>
    <d v="2014-11-12T18:28:44"/>
    <x v="1"/>
    <n v="2.5000000000000001E-2"/>
    <n v="1"/>
  </r>
  <r>
    <n v="10380"/>
    <x v="35"/>
    <s v="Release 3.3"/>
    <d v="2014-10-21T10:18:41"/>
    <x v="2"/>
    <n v="8.3333333333333329E-2"/>
    <n v="1"/>
  </r>
  <r>
    <n v="10381"/>
    <x v="34"/>
    <s v="Release 3.3"/>
    <d v="2014-10-28T19:25:16"/>
    <x v="30"/>
    <n v="6.3888888888888884E-2"/>
    <n v="1"/>
  </r>
  <r>
    <n v="10383"/>
    <x v="54"/>
    <s v="Release 3.3"/>
    <d v="2014-11-14T15:59:25"/>
    <x v="43"/>
    <n v="1.9444444444444445E-2"/>
    <n v="1"/>
  </r>
  <r>
    <n v="10385"/>
    <x v="16"/>
    <s v="Release 3.3"/>
    <d v="2014-11-20T15:32:51"/>
    <x v="31"/>
    <n v="2.7777777777777779E-3"/>
    <n v="1"/>
  </r>
  <r>
    <n v="10386"/>
    <x v="11"/>
    <s v="Release 3.3"/>
    <d v="2014-10-21T14:33:08"/>
    <x v="40"/>
    <n v="8.3333333333333329E-2"/>
    <n v="1"/>
  </r>
  <r>
    <n v="10387"/>
    <x v="46"/>
    <s v="Release 3.3"/>
    <d v="2014-10-27T15:40:01"/>
    <x v="31"/>
    <n v="6.6666666666666666E-2"/>
    <n v="1"/>
  </r>
  <r>
    <n v="10388"/>
    <x v="34"/>
    <s v="Release 3.3"/>
    <d v="2014-10-24T16:06:57"/>
    <x v="43"/>
    <n v="7.4999999999999997E-2"/>
    <n v="1"/>
  </r>
  <r>
    <n v="10389"/>
    <x v="35"/>
    <s v="Release 3.3"/>
    <d v="2014-10-20T10:19:44"/>
    <x v="2"/>
    <n v="8.611111111111111E-2"/>
    <n v="1"/>
  </r>
  <r>
    <n v="10391"/>
    <x v="34"/>
    <s v="Release 3.3"/>
    <d v="2014-11-04T15:36:44"/>
    <x v="41"/>
    <n v="4.7222222222222221E-2"/>
    <n v="1"/>
  </r>
  <r>
    <n v="10392"/>
    <x v="35"/>
    <s v="Release 3.3"/>
    <d v="2014-11-12T09:06:15"/>
    <x v="2"/>
    <n v="2.5000000000000001E-2"/>
    <n v="1"/>
  </r>
  <r>
    <n v="10396"/>
    <x v="23"/>
    <s v="Release 3.3"/>
    <d v="2014-11-13T18:45:17"/>
    <x v="0"/>
    <n v="2.2222222222222223E-2"/>
    <n v="1"/>
  </r>
  <r>
    <n v="10399"/>
    <x v="34"/>
    <s v="Release 3.3"/>
    <d v="2014-10-23T10:35:38"/>
    <x v="41"/>
    <n v="7.7777777777777779E-2"/>
    <n v="1"/>
  </r>
  <r>
    <n v="10404"/>
    <x v="33"/>
    <s v="Release 3.3"/>
    <d v="2014-11-11T09:08:34"/>
    <x v="13"/>
    <n v="2.7777777777777776E-2"/>
    <n v="1"/>
  </r>
  <r>
    <n v="10408"/>
    <x v="35"/>
    <s v="Release 3.3"/>
    <d v="2014-10-30T14:33:41"/>
    <x v="2"/>
    <n v="5.8333333333333334E-2"/>
    <n v="1"/>
  </r>
  <r>
    <n v="10410"/>
    <x v="34"/>
    <s v="Release 3.3"/>
    <d v="2014-10-27T11:37:18"/>
    <x v="41"/>
    <n v="6.6666666666666666E-2"/>
    <n v="1"/>
  </r>
  <r>
    <n v="10411"/>
    <x v="34"/>
    <s v="Release 3.3"/>
    <d v="2014-10-24T08:18:35"/>
    <x v="38"/>
    <n v="7.4999999999999997E-2"/>
    <n v="1"/>
  </r>
  <r>
    <n v="10420"/>
    <x v="33"/>
    <s v="Release 3.3"/>
    <d v="2014-11-05T15:59:31"/>
    <x v="13"/>
    <n v="4.4444444444444446E-2"/>
    <n v="1"/>
  </r>
  <r>
    <n v="10429"/>
    <x v="48"/>
    <s v="Backlog"/>
    <d v="2014-10-25T17:08:19"/>
    <x v="31"/>
    <n v="7.2222222222222215E-2"/>
    <n v="1"/>
  </r>
  <r>
    <n v="10430"/>
    <x v="4"/>
    <s v="Release 3.3"/>
    <d v="2014-10-28T20:49:24"/>
    <x v="9"/>
    <n v="6.3888888888888884E-2"/>
    <n v="1"/>
  </r>
  <r>
    <n v="10431"/>
    <x v="35"/>
    <s v="Release 3.3"/>
    <d v="2014-10-30T15:39:22"/>
    <x v="2"/>
    <n v="5.8333333333333334E-2"/>
    <n v="1"/>
  </r>
  <r>
    <n v="10433"/>
    <x v="33"/>
    <s v="Release 3.3"/>
    <d v="2014-11-03T15:37:49"/>
    <x v="13"/>
    <n v="0.05"/>
    <n v="1"/>
  </r>
  <r>
    <n v="10435"/>
    <x v="33"/>
    <s v="Release 3.3"/>
    <d v="2014-11-10T17:10:19"/>
    <x v="13"/>
    <n v="3.0555555555555555E-2"/>
    <n v="1"/>
  </r>
  <r>
    <n v="10436"/>
    <x v="33"/>
    <s v="Release 3.3"/>
    <d v="2014-11-10T17:11:31"/>
    <x v="13"/>
    <n v="3.0555555555555555E-2"/>
    <n v="1"/>
  </r>
  <r>
    <n v="10437"/>
    <x v="33"/>
    <s v="Release 3.3"/>
    <d v="2014-11-11T10:36:26"/>
    <x v="13"/>
    <n v="2.7777777777777776E-2"/>
    <n v="1"/>
  </r>
  <r>
    <n v="10441"/>
    <x v="34"/>
    <s v="Release 3.3"/>
    <d v="2014-11-07T15:21:35"/>
    <x v="41"/>
    <n v="3.888888888888889E-2"/>
    <n v="1"/>
  </r>
  <r>
    <n v="10443"/>
    <x v="34"/>
    <s v="Release 3.3"/>
    <d v="2014-11-12T14:09:23"/>
    <x v="41"/>
    <n v="2.5000000000000001E-2"/>
    <n v="1"/>
  </r>
  <r>
    <n v="10451"/>
    <x v="34"/>
    <s v="Release 3.3"/>
    <d v="2014-10-31T14:10:25"/>
    <x v="30"/>
    <n v="5.8333333333333334E-2"/>
    <n v="1"/>
  </r>
  <r>
    <n v="10458"/>
    <x v="33"/>
    <s v="Release 3.3"/>
    <d v="2014-11-05T16:11:30"/>
    <x v="13"/>
    <n v="4.4444444444444446E-2"/>
    <n v="1"/>
  </r>
  <r>
    <n v="10462"/>
    <x v="4"/>
    <s v="Release 3.3"/>
    <d v="2014-11-12T18:21:08"/>
    <x v="9"/>
    <n v="2.5000000000000001E-2"/>
    <n v="1"/>
  </r>
  <r>
    <n v="10466"/>
    <x v="42"/>
    <s v="Release 3.3"/>
    <d v="2014-11-03T16:20:27"/>
    <x v="30"/>
    <n v="0.05"/>
    <n v="1"/>
  </r>
  <r>
    <n v="10472"/>
    <x v="3"/>
    <s v="Release 3.3"/>
    <d v="2014-11-03T14:47:36"/>
    <x v="31"/>
    <n v="0.05"/>
    <n v="1"/>
  </r>
  <r>
    <n v="10480"/>
    <x v="53"/>
    <s v="Release 3.3"/>
    <d v="2014-11-07T13:20:29"/>
    <x v="32"/>
    <n v="3.888888888888889E-2"/>
    <n v="1"/>
  </r>
  <r>
    <n v="10482"/>
    <x v="34"/>
    <s v="Release 3.3"/>
    <d v="2014-11-13T10:19:24"/>
    <x v="41"/>
    <n v="2.2222222222222223E-2"/>
    <n v="1"/>
  </r>
  <r>
    <n v="10484"/>
    <x v="2"/>
    <s v="Release 3.3"/>
    <d v="2014-11-07T11:29:30"/>
    <x v="30"/>
    <n v="3.888888888888889E-2"/>
    <n v="1"/>
  </r>
  <r>
    <n v="10487"/>
    <x v="46"/>
    <s v="Release 3.3"/>
    <d v="2014-11-05T10:33:22"/>
    <x v="4"/>
    <n v="4.4444444444444446E-2"/>
    <n v="1"/>
  </r>
  <r>
    <n v="10489"/>
    <x v="2"/>
    <s v="Release 3.3"/>
    <d v="2014-11-06T16:01:44"/>
    <x v="4"/>
    <n v="4.1666666666666664E-2"/>
    <n v="1"/>
  </r>
  <r>
    <n v="10490"/>
    <x v="44"/>
    <s v="Release 3.3"/>
    <d v="2014-11-19T21:16:21"/>
    <x v="3"/>
    <n v="5.5555555555555558E-3"/>
    <n v="1"/>
  </r>
  <r>
    <n v="10491"/>
    <x v="35"/>
    <s v="Release 3.3"/>
    <d v="2014-11-05T13:56:24"/>
    <x v="2"/>
    <n v="4.4444444444444446E-2"/>
    <n v="1"/>
  </r>
  <r>
    <n v="10507"/>
    <x v="46"/>
    <s v="Release 3.3"/>
    <d v="2014-11-14T19:49:51"/>
    <x v="31"/>
    <n v="1.9444444444444445E-2"/>
    <n v="1"/>
  </r>
  <r>
    <n v="10534"/>
    <x v="34"/>
    <s v="Release 3.3"/>
    <d v="2014-11-13T09:55:25"/>
    <x v="41"/>
    <n v="2.2222222222222223E-2"/>
    <n v="1"/>
  </r>
  <r>
    <n v="10538"/>
    <x v="34"/>
    <s v="Release 3.3"/>
    <d v="2014-11-12T14:38:49"/>
    <x v="41"/>
    <n v="2.5000000000000001E-2"/>
    <n v="1"/>
  </r>
  <r>
    <n v="10541"/>
    <x v="21"/>
    <s v="Release 3.3"/>
    <d v="2014-11-20T16:16:41"/>
    <x v="16"/>
    <n v="2.7777777777777779E-3"/>
    <n v="1"/>
  </r>
  <r>
    <n v="10542"/>
    <x v="34"/>
    <s v="Release 3.3"/>
    <d v="2014-11-13T16:57:03"/>
    <x v="41"/>
    <n v="2.2222222222222223E-2"/>
    <n v="1"/>
  </r>
  <r>
    <n v="10545"/>
    <x v="4"/>
    <s v="Release 3.3"/>
    <d v="2014-11-20T18:34:11"/>
    <x v="9"/>
    <n v="2.7777777777777779E-3"/>
    <n v="1"/>
  </r>
  <r>
    <n v="10546"/>
    <x v="42"/>
    <s v="Release 3.3"/>
    <d v="2014-11-13T18:44:02"/>
    <x v="30"/>
    <n v="2.2222222222222223E-2"/>
    <n v="1"/>
  </r>
  <r>
    <n v="10558"/>
    <x v="11"/>
    <s v="Release 3.3"/>
    <d v="2014-11-14T20:51:11"/>
    <x v="42"/>
    <n v="1.9444444444444445E-2"/>
    <n v="1"/>
  </r>
  <r>
    <n v="10566"/>
    <x v="11"/>
    <s v="Release 3.3"/>
    <d v="2014-11-20T15:22:26"/>
    <x v="4"/>
    <n v="2.7777777777777779E-3"/>
    <n v="1"/>
  </r>
  <r>
    <n v="10568"/>
    <x v="34"/>
    <s v="Release 3.3"/>
    <d v="2014-11-19T11:31:54"/>
    <x v="30"/>
    <n v="5.5555555555555558E-3"/>
    <n v="1"/>
  </r>
  <r>
    <n v="10599"/>
    <x v="35"/>
    <s v="Release 3.4"/>
    <d v="2014-11-20T14:01:30"/>
    <x v="2"/>
    <n v="2.7777777777777779E-3"/>
    <n v="1"/>
  </r>
  <r>
    <n v="29"/>
    <x v="0"/>
    <s v="Iteration 1"/>
    <d v="2007-10-12T13:35:42"/>
    <x v="0"/>
    <n v="7.1083333333333334"/>
    <n v="0"/>
  </r>
  <r>
    <n v="44"/>
    <x v="0"/>
    <s v="Iteration 2"/>
    <d v="2007-10-31T16:26:07"/>
    <x v="0"/>
    <n v="7.0583333333333336"/>
    <n v="0"/>
  </r>
  <r>
    <n v="58"/>
    <x v="37"/>
    <s v="Iteration 5"/>
    <d v="2008-02-14T14:22:18"/>
    <x v="0"/>
    <n v="6.7694444444444448"/>
    <n v="0"/>
  </r>
  <r>
    <n v="86"/>
    <x v="0"/>
    <s v="Iteration 5"/>
    <d v="2008-02-11T13:06:09"/>
    <x v="0"/>
    <n v="6.7777777777777777"/>
    <n v="0"/>
  </r>
  <r>
    <n v="101"/>
    <x v="0"/>
    <s v="Iteration 20"/>
    <d v="2008-03-03T10:13:44"/>
    <x v="0"/>
    <n v="6.7166666666666668"/>
    <n v="0"/>
  </r>
  <r>
    <n v="106"/>
    <x v="1"/>
    <s v="Iteration 11"/>
    <d v="2008-09-05T08:56:51"/>
    <x v="0"/>
    <n v="6.2111111111111112"/>
    <n v="0"/>
  </r>
  <r>
    <n v="107"/>
    <x v="0"/>
    <s v="Iteration 8"/>
    <d v="2008-05-20T09:35:52"/>
    <x v="0"/>
    <n v="6.5027777777777782"/>
    <n v="0"/>
  </r>
  <r>
    <n v="108"/>
    <x v="2"/>
    <s v="Iteration 8"/>
    <d v="2008-05-27T15:00:03"/>
    <x v="0"/>
    <n v="6.4833333333333334"/>
    <n v="0"/>
  </r>
  <r>
    <n v="112"/>
    <x v="0"/>
    <s v="Iteration 6"/>
    <d v="2008-03-10T15:30:18"/>
    <x v="0"/>
    <n v="6.697222222222222"/>
    <n v="0"/>
  </r>
  <r>
    <n v="113"/>
    <x v="0"/>
    <s v="Iteration 7"/>
    <d v="2008-03-10T15:41:30"/>
    <x v="0"/>
    <n v="6.697222222222222"/>
    <n v="0"/>
  </r>
  <r>
    <n v="114"/>
    <x v="0"/>
    <s v="Iteration 20"/>
    <d v="2008-04-01T11:32:16"/>
    <x v="0"/>
    <n v="6.6388888888888893"/>
    <n v="0"/>
  </r>
  <r>
    <n v="123"/>
    <x v="48"/>
    <s v="Iteration 8"/>
    <d v="2008-05-01T15:52:27"/>
    <x v="0"/>
    <n v="6.5555555555555554"/>
    <n v="0"/>
  </r>
  <r>
    <n v="126"/>
    <x v="38"/>
    <s v="Iteration 12"/>
    <d v="2008-10-03T13:08:22"/>
    <x v="0"/>
    <n v="6.1333333333333337"/>
    <n v="0"/>
  </r>
  <r>
    <n v="134"/>
    <x v="0"/>
    <s v="Iteration 10"/>
    <d v="2008-07-09T12:27:45"/>
    <x v="0"/>
    <n v="6.3666666666666663"/>
    <n v="0"/>
  </r>
  <r>
    <n v="152"/>
    <x v="36"/>
    <s v="Iteration 12"/>
    <d v="2008-10-03T12:29:43"/>
    <x v="0"/>
    <n v="6.1333333333333337"/>
    <n v="0"/>
  </r>
  <r>
    <n v="153"/>
    <x v="0"/>
    <s v="Iteration 9"/>
    <d v="2008-06-26T13:23:32"/>
    <x v="0"/>
    <n v="6.4027777777777777"/>
    <n v="0"/>
  </r>
  <r>
    <n v="162"/>
    <x v="4"/>
    <s v="Iteration 9"/>
    <d v="2008-06-25T15:57:23"/>
    <x v="0"/>
    <n v="6.4055555555555559"/>
    <n v="0"/>
  </r>
  <r>
    <n v="171"/>
    <x v="0"/>
    <s v="Iteration 12"/>
    <d v="2008-10-06T14:04:41"/>
    <x v="0"/>
    <n v="6.125"/>
    <n v="0"/>
  </r>
  <r>
    <n v="178"/>
    <x v="0"/>
    <s v="Iteration 10"/>
    <d v="2008-07-04T14:41:49"/>
    <x v="0"/>
    <n v="6.3805555555555555"/>
    <n v="0"/>
  </r>
  <r>
    <n v="200"/>
    <x v="4"/>
    <s v="Iteration 11"/>
    <d v="2008-08-07T11:04:56"/>
    <x v="0"/>
    <n v="6.2888888888888888"/>
    <n v="0"/>
  </r>
  <r>
    <n v="207"/>
    <x v="39"/>
    <s v="Iteration 13"/>
    <d v="2008-10-08T12:20:05"/>
    <x v="0"/>
    <n v="6.1194444444444445"/>
    <n v="0"/>
  </r>
  <r>
    <n v="217"/>
    <x v="0"/>
    <s v="Iteration 13"/>
    <d v="2008-10-08T14:47:03"/>
    <x v="0"/>
    <n v="6.1194444444444445"/>
    <n v="0"/>
  </r>
  <r>
    <n v="252"/>
    <x v="38"/>
    <s v="Iteration 14"/>
    <d v="2009-01-08T12:00:25"/>
    <x v="0"/>
    <n v="5.8694444444444445"/>
    <n v="0"/>
  </r>
  <r>
    <n v="262"/>
    <x v="12"/>
    <s v="Iteration 30"/>
    <d v="2011-09-20T14:38:14"/>
    <x v="4"/>
    <n v="3.1694444444444443"/>
    <n v="0"/>
  </r>
  <r>
    <n v="264"/>
    <x v="0"/>
    <s v="Iteration 13"/>
    <d v="2008-10-09T14:44:16"/>
    <x v="0"/>
    <n v="6.1166666666666663"/>
    <n v="0"/>
  </r>
  <r>
    <n v="270"/>
    <x v="0"/>
    <s v="Iteration 13"/>
    <d v="2008-10-16T16:19:32"/>
    <x v="0"/>
    <n v="6.0972222222222223"/>
    <n v="0"/>
  </r>
  <r>
    <n v="273"/>
    <x v="48"/>
    <s v="Iteration 13"/>
    <d v="2008-10-30T12:58:45"/>
    <x v="0"/>
    <n v="6.0583333333333336"/>
    <n v="0"/>
  </r>
  <r>
    <n v="279"/>
    <x v="48"/>
    <s v="Iteration 14"/>
    <d v="2009-01-07T10:06:32"/>
    <x v="0"/>
    <n v="5.8722222222222218"/>
    <n v="0"/>
  </r>
  <r>
    <n v="280"/>
    <x v="0"/>
    <s v="Iteration 13"/>
    <d v="2008-10-30T14:15:30"/>
    <x v="0"/>
    <n v="6.0583333333333336"/>
    <n v="0"/>
  </r>
  <r>
    <n v="281"/>
    <x v="48"/>
    <s v="Iteration 13"/>
    <d v="2008-11-14T10:34:26"/>
    <x v="0"/>
    <n v="6.0194444444444448"/>
    <n v="0"/>
  </r>
  <r>
    <n v="285"/>
    <x v="0"/>
    <s v="Iteration 13"/>
    <d v="2008-11-13T15:41:20"/>
    <x v="0"/>
    <n v="6.0222222222222221"/>
    <n v="0"/>
  </r>
  <r>
    <n v="297"/>
    <x v="0"/>
    <s v="Iteration 13"/>
    <d v="2008-11-17T16:31:57"/>
    <x v="0"/>
    <n v="6.0111111111111111"/>
    <n v="0"/>
  </r>
  <r>
    <n v="305"/>
    <x v="48"/>
    <s v="Iteration 14"/>
    <d v="2008-12-09T09:15:59"/>
    <x v="0"/>
    <n v="5.95"/>
    <n v="0"/>
  </r>
  <r>
    <n v="315"/>
    <x v="1"/>
    <s v="Iteration 14"/>
    <d v="2009-01-09T12:58:03"/>
    <x v="0"/>
    <n v="5.8666666666666663"/>
    <n v="0"/>
  </r>
  <r>
    <n v="344"/>
    <x v="48"/>
    <s v="Iteration 15"/>
    <d v="2009-01-09T13:57:57"/>
    <x v="0"/>
    <n v="5.8666666666666663"/>
    <n v="0"/>
  </r>
  <r>
    <n v="345"/>
    <x v="48"/>
    <s v="Iteration 15"/>
    <d v="2009-01-13T10:12:28"/>
    <x v="0"/>
    <n v="5.8555555555555552"/>
    <n v="0"/>
  </r>
  <r>
    <n v="346"/>
    <x v="48"/>
    <s v="Iteration 15"/>
    <d v="2009-01-09T14:50:09"/>
    <x v="0"/>
    <n v="5.8666666666666663"/>
    <n v="0"/>
  </r>
  <r>
    <n v="347"/>
    <x v="4"/>
    <s v="Iteration 15"/>
    <d v="2009-01-16T09:25:41"/>
    <x v="0"/>
    <n v="5.8472222222222223"/>
    <n v="0"/>
  </r>
  <r>
    <n v="348"/>
    <x v="3"/>
    <s v="Iteration 15"/>
    <d v="2009-02-10T14:40:47"/>
    <x v="0"/>
    <n v="5.7805555555555559"/>
    <n v="0"/>
  </r>
  <r>
    <n v="349"/>
    <x v="48"/>
    <s v="Iteration 15"/>
    <d v="2009-01-11T20:05:09"/>
    <x v="0"/>
    <n v="5.8611111111111107"/>
    <n v="0"/>
  </r>
  <r>
    <n v="350"/>
    <x v="48"/>
    <s v="Iteration 15"/>
    <d v="2009-01-12T09:46:44"/>
    <x v="0"/>
    <n v="5.8583333333333334"/>
    <n v="0"/>
  </r>
  <r>
    <n v="353"/>
    <x v="48"/>
    <s v="Iteration 15"/>
    <d v="2009-01-13T10:01:41"/>
    <x v="0"/>
    <n v="5.8555555555555552"/>
    <n v="0"/>
  </r>
  <r>
    <n v="378"/>
    <x v="3"/>
    <s v="Iteration 15"/>
    <d v="2009-02-09T11:14:54"/>
    <x v="0"/>
    <n v="5.7833333333333332"/>
    <n v="0"/>
  </r>
  <r>
    <n v="384"/>
    <x v="3"/>
    <s v="Iteration 15"/>
    <d v="2009-02-09T14:56:33"/>
    <x v="0"/>
    <n v="5.7833333333333332"/>
    <n v="0"/>
  </r>
  <r>
    <n v="403"/>
    <x v="48"/>
    <s v="Iteration 15"/>
    <d v="2009-02-10T16:26:56"/>
    <x v="0"/>
    <n v="5.7805555555555559"/>
    <n v="0"/>
  </r>
  <r>
    <n v="405"/>
    <x v="0"/>
    <s v="Iteration 16"/>
    <d v="2009-02-27T13:50:37"/>
    <x v="0"/>
    <n v="5.7333333333333334"/>
    <n v="0"/>
  </r>
  <r>
    <n v="412"/>
    <x v="48"/>
    <s v="Iteration 15"/>
    <d v="2009-02-16T13:23:06"/>
    <x v="0"/>
    <n v="5.7638888888888893"/>
    <n v="0"/>
  </r>
  <r>
    <n v="440"/>
    <x v="3"/>
    <s v="Iteration 16"/>
    <d v="2009-03-12T16:50:33"/>
    <x v="0"/>
    <n v="5.6916666666666664"/>
    <n v="0"/>
  </r>
  <r>
    <n v="447"/>
    <x v="4"/>
    <s v="Iteration 26"/>
    <d v="2010-12-15T20:34:14"/>
    <x v="19"/>
    <n v="3.9333333333333331"/>
    <n v="0"/>
  </r>
  <r>
    <n v="460"/>
    <x v="14"/>
    <s v="Release 2.4"/>
    <d v="2013-01-30T13:40:04"/>
    <x v="2"/>
    <n v="1.8083333333333333"/>
    <n v="0"/>
  </r>
  <r>
    <n v="481"/>
    <x v="48"/>
    <s v="Iteration 16"/>
    <d v="2009-04-16T14:13:02"/>
    <x v="0"/>
    <n v="5.5972222222222223"/>
    <n v="0"/>
  </r>
  <r>
    <n v="482"/>
    <x v="3"/>
    <s v="Iteration 19"/>
    <d v="2009-08-18T08:41:30"/>
    <x v="0"/>
    <n v="5.2583333333333337"/>
    <n v="0"/>
  </r>
  <r>
    <n v="486"/>
    <x v="0"/>
    <s v="Iteration 16"/>
    <d v="2009-04-16T14:14:04"/>
    <x v="0"/>
    <n v="5.5972222222222223"/>
    <n v="0"/>
  </r>
  <r>
    <n v="500"/>
    <x v="0"/>
    <s v="Iteration 16"/>
    <d v="2009-04-16T14:09:45"/>
    <x v="0"/>
    <n v="5.5972222222222223"/>
    <n v="0"/>
  </r>
  <r>
    <n v="502"/>
    <x v="3"/>
    <s v="Iteration 16"/>
    <d v="2009-03-11T12:58:13"/>
    <x v="0"/>
    <n v="5.6944444444444446"/>
    <n v="0"/>
  </r>
  <r>
    <n v="507"/>
    <x v="48"/>
    <s v="Iteration 16"/>
    <d v="2009-03-13T15:09:10"/>
    <x v="0"/>
    <n v="5.6888888888888891"/>
    <n v="0"/>
  </r>
  <r>
    <n v="514"/>
    <x v="3"/>
    <s v="Iteration 16"/>
    <d v="2009-03-26T11:05:44"/>
    <x v="0"/>
    <n v="5.6527777777777777"/>
    <n v="0"/>
  </r>
  <r>
    <n v="534"/>
    <x v="40"/>
    <s v="Iteration 16"/>
    <d v="2009-04-09T10:49:09"/>
    <x v="0"/>
    <n v="5.6166666666666663"/>
    <n v="0"/>
  </r>
  <r>
    <n v="538"/>
    <x v="3"/>
    <s v="Iteration 18"/>
    <d v="2009-06-02T15:41:59"/>
    <x v="0"/>
    <n v="5.4694444444444441"/>
    <n v="0"/>
  </r>
  <r>
    <n v="551"/>
    <x v="36"/>
    <s v="Iteration 17"/>
    <d v="2009-04-20T17:47:09"/>
    <x v="0"/>
    <n v="5.5861111111111112"/>
    <n v="0"/>
  </r>
  <r>
    <n v="553"/>
    <x v="0"/>
    <s v="Iteration 17"/>
    <d v="2009-04-21T12:34:04"/>
    <x v="0"/>
    <n v="5.583333333333333"/>
    <n v="0"/>
  </r>
  <r>
    <n v="584"/>
    <x v="5"/>
    <s v="Iteration 19"/>
    <d v="2009-09-23T14:29:38"/>
    <x v="0"/>
    <n v="5.1611111111111114"/>
    <n v="0"/>
  </r>
  <r>
    <n v="590"/>
    <x v="7"/>
    <s v="Iteration 19"/>
    <d v="2009-08-27T16:05:27"/>
    <x v="0"/>
    <n v="5.2333333333333334"/>
    <n v="0"/>
  </r>
  <r>
    <n v="607"/>
    <x v="4"/>
    <s v="Iteration 18"/>
    <d v="2009-07-01T15:43:45"/>
    <x v="0"/>
    <n v="5.3888888888888893"/>
    <n v="0"/>
  </r>
  <r>
    <n v="623"/>
    <x v="5"/>
    <s v="Iteration 18"/>
    <d v="2009-07-31T14:39:39"/>
    <x v="0"/>
    <n v="5.3083333333333336"/>
    <n v="0"/>
  </r>
  <r>
    <n v="624"/>
    <x v="0"/>
    <s v="Iteration 19"/>
    <d v="2009-08-07T09:48:37"/>
    <x v="0"/>
    <n v="5.2888888888888888"/>
    <n v="0"/>
  </r>
  <r>
    <n v="625"/>
    <x v="36"/>
    <s v="Iteration 20"/>
    <d v="2009-11-06T14:23:19"/>
    <x v="0"/>
    <n v="5.041666666666667"/>
    <n v="0"/>
  </r>
  <r>
    <n v="630"/>
    <x v="0"/>
    <s v="Iteration 18"/>
    <d v="2009-06-04T10:46:09"/>
    <x v="0"/>
    <n v="5.4638888888888886"/>
    <n v="0"/>
  </r>
  <r>
    <n v="635"/>
    <x v="5"/>
    <s v="Iteration 18"/>
    <d v="2009-06-23T09:06:55"/>
    <x v="0"/>
    <n v="5.4111111111111114"/>
    <n v="0"/>
  </r>
  <r>
    <n v="637"/>
    <x v="48"/>
    <s v="Iteration 18"/>
    <d v="2009-06-09T13:22:15"/>
    <x v="0"/>
    <n v="5.45"/>
    <n v="0"/>
  </r>
  <r>
    <n v="638"/>
    <x v="0"/>
    <s v="Iteration 18"/>
    <d v="2009-06-10T12:52:48"/>
    <x v="0"/>
    <n v="5.447222222222222"/>
    <n v="0"/>
  </r>
  <r>
    <n v="649"/>
    <x v="48"/>
    <s v="Iteration 18"/>
    <d v="2009-06-22T17:03:33"/>
    <x v="0"/>
    <n v="5.4138888888888888"/>
    <n v="0"/>
  </r>
  <r>
    <n v="650"/>
    <x v="3"/>
    <s v="Iteration 22"/>
    <d v="2010-04-06T10:16:50"/>
    <x v="0"/>
    <n v="4.625"/>
    <n v="0"/>
  </r>
  <r>
    <n v="653"/>
    <x v="1"/>
    <s v="Iteration 18"/>
    <d v="2009-06-14T16:38:01"/>
    <x v="0"/>
    <n v="5.4361111111111109"/>
    <n v="0"/>
  </r>
  <r>
    <n v="666"/>
    <x v="3"/>
    <s v="Iteration 18"/>
    <d v="2009-07-16T14:24:26"/>
    <x v="0"/>
    <n v="5.3472222222222223"/>
    <n v="0"/>
  </r>
  <r>
    <n v="670"/>
    <x v="3"/>
    <s v="Iteration 18"/>
    <d v="2009-07-13T09:30:42"/>
    <x v="0"/>
    <n v="5.3555555555555552"/>
    <n v="0"/>
  </r>
  <r>
    <n v="672"/>
    <x v="5"/>
    <s v="Iteration 18"/>
    <d v="2009-06-25T14:48:59"/>
    <x v="0"/>
    <n v="5.4055555555555559"/>
    <n v="0"/>
  </r>
  <r>
    <n v="673"/>
    <x v="4"/>
    <s v="Iteration 18"/>
    <d v="2009-06-25T11:42:14"/>
    <x v="0"/>
    <n v="5.4055555555555559"/>
    <n v="0"/>
  </r>
  <r>
    <n v="675"/>
    <x v="3"/>
    <s v="Iteration 18"/>
    <d v="2009-07-20T17:09:45"/>
    <x v="0"/>
    <n v="5.3361111111111112"/>
    <n v="0"/>
  </r>
  <r>
    <n v="682"/>
    <x v="3"/>
    <s v="Iteration 18"/>
    <d v="2009-07-29T09:58:08"/>
    <x v="0"/>
    <n v="5.3111111111111109"/>
    <n v="0"/>
  </r>
  <r>
    <n v="684"/>
    <x v="48"/>
    <s v="Iteration 18"/>
    <d v="2009-06-19T17:10:37"/>
    <x v="0"/>
    <n v="5.4222222222222225"/>
    <n v="0"/>
  </r>
  <r>
    <n v="689"/>
    <x v="4"/>
    <s v="Iteration 20"/>
    <d v="2009-06-24T16:13:36"/>
    <x v="0"/>
    <n v="5.4083333333333332"/>
    <n v="0"/>
  </r>
  <r>
    <n v="704"/>
    <x v="3"/>
    <s v="Iteration 18"/>
    <d v="2009-07-20T10:54:28"/>
    <x v="0"/>
    <n v="5.3361111111111112"/>
    <n v="0"/>
  </r>
  <r>
    <n v="705"/>
    <x v="3"/>
    <s v="Iteration 18"/>
    <d v="2009-07-17T10:17:01"/>
    <x v="0"/>
    <n v="5.3444444444444441"/>
    <n v="0"/>
  </r>
  <r>
    <n v="707"/>
    <x v="5"/>
    <s v="Iteration 19"/>
    <d v="2009-09-29T10:14:19"/>
    <x v="0"/>
    <n v="5.1444444444444448"/>
    <n v="0"/>
  </r>
  <r>
    <n v="711"/>
    <x v="3"/>
    <s v="Iteration 18"/>
    <d v="2009-07-13T09:27:31"/>
    <x v="0"/>
    <n v="5.3555555555555552"/>
    <n v="0"/>
  </r>
  <r>
    <n v="715"/>
    <x v="4"/>
    <s v="Iteration 18"/>
    <d v="2009-07-01T15:38:17"/>
    <x v="0"/>
    <n v="5.3888888888888893"/>
    <n v="0"/>
  </r>
  <r>
    <n v="723"/>
    <x v="48"/>
    <s v="Iteration 18"/>
    <d v="2009-07-13T08:45:54"/>
    <x v="0"/>
    <n v="5.3555555555555552"/>
    <n v="0"/>
  </r>
  <r>
    <n v="726"/>
    <x v="4"/>
    <s v="Iteration 18"/>
    <d v="2009-07-17T08:35:20"/>
    <x v="0"/>
    <n v="5.3444444444444441"/>
    <n v="0"/>
  </r>
  <r>
    <n v="734"/>
    <x v="3"/>
    <s v="Iteration 18"/>
    <d v="2009-07-17T14:29:26"/>
    <x v="0"/>
    <n v="5.3444444444444441"/>
    <n v="0"/>
  </r>
  <r>
    <n v="747"/>
    <x v="3"/>
    <s v="Iteration 20"/>
    <d v="2009-10-05T14:27:33"/>
    <x v="0"/>
    <n v="5.1277777777777782"/>
    <n v="0"/>
  </r>
  <r>
    <n v="756"/>
    <x v="3"/>
    <s v="Iteration 18"/>
    <d v="2009-07-29T09:56:56"/>
    <x v="0"/>
    <n v="5.3111111111111109"/>
    <n v="0"/>
  </r>
  <r>
    <n v="764"/>
    <x v="2"/>
    <s v="Iteration 18"/>
    <d v="2009-07-21T13:26:52"/>
    <x v="0"/>
    <n v="5.333333333333333"/>
    <n v="0"/>
  </r>
  <r>
    <n v="775"/>
    <x v="3"/>
    <s v="Iteration 24"/>
    <d v="2010-08-25T19:38:56"/>
    <x v="19"/>
    <n v="4.2388888888888889"/>
    <n v="0"/>
  </r>
  <r>
    <n v="786"/>
    <x v="1"/>
    <s v="Iteration 18"/>
    <d v="2009-07-31T14:39:39"/>
    <x v="0"/>
    <n v="5.3083333333333336"/>
    <n v="0"/>
  </r>
  <r>
    <n v="788"/>
    <x v="3"/>
    <s v="Iteration 18"/>
    <d v="2009-07-30T15:19:11"/>
    <x v="0"/>
    <n v="5.3083333333333336"/>
    <n v="0"/>
  </r>
  <r>
    <n v="849"/>
    <x v="4"/>
    <s v="Iteration 19"/>
    <d v="2009-09-25T12:19:28"/>
    <x v="0"/>
    <n v="5.1555555555555559"/>
    <n v="0"/>
  </r>
  <r>
    <n v="870"/>
    <x v="3"/>
    <s v="Iteration 25"/>
    <d v="2010-11-02T15:07:37"/>
    <x v="23"/>
    <n v="4.052777777777778"/>
    <n v="0"/>
  </r>
  <r>
    <n v="887"/>
    <x v="9"/>
    <s v="Iteration 28"/>
    <d v="2011-04-27T19:33:36"/>
    <x v="19"/>
    <n v="3.5666666666666669"/>
    <n v="0"/>
  </r>
  <r>
    <n v="917"/>
    <x v="3"/>
    <s v="Iteration 29"/>
    <d v="2011-06-27T10:21:38"/>
    <x v="11"/>
    <n v="3.4"/>
    <n v="0"/>
  </r>
  <r>
    <n v="930"/>
    <x v="0"/>
    <s v="Iteration 21"/>
    <d v="2010-02-08T14:16:01"/>
    <x v="0"/>
    <n v="4.7861111111111114"/>
    <n v="0"/>
  </r>
  <r>
    <n v="932"/>
    <x v="5"/>
    <s v="Iteration 22"/>
    <d v="2010-04-06T09:38:10"/>
    <x v="0"/>
    <n v="4.625"/>
    <n v="0"/>
  </r>
  <r>
    <n v="937"/>
    <x v="6"/>
    <s v="Iteration 20"/>
    <d v="2009-10-07T11:04:55"/>
    <x v="0"/>
    <n v="5.1222222222222218"/>
    <n v="0"/>
  </r>
  <r>
    <n v="953"/>
    <x v="17"/>
    <s v="Iteration 30"/>
    <d v="2011-09-19T12:16:47"/>
    <x v="11"/>
    <n v="3.1722222222222221"/>
    <n v="0"/>
  </r>
  <r>
    <n v="962"/>
    <x v="3"/>
    <s v="Iteration 20"/>
    <d v="2009-11-25T14:27:31"/>
    <x v="0"/>
    <n v="4.9888888888888889"/>
    <n v="0"/>
  </r>
  <r>
    <n v="984"/>
    <x v="4"/>
    <s v="Iteration 22"/>
    <d v="2010-04-06T13:34:33"/>
    <x v="0"/>
    <n v="4.625"/>
    <n v="0"/>
  </r>
  <r>
    <n v="998"/>
    <x v="17"/>
    <s v="Release 2.0"/>
    <d v="2012-01-10T18:38:12"/>
    <x v="36"/>
    <n v="2.8638888888888889"/>
    <n v="0"/>
  </r>
  <r>
    <n v="1021"/>
    <x v="4"/>
    <s v="Iteration 21"/>
    <d v="2010-02-08T17:08:16"/>
    <x v="0"/>
    <n v="4.7861111111111114"/>
    <n v="0"/>
  </r>
  <r>
    <n v="1035"/>
    <x v="4"/>
    <s v="Iteration 21"/>
    <d v="2010-02-08T17:35:11"/>
    <x v="0"/>
    <n v="4.7861111111111114"/>
    <n v="0"/>
  </r>
  <r>
    <n v="1039"/>
    <x v="12"/>
    <s v="Release 2.0"/>
    <d v="2012-01-11T16:30:53"/>
    <x v="35"/>
    <n v="2.8611111111111112"/>
    <n v="0"/>
  </r>
  <r>
    <n v="1068"/>
    <x v="14"/>
    <s v="Release 2.2"/>
    <d v="2012-08-08T18:38:20"/>
    <x v="16"/>
    <n v="2.286111111111111"/>
    <n v="0"/>
  </r>
  <r>
    <n v="1084"/>
    <x v="0"/>
    <s v="Iteration 21"/>
    <d v="2010-02-08T11:50:50"/>
    <x v="0"/>
    <n v="4.7861111111111114"/>
    <n v="0"/>
  </r>
  <r>
    <n v="1092"/>
    <x v="4"/>
    <s v="Iteration 25"/>
    <d v="2010-11-02T15:19:04"/>
    <x v="6"/>
    <n v="4.052777777777778"/>
    <n v="0"/>
  </r>
  <r>
    <n v="1095"/>
    <x v="4"/>
    <s v="Iteration 24"/>
    <d v="2010-08-25T15:18:17"/>
    <x v="6"/>
    <n v="4.2388888888888889"/>
    <n v="0"/>
  </r>
  <r>
    <n v="1111"/>
    <x v="6"/>
    <s v="Iteration 23"/>
    <d v="2010-06-11T09:20:14"/>
    <x v="0"/>
    <n v="4.4444444444444446"/>
    <n v="0"/>
  </r>
  <r>
    <n v="1116"/>
    <x v="7"/>
    <s v="Iteration 22"/>
    <d v="2010-04-06T13:42:26"/>
    <x v="0"/>
    <n v="4.625"/>
    <n v="0"/>
  </r>
  <r>
    <n v="1120"/>
    <x v="3"/>
    <s v="Iteration 23"/>
    <d v="2010-06-11T11:59:00"/>
    <x v="0"/>
    <n v="4.4444444444444446"/>
    <n v="0"/>
  </r>
  <r>
    <n v="1130"/>
    <x v="0"/>
    <s v="Iteration 22"/>
    <d v="2010-03-30T10:20:18"/>
    <x v="0"/>
    <n v="4.6416666666666666"/>
    <n v="0"/>
  </r>
  <r>
    <n v="1144"/>
    <x v="0"/>
    <s v="Iteration 22"/>
    <d v="2010-03-30T10:48:35"/>
    <x v="0"/>
    <n v="4.6416666666666666"/>
    <n v="0"/>
  </r>
  <r>
    <n v="1159"/>
    <x v="0"/>
    <s v="Iteration 22"/>
    <d v="2010-03-30T11:43:39"/>
    <x v="0"/>
    <n v="4.6416666666666666"/>
    <n v="0"/>
  </r>
  <r>
    <n v="1161"/>
    <x v="0"/>
    <s v="Iteration 22"/>
    <d v="2010-03-30T14:52:20"/>
    <x v="0"/>
    <n v="4.6416666666666666"/>
    <n v="0"/>
  </r>
  <r>
    <n v="1162"/>
    <x v="6"/>
    <s v="Iteration 24"/>
    <d v="2010-08-26T17:54:42"/>
    <x v="4"/>
    <n v="4.2361111111111107"/>
    <n v="0"/>
  </r>
  <r>
    <n v="1167"/>
    <x v="0"/>
    <s v="Iteration 22"/>
    <d v="2010-04-06T10:11:47"/>
    <x v="0"/>
    <n v="4.625"/>
    <n v="0"/>
  </r>
  <r>
    <n v="1188"/>
    <x v="3"/>
    <s v="Iteration 22"/>
    <d v="2010-04-07T10:09:56"/>
    <x v="0"/>
    <n v="4.6222222222222218"/>
    <n v="0"/>
  </r>
  <r>
    <n v="1202"/>
    <x v="1"/>
    <s v="Iteration 23"/>
    <d v="2010-06-09T10:12:41"/>
    <x v="0"/>
    <n v="4.45"/>
    <n v="0"/>
  </r>
  <r>
    <n v="1219"/>
    <x v="0"/>
    <s v="Iteration 23"/>
    <d v="2010-06-11T08:59:01"/>
    <x v="0"/>
    <n v="4.4444444444444446"/>
    <n v="0"/>
  </r>
  <r>
    <n v="1281"/>
    <x v="0"/>
    <s v="Iteration 28"/>
    <d v="2011-04-28T19:58:15"/>
    <x v="19"/>
    <n v="3.5638888888888891"/>
    <n v="0"/>
  </r>
  <r>
    <n v="1297"/>
    <x v="12"/>
    <s v="Iteration 26"/>
    <d v="2010-12-14T17:00:15"/>
    <x v="6"/>
    <n v="3.9361111111111109"/>
    <n v="0"/>
  </r>
  <r>
    <n v="1301"/>
    <x v="11"/>
    <s v="Iteration 24"/>
    <d v="2010-08-26T11:36:34"/>
    <x v="6"/>
    <n v="4.2361111111111107"/>
    <n v="0"/>
  </r>
  <r>
    <n v="1302"/>
    <x v="11"/>
    <s v="Iteration 24"/>
    <d v="2010-08-25T15:33:55"/>
    <x v="19"/>
    <n v="4.2388888888888889"/>
    <n v="0"/>
  </r>
  <r>
    <n v="1305"/>
    <x v="3"/>
    <s v="Iteration 24"/>
    <d v="2010-08-25T20:00:26"/>
    <x v="19"/>
    <n v="4.2388888888888889"/>
    <n v="0"/>
  </r>
  <r>
    <n v="1320"/>
    <x v="15"/>
    <s v="Iteration 24"/>
    <d v="2010-08-24T22:48:04"/>
    <x v="19"/>
    <n v="4.2416666666666663"/>
    <n v="0"/>
  </r>
  <r>
    <n v="1324"/>
    <x v="11"/>
    <s v="Iteration 24"/>
    <d v="2010-08-25T15:32:55"/>
    <x v="6"/>
    <n v="4.2388888888888889"/>
    <n v="0"/>
  </r>
  <r>
    <n v="1331"/>
    <x v="9"/>
    <s v="Iteration 24"/>
    <d v="2010-08-26T09:29:54"/>
    <x v="13"/>
    <n v="4.2361111111111107"/>
    <n v="0"/>
  </r>
  <r>
    <n v="1349"/>
    <x v="10"/>
    <s v="Iteration 28"/>
    <d v="2011-04-27T12:32:03"/>
    <x v="6"/>
    <n v="3.5666666666666669"/>
    <n v="0"/>
  </r>
  <r>
    <n v="1355"/>
    <x v="3"/>
    <s v="Iteration 24"/>
    <d v="2010-08-24T13:00:35"/>
    <x v="6"/>
    <n v="4.2416666666666663"/>
    <n v="0"/>
  </r>
  <r>
    <n v="1360"/>
    <x v="12"/>
    <s v="Iteration 25"/>
    <d v="2010-11-03T17:40:20"/>
    <x v="5"/>
    <n v="4.05"/>
    <n v="0"/>
  </r>
  <r>
    <n v="1363"/>
    <x v="11"/>
    <s v="Iteration 24"/>
    <d v="2010-08-26T16:46:26"/>
    <x v="4"/>
    <n v="4.2361111111111107"/>
    <n v="0"/>
  </r>
  <r>
    <n v="1371"/>
    <x v="11"/>
    <s v="Iteration 24"/>
    <d v="2010-08-24T18:44:28"/>
    <x v="5"/>
    <n v="4.2416666666666663"/>
    <n v="0"/>
  </r>
  <r>
    <n v="1379"/>
    <x v="0"/>
    <s v="Iteration 24"/>
    <d v="2010-08-24T22:06:15"/>
    <x v="19"/>
    <n v="4.2416666666666663"/>
    <n v="0"/>
  </r>
  <r>
    <n v="1383"/>
    <x v="15"/>
    <s v="Iteration 24"/>
    <d v="2010-08-25T16:21:30"/>
    <x v="6"/>
    <n v="4.2388888888888889"/>
    <n v="0"/>
  </r>
  <r>
    <n v="1386"/>
    <x v="2"/>
    <s v="Iteration 25"/>
    <d v="2010-11-02T14:38:36"/>
    <x v="5"/>
    <n v="4.052777777777778"/>
    <n v="0"/>
  </r>
  <r>
    <n v="1397"/>
    <x v="15"/>
    <s v="Iteration 24"/>
    <d v="2010-08-26T01:08:21"/>
    <x v="7"/>
    <n v="4.2361111111111107"/>
    <n v="0"/>
  </r>
  <r>
    <n v="1410"/>
    <x v="11"/>
    <s v="Iteration 25"/>
    <d v="2010-11-02T16:17:26"/>
    <x v="19"/>
    <n v="4.052777777777778"/>
    <n v="0"/>
  </r>
  <r>
    <n v="1417"/>
    <x v="11"/>
    <s v="Iteration 24"/>
    <d v="2010-08-25T14:49:06"/>
    <x v="6"/>
    <n v="4.2388888888888889"/>
    <n v="0"/>
  </r>
  <r>
    <n v="1435"/>
    <x v="15"/>
    <s v="Iteration 26"/>
    <d v="2010-12-15T20:28:48"/>
    <x v="8"/>
    <n v="3.9333333333333331"/>
    <n v="0"/>
  </r>
  <r>
    <n v="1451"/>
    <x v="18"/>
    <s v="Iteration 24"/>
    <d v="2010-08-25T22:20:40"/>
    <x v="8"/>
    <n v="4.2388888888888889"/>
    <n v="0"/>
  </r>
  <r>
    <n v="1452"/>
    <x v="0"/>
    <s v="Iteration 24"/>
    <d v="2010-08-26T10:57:46"/>
    <x v="13"/>
    <n v="4.2361111111111107"/>
    <n v="0"/>
  </r>
  <r>
    <n v="1453"/>
    <x v="48"/>
    <s v="Iteration 24"/>
    <d v="2010-08-25T19:26:28"/>
    <x v="23"/>
    <n v="4.2388888888888889"/>
    <n v="0"/>
  </r>
  <r>
    <n v="1462"/>
    <x v="8"/>
    <s v="Iteration 25"/>
    <d v="2010-11-04T16:46:18"/>
    <x v="3"/>
    <n v="4.0472222222222225"/>
    <n v="0"/>
  </r>
  <r>
    <n v="1474"/>
    <x v="26"/>
    <s v="Iteration 25"/>
    <d v="2010-11-04T16:24:38"/>
    <x v="4"/>
    <n v="4.0472222222222225"/>
    <n v="0"/>
  </r>
  <r>
    <n v="1481"/>
    <x v="26"/>
    <s v="Iteration 24"/>
    <d v="2010-08-25T15:36:38"/>
    <x v="19"/>
    <n v="4.2388888888888889"/>
    <n v="0"/>
  </r>
  <r>
    <n v="1482"/>
    <x v="11"/>
    <s v="Iteration 24"/>
    <d v="2010-08-24T22:01:55"/>
    <x v="19"/>
    <n v="4.2416666666666663"/>
    <n v="0"/>
  </r>
  <r>
    <n v="1507"/>
    <x v="10"/>
    <s v="Iteration 24"/>
    <d v="2010-08-24T21:08:10"/>
    <x v="5"/>
    <n v="4.2416666666666663"/>
    <n v="0"/>
  </r>
  <r>
    <n v="1521"/>
    <x v="12"/>
    <s v="Iteration 25"/>
    <d v="2010-11-03T12:45:32"/>
    <x v="6"/>
    <n v="4.05"/>
    <n v="0"/>
  </r>
  <r>
    <n v="1523"/>
    <x v="0"/>
    <s v="Iteration 26"/>
    <d v="2010-12-15T13:49:40"/>
    <x v="6"/>
    <n v="3.9333333333333331"/>
    <n v="0"/>
  </r>
  <r>
    <n v="1530"/>
    <x v="5"/>
    <s v="Iteration 24"/>
    <d v="2010-08-26T11:20:14"/>
    <x v="6"/>
    <n v="4.2361111111111107"/>
    <n v="0"/>
  </r>
  <r>
    <n v="1539"/>
    <x v="4"/>
    <s v="Iteration 27"/>
    <d v="2011-02-16T11:28:01"/>
    <x v="2"/>
    <n v="3.7638888888888888"/>
    <n v="0"/>
  </r>
  <r>
    <n v="1542"/>
    <x v="10"/>
    <s v="Iteration 25"/>
    <d v="2010-11-03T15:06:43"/>
    <x v="6"/>
    <n v="4.05"/>
    <n v="0"/>
  </r>
  <r>
    <n v="1548"/>
    <x v="3"/>
    <s v="Release 2.1"/>
    <d v="2012-05-01T14:56:23"/>
    <x v="15"/>
    <n v="2.5555555555555554"/>
    <n v="0"/>
  </r>
  <r>
    <n v="1553"/>
    <x v="6"/>
    <s v="Iteration 25"/>
    <d v="2010-11-02T10:43:24"/>
    <x v="6"/>
    <n v="4.052777777777778"/>
    <n v="0"/>
  </r>
  <r>
    <n v="1557"/>
    <x v="15"/>
    <s v="Iteration 25"/>
    <d v="2010-11-02T13:47:02"/>
    <x v="5"/>
    <n v="4.052777777777778"/>
    <n v="0"/>
  </r>
  <r>
    <n v="1558"/>
    <x v="15"/>
    <s v="Iteration 24"/>
    <d v="2010-08-26T20:57:59"/>
    <x v="7"/>
    <n v="4.2361111111111107"/>
    <n v="0"/>
  </r>
  <r>
    <n v="1563"/>
    <x v="4"/>
    <s v="Iteration 26"/>
    <d v="2010-12-15T14:52:55"/>
    <x v="6"/>
    <n v="3.9333333333333331"/>
    <n v="0"/>
  </r>
  <r>
    <n v="1567"/>
    <x v="26"/>
    <s v="Iteration 25"/>
    <d v="2010-11-02T18:54:38"/>
    <x v="5"/>
    <n v="4.052777777777778"/>
    <n v="0"/>
  </r>
  <r>
    <n v="1569"/>
    <x v="5"/>
    <s v="Iteration 25"/>
    <d v="2010-11-02T14:48:59"/>
    <x v="7"/>
    <n v="4.052777777777778"/>
    <n v="0"/>
  </r>
  <r>
    <n v="1571"/>
    <x v="8"/>
    <s v="Iteration 26"/>
    <d v="2010-12-15T18:21:16"/>
    <x v="19"/>
    <n v="3.9333333333333331"/>
    <n v="0"/>
  </r>
  <r>
    <n v="1572"/>
    <x v="26"/>
    <s v="Iteration 25"/>
    <d v="2010-11-03T12:01:59"/>
    <x v="6"/>
    <n v="4.05"/>
    <n v="0"/>
  </r>
  <r>
    <n v="1577"/>
    <x v="21"/>
    <s v="Iteration 25"/>
    <d v="2010-11-02T12:57:27"/>
    <x v="6"/>
    <n v="4.052777777777778"/>
    <n v="0"/>
  </r>
  <r>
    <n v="1607"/>
    <x v="12"/>
    <s v="Iteration 25"/>
    <d v="2010-11-03T18:42:41"/>
    <x v="10"/>
    <n v="4.05"/>
    <n v="0"/>
  </r>
  <r>
    <n v="1631"/>
    <x v="16"/>
    <s v="Iteration 28"/>
    <d v="2011-04-28T19:01:30"/>
    <x v="19"/>
    <n v="3.5638888888888891"/>
    <n v="0"/>
  </r>
  <r>
    <n v="1632"/>
    <x v="16"/>
    <s v="Iteration 28"/>
    <d v="2011-05-02T15:36:44"/>
    <x v="5"/>
    <n v="3.5527777777777776"/>
    <n v="0"/>
  </r>
  <r>
    <n v="1654"/>
    <x v="8"/>
    <s v="Iteration 25"/>
    <d v="2010-11-03T15:43:28"/>
    <x v="6"/>
    <n v="4.05"/>
    <n v="0"/>
  </r>
  <r>
    <n v="1655"/>
    <x v="8"/>
    <s v="Iteration 25"/>
    <d v="2010-11-02T19:48:51"/>
    <x v="8"/>
    <n v="4.052777777777778"/>
    <n v="0"/>
  </r>
  <r>
    <n v="1676"/>
    <x v="8"/>
    <s v="Iteration 25"/>
    <d v="2010-11-02T15:47:26"/>
    <x v="8"/>
    <n v="4.052777777777778"/>
    <n v="0"/>
  </r>
  <r>
    <n v="1693"/>
    <x v="0"/>
    <s v="Iteration 26"/>
    <d v="2010-12-15T16:50:09"/>
    <x v="6"/>
    <n v="3.9333333333333331"/>
    <n v="0"/>
  </r>
  <r>
    <n v="1713"/>
    <x v="3"/>
    <s v="Iteration 26"/>
    <d v="2010-12-15T16:21:54"/>
    <x v="6"/>
    <n v="3.9333333333333331"/>
    <n v="0"/>
  </r>
  <r>
    <n v="1715"/>
    <x v="12"/>
    <s v="Iteration 26"/>
    <d v="2010-12-15T19:25:23"/>
    <x v="8"/>
    <n v="3.9333333333333331"/>
    <n v="0"/>
  </r>
  <r>
    <n v="1723"/>
    <x v="0"/>
    <s v="Iteration 26"/>
    <d v="2010-12-16T21:18:03"/>
    <x v="23"/>
    <n v="3.9305555555555554"/>
    <n v="0"/>
  </r>
  <r>
    <n v="1731"/>
    <x v="15"/>
    <s v="Iteration 30"/>
    <d v="2011-09-21T16:07:39"/>
    <x v="4"/>
    <n v="3.1666666666666665"/>
    <n v="0"/>
  </r>
  <r>
    <n v="1732"/>
    <x v="15"/>
    <s v="Iteration 30"/>
    <d v="2011-09-21T15:51:39"/>
    <x v="5"/>
    <n v="3.1666666666666665"/>
    <n v="0"/>
  </r>
  <r>
    <n v="1737"/>
    <x v="11"/>
    <s v="Iteration 26"/>
    <d v="2010-12-15T21:28:56"/>
    <x v="19"/>
    <n v="3.9333333333333331"/>
    <n v="0"/>
  </r>
  <r>
    <n v="1746"/>
    <x v="9"/>
    <s v="Iteration 25"/>
    <d v="2010-11-02T18:57:01"/>
    <x v="19"/>
    <n v="4.052777777777778"/>
    <n v="0"/>
  </r>
  <r>
    <n v="1756"/>
    <x v="21"/>
    <s v="Iteration 27"/>
    <d v="2011-02-16T21:38:00"/>
    <x v="7"/>
    <n v="3.7638888888888888"/>
    <n v="0"/>
  </r>
  <r>
    <n v="1765"/>
    <x v="21"/>
    <s v="Iteration 25"/>
    <d v="2010-11-02T19:03:19"/>
    <x v="19"/>
    <n v="4.052777777777778"/>
    <n v="0"/>
  </r>
  <r>
    <n v="1770"/>
    <x v="12"/>
    <s v="Iteration 28"/>
    <d v="2011-05-02T16:07:54"/>
    <x v="9"/>
    <n v="3.5527777777777776"/>
    <n v="0"/>
  </r>
  <r>
    <n v="1771"/>
    <x v="12"/>
    <s v="Iteration 27"/>
    <d v="2011-02-15T15:42:29"/>
    <x v="6"/>
    <n v="3.7666666666666666"/>
    <n v="0"/>
  </r>
  <r>
    <n v="1782"/>
    <x v="0"/>
    <s v="Iteration 25"/>
    <d v="2010-11-04T14:52:53"/>
    <x v="13"/>
    <n v="4.0472222222222225"/>
    <n v="0"/>
  </r>
  <r>
    <n v="1783"/>
    <x v="11"/>
    <s v="Iteration 25"/>
    <d v="2010-11-04T14:10:08"/>
    <x v="5"/>
    <n v="4.0472222222222225"/>
    <n v="0"/>
  </r>
  <r>
    <n v="1793"/>
    <x v="16"/>
    <s v="Iteration 26"/>
    <d v="2010-12-15T12:56:32"/>
    <x v="6"/>
    <n v="3.9333333333333331"/>
    <n v="0"/>
  </r>
  <r>
    <n v="1805"/>
    <x v="4"/>
    <s v="Iteration 26"/>
    <d v="2010-12-16T09:04:25"/>
    <x v="13"/>
    <n v="3.9305555555555554"/>
    <n v="0"/>
  </r>
  <r>
    <n v="1807"/>
    <x v="24"/>
    <s v="Release 3.0"/>
    <d v="2013-10-31T09:28:05"/>
    <x v="27"/>
    <n v="1.0583333333333333"/>
    <n v="0"/>
  </r>
  <r>
    <n v="1810"/>
    <x v="9"/>
    <s v="Iteration 26"/>
    <d v="2010-12-16T19:21:31"/>
    <x v="7"/>
    <n v="3.9305555555555554"/>
    <n v="0"/>
  </r>
  <r>
    <n v="1814"/>
    <x v="6"/>
    <s v="Iteration 25"/>
    <d v="2010-11-03T12:09:17"/>
    <x v="6"/>
    <n v="4.05"/>
    <n v="0"/>
  </r>
  <r>
    <n v="1815"/>
    <x v="12"/>
    <s v="Iteration 28"/>
    <d v="2011-05-02T18:45:34"/>
    <x v="7"/>
    <n v="3.5527777777777776"/>
    <n v="0"/>
  </r>
  <r>
    <n v="1821"/>
    <x v="4"/>
    <s v="Iteration 26"/>
    <d v="2010-12-15T18:23:25"/>
    <x v="19"/>
    <n v="3.9333333333333331"/>
    <n v="0"/>
  </r>
  <r>
    <n v="1823"/>
    <x v="9"/>
    <s v="Iteration 26"/>
    <d v="2010-12-17T15:56:53"/>
    <x v="8"/>
    <n v="3.9277777777777776"/>
    <n v="0"/>
  </r>
  <r>
    <n v="1833"/>
    <x v="0"/>
    <s v="Iteration 28"/>
    <d v="2011-04-27T10:48:06"/>
    <x v="6"/>
    <n v="3.5666666666666669"/>
    <n v="0"/>
  </r>
  <r>
    <n v="1834"/>
    <x v="0"/>
    <s v="Iteration 27"/>
    <d v="2011-02-16T16:19:56"/>
    <x v="2"/>
    <n v="3.7638888888888888"/>
    <n v="0"/>
  </r>
  <r>
    <n v="1842"/>
    <x v="0"/>
    <s v="Iteration 26"/>
    <d v="2010-12-15T14:14:15"/>
    <x v="11"/>
    <n v="3.9333333333333331"/>
    <n v="0"/>
  </r>
  <r>
    <n v="1844"/>
    <x v="12"/>
    <s v="Iteration 26"/>
    <d v="2010-12-15T14:15:13"/>
    <x v="11"/>
    <n v="3.9333333333333331"/>
    <n v="0"/>
  </r>
  <r>
    <n v="1846"/>
    <x v="12"/>
    <s v="Iteration 25"/>
    <d v="2010-11-04T18:08:59"/>
    <x v="3"/>
    <n v="4.0472222222222225"/>
    <n v="0"/>
  </r>
  <r>
    <n v="1850"/>
    <x v="0"/>
    <s v="Iteration 26"/>
    <d v="2010-12-14T15:59:20"/>
    <x v="6"/>
    <n v="3.9361111111111109"/>
    <n v="0"/>
  </r>
  <r>
    <n v="1857"/>
    <x v="0"/>
    <s v="Iteration 28"/>
    <d v="2011-04-28T02:34:24"/>
    <x v="8"/>
    <n v="3.5638888888888891"/>
    <n v="0"/>
  </r>
  <r>
    <n v="1869"/>
    <x v="8"/>
    <s v="Iteration 26"/>
    <d v="2010-12-15T15:19:56"/>
    <x v="6"/>
    <n v="3.9333333333333331"/>
    <n v="0"/>
  </r>
  <r>
    <n v="1870"/>
    <x v="15"/>
    <s v="Iteration 26"/>
    <d v="2010-12-16T12:53:40"/>
    <x v="6"/>
    <n v="3.9305555555555554"/>
    <n v="0"/>
  </r>
  <r>
    <n v="1875"/>
    <x v="11"/>
    <s v="Iteration 26"/>
    <d v="2010-12-15T15:45:34"/>
    <x v="10"/>
    <n v="3.9333333333333331"/>
    <n v="0"/>
  </r>
  <r>
    <n v="1882"/>
    <x v="11"/>
    <s v="Iteration 26"/>
    <d v="2010-12-16T15:18:41"/>
    <x v="6"/>
    <n v="3.9305555555555554"/>
    <n v="0"/>
  </r>
  <r>
    <n v="1883"/>
    <x v="0"/>
    <s v="Iteration 26"/>
    <d v="2010-12-14T16:34:52"/>
    <x v="6"/>
    <n v="3.9361111111111109"/>
    <n v="0"/>
  </r>
  <r>
    <n v="1894"/>
    <x v="0"/>
    <s v="Iteration 28"/>
    <d v="2011-05-02T05:14:51"/>
    <x v="9"/>
    <n v="3.5527777777777776"/>
    <n v="0"/>
  </r>
  <r>
    <n v="1895"/>
    <x v="11"/>
    <s v="Iteration 26"/>
    <d v="2010-12-15T14:45:29"/>
    <x v="11"/>
    <n v="3.9333333333333331"/>
    <n v="0"/>
  </r>
  <r>
    <n v="1896"/>
    <x v="8"/>
    <s v="Iteration 26"/>
    <d v="2010-12-15T21:48:57"/>
    <x v="9"/>
    <n v="3.9333333333333331"/>
    <n v="0"/>
  </r>
  <r>
    <n v="1931"/>
    <x v="6"/>
    <s v="Iteration 27"/>
    <d v="2011-02-17T13:44:51"/>
    <x v="4"/>
    <n v="3.7611111111111111"/>
    <n v="0"/>
  </r>
  <r>
    <n v="1933"/>
    <x v="11"/>
    <s v="Iteration 27"/>
    <d v="2011-02-16T16:14:16"/>
    <x v="9"/>
    <n v="3.7638888888888888"/>
    <n v="0"/>
  </r>
  <r>
    <n v="1947"/>
    <x v="11"/>
    <s v="Iteration 26"/>
    <d v="2010-12-15T10:51:17"/>
    <x v="6"/>
    <n v="3.9333333333333331"/>
    <n v="0"/>
  </r>
  <r>
    <n v="1949"/>
    <x v="11"/>
    <s v="Iteration 26"/>
    <d v="2010-12-15T16:46:32"/>
    <x v="9"/>
    <n v="3.9333333333333331"/>
    <n v="0"/>
  </r>
  <r>
    <n v="1951"/>
    <x v="0"/>
    <s v="Iteration 26"/>
    <d v="2010-12-16T17:17:34"/>
    <x v="10"/>
    <n v="3.9305555555555554"/>
    <n v="0"/>
  </r>
  <r>
    <n v="1981"/>
    <x v="12"/>
    <s v="Iteration 26"/>
    <d v="2010-12-16T16:23:20"/>
    <x v="10"/>
    <n v="3.9305555555555554"/>
    <n v="0"/>
  </r>
  <r>
    <n v="1985"/>
    <x v="12"/>
    <s v="Iteration 26"/>
    <d v="2010-12-15T19:38:15"/>
    <x v="10"/>
    <n v="3.9333333333333331"/>
    <n v="0"/>
  </r>
  <r>
    <n v="1996"/>
    <x v="6"/>
    <s v="Iteration 27"/>
    <d v="2011-02-16T14:17:36"/>
    <x v="11"/>
    <n v="3.7638888888888888"/>
    <n v="0"/>
  </r>
  <r>
    <n v="2000"/>
    <x v="7"/>
    <s v="Iteration 26"/>
    <d v="2010-12-15T15:25:51"/>
    <x v="6"/>
    <n v="3.9333333333333331"/>
    <n v="0"/>
  </r>
  <r>
    <n v="2020"/>
    <x v="12"/>
    <s v="Iteration 26"/>
    <d v="2010-12-15T14:19:18"/>
    <x v="3"/>
    <n v="3.9333333333333331"/>
    <n v="0"/>
  </r>
  <r>
    <n v="2021"/>
    <x v="10"/>
    <s v="Iteration 26"/>
    <d v="2010-12-13T16:47:18"/>
    <x v="3"/>
    <n v="3.9388888888888891"/>
    <n v="0"/>
  </r>
  <r>
    <n v="2036"/>
    <x v="11"/>
    <s v="Iteration 26"/>
    <d v="2010-12-15T21:47:36"/>
    <x v="19"/>
    <n v="3.9333333333333331"/>
    <n v="0"/>
  </r>
  <r>
    <n v="2041"/>
    <x v="0"/>
    <s v="Iteration 30"/>
    <d v="2011-09-19T16:14:36"/>
    <x v="19"/>
    <n v="3.1722222222222221"/>
    <n v="0"/>
  </r>
  <r>
    <n v="2050"/>
    <x v="10"/>
    <s v="Iteration 27"/>
    <d v="2011-02-15T10:26:08"/>
    <x v="6"/>
    <n v="3.7666666666666666"/>
    <n v="0"/>
  </r>
  <r>
    <n v="2051"/>
    <x v="10"/>
    <s v="Iteration 28"/>
    <d v="2011-04-26T14:17:31"/>
    <x v="6"/>
    <n v="3.5694444444444446"/>
    <n v="0"/>
  </r>
  <r>
    <n v="2053"/>
    <x v="3"/>
    <s v="Release 2.1"/>
    <d v="2012-05-02T19:18:30"/>
    <x v="7"/>
    <n v="2.5527777777777776"/>
    <n v="0"/>
  </r>
  <r>
    <n v="2076"/>
    <x v="23"/>
    <s v="Iteration 29"/>
    <d v="2011-06-29T19:27:57"/>
    <x v="3"/>
    <n v="3.3944444444444444"/>
    <n v="0"/>
  </r>
  <r>
    <n v="2080"/>
    <x v="11"/>
    <s v="Iteration 27"/>
    <d v="2011-02-15T15:45:15"/>
    <x v="4"/>
    <n v="3.7666666666666666"/>
    <n v="0"/>
  </r>
  <r>
    <n v="2091"/>
    <x v="12"/>
    <s v="Iteration 27"/>
    <d v="2011-02-16T17:12:45"/>
    <x v="2"/>
    <n v="3.7638888888888888"/>
    <n v="0"/>
  </r>
  <r>
    <n v="2092"/>
    <x v="12"/>
    <s v="Iteration 27"/>
    <d v="2011-02-16T10:20:18"/>
    <x v="6"/>
    <n v="3.7638888888888888"/>
    <n v="0"/>
  </r>
  <r>
    <n v="2103"/>
    <x v="17"/>
    <s v="Release 2.0"/>
    <d v="2012-01-09T13:31:34"/>
    <x v="10"/>
    <n v="2.8666666666666667"/>
    <n v="0"/>
  </r>
  <r>
    <n v="2107"/>
    <x v="3"/>
    <s v="Release 2.5"/>
    <d v="2013-02-22T18:15:09"/>
    <x v="8"/>
    <n v="1.7472222222222222"/>
    <n v="0"/>
  </r>
  <r>
    <n v="2110"/>
    <x v="0"/>
    <s v="Iteration 27"/>
    <d v="2011-02-16T17:06:16"/>
    <x v="6"/>
    <n v="3.7638888888888888"/>
    <n v="0"/>
  </r>
  <r>
    <n v="2115"/>
    <x v="0"/>
    <s v="Iteration 27"/>
    <d v="2011-02-17T11:32:15"/>
    <x v="6"/>
    <n v="3.7611111111111111"/>
    <n v="0"/>
  </r>
  <r>
    <n v="2147"/>
    <x v="7"/>
    <s v="Iteration 28"/>
    <d v="2011-04-28T15:42:27"/>
    <x v="6"/>
    <n v="3.5638888888888891"/>
    <n v="0"/>
  </r>
  <r>
    <n v="2151"/>
    <x v="9"/>
    <s v="Iteration 27"/>
    <d v="2011-02-16T21:33:49"/>
    <x v="7"/>
    <n v="3.7638888888888888"/>
    <n v="0"/>
  </r>
  <r>
    <n v="2152"/>
    <x v="7"/>
    <s v="Iteration 27"/>
    <d v="2011-02-16T15:57:37"/>
    <x v="34"/>
    <n v="3.7638888888888888"/>
    <n v="0"/>
  </r>
  <r>
    <n v="2171"/>
    <x v="0"/>
    <s v="Iteration 27"/>
    <d v="2011-02-16T13:33:46"/>
    <x v="2"/>
    <n v="3.7638888888888888"/>
    <n v="0"/>
  </r>
  <r>
    <n v="2173"/>
    <x v="15"/>
    <s v="Iteration 27"/>
    <d v="2011-02-17T14:55:01"/>
    <x v="19"/>
    <n v="3.7611111111111111"/>
    <n v="0"/>
  </r>
  <r>
    <n v="2181"/>
    <x v="11"/>
    <s v="Iteration 27"/>
    <d v="2011-02-15T10:54:51"/>
    <x v="6"/>
    <n v="3.7666666666666666"/>
    <n v="0"/>
  </r>
  <r>
    <n v="2182"/>
    <x v="14"/>
    <s v="Iteration 27"/>
    <d v="2011-02-16T12:14:39"/>
    <x v="6"/>
    <n v="3.7638888888888888"/>
    <n v="0"/>
  </r>
  <r>
    <n v="2188"/>
    <x v="15"/>
    <s v="Iteration 27"/>
    <d v="2011-02-16T16:45:55"/>
    <x v="6"/>
    <n v="3.7638888888888888"/>
    <n v="0"/>
  </r>
  <r>
    <n v="2190"/>
    <x v="12"/>
    <s v="Iteration 27"/>
    <d v="2011-02-17T13:18:05"/>
    <x v="10"/>
    <n v="3.7611111111111111"/>
    <n v="0"/>
  </r>
  <r>
    <n v="2203"/>
    <x v="15"/>
    <s v="Iteration 27"/>
    <d v="2011-02-15T11:25:49"/>
    <x v="6"/>
    <n v="3.7666666666666666"/>
    <n v="0"/>
  </r>
  <r>
    <n v="2204"/>
    <x v="12"/>
    <s v="Iteration 27"/>
    <d v="2011-02-16T11:44:38"/>
    <x v="6"/>
    <n v="3.7638888888888888"/>
    <n v="0"/>
  </r>
  <r>
    <n v="2228"/>
    <x v="12"/>
    <s v="Iteration 27"/>
    <d v="2011-02-16T12:59:05"/>
    <x v="6"/>
    <n v="3.7638888888888888"/>
    <n v="0"/>
  </r>
  <r>
    <n v="2236"/>
    <x v="12"/>
    <s v="Iteration 27"/>
    <d v="2011-02-17T13:19:09"/>
    <x v="10"/>
    <n v="3.7611111111111111"/>
    <n v="0"/>
  </r>
  <r>
    <n v="2241"/>
    <x v="9"/>
    <s v="Iteration 27"/>
    <d v="2011-02-16T18:29:17"/>
    <x v="9"/>
    <n v="3.7638888888888888"/>
    <n v="0"/>
  </r>
  <r>
    <n v="2246"/>
    <x v="0"/>
    <s v="Iteration 28"/>
    <d v="2011-05-02T19:31:04"/>
    <x v="5"/>
    <n v="3.5527777777777776"/>
    <n v="0"/>
  </r>
  <r>
    <n v="2253"/>
    <x v="21"/>
    <s v="Iteration 27"/>
    <d v="2011-02-16T21:27:08"/>
    <x v="7"/>
    <n v="3.7638888888888888"/>
    <n v="0"/>
  </r>
  <r>
    <n v="2273"/>
    <x v="9"/>
    <s v="Iteration 27"/>
    <d v="2011-02-17T15:58:41"/>
    <x v="9"/>
    <n v="3.7611111111111111"/>
    <n v="0"/>
  </r>
  <r>
    <n v="2281"/>
    <x v="11"/>
    <s v="Iteration 27"/>
    <d v="2011-02-16T10:53:07"/>
    <x v="4"/>
    <n v="3.7638888888888888"/>
    <n v="0"/>
  </r>
  <r>
    <n v="2282"/>
    <x v="11"/>
    <s v="Iteration 27"/>
    <d v="2011-02-16T20:06:32"/>
    <x v="10"/>
    <n v="3.7638888888888888"/>
    <n v="0"/>
  </r>
  <r>
    <n v="2296"/>
    <x v="11"/>
    <s v="Iteration 27"/>
    <d v="2011-02-15T15:29:03"/>
    <x v="19"/>
    <n v="3.7666666666666666"/>
    <n v="0"/>
  </r>
  <r>
    <n v="2297"/>
    <x v="11"/>
    <s v="Iteration 28"/>
    <d v="2011-04-27T20:01:40"/>
    <x v="19"/>
    <n v="3.5666666666666669"/>
    <n v="0"/>
  </r>
  <r>
    <n v="2324"/>
    <x v="12"/>
    <s v="Iteration 27"/>
    <d v="2011-02-16T12:20:33"/>
    <x v="6"/>
    <n v="3.7638888888888888"/>
    <n v="0"/>
  </r>
  <r>
    <n v="2335"/>
    <x v="12"/>
    <s v="Iteration 27"/>
    <d v="2011-02-16T12:38:55"/>
    <x v="6"/>
    <n v="3.7638888888888888"/>
    <n v="0"/>
  </r>
  <r>
    <n v="2345"/>
    <x v="3"/>
    <s v="Iteration 29"/>
    <d v="2011-06-27T20:22:25"/>
    <x v="3"/>
    <n v="3.4"/>
    <n v="0"/>
  </r>
  <r>
    <n v="2377"/>
    <x v="12"/>
    <s v="Iteration 27"/>
    <d v="2011-02-16T12:56:43"/>
    <x v="6"/>
    <n v="3.7638888888888888"/>
    <n v="0"/>
  </r>
  <r>
    <n v="2388"/>
    <x v="11"/>
    <s v="Iteration 27"/>
    <d v="2011-02-16T18:41:15"/>
    <x v="9"/>
    <n v="3.7638888888888888"/>
    <n v="0"/>
  </r>
  <r>
    <n v="2393"/>
    <x v="12"/>
    <s v="Iteration 27"/>
    <d v="2011-02-15T21:12:00"/>
    <x v="10"/>
    <n v="3.7666666666666666"/>
    <n v="0"/>
  </r>
  <r>
    <n v="2402"/>
    <x v="9"/>
    <s v="Iteration 27"/>
    <d v="2011-02-17T12:28:16"/>
    <x v="2"/>
    <n v="3.7611111111111111"/>
    <n v="0"/>
  </r>
  <r>
    <n v="2414"/>
    <x v="9"/>
    <s v="Iteration 28"/>
    <d v="2011-04-28T20:21:24"/>
    <x v="19"/>
    <n v="3.5638888888888891"/>
    <n v="0"/>
  </r>
  <r>
    <n v="2423"/>
    <x v="12"/>
    <s v="Iteration 28"/>
    <d v="2011-05-02T14:09:57"/>
    <x v="10"/>
    <n v="3.5527777777777776"/>
    <n v="0"/>
  </r>
  <r>
    <n v="2427"/>
    <x v="15"/>
    <s v="Iteration 27"/>
    <d v="2011-02-17T14:20:05"/>
    <x v="1"/>
    <n v="3.7611111111111111"/>
    <n v="0"/>
  </r>
  <r>
    <n v="2428"/>
    <x v="12"/>
    <s v="Iteration 28"/>
    <d v="2011-04-27T16:23:28"/>
    <x v="6"/>
    <n v="3.5666666666666669"/>
    <n v="0"/>
  </r>
  <r>
    <n v="2431"/>
    <x v="9"/>
    <s v="Iteration 28"/>
    <d v="2011-04-28T20:25:15"/>
    <x v="19"/>
    <n v="3.5638888888888891"/>
    <n v="0"/>
  </r>
  <r>
    <n v="2437"/>
    <x v="15"/>
    <s v="Iteration 27"/>
    <d v="2011-02-16T16:28:25"/>
    <x v="6"/>
    <n v="3.7638888888888888"/>
    <n v="0"/>
  </r>
  <r>
    <n v="2441"/>
    <x v="11"/>
    <s v="Release 2.4"/>
    <d v="2013-01-28T15:39:29"/>
    <x v="16"/>
    <n v="1.8138888888888889"/>
    <n v="0"/>
  </r>
  <r>
    <n v="2442"/>
    <x v="9"/>
    <s v="Iteration 27"/>
    <d v="2011-02-17T17:12:46"/>
    <x v="14"/>
    <n v="3.7611111111111111"/>
    <n v="0"/>
  </r>
  <r>
    <n v="2444"/>
    <x v="12"/>
    <s v="Iteration 28"/>
    <d v="2011-05-02T19:47:06"/>
    <x v="10"/>
    <n v="3.5527777777777776"/>
    <n v="0"/>
  </r>
  <r>
    <n v="2455"/>
    <x v="12"/>
    <s v="Iteration 27"/>
    <d v="2011-02-17T18:57:20"/>
    <x v="9"/>
    <n v="3.7611111111111111"/>
    <n v="0"/>
  </r>
  <r>
    <n v="2456"/>
    <x v="12"/>
    <s v="Iteration 28"/>
    <d v="2011-05-02T19:14:32"/>
    <x v="7"/>
    <n v="3.5527777777777776"/>
    <n v="0"/>
  </r>
  <r>
    <n v="2457"/>
    <x v="6"/>
    <s v="Iteration 28"/>
    <d v="2011-04-27T20:13:44"/>
    <x v="19"/>
    <n v="3.5666666666666669"/>
    <n v="0"/>
  </r>
  <r>
    <n v="2473"/>
    <x v="11"/>
    <s v="Iteration 29"/>
    <d v="2011-06-26T20:57:26"/>
    <x v="9"/>
    <n v="3.4027777777777777"/>
    <n v="0"/>
  </r>
  <r>
    <n v="2489"/>
    <x v="4"/>
    <s v="Iteration 28"/>
    <d v="2011-05-03T10:38:45"/>
    <x v="6"/>
    <n v="3.55"/>
    <n v="0"/>
  </r>
  <r>
    <n v="2499"/>
    <x v="34"/>
    <s v="Release 3.3"/>
    <d v="2014-08-15T14:53:18"/>
    <x v="2"/>
    <n v="0.26666666666666666"/>
    <n v="1"/>
  </r>
  <r>
    <n v="2503"/>
    <x v="12"/>
    <s v="Iteration 28"/>
    <d v="2011-04-11T20:24:18"/>
    <x v="9"/>
    <n v="3.6111111111111112"/>
    <n v="0"/>
  </r>
  <r>
    <n v="2504"/>
    <x v="12"/>
    <s v="Release 2.0"/>
    <d v="2012-01-12T15:40:39"/>
    <x v="7"/>
    <n v="2.8583333333333334"/>
    <n v="0"/>
  </r>
  <r>
    <n v="2509"/>
    <x v="12"/>
    <s v="Iteration 28"/>
    <d v="2011-04-28T12:28:39"/>
    <x v="6"/>
    <n v="3.5638888888888891"/>
    <n v="0"/>
  </r>
  <r>
    <n v="2514"/>
    <x v="48"/>
    <s v="Iteration 28"/>
    <d v="2011-04-27T19:12:09"/>
    <x v="7"/>
    <n v="3.5666666666666669"/>
    <n v="0"/>
  </r>
  <r>
    <n v="2521"/>
    <x v="5"/>
    <s v="Iteration 28"/>
    <d v="2011-04-27T19:30:34"/>
    <x v="7"/>
    <n v="3.5666666666666669"/>
    <n v="0"/>
  </r>
  <r>
    <n v="2525"/>
    <x v="0"/>
    <s v="Iteration 30"/>
    <d v="2011-09-19T17:04:20"/>
    <x v="4"/>
    <n v="3.1722222222222221"/>
    <n v="0"/>
  </r>
  <r>
    <n v="2531"/>
    <x v="9"/>
    <s v="Iteration 28"/>
    <d v="2011-05-02T15:57:38"/>
    <x v="9"/>
    <n v="3.5527777777777776"/>
    <n v="0"/>
  </r>
  <r>
    <n v="2540"/>
    <x v="12"/>
    <s v="Iteration 28"/>
    <d v="2011-05-02T18:58:05"/>
    <x v="10"/>
    <n v="3.5527777777777776"/>
    <n v="0"/>
  </r>
  <r>
    <n v="2541"/>
    <x v="9"/>
    <s v="Iteration 28"/>
    <d v="2011-05-03T17:26:34"/>
    <x v="4"/>
    <n v="3.55"/>
    <n v="0"/>
  </r>
  <r>
    <n v="2547"/>
    <x v="9"/>
    <s v="Iteration 28"/>
    <d v="2011-04-28T02:40:37"/>
    <x v="8"/>
    <n v="3.5638888888888891"/>
    <n v="0"/>
  </r>
  <r>
    <n v="2551"/>
    <x v="3"/>
    <s v="Iteration 28"/>
    <d v="2011-04-28T18:55:29"/>
    <x v="19"/>
    <n v="3.5638888888888891"/>
    <n v="0"/>
  </r>
  <r>
    <n v="2554"/>
    <x v="12"/>
    <s v="Iteration 28"/>
    <d v="2011-05-02T19:50:41"/>
    <x v="5"/>
    <n v="3.5527777777777776"/>
    <n v="0"/>
  </r>
  <r>
    <n v="2569"/>
    <x v="12"/>
    <s v="Iteration 28"/>
    <d v="2011-05-02T18:15:08"/>
    <x v="10"/>
    <n v="3.5527777777777776"/>
    <n v="0"/>
  </r>
  <r>
    <n v="2575"/>
    <x v="2"/>
    <s v="Iteration 28"/>
    <d v="2011-04-27T16:54:07"/>
    <x v="6"/>
    <n v="3.5666666666666669"/>
    <n v="0"/>
  </r>
  <r>
    <n v="2582"/>
    <x v="12"/>
    <s v="Iteration 28"/>
    <d v="2011-04-29T04:11:33"/>
    <x v="9"/>
    <n v="3.5611111111111109"/>
    <n v="0"/>
  </r>
  <r>
    <n v="2583"/>
    <x v="12"/>
    <s v="Iteration 28"/>
    <d v="2011-04-29T00:01:41"/>
    <x v="9"/>
    <n v="3.5611111111111109"/>
    <n v="0"/>
  </r>
  <r>
    <n v="2591"/>
    <x v="12"/>
    <s v="Iteration 28"/>
    <d v="2011-04-29T00:00:49"/>
    <x v="9"/>
    <n v="3.5611111111111109"/>
    <n v="0"/>
  </r>
  <r>
    <n v="2619"/>
    <x v="12"/>
    <s v="Iteration 28"/>
    <d v="2011-04-28T15:13:41"/>
    <x v="6"/>
    <n v="3.5638888888888891"/>
    <n v="0"/>
  </r>
  <r>
    <n v="2621"/>
    <x v="21"/>
    <s v="Iteration 28"/>
    <d v="2011-04-28T18:59:21"/>
    <x v="19"/>
    <n v="3.5638888888888891"/>
    <n v="0"/>
  </r>
  <r>
    <n v="2630"/>
    <x v="21"/>
    <s v="Iteration 28"/>
    <d v="2011-05-03T18:12:45"/>
    <x v="8"/>
    <n v="3.55"/>
    <n v="0"/>
  </r>
  <r>
    <n v="2632"/>
    <x v="12"/>
    <s v="Iteration 28"/>
    <d v="2011-04-29T01:27:34"/>
    <x v="8"/>
    <n v="3.5611111111111109"/>
    <n v="0"/>
  </r>
  <r>
    <n v="2664"/>
    <x v="7"/>
    <s v="Iteration 28"/>
    <d v="2011-05-03T18:48:08"/>
    <x v="5"/>
    <n v="3.55"/>
    <n v="0"/>
  </r>
  <r>
    <n v="2667"/>
    <x v="11"/>
    <s v="Iteration 28"/>
    <d v="2011-04-26T10:35:38"/>
    <x v="6"/>
    <n v="3.5694444444444446"/>
    <n v="0"/>
  </r>
  <r>
    <n v="2671"/>
    <x v="6"/>
    <s v="Iteration 28"/>
    <d v="2011-05-02T16:07:24"/>
    <x v="9"/>
    <n v="3.5527777777777776"/>
    <n v="0"/>
  </r>
  <r>
    <n v="2675"/>
    <x v="12"/>
    <s v="Iteration 28"/>
    <d v="2011-05-02T13:41:39"/>
    <x v="10"/>
    <n v="3.5527777777777776"/>
    <n v="0"/>
  </r>
  <r>
    <n v="2679"/>
    <x v="9"/>
    <s v="Iteration 28"/>
    <d v="2011-05-03T10:59:34"/>
    <x v="13"/>
    <n v="3.55"/>
    <n v="0"/>
  </r>
  <r>
    <n v="2682"/>
    <x v="15"/>
    <s v="Iteration 28"/>
    <d v="2011-04-28T19:33:19"/>
    <x v="19"/>
    <n v="3.5638888888888891"/>
    <n v="0"/>
  </r>
  <r>
    <n v="2691"/>
    <x v="12"/>
    <s v="Iteration 28"/>
    <d v="2011-05-03T11:32:56"/>
    <x v="2"/>
    <n v="3.55"/>
    <n v="0"/>
  </r>
  <r>
    <n v="2696"/>
    <x v="11"/>
    <s v="Iteration 28"/>
    <d v="2011-04-28T14:59:49"/>
    <x v="6"/>
    <n v="3.5638888888888891"/>
    <n v="0"/>
  </r>
  <r>
    <n v="2722"/>
    <x v="0"/>
    <s v="Iteration 28"/>
    <d v="2011-05-02T20:47:05"/>
    <x v="3"/>
    <n v="3.5527777777777776"/>
    <n v="0"/>
  </r>
  <r>
    <n v="2743"/>
    <x v="12"/>
    <s v="Iteration 28"/>
    <d v="2011-05-02T19:51:47"/>
    <x v="10"/>
    <n v="3.5527777777777776"/>
    <n v="0"/>
  </r>
  <r>
    <n v="2749"/>
    <x v="12"/>
    <s v="Iteration 28"/>
    <d v="2011-05-03T14:02:03"/>
    <x v="5"/>
    <n v="3.55"/>
    <n v="0"/>
  </r>
  <r>
    <n v="2750"/>
    <x v="12"/>
    <s v="Iteration 28"/>
    <d v="2011-04-28T09:26:13"/>
    <x v="6"/>
    <n v="3.5638888888888891"/>
    <n v="0"/>
  </r>
  <r>
    <n v="2766"/>
    <x v="12"/>
    <s v="Iteration 28"/>
    <d v="2011-05-02T20:18:48"/>
    <x v="5"/>
    <n v="3.5527777777777776"/>
    <n v="0"/>
  </r>
  <r>
    <n v="2773"/>
    <x v="12"/>
    <s v="Iteration 28"/>
    <d v="2011-05-02T18:47:45"/>
    <x v="10"/>
    <n v="3.5527777777777776"/>
    <n v="0"/>
  </r>
  <r>
    <n v="2788"/>
    <x v="12"/>
    <s v="Iteration 28"/>
    <d v="2011-05-02T19:29:59"/>
    <x v="5"/>
    <n v="3.5527777777777776"/>
    <n v="0"/>
  </r>
  <r>
    <n v="2808"/>
    <x v="21"/>
    <s v="Iteration 29"/>
    <d v="2011-06-28T16:54:08"/>
    <x v="4"/>
    <n v="3.3972222222222221"/>
    <n v="0"/>
  </r>
  <r>
    <n v="2825"/>
    <x v="11"/>
    <s v="Iteration 28"/>
    <d v="2011-05-02T16:00:33"/>
    <x v="9"/>
    <n v="3.5527777777777776"/>
    <n v="0"/>
  </r>
  <r>
    <n v="2843"/>
    <x v="16"/>
    <s v="Iteration 29"/>
    <d v="2011-06-27T16:04:08"/>
    <x v="19"/>
    <n v="3.4"/>
    <n v="0"/>
  </r>
  <r>
    <n v="2847"/>
    <x v="6"/>
    <s v="Iteration 28"/>
    <d v="2011-04-26T16:48:49"/>
    <x v="6"/>
    <n v="3.5694444444444446"/>
    <n v="0"/>
  </r>
  <r>
    <n v="2859"/>
    <x v="21"/>
    <s v="Iteration 29"/>
    <d v="2011-06-27T19:09:44"/>
    <x v="5"/>
    <n v="3.4"/>
    <n v="0"/>
  </r>
  <r>
    <n v="2860"/>
    <x v="10"/>
    <s v="Iteration 30"/>
    <d v="2011-09-19T19:16:55"/>
    <x v="7"/>
    <n v="3.1722222222222221"/>
    <n v="0"/>
  </r>
  <r>
    <n v="2863"/>
    <x v="6"/>
    <s v="Iteration 29"/>
    <d v="2011-06-29T13:43:47"/>
    <x v="4"/>
    <n v="3.3944444444444444"/>
    <n v="0"/>
  </r>
  <r>
    <n v="2870"/>
    <x v="14"/>
    <s v="Iteration 29"/>
    <d v="2011-06-29T18:48:21"/>
    <x v="19"/>
    <n v="3.3944444444444444"/>
    <n v="0"/>
  </r>
  <r>
    <n v="2871"/>
    <x v="12"/>
    <s v="Iteration 29"/>
    <d v="2011-06-28T18:10:48"/>
    <x v="10"/>
    <n v="3.3972222222222221"/>
    <n v="0"/>
  </r>
  <r>
    <n v="2900"/>
    <x v="6"/>
    <s v="Iteration 29"/>
    <d v="2011-06-27T18:53:43"/>
    <x v="5"/>
    <n v="3.4"/>
    <n v="0"/>
  </r>
  <r>
    <n v="2931"/>
    <x v="6"/>
    <s v="Iteration 29"/>
    <d v="2011-06-28T03:59:29"/>
    <x v="8"/>
    <n v="3.3972222222222221"/>
    <n v="0"/>
  </r>
  <r>
    <n v="2932"/>
    <x v="0"/>
    <s v="Release 2.3"/>
    <d v="2012-10-30T19:13:07"/>
    <x v="5"/>
    <n v="2.0583333333333331"/>
    <n v="0"/>
  </r>
  <r>
    <n v="2934"/>
    <x v="12"/>
    <s v="Iteration 29"/>
    <d v="2011-06-27T21:11:27"/>
    <x v="3"/>
    <n v="3.4"/>
    <n v="0"/>
  </r>
  <r>
    <n v="2937"/>
    <x v="0"/>
    <s v="Iteration 29"/>
    <d v="2011-06-27T11:45:46"/>
    <x v="11"/>
    <n v="3.4"/>
    <n v="0"/>
  </r>
  <r>
    <n v="2947"/>
    <x v="8"/>
    <s v="Release 2.6"/>
    <d v="2013-06-11T19:49:52"/>
    <x v="23"/>
    <n v="1.4444444444444444"/>
    <n v="0"/>
  </r>
  <r>
    <n v="2952"/>
    <x v="12"/>
    <s v="Iteration 29"/>
    <d v="2011-06-27T21:21:40"/>
    <x v="3"/>
    <n v="3.4"/>
    <n v="0"/>
  </r>
  <r>
    <n v="2956"/>
    <x v="8"/>
    <s v="Iteration 29"/>
    <d v="2011-06-27T08:27:36"/>
    <x v="2"/>
    <n v="3.4"/>
    <n v="0"/>
  </r>
  <r>
    <n v="2957"/>
    <x v="16"/>
    <s v="Iteration 29"/>
    <d v="2011-06-27T16:05:25"/>
    <x v="5"/>
    <n v="3.4"/>
    <n v="0"/>
  </r>
  <r>
    <n v="2968"/>
    <x v="8"/>
    <s v="Iteration 30"/>
    <d v="2011-09-21T10:28:00"/>
    <x v="2"/>
    <n v="3.1666666666666665"/>
    <n v="0"/>
  </r>
  <r>
    <n v="2976"/>
    <x v="2"/>
    <s v="Iteration 29"/>
    <d v="2011-06-27T20:45:44"/>
    <x v="5"/>
    <n v="3.4"/>
    <n v="0"/>
  </r>
  <r>
    <n v="2977"/>
    <x v="2"/>
    <s v="Iteration 29"/>
    <d v="2011-06-27T23:00:06"/>
    <x v="5"/>
    <n v="3.4"/>
    <n v="0"/>
  </r>
  <r>
    <n v="2983"/>
    <x v="12"/>
    <s v="Iteration 29"/>
    <d v="2011-06-28T09:01:59"/>
    <x v="2"/>
    <n v="3.3972222222222221"/>
    <n v="0"/>
  </r>
  <r>
    <n v="2984"/>
    <x v="12"/>
    <s v="Iteration 29"/>
    <d v="2011-06-27T16:29:19"/>
    <x v="5"/>
    <n v="3.4"/>
    <n v="0"/>
  </r>
  <r>
    <n v="2996"/>
    <x v="12"/>
    <s v="Iteration 29"/>
    <d v="2011-06-27T19:56:26"/>
    <x v="3"/>
    <n v="3.4"/>
    <n v="0"/>
  </r>
  <r>
    <n v="2997"/>
    <x v="2"/>
    <s v="Iteration 29"/>
    <d v="2011-06-27T20:16:28"/>
    <x v="19"/>
    <n v="3.4"/>
    <n v="0"/>
  </r>
  <r>
    <n v="3000"/>
    <x v="0"/>
    <s v="Iteration 29"/>
    <d v="2011-06-29T10:04:25"/>
    <x v="4"/>
    <n v="3.3944444444444444"/>
    <n v="0"/>
  </r>
  <r>
    <n v="3023"/>
    <x v="12"/>
    <s v="Iteration 29"/>
    <d v="2011-06-27T09:54:30"/>
    <x v="2"/>
    <n v="3.4"/>
    <n v="0"/>
  </r>
  <r>
    <n v="3024"/>
    <x v="12"/>
    <s v="Iteration 29"/>
    <d v="2011-06-28T16:04:25"/>
    <x v="16"/>
    <n v="3.3972222222222221"/>
    <n v="0"/>
  </r>
  <r>
    <n v="3026"/>
    <x v="12"/>
    <s v="Iteration 29"/>
    <d v="2011-06-28T18:58:09"/>
    <x v="10"/>
    <n v="3.3972222222222221"/>
    <n v="0"/>
  </r>
  <r>
    <n v="3027"/>
    <x v="16"/>
    <s v="Iteration 29"/>
    <d v="2011-06-27T14:12:20"/>
    <x v="17"/>
    <n v="3.4"/>
    <n v="0"/>
  </r>
  <r>
    <n v="3029"/>
    <x v="16"/>
    <s v="Iteration 29"/>
    <d v="2011-06-27T14:46:04"/>
    <x v="5"/>
    <n v="3.4"/>
    <n v="0"/>
  </r>
  <r>
    <n v="3032"/>
    <x v="16"/>
    <s v="Iteration 29"/>
    <d v="2011-06-27T17:12:43"/>
    <x v="19"/>
    <n v="3.4"/>
    <n v="0"/>
  </r>
  <r>
    <n v="3038"/>
    <x v="6"/>
    <s v="Iteration 29"/>
    <d v="2011-06-28T19:14:17"/>
    <x v="5"/>
    <n v="3.3972222222222221"/>
    <n v="0"/>
  </r>
  <r>
    <n v="3039"/>
    <x v="2"/>
    <s v="Iteration 29"/>
    <d v="2011-06-30T10:37:16"/>
    <x v="2"/>
    <n v="3.3916666666666666"/>
    <n v="0"/>
  </r>
  <r>
    <n v="3040"/>
    <x v="6"/>
    <s v="Iteration 29"/>
    <d v="2011-06-27T22:42:26"/>
    <x v="5"/>
    <n v="3.4"/>
    <n v="0"/>
  </r>
  <r>
    <n v="3051"/>
    <x v="12"/>
    <s v="Release 2.0"/>
    <d v="2012-01-11T17:55:17"/>
    <x v="35"/>
    <n v="2.8611111111111112"/>
    <n v="0"/>
  </r>
  <r>
    <n v="3056"/>
    <x v="12"/>
    <s v="Iteration 29"/>
    <d v="2011-06-26T21:21:43"/>
    <x v="9"/>
    <n v="3.4027777777777777"/>
    <n v="0"/>
  </r>
  <r>
    <n v="3080"/>
    <x v="12"/>
    <s v="Iteration 29"/>
    <d v="2011-06-27T18:48:39"/>
    <x v="10"/>
    <n v="3.4"/>
    <n v="0"/>
  </r>
  <r>
    <n v="3097"/>
    <x v="12"/>
    <s v="Iteration 29"/>
    <d v="2011-06-28T16:37:54"/>
    <x v="2"/>
    <n v="3.3972222222222221"/>
    <n v="0"/>
  </r>
  <r>
    <n v="3100"/>
    <x v="12"/>
    <s v="Iteration 29"/>
    <d v="2011-06-28T16:04:52"/>
    <x v="16"/>
    <n v="3.3972222222222221"/>
    <n v="0"/>
  </r>
  <r>
    <n v="3101"/>
    <x v="12"/>
    <s v="Iteration 29"/>
    <d v="2011-06-28T09:47:02"/>
    <x v="4"/>
    <n v="3.3972222222222221"/>
    <n v="0"/>
  </r>
  <r>
    <n v="3109"/>
    <x v="16"/>
    <s v="Iteration 29"/>
    <d v="2011-06-27T16:58:05"/>
    <x v="19"/>
    <n v="3.4"/>
    <n v="0"/>
  </r>
  <r>
    <n v="3112"/>
    <x v="2"/>
    <s v="Iteration 29"/>
    <d v="2011-06-28T12:04:37"/>
    <x v="4"/>
    <n v="3.3972222222222221"/>
    <n v="0"/>
  </r>
  <r>
    <n v="3125"/>
    <x v="6"/>
    <s v="Iteration 29"/>
    <d v="2011-06-27T20:20:28"/>
    <x v="19"/>
    <n v="3.4"/>
    <n v="0"/>
  </r>
  <r>
    <n v="3128"/>
    <x v="12"/>
    <s v="Iteration 29"/>
    <d v="2011-06-28T17:08:44"/>
    <x v="4"/>
    <n v="3.3972222222222221"/>
    <n v="0"/>
  </r>
  <r>
    <n v="3140"/>
    <x v="16"/>
    <s v="Iteration 29"/>
    <d v="2011-06-27T16:01:26"/>
    <x v="19"/>
    <n v="3.4"/>
    <n v="0"/>
  </r>
  <r>
    <n v="3141"/>
    <x v="15"/>
    <s v="Iteration 29"/>
    <d v="2011-06-28T12:06:19"/>
    <x v="4"/>
    <n v="3.3972222222222221"/>
    <n v="0"/>
  </r>
  <r>
    <n v="3143"/>
    <x v="11"/>
    <s v="Iteration 29"/>
    <d v="2011-06-27T11:36:11"/>
    <x v="11"/>
    <n v="3.4"/>
    <n v="0"/>
  </r>
  <r>
    <n v="3145"/>
    <x v="48"/>
    <s v="Iteration 30"/>
    <d v="2011-09-20T15:09:34"/>
    <x v="5"/>
    <n v="3.1694444444444443"/>
    <n v="0"/>
  </r>
  <r>
    <n v="3153"/>
    <x v="2"/>
    <s v="Release 3.2"/>
    <d v="2014-03-05T16:06:20"/>
    <x v="5"/>
    <n v="0.71111111111111114"/>
    <n v="1"/>
  </r>
  <r>
    <n v="3154"/>
    <x v="11"/>
    <s v="Release 2.3"/>
    <d v="2012-10-29T21:41:40"/>
    <x v="16"/>
    <n v="2.0611111111111109"/>
    <n v="0"/>
  </r>
  <r>
    <n v="3155"/>
    <x v="11"/>
    <s v="Release 2.0"/>
    <d v="2012-01-09T19:53:16"/>
    <x v="19"/>
    <n v="2.8666666666666667"/>
    <n v="0"/>
  </r>
  <r>
    <n v="3195"/>
    <x v="12"/>
    <s v="Iteration 29"/>
    <d v="2011-06-27T16:20:03"/>
    <x v="9"/>
    <n v="3.4"/>
    <n v="0"/>
  </r>
  <r>
    <n v="3196"/>
    <x v="11"/>
    <s v="Iteration 29"/>
    <d v="2011-06-30T18:46:35"/>
    <x v="16"/>
    <n v="3.3916666666666666"/>
    <n v="0"/>
  </r>
  <r>
    <n v="3202"/>
    <x v="12"/>
    <s v="Iteration 29"/>
    <d v="2011-06-28T20:59:57"/>
    <x v="10"/>
    <n v="3.3972222222222221"/>
    <n v="0"/>
  </r>
  <r>
    <n v="3212"/>
    <x v="12"/>
    <s v="Iteration 29"/>
    <d v="2011-06-28T09:04:38"/>
    <x v="2"/>
    <n v="3.3972222222222221"/>
    <n v="0"/>
  </r>
  <r>
    <n v="3218"/>
    <x v="12"/>
    <s v="Iteration 30"/>
    <d v="2011-09-20T16:56:31"/>
    <x v="5"/>
    <n v="3.1694444444444443"/>
    <n v="0"/>
  </r>
  <r>
    <n v="3222"/>
    <x v="12"/>
    <s v="Iteration 29"/>
    <d v="2011-06-27T11:06:32"/>
    <x v="2"/>
    <n v="3.4"/>
    <n v="0"/>
  </r>
  <r>
    <n v="3225"/>
    <x v="6"/>
    <s v="Release 2.0"/>
    <d v="2012-01-10T22:33:18"/>
    <x v="5"/>
    <n v="2.8638888888888889"/>
    <n v="0"/>
  </r>
  <r>
    <n v="3246"/>
    <x v="0"/>
    <s v="Release 2.1"/>
    <d v="2012-05-01T22:16:15"/>
    <x v="9"/>
    <n v="2.5555555555555554"/>
    <n v="0"/>
  </r>
  <r>
    <n v="3251"/>
    <x v="13"/>
    <s v="Release 2.0"/>
    <d v="2012-01-09T14:42:03"/>
    <x v="5"/>
    <n v="2.8666666666666667"/>
    <n v="0"/>
  </r>
  <r>
    <n v="3252"/>
    <x v="10"/>
    <s v="Release 2.0"/>
    <d v="2012-01-10T16:05:12"/>
    <x v="5"/>
    <n v="2.8638888888888889"/>
    <n v="0"/>
  </r>
  <r>
    <n v="3253"/>
    <x v="23"/>
    <s v="Iteration 30"/>
    <d v="2011-09-20T15:06:12"/>
    <x v="10"/>
    <n v="3.1694444444444443"/>
    <n v="0"/>
  </r>
  <r>
    <n v="3255"/>
    <x v="45"/>
    <s v="Release 3.2"/>
    <d v="2014-05-08T14:55:23"/>
    <x v="3"/>
    <n v="0.53611111111111109"/>
    <n v="1"/>
  </r>
  <r>
    <n v="3275"/>
    <x v="7"/>
    <s v="Iteration 30"/>
    <d v="2011-09-20T10:31:47"/>
    <x v="13"/>
    <n v="3.1694444444444443"/>
    <n v="0"/>
  </r>
  <r>
    <n v="3291"/>
    <x v="12"/>
    <s v="Iteration 30"/>
    <d v="2011-09-20T14:47:53"/>
    <x v="5"/>
    <n v="3.1694444444444443"/>
    <n v="0"/>
  </r>
  <r>
    <n v="3305"/>
    <x v="7"/>
    <s v="Iteration 30"/>
    <d v="2011-09-19T19:06:13"/>
    <x v="7"/>
    <n v="3.1722222222222221"/>
    <n v="0"/>
  </r>
  <r>
    <n v="3313"/>
    <x v="6"/>
    <s v="Release 2.0"/>
    <d v="2012-01-11T21:00:18"/>
    <x v="10"/>
    <n v="2.8611111111111112"/>
    <n v="0"/>
  </r>
  <r>
    <n v="3321"/>
    <x v="0"/>
    <s v="Iteration 30"/>
    <d v="2011-09-20T16:52:38"/>
    <x v="10"/>
    <n v="3.1694444444444443"/>
    <n v="0"/>
  </r>
  <r>
    <n v="3352"/>
    <x v="4"/>
    <s v="Iteration 30"/>
    <d v="2011-09-19T21:09:43"/>
    <x v="7"/>
    <n v="3.1722222222222221"/>
    <n v="0"/>
  </r>
  <r>
    <n v="3353"/>
    <x v="16"/>
    <s v="Iteration 30"/>
    <d v="2011-09-19T18:53:52"/>
    <x v="19"/>
    <n v="3.1722222222222221"/>
    <n v="0"/>
  </r>
  <r>
    <n v="3356"/>
    <x v="16"/>
    <s v="Release 2.0"/>
    <d v="2012-01-09T14:11:37"/>
    <x v="5"/>
    <n v="2.8666666666666667"/>
    <n v="0"/>
  </r>
  <r>
    <n v="3374"/>
    <x v="21"/>
    <s v="Iteration 30"/>
    <d v="2011-09-21T15:28:26"/>
    <x v="16"/>
    <n v="3.1666666666666665"/>
    <n v="0"/>
  </r>
  <r>
    <n v="3378"/>
    <x v="0"/>
    <s v="Iteration 30"/>
    <d v="2011-09-20T20:26:57"/>
    <x v="19"/>
    <n v="3.1694444444444443"/>
    <n v="0"/>
  </r>
  <r>
    <n v="3379"/>
    <x v="12"/>
    <s v="Iteration 30"/>
    <d v="2011-09-20T09:55:24"/>
    <x v="9"/>
    <n v="3.1694444444444443"/>
    <n v="0"/>
  </r>
  <r>
    <n v="3384"/>
    <x v="15"/>
    <s v="Iteration 30"/>
    <d v="2011-09-20T16:12:51"/>
    <x v="5"/>
    <n v="3.1694444444444443"/>
    <n v="0"/>
  </r>
  <r>
    <n v="3387"/>
    <x v="11"/>
    <s v="Iteration 30"/>
    <d v="2011-09-19T20:08:01"/>
    <x v="19"/>
    <n v="3.1722222222222221"/>
    <n v="0"/>
  </r>
  <r>
    <n v="3388"/>
    <x v="0"/>
    <s v="Iteration 30"/>
    <d v="2011-09-19T16:17:46"/>
    <x v="19"/>
    <n v="3.1722222222222221"/>
    <n v="0"/>
  </r>
  <r>
    <n v="3393"/>
    <x v="14"/>
    <s v="Release 2.5.3"/>
    <d v="2013-05-29T17:13:56"/>
    <x v="7"/>
    <n v="1.4777777777777779"/>
    <n v="0"/>
  </r>
  <r>
    <n v="3395"/>
    <x v="0"/>
    <s v="Iteration 30"/>
    <d v="2011-09-20T14:00:46"/>
    <x v="5"/>
    <n v="3.1694444444444443"/>
    <n v="0"/>
  </r>
  <r>
    <n v="3397"/>
    <x v="21"/>
    <s v="Iteration 30"/>
    <d v="2011-09-21T19:53:24"/>
    <x v="5"/>
    <n v="3.1666666666666665"/>
    <n v="0"/>
  </r>
  <r>
    <n v="3399"/>
    <x v="0"/>
    <s v="Iteration 30"/>
    <d v="2011-09-19T16:57:28"/>
    <x v="23"/>
    <n v="3.1722222222222221"/>
    <n v="0"/>
  </r>
  <r>
    <n v="3402"/>
    <x v="2"/>
    <s v="Release 2.5"/>
    <d v="2013-04-19T16:05:29"/>
    <x v="3"/>
    <n v="1.5888888888888888"/>
    <n v="0"/>
  </r>
  <r>
    <n v="3404"/>
    <x v="7"/>
    <s v="Iteration 30"/>
    <d v="2011-09-20T10:16:44"/>
    <x v="13"/>
    <n v="3.1694444444444443"/>
    <n v="0"/>
  </r>
  <r>
    <n v="3427"/>
    <x v="7"/>
    <s v="Iteration 30"/>
    <d v="2011-09-20T10:42:48"/>
    <x v="13"/>
    <n v="3.1694444444444443"/>
    <n v="0"/>
  </r>
  <r>
    <n v="3434"/>
    <x v="12"/>
    <s v="Iteration 30"/>
    <d v="2011-09-19T21:11:09"/>
    <x v="7"/>
    <n v="3.1722222222222221"/>
    <n v="0"/>
  </r>
  <r>
    <n v="3436"/>
    <x v="14"/>
    <s v="Iteration 30"/>
    <d v="2011-09-19T14:27:56"/>
    <x v="8"/>
    <n v="3.1722222222222221"/>
    <n v="0"/>
  </r>
  <r>
    <n v="3437"/>
    <x v="42"/>
    <s v="Release 2.1"/>
    <d v="2012-05-02T14:25:04"/>
    <x v="8"/>
    <n v="2.5527777777777776"/>
    <n v="0"/>
  </r>
  <r>
    <n v="3441"/>
    <x v="16"/>
    <s v="Iteration 30"/>
    <d v="2011-09-20T15:10:49"/>
    <x v="5"/>
    <n v="3.1694444444444443"/>
    <n v="0"/>
  </r>
  <r>
    <n v="3447"/>
    <x v="8"/>
    <s v="Iteration 30"/>
    <d v="2011-09-20T15:56:12"/>
    <x v="2"/>
    <n v="3.1694444444444443"/>
    <n v="0"/>
  </r>
  <r>
    <n v="3450"/>
    <x v="21"/>
    <s v="Iteration 30"/>
    <d v="2011-09-20T16:36:56"/>
    <x v="19"/>
    <n v="3.1694444444444443"/>
    <n v="0"/>
  </r>
  <r>
    <n v="3456"/>
    <x v="12"/>
    <s v="Iteration 30"/>
    <d v="2011-09-20T14:08:06"/>
    <x v="4"/>
    <n v="3.1694444444444443"/>
    <n v="0"/>
  </r>
  <r>
    <n v="3463"/>
    <x v="2"/>
    <s v="Release 2.6"/>
    <d v="2013-07-25T12:18:52"/>
    <x v="23"/>
    <n v="1.3222222222222222"/>
    <n v="0"/>
  </r>
  <r>
    <n v="3464"/>
    <x v="24"/>
    <s v="Release 3.0"/>
    <d v="2013-10-23T10:37:31"/>
    <x v="7"/>
    <n v="1.0777777777777777"/>
    <n v="0"/>
  </r>
  <r>
    <n v="3472"/>
    <x v="0"/>
    <s v="Iteration 30"/>
    <d v="2011-09-20T09:41:23"/>
    <x v="9"/>
    <n v="3.1694444444444443"/>
    <n v="0"/>
  </r>
  <r>
    <n v="3492"/>
    <x v="12"/>
    <s v="Iteration 30"/>
    <d v="2011-09-20T16:19:03"/>
    <x v="2"/>
    <n v="3.1694444444444443"/>
    <n v="0"/>
  </r>
  <r>
    <n v="3495"/>
    <x v="18"/>
    <s v="Iteration 30"/>
    <d v="2011-09-19T22:57:38"/>
    <x v="5"/>
    <n v="3.1722222222222221"/>
    <n v="0"/>
  </r>
  <r>
    <n v="3497"/>
    <x v="21"/>
    <s v="Release 2.0"/>
    <d v="2012-01-12T19:29:08"/>
    <x v="3"/>
    <n v="2.8583333333333334"/>
    <n v="0"/>
  </r>
  <r>
    <n v="3499"/>
    <x v="23"/>
    <s v="Iteration 30"/>
    <d v="2011-09-21T16:26:41"/>
    <x v="4"/>
    <n v="3.1666666666666665"/>
    <n v="0"/>
  </r>
  <r>
    <n v="3500"/>
    <x v="11"/>
    <s v="Iteration 30"/>
    <d v="2011-09-19T14:23:12"/>
    <x v="10"/>
    <n v="3.1722222222222221"/>
    <n v="0"/>
  </r>
  <r>
    <n v="3508"/>
    <x v="21"/>
    <s v="Iteration 30"/>
    <d v="2011-09-20T16:38:16"/>
    <x v="19"/>
    <n v="3.1694444444444443"/>
    <n v="0"/>
  </r>
  <r>
    <n v="3518"/>
    <x v="12"/>
    <s v="Iteration 30"/>
    <d v="2011-09-21T14:26:26"/>
    <x v="5"/>
    <n v="3.1666666666666665"/>
    <n v="0"/>
  </r>
  <r>
    <n v="3520"/>
    <x v="12"/>
    <s v="Iteration 30"/>
    <d v="2011-09-19T19:58:35"/>
    <x v="10"/>
    <n v="3.1722222222222221"/>
    <n v="0"/>
  </r>
  <r>
    <n v="3525"/>
    <x v="12"/>
    <s v="Iteration 30"/>
    <d v="2011-09-20T17:13:52"/>
    <x v="7"/>
    <n v="3.1694444444444443"/>
    <n v="0"/>
  </r>
  <r>
    <n v="3528"/>
    <x v="8"/>
    <s v="Iteration 30"/>
    <d v="2011-09-20T15:58:04"/>
    <x v="19"/>
    <n v="3.1694444444444443"/>
    <n v="0"/>
  </r>
  <r>
    <n v="3529"/>
    <x v="8"/>
    <s v="Iteration 30"/>
    <d v="2011-09-21T10:55:46"/>
    <x v="2"/>
    <n v="3.1666666666666665"/>
    <n v="0"/>
  </r>
  <r>
    <n v="3530"/>
    <x v="12"/>
    <s v="Iteration 30"/>
    <d v="2011-09-20T16:21:33"/>
    <x v="5"/>
    <n v="3.1694444444444443"/>
    <n v="0"/>
  </r>
  <r>
    <n v="3531"/>
    <x v="21"/>
    <s v="Iteration 30"/>
    <d v="2011-09-19T16:25:27"/>
    <x v="19"/>
    <n v="3.1722222222222221"/>
    <n v="0"/>
  </r>
  <r>
    <n v="3544"/>
    <x v="14"/>
    <s v="Iteration 30"/>
    <d v="2011-09-19T16:15:57"/>
    <x v="8"/>
    <n v="3.1722222222222221"/>
    <n v="0"/>
  </r>
  <r>
    <n v="3548"/>
    <x v="6"/>
    <s v="Iteration 30"/>
    <d v="2011-09-19T16:53:10"/>
    <x v="23"/>
    <n v="3.1722222222222221"/>
    <n v="0"/>
  </r>
  <r>
    <n v="3562"/>
    <x v="0"/>
    <s v="Release 2.1"/>
    <d v="2012-05-02T17:28:45"/>
    <x v="15"/>
    <n v="2.5527777777777776"/>
    <n v="0"/>
  </r>
  <r>
    <n v="3584"/>
    <x v="6"/>
    <s v="Iteration 30"/>
    <d v="2011-09-21T15:16:13"/>
    <x v="4"/>
    <n v="3.1666666666666665"/>
    <n v="0"/>
  </r>
  <r>
    <n v="3588"/>
    <x v="0"/>
    <s v="Iteration 30"/>
    <d v="2011-09-19T16:37:19"/>
    <x v="19"/>
    <n v="3.1722222222222221"/>
    <n v="0"/>
  </r>
  <r>
    <n v="3589"/>
    <x v="12"/>
    <s v="Iteration 30"/>
    <d v="2011-09-19T19:55:20"/>
    <x v="10"/>
    <n v="3.1722222222222221"/>
    <n v="0"/>
  </r>
  <r>
    <n v="3595"/>
    <x v="16"/>
    <s v="Iteration 30"/>
    <d v="2011-09-20T16:25:21"/>
    <x v="5"/>
    <n v="3.1694444444444443"/>
    <n v="0"/>
  </r>
  <r>
    <n v="3596"/>
    <x v="11"/>
    <s v="Iteration 30"/>
    <d v="2011-09-19T16:54:46"/>
    <x v="23"/>
    <n v="3.1722222222222221"/>
    <n v="0"/>
  </r>
  <r>
    <n v="3598"/>
    <x v="0"/>
    <s v="Iteration 30"/>
    <d v="2011-09-20T16:54:07"/>
    <x v="5"/>
    <n v="3.1694444444444443"/>
    <n v="0"/>
  </r>
  <r>
    <n v="3619"/>
    <x v="12"/>
    <s v="Iteration 30"/>
    <d v="2011-09-20T10:54:29"/>
    <x v="4"/>
    <n v="3.1694444444444443"/>
    <n v="0"/>
  </r>
  <r>
    <n v="3620"/>
    <x v="12"/>
    <s v="Iteration 30"/>
    <d v="2011-09-20T13:49:16"/>
    <x v="4"/>
    <n v="3.1694444444444443"/>
    <n v="0"/>
  </r>
  <r>
    <n v="3626"/>
    <x v="11"/>
    <s v="Iteration 30"/>
    <d v="2011-09-19T19:53:56"/>
    <x v="10"/>
    <n v="3.1722222222222221"/>
    <n v="0"/>
  </r>
  <r>
    <n v="3627"/>
    <x v="8"/>
    <s v="Iteration 30"/>
    <d v="2011-09-21T18:25:39"/>
    <x v="3"/>
    <n v="3.1666666666666665"/>
    <n v="0"/>
  </r>
  <r>
    <n v="3631"/>
    <x v="12"/>
    <s v="Release 2.0"/>
    <d v="2012-01-11T16:38:11"/>
    <x v="35"/>
    <n v="2.8611111111111112"/>
    <n v="0"/>
  </r>
  <r>
    <n v="3633"/>
    <x v="8"/>
    <s v="Iteration 30"/>
    <d v="2011-09-19T19:58:07"/>
    <x v="19"/>
    <n v="3.1722222222222221"/>
    <n v="0"/>
  </r>
  <r>
    <n v="3643"/>
    <x v="11"/>
    <s v="Iteration 30"/>
    <d v="2011-09-19T14:27:29"/>
    <x v="10"/>
    <n v="3.1722222222222221"/>
    <n v="0"/>
  </r>
  <r>
    <n v="3646"/>
    <x v="12"/>
    <s v="Release 2.0"/>
    <d v="2012-01-12T15:26:11"/>
    <x v="7"/>
    <n v="2.8583333333333334"/>
    <n v="0"/>
  </r>
  <r>
    <n v="3647"/>
    <x v="8"/>
    <s v="Iteration 30"/>
    <d v="2011-09-19T17:03:26"/>
    <x v="4"/>
    <n v="3.1722222222222221"/>
    <n v="0"/>
  </r>
  <r>
    <n v="3649"/>
    <x v="0"/>
    <s v="Iteration 30"/>
    <d v="2011-09-19T17:00:00"/>
    <x v="23"/>
    <n v="3.1722222222222221"/>
    <n v="0"/>
  </r>
  <r>
    <n v="3653"/>
    <x v="4"/>
    <s v="Iteration 30"/>
    <d v="2011-09-19T21:20:45"/>
    <x v="7"/>
    <n v="3.1722222222222221"/>
    <n v="0"/>
  </r>
  <r>
    <n v="3654"/>
    <x v="12"/>
    <s v="Release 2.0"/>
    <d v="2012-01-11T13:25:16"/>
    <x v="10"/>
    <n v="2.8611111111111112"/>
    <n v="0"/>
  </r>
  <r>
    <n v="3690"/>
    <x v="0"/>
    <s v="Iteration 30"/>
    <d v="2011-09-19T15:50:34"/>
    <x v="4"/>
    <n v="3.1722222222222221"/>
    <n v="0"/>
  </r>
  <r>
    <n v="3702"/>
    <x v="8"/>
    <s v="Iteration 30"/>
    <d v="2011-09-19T15:16:20"/>
    <x v="4"/>
    <n v="3.1722222222222221"/>
    <n v="0"/>
  </r>
  <r>
    <n v="3703"/>
    <x v="0"/>
    <s v="Iteration 30"/>
    <d v="2011-09-19T17:11:19"/>
    <x v="19"/>
    <n v="3.1722222222222221"/>
    <n v="0"/>
  </r>
  <r>
    <n v="3709"/>
    <x v="17"/>
    <s v="Release 2.0"/>
    <d v="2012-01-11T14:25:18"/>
    <x v="13"/>
    <n v="2.8611111111111112"/>
    <n v="0"/>
  </r>
  <r>
    <n v="3720"/>
    <x v="12"/>
    <s v="Iteration 30"/>
    <d v="2011-09-20T15:54:09"/>
    <x v="2"/>
    <n v="3.1694444444444443"/>
    <n v="0"/>
  </r>
  <r>
    <n v="3724"/>
    <x v="12"/>
    <s v="Release 2.0"/>
    <d v="2012-01-11T17:12:01"/>
    <x v="9"/>
    <n v="2.8611111111111112"/>
    <n v="0"/>
  </r>
  <r>
    <n v="3727"/>
    <x v="16"/>
    <s v="Release 2.0"/>
    <d v="2012-01-10T14:00:46"/>
    <x v="5"/>
    <n v="2.8638888888888889"/>
    <n v="0"/>
  </r>
  <r>
    <n v="3730"/>
    <x v="4"/>
    <s v="Iteration 30"/>
    <d v="2011-09-19T19:45:44"/>
    <x v="19"/>
    <n v="3.1722222222222221"/>
    <n v="0"/>
  </r>
  <r>
    <n v="3741"/>
    <x v="12"/>
    <s v="Release 2.0"/>
    <d v="2012-01-12T14:04:40"/>
    <x v="16"/>
    <n v="2.8583333333333334"/>
    <n v="0"/>
  </r>
  <r>
    <n v="3745"/>
    <x v="0"/>
    <s v="Release 2.2"/>
    <d v="2012-08-06T15:49:35"/>
    <x v="4"/>
    <n v="2.2916666666666665"/>
    <n v="0"/>
  </r>
  <r>
    <n v="3757"/>
    <x v="3"/>
    <s v="Iteration 30"/>
    <d v="2011-09-21T14:51:29"/>
    <x v="7"/>
    <n v="3.1666666666666665"/>
    <n v="0"/>
  </r>
  <r>
    <n v="3776"/>
    <x v="6"/>
    <s v="Release 2.0"/>
    <d v="2012-01-11T15:19:22"/>
    <x v="20"/>
    <n v="2.8611111111111112"/>
    <n v="0"/>
  </r>
  <r>
    <n v="3795"/>
    <x v="12"/>
    <s v="Release 2.0"/>
    <d v="2012-01-10T20:00:31"/>
    <x v="36"/>
    <n v="2.8638888888888889"/>
    <n v="0"/>
  </r>
  <r>
    <n v="3812"/>
    <x v="2"/>
    <s v="Release 3.2"/>
    <d v="2014-03-06T12:42:53"/>
    <x v="25"/>
    <n v="0.70833333333333337"/>
    <n v="1"/>
  </r>
  <r>
    <n v="3827"/>
    <x v="24"/>
    <s v="Release 3.0"/>
    <d v="2013-10-29T16:59:09"/>
    <x v="11"/>
    <n v="1.0611111111111111"/>
    <n v="0"/>
  </r>
  <r>
    <n v="3828"/>
    <x v="4"/>
    <s v="Release 3.0"/>
    <d v="2013-10-25T15:38:15"/>
    <x v="27"/>
    <n v="1.0722222222222222"/>
    <n v="0"/>
  </r>
  <r>
    <n v="3834"/>
    <x v="0"/>
    <s v="Release 2.0"/>
    <d v="2012-01-10T18:59:15"/>
    <x v="10"/>
    <n v="2.8638888888888889"/>
    <n v="0"/>
  </r>
  <r>
    <n v="3847"/>
    <x v="13"/>
    <s v="Release 2.0"/>
    <d v="2012-01-09T15:07:32"/>
    <x v="15"/>
    <n v="2.8666666666666667"/>
    <n v="0"/>
  </r>
  <r>
    <n v="3849"/>
    <x v="12"/>
    <s v="Release 2.0"/>
    <d v="2012-01-11T18:52:53"/>
    <x v="35"/>
    <n v="2.8611111111111112"/>
    <n v="0"/>
  </r>
  <r>
    <n v="3856"/>
    <x v="6"/>
    <s v="Release 2.0"/>
    <d v="2012-01-09T16:03:14"/>
    <x v="36"/>
    <n v="2.8666666666666667"/>
    <n v="0"/>
  </r>
  <r>
    <n v="3862"/>
    <x v="11"/>
    <s v="Release 2.0"/>
    <d v="2012-01-11T15:13:54"/>
    <x v="19"/>
    <n v="2.8611111111111112"/>
    <n v="0"/>
  </r>
  <r>
    <n v="3865"/>
    <x v="11"/>
    <s v="Release 2.0"/>
    <d v="2012-01-10T18:45:08"/>
    <x v="10"/>
    <n v="2.8638888888888889"/>
    <n v="0"/>
  </r>
  <r>
    <n v="3883"/>
    <x v="12"/>
    <s v="Release 2.0"/>
    <d v="2012-01-12T16:06:09"/>
    <x v="15"/>
    <n v="2.8583333333333334"/>
    <n v="0"/>
  </r>
  <r>
    <n v="3902"/>
    <x v="12"/>
    <s v="Release 2.0"/>
    <d v="2012-01-09T15:30:41"/>
    <x v="10"/>
    <n v="2.8666666666666667"/>
    <n v="0"/>
  </r>
  <r>
    <n v="3928"/>
    <x v="14"/>
    <s v="Release 2.0"/>
    <d v="2012-01-10T19:07:58"/>
    <x v="35"/>
    <n v="2.8638888888888889"/>
    <n v="0"/>
  </r>
  <r>
    <n v="3942"/>
    <x v="23"/>
    <s v="Release 2.0"/>
    <d v="2012-01-11T13:18:11"/>
    <x v="10"/>
    <n v="2.8611111111111112"/>
    <n v="0"/>
  </r>
  <r>
    <n v="3961"/>
    <x v="11"/>
    <s v="Release 2.0"/>
    <d v="2012-01-10T16:18:20"/>
    <x v="36"/>
    <n v="2.8638888888888889"/>
    <n v="0"/>
  </r>
  <r>
    <n v="3970"/>
    <x v="6"/>
    <s v="Release 2.1"/>
    <d v="2012-05-02T20:58:26"/>
    <x v="9"/>
    <n v="2.5527777777777776"/>
    <n v="0"/>
  </r>
  <r>
    <n v="3972"/>
    <x v="11"/>
    <s v="Release 2.0"/>
    <d v="2012-01-10T18:54:22"/>
    <x v="10"/>
    <n v="2.8638888888888889"/>
    <n v="0"/>
  </r>
  <r>
    <n v="3973"/>
    <x v="14"/>
    <s v="Release 2.0"/>
    <d v="2012-01-10T20:02:04"/>
    <x v="35"/>
    <n v="2.8638888888888889"/>
    <n v="0"/>
  </r>
  <r>
    <n v="3983"/>
    <x v="12"/>
    <s v="Release 2.0"/>
    <d v="2012-01-10T20:19:40"/>
    <x v="9"/>
    <n v="2.8638888888888889"/>
    <n v="0"/>
  </r>
  <r>
    <n v="3993"/>
    <x v="12"/>
    <s v="Release 2.0"/>
    <d v="2012-01-09T18:31:25"/>
    <x v="9"/>
    <n v="2.8666666666666667"/>
    <n v="0"/>
  </r>
  <r>
    <n v="3994"/>
    <x v="12"/>
    <s v="Release 2.0"/>
    <d v="2012-01-10T21:58:22"/>
    <x v="9"/>
    <n v="2.8638888888888889"/>
    <n v="0"/>
  </r>
  <r>
    <n v="4008"/>
    <x v="17"/>
    <s v="Release 2.0"/>
    <d v="2012-01-10T18:54:49"/>
    <x v="36"/>
    <n v="2.8638888888888889"/>
    <n v="0"/>
  </r>
  <r>
    <n v="4015"/>
    <x v="12"/>
    <s v="Release 2.0"/>
    <d v="2012-01-10T20:01:17"/>
    <x v="9"/>
    <n v="2.8638888888888889"/>
    <n v="0"/>
  </r>
  <r>
    <n v="4029"/>
    <x v="21"/>
    <s v="Release 2.0"/>
    <d v="2012-01-11T16:19:08"/>
    <x v="18"/>
    <n v="2.8611111111111112"/>
    <n v="0"/>
  </r>
  <r>
    <n v="4033"/>
    <x v="19"/>
    <s v="Release 2.0"/>
    <d v="2012-01-09T15:23:35"/>
    <x v="20"/>
    <n v="2.8666666666666667"/>
    <n v="0"/>
  </r>
  <r>
    <n v="4035"/>
    <x v="2"/>
    <s v="Release 2.5"/>
    <d v="2013-01-24T10:45:42"/>
    <x v="11"/>
    <n v="1.825"/>
    <n v="0"/>
  </r>
  <r>
    <n v="4046"/>
    <x v="12"/>
    <s v="Release 2.0"/>
    <d v="2012-01-10T21:49:46"/>
    <x v="9"/>
    <n v="2.8638888888888889"/>
    <n v="0"/>
  </r>
  <r>
    <n v="4050"/>
    <x v="12"/>
    <s v="Release 2.0"/>
    <d v="2012-01-10T18:40:46"/>
    <x v="10"/>
    <n v="2.8638888888888889"/>
    <n v="0"/>
  </r>
  <r>
    <n v="4067"/>
    <x v="0"/>
    <s v="Release 2.0"/>
    <d v="2012-01-12T16:27:26"/>
    <x v="5"/>
    <n v="2.8583333333333334"/>
    <n v="0"/>
  </r>
  <r>
    <n v="4070"/>
    <x v="14"/>
    <s v="Release 2.0"/>
    <d v="2012-01-10T19:56:48"/>
    <x v="36"/>
    <n v="2.8638888888888889"/>
    <n v="0"/>
  </r>
  <r>
    <n v="4076"/>
    <x v="17"/>
    <s v="Release 2.4"/>
    <d v="2013-01-29T14:08:20"/>
    <x v="11"/>
    <n v="1.8111111111111111"/>
    <n v="0"/>
  </r>
  <r>
    <n v="4077"/>
    <x v="0"/>
    <s v="Release 2.0"/>
    <d v="2012-01-10T20:14:28"/>
    <x v="35"/>
    <n v="2.8638888888888889"/>
    <n v="0"/>
  </r>
  <r>
    <n v="4093"/>
    <x v="24"/>
    <s v="Release 3.2"/>
    <d v="2014-06-02T14:51:13"/>
    <x v="2"/>
    <n v="0.46944444444444444"/>
    <n v="1"/>
  </r>
  <r>
    <n v="4123"/>
    <x v="42"/>
    <s v="Release 2.1"/>
    <d v="2012-04-30T22:32:55"/>
    <x v="19"/>
    <n v="2.5583333333333331"/>
    <n v="0"/>
  </r>
  <r>
    <n v="4124"/>
    <x v="42"/>
    <s v="Release 2.0"/>
    <d v="2012-01-09T21:53:52"/>
    <x v="36"/>
    <n v="2.8666666666666667"/>
    <n v="0"/>
  </r>
  <r>
    <n v="4144"/>
    <x v="12"/>
    <s v="Release 2.0"/>
    <d v="2012-01-09T16:49:55"/>
    <x v="16"/>
    <n v="2.8666666666666667"/>
    <n v="0"/>
  </r>
  <r>
    <n v="4156"/>
    <x v="12"/>
    <s v="Release 2.0"/>
    <d v="2012-01-11T18:42:51"/>
    <x v="9"/>
    <n v="2.8611111111111112"/>
    <n v="0"/>
  </r>
  <r>
    <n v="4180"/>
    <x v="12"/>
    <s v="Release 2.0"/>
    <d v="2012-01-10T16:16:36"/>
    <x v="5"/>
    <n v="2.8638888888888889"/>
    <n v="0"/>
  </r>
  <r>
    <n v="4186"/>
    <x v="3"/>
    <s v="Release 2.1"/>
    <d v="2012-05-01T17:11:18"/>
    <x v="9"/>
    <n v="2.5555555555555554"/>
    <n v="0"/>
  </r>
  <r>
    <n v="4187"/>
    <x v="14"/>
    <s v="Release 2.0"/>
    <d v="2012-01-09T18:55:22"/>
    <x v="16"/>
    <n v="2.8666666666666667"/>
    <n v="0"/>
  </r>
  <r>
    <n v="4192"/>
    <x v="12"/>
    <s v="Release 2.0"/>
    <d v="2012-01-09T20:27:48"/>
    <x v="9"/>
    <n v="2.8666666666666667"/>
    <n v="0"/>
  </r>
  <r>
    <n v="4207"/>
    <x v="12"/>
    <s v="Release 2.0"/>
    <d v="2012-01-11T18:56:45"/>
    <x v="9"/>
    <n v="2.8611111111111112"/>
    <n v="0"/>
  </r>
  <r>
    <n v="4208"/>
    <x v="11"/>
    <s v="Release 2.0"/>
    <d v="2012-01-10T18:33:57"/>
    <x v="10"/>
    <n v="2.8638888888888889"/>
    <n v="0"/>
  </r>
  <r>
    <n v="4209"/>
    <x v="11"/>
    <s v="Release 2.0"/>
    <d v="2012-01-12T18:28:19"/>
    <x v="24"/>
    <n v="2.8583333333333334"/>
    <n v="0"/>
  </r>
  <r>
    <n v="4216"/>
    <x v="12"/>
    <s v="Release 2.0"/>
    <d v="2012-01-11T18:44:10"/>
    <x v="9"/>
    <n v="2.8611111111111112"/>
    <n v="0"/>
  </r>
  <r>
    <n v="4238"/>
    <x v="12"/>
    <s v="Release 2.0"/>
    <d v="2012-01-10T16:14:01"/>
    <x v="5"/>
    <n v="2.8638888888888889"/>
    <n v="0"/>
  </r>
  <r>
    <n v="4245"/>
    <x v="14"/>
    <s v="Release 2.0"/>
    <d v="2012-01-10T18:49:24"/>
    <x v="10"/>
    <n v="2.8638888888888889"/>
    <n v="0"/>
  </r>
  <r>
    <n v="4262"/>
    <x v="12"/>
    <s v="Release 2.0"/>
    <d v="2012-01-09T20:19:52"/>
    <x v="16"/>
    <n v="2.8666666666666667"/>
    <n v="0"/>
  </r>
  <r>
    <n v="4271"/>
    <x v="12"/>
    <s v="Release 2.0"/>
    <d v="2012-01-11T18:53:05"/>
    <x v="9"/>
    <n v="2.8611111111111112"/>
    <n v="0"/>
  </r>
  <r>
    <n v="4280"/>
    <x v="14"/>
    <s v="Release 2.0"/>
    <d v="2012-01-09T19:43:12"/>
    <x v="19"/>
    <n v="2.8666666666666667"/>
    <n v="0"/>
  </r>
  <r>
    <n v="4302"/>
    <x v="8"/>
    <s v="Release 2.0"/>
    <d v="2012-01-12T16:11:51"/>
    <x v="2"/>
    <n v="2.8583333333333334"/>
    <n v="0"/>
  </r>
  <r>
    <n v="4306"/>
    <x v="12"/>
    <s v="Release 2.0"/>
    <d v="2012-01-11T18:05:51"/>
    <x v="35"/>
    <n v="2.8611111111111112"/>
    <n v="0"/>
  </r>
  <r>
    <n v="4327"/>
    <x v="3"/>
    <s v="Release 2.0"/>
    <d v="2012-01-11T20:34:56"/>
    <x v="7"/>
    <n v="2.8611111111111112"/>
    <n v="0"/>
  </r>
  <r>
    <n v="4346"/>
    <x v="12"/>
    <s v="Release 2.0"/>
    <d v="2012-01-10T15:14:29"/>
    <x v="5"/>
    <n v="2.8638888888888889"/>
    <n v="0"/>
  </r>
  <r>
    <n v="4353"/>
    <x v="12"/>
    <s v="Release 2.0"/>
    <d v="2012-01-10T18:26:51"/>
    <x v="10"/>
    <n v="2.8638888888888889"/>
    <n v="0"/>
  </r>
  <r>
    <n v="4359"/>
    <x v="14"/>
    <s v="Release 2.0"/>
    <d v="2012-01-09T15:58:27"/>
    <x v="36"/>
    <n v="2.8666666666666667"/>
    <n v="0"/>
  </r>
  <r>
    <n v="4365"/>
    <x v="14"/>
    <s v="Release 2.0"/>
    <d v="2012-01-09T15:38:11"/>
    <x v="36"/>
    <n v="2.8666666666666667"/>
    <n v="0"/>
  </r>
  <r>
    <n v="4367"/>
    <x v="12"/>
    <s v="Release 2.0"/>
    <d v="2012-01-12T09:28:35"/>
    <x v="15"/>
    <n v="2.8583333333333334"/>
    <n v="0"/>
  </r>
  <r>
    <n v="4368"/>
    <x v="11"/>
    <s v="Release 2.0"/>
    <d v="2012-01-09T22:54:42"/>
    <x v="5"/>
    <n v="2.8666666666666667"/>
    <n v="0"/>
  </r>
  <r>
    <n v="4372"/>
    <x v="12"/>
    <s v="Release 2.0"/>
    <d v="2012-01-11T19:40:51"/>
    <x v="5"/>
    <n v="2.8611111111111112"/>
    <n v="0"/>
  </r>
  <r>
    <n v="4397"/>
    <x v="12"/>
    <s v="Release 2.0"/>
    <d v="2012-01-09T22:53:18"/>
    <x v="5"/>
    <n v="2.8666666666666667"/>
    <n v="0"/>
  </r>
  <r>
    <n v="4429"/>
    <x v="17"/>
    <s v="Release 2.1"/>
    <d v="2012-04-30T16:42:57"/>
    <x v="35"/>
    <n v="2.5583333333333331"/>
    <n v="0"/>
  </r>
  <r>
    <n v="4438"/>
    <x v="12"/>
    <s v="Release 2.1"/>
    <d v="2012-05-02T16:47:48"/>
    <x v="9"/>
    <n v="2.5527777777777776"/>
    <n v="0"/>
  </r>
  <r>
    <n v="4446"/>
    <x v="12"/>
    <s v="Release 2.0"/>
    <d v="2012-01-11T21:25:05"/>
    <x v="5"/>
    <n v="2.8611111111111112"/>
    <n v="0"/>
  </r>
  <r>
    <n v="4465"/>
    <x v="12"/>
    <s v="Release 2.1"/>
    <d v="2012-04-30T17:17:27"/>
    <x v="9"/>
    <n v="2.5583333333333331"/>
    <n v="0"/>
  </r>
  <r>
    <n v="4470"/>
    <x v="0"/>
    <s v="Release 2.1"/>
    <d v="2012-04-30T17:23:01"/>
    <x v="19"/>
    <n v="2.5583333333333331"/>
    <n v="0"/>
  </r>
  <r>
    <n v="4477"/>
    <x v="17"/>
    <s v="Release 2.1"/>
    <d v="2012-05-01T15:39:59"/>
    <x v="20"/>
    <n v="2.5555555555555554"/>
    <n v="0"/>
  </r>
  <r>
    <n v="4494"/>
    <x v="13"/>
    <s v="Release 2.1"/>
    <d v="2012-05-01T23:31:10"/>
    <x v="35"/>
    <n v="2.5555555555555554"/>
    <n v="0"/>
  </r>
  <r>
    <n v="4495"/>
    <x v="30"/>
    <s v="Release 2.6"/>
    <d v="2013-07-23T17:32:05"/>
    <x v="23"/>
    <n v="1.3277777777777777"/>
    <n v="0"/>
  </r>
  <r>
    <n v="4496"/>
    <x v="21"/>
    <s v="Release 2.1"/>
    <d v="2012-04-30T22:47:07"/>
    <x v="19"/>
    <n v="2.5583333333333331"/>
    <n v="0"/>
  </r>
  <r>
    <n v="4500"/>
    <x v="12"/>
    <s v="Release 2.0"/>
    <d v="2012-01-18T16:34:38"/>
    <x v="5"/>
    <n v="2.8416666666666668"/>
    <n v="0"/>
  </r>
  <r>
    <n v="4536"/>
    <x v="12"/>
    <s v="Release 2.0"/>
    <d v="2012-02-01T22:15:19"/>
    <x v="8"/>
    <n v="2.8055555555555554"/>
    <n v="0"/>
  </r>
  <r>
    <n v="4542"/>
    <x v="3"/>
    <s v="Release 2.1"/>
    <d v="2012-05-01T22:20:09"/>
    <x v="8"/>
    <n v="2.5555555555555554"/>
    <n v="0"/>
  </r>
  <r>
    <n v="4552"/>
    <x v="8"/>
    <s v="Release 2.0"/>
    <d v="2012-01-20T19:32:44"/>
    <x v="3"/>
    <n v="2.8361111111111112"/>
    <n v="0"/>
  </r>
  <r>
    <n v="4555"/>
    <x v="16"/>
    <s v="Release 2.0"/>
    <d v="2012-01-20T21:59:19"/>
    <x v="9"/>
    <n v="2.8361111111111112"/>
    <n v="0"/>
  </r>
  <r>
    <n v="4558"/>
    <x v="8"/>
    <s v="Release 2.0"/>
    <d v="2012-01-19T15:41:45"/>
    <x v="2"/>
    <n v="2.838888888888889"/>
    <n v="0"/>
  </r>
  <r>
    <n v="4584"/>
    <x v="17"/>
    <s v="Release 2.1"/>
    <d v="2012-05-02T03:53:43"/>
    <x v="9"/>
    <n v="2.5527777777777776"/>
    <n v="0"/>
  </r>
  <r>
    <n v="4588"/>
    <x v="12"/>
    <s v="Release 2.0"/>
    <d v="2012-01-20T20:58:28"/>
    <x v="8"/>
    <n v="2.8361111111111112"/>
    <n v="0"/>
  </r>
  <r>
    <n v="4598"/>
    <x v="23"/>
    <s v="Release 2.1"/>
    <d v="2012-04-30T21:40:32"/>
    <x v="9"/>
    <n v="2.5583333333333331"/>
    <n v="0"/>
  </r>
  <r>
    <n v="4600"/>
    <x v="23"/>
    <s v="Release 2.1"/>
    <d v="2012-04-30T21:42:21"/>
    <x v="9"/>
    <n v="2.5583333333333331"/>
    <n v="0"/>
  </r>
  <r>
    <n v="4601"/>
    <x v="23"/>
    <s v="Release 2.1"/>
    <d v="2012-04-30T21:50:26"/>
    <x v="9"/>
    <n v="2.5583333333333331"/>
    <n v="0"/>
  </r>
  <r>
    <n v="4608"/>
    <x v="19"/>
    <s v="Release 2.0"/>
    <d v="2012-01-25T16:20:55"/>
    <x v="9"/>
    <n v="2.8222222222222224"/>
    <n v="0"/>
  </r>
  <r>
    <n v="4616"/>
    <x v="12"/>
    <s v="Release 2.1"/>
    <d v="2012-04-30T18:43:27"/>
    <x v="35"/>
    <n v="2.5583333333333331"/>
    <n v="0"/>
  </r>
  <r>
    <n v="4630"/>
    <x v="0"/>
    <s v="Release 2.0"/>
    <d v="2012-01-26T16:09:46"/>
    <x v="19"/>
    <n v="2.8194444444444446"/>
    <n v="0"/>
  </r>
  <r>
    <n v="4640"/>
    <x v="19"/>
    <s v="Release 2.0"/>
    <d v="2012-01-27T15:23:40"/>
    <x v="20"/>
    <n v="2.8166666666666669"/>
    <n v="0"/>
  </r>
  <r>
    <n v="4670"/>
    <x v="8"/>
    <s v="Release 2.1"/>
    <d v="2012-05-01T10:18:46"/>
    <x v="2"/>
    <n v="2.5555555555555554"/>
    <n v="0"/>
  </r>
  <r>
    <n v="4709"/>
    <x v="13"/>
    <s v="Release 2.0"/>
    <d v="2012-02-01T17:12:12"/>
    <x v="8"/>
    <n v="2.8055555555555554"/>
    <n v="0"/>
  </r>
  <r>
    <n v="4719"/>
    <x v="0"/>
    <s v="Release 2.0"/>
    <d v="2012-02-02T10:40:07"/>
    <x v="1"/>
    <n v="2.8027777777777776"/>
    <n v="0"/>
  </r>
  <r>
    <n v="4728"/>
    <x v="12"/>
    <s v="Release 2.1"/>
    <d v="2012-05-02T18:57:03"/>
    <x v="7"/>
    <n v="2.5527777777777776"/>
    <n v="0"/>
  </r>
  <r>
    <n v="4739"/>
    <x v="16"/>
    <s v="Release 2.3"/>
    <d v="2012-10-29T18:34:09"/>
    <x v="5"/>
    <n v="2.0611111111111109"/>
    <n v="0"/>
  </r>
  <r>
    <n v="4767"/>
    <x v="10"/>
    <s v="Release 2.1"/>
    <d v="2012-04-30T15:30:56"/>
    <x v="9"/>
    <n v="2.5583333333333331"/>
    <n v="0"/>
  </r>
  <r>
    <n v="4780"/>
    <x v="12"/>
    <s v="Release 2.1"/>
    <d v="2012-04-30T21:48:50"/>
    <x v="35"/>
    <n v="2.5583333333333331"/>
    <n v="0"/>
  </r>
  <r>
    <n v="4788"/>
    <x v="12"/>
    <s v="Release 2.1"/>
    <d v="2012-04-30T20:37:21"/>
    <x v="10"/>
    <n v="2.5583333333333331"/>
    <n v="0"/>
  </r>
  <r>
    <n v="4794"/>
    <x v="12"/>
    <s v="Release 2.1"/>
    <d v="2012-05-02T17:47:31"/>
    <x v="5"/>
    <n v="2.5527777777777776"/>
    <n v="0"/>
  </r>
  <r>
    <n v="4799"/>
    <x v="16"/>
    <s v="Release 2.1"/>
    <d v="2012-04-30T18:10:28"/>
    <x v="19"/>
    <n v="2.5583333333333331"/>
    <n v="0"/>
  </r>
  <r>
    <n v="4805"/>
    <x v="11"/>
    <s v="Release 2.1"/>
    <d v="2012-05-01T20:29:10"/>
    <x v="10"/>
    <n v="2.5555555555555554"/>
    <n v="0"/>
  </r>
  <r>
    <n v="4806"/>
    <x v="11"/>
    <s v="Release 2.1"/>
    <d v="2012-05-01T20:33:35"/>
    <x v="16"/>
    <n v="2.5555555555555554"/>
    <n v="0"/>
  </r>
  <r>
    <n v="4811"/>
    <x v="16"/>
    <s v="Release 2.1"/>
    <d v="2012-04-30T20:32:25"/>
    <x v="5"/>
    <n v="2.5583333333333331"/>
    <n v="0"/>
  </r>
  <r>
    <n v="4828"/>
    <x v="12"/>
    <s v="Release 2.1"/>
    <d v="2012-04-30T21:07:30"/>
    <x v="10"/>
    <n v="2.5583333333333331"/>
    <n v="0"/>
  </r>
  <r>
    <n v="4829"/>
    <x v="12"/>
    <s v="Release 2.1"/>
    <d v="2012-05-02T18:20:06"/>
    <x v="10"/>
    <n v="2.5527777777777776"/>
    <n v="0"/>
  </r>
  <r>
    <n v="4833"/>
    <x v="13"/>
    <s v="Release 2.1"/>
    <d v="2012-04-30T14:26:21"/>
    <x v="13"/>
    <n v="2.5583333333333331"/>
    <n v="0"/>
  </r>
  <r>
    <n v="4841"/>
    <x v="28"/>
    <s v="Release 3.0"/>
    <d v="2013-10-07T11:55:56"/>
    <x v="21"/>
    <n v="1.1222222222222222"/>
    <n v="0"/>
  </r>
  <r>
    <n v="4844"/>
    <x v="11"/>
    <s v="Release 2.1"/>
    <d v="2012-05-01T21:47:17"/>
    <x v="16"/>
    <n v="2.5555555555555554"/>
    <n v="0"/>
  </r>
  <r>
    <n v="4858"/>
    <x v="17"/>
    <s v="Release 2.1"/>
    <d v="2014-05-01T11:16:36"/>
    <x v="35"/>
    <n v="0.55555555555555558"/>
    <n v="1"/>
  </r>
  <r>
    <n v="4861"/>
    <x v="12"/>
    <s v="Release 2.1"/>
    <d v="2012-05-01T04:02:49"/>
    <x v="9"/>
    <n v="2.5555555555555554"/>
    <n v="0"/>
  </r>
  <r>
    <n v="4863"/>
    <x v="20"/>
    <s v="Release 2.4"/>
    <d v="2013-01-29T14:53:02"/>
    <x v="8"/>
    <n v="1.8111111111111111"/>
    <n v="0"/>
  </r>
  <r>
    <n v="4881"/>
    <x v="23"/>
    <s v="Release 2.1"/>
    <d v="2012-04-30T15:01:29"/>
    <x v="10"/>
    <n v="2.5583333333333331"/>
    <n v="0"/>
  </r>
  <r>
    <n v="4897"/>
    <x v="12"/>
    <s v="Release 2.1"/>
    <d v="2012-05-04T16:53:09"/>
    <x v="9"/>
    <n v="2.5472222222222221"/>
    <n v="0"/>
  </r>
  <r>
    <n v="4898"/>
    <x v="12"/>
    <s v="Release 2.1"/>
    <d v="2012-05-02T17:05:24"/>
    <x v="8"/>
    <n v="2.5527777777777776"/>
    <n v="0"/>
  </r>
  <r>
    <n v="4903"/>
    <x v="12"/>
    <s v="Release 2.1"/>
    <d v="2012-04-30T18:39:54"/>
    <x v="35"/>
    <n v="2.5583333333333331"/>
    <n v="0"/>
  </r>
  <r>
    <n v="4928"/>
    <x v="6"/>
    <s v="Release 3.2"/>
    <d v="2014-02-13T20:24:47"/>
    <x v="7"/>
    <n v="0.77222222222222225"/>
    <n v="1"/>
  </r>
  <r>
    <n v="4930"/>
    <x v="11"/>
    <s v="Release 2.1"/>
    <d v="2012-05-02T16:58:34"/>
    <x v="35"/>
    <n v="2.5527777777777776"/>
    <n v="0"/>
  </r>
  <r>
    <n v="4934"/>
    <x v="16"/>
    <s v="Release 2.1"/>
    <d v="2012-04-30T22:17:47"/>
    <x v="8"/>
    <n v="2.5583333333333331"/>
    <n v="0"/>
  </r>
  <r>
    <n v="4941"/>
    <x v="12"/>
    <s v="Release 2.1"/>
    <d v="2012-05-01T14:13:37"/>
    <x v="5"/>
    <n v="2.5555555555555554"/>
    <n v="0"/>
  </r>
  <r>
    <n v="4942"/>
    <x v="0"/>
    <s v="Release 2.1"/>
    <d v="2012-05-01T16:44:01"/>
    <x v="9"/>
    <n v="2.5555555555555554"/>
    <n v="0"/>
  </r>
  <r>
    <n v="4967"/>
    <x v="12"/>
    <s v="Release 2.1"/>
    <d v="2012-05-01T20:24:38"/>
    <x v="9"/>
    <n v="2.5555555555555554"/>
    <n v="0"/>
  </r>
  <r>
    <n v="5005"/>
    <x v="21"/>
    <s v="Release 2.1"/>
    <d v="2012-04-30T22:48:50"/>
    <x v="16"/>
    <n v="2.5583333333333331"/>
    <n v="0"/>
  </r>
  <r>
    <n v="5010"/>
    <x v="12"/>
    <s v="Release 2.1"/>
    <d v="2012-04-30T22:02:29"/>
    <x v="16"/>
    <n v="2.5583333333333331"/>
    <n v="0"/>
  </r>
  <r>
    <n v="5024"/>
    <x v="12"/>
    <s v="Release 2.1"/>
    <d v="2012-05-04T16:53:10"/>
    <x v="9"/>
    <n v="2.5472222222222221"/>
    <n v="0"/>
  </r>
  <r>
    <n v="5025"/>
    <x v="0"/>
    <s v="Release 2.1"/>
    <d v="2012-05-01T15:16:25"/>
    <x v="1"/>
    <n v="2.5555555555555554"/>
    <n v="0"/>
  </r>
  <r>
    <n v="5034"/>
    <x v="12"/>
    <s v="Release 2.1"/>
    <d v="2012-05-01T10:32:02"/>
    <x v="2"/>
    <n v="2.5555555555555554"/>
    <n v="0"/>
  </r>
  <r>
    <n v="5059"/>
    <x v="12"/>
    <s v="Release 2.1"/>
    <d v="2012-05-04T16:53:27"/>
    <x v="8"/>
    <n v="2.5472222222222221"/>
    <n v="0"/>
  </r>
  <r>
    <n v="5068"/>
    <x v="12"/>
    <s v="Release 2.1"/>
    <d v="2012-04-30T18:54:32"/>
    <x v="35"/>
    <n v="2.5583333333333331"/>
    <n v="0"/>
  </r>
  <r>
    <n v="5071"/>
    <x v="26"/>
    <s v="Release 2.3"/>
    <d v="2014-02-28T14:38:48"/>
    <x v="7"/>
    <n v="0.72499999999999998"/>
    <n v="1"/>
  </r>
  <r>
    <n v="5077"/>
    <x v="21"/>
    <s v="Release 2.1"/>
    <d v="2012-04-16T14:56:14"/>
    <x v="3"/>
    <n v="2.5972222222222223"/>
    <n v="0"/>
  </r>
  <r>
    <n v="5079"/>
    <x v="12"/>
    <s v="Release 2.1"/>
    <d v="2012-05-01T16:54:46"/>
    <x v="5"/>
    <n v="2.5555555555555554"/>
    <n v="0"/>
  </r>
  <r>
    <n v="5100"/>
    <x v="11"/>
    <s v="Release 2.1"/>
    <d v="2012-04-30T19:41:11"/>
    <x v="35"/>
    <n v="2.5583333333333331"/>
    <n v="0"/>
  </r>
  <r>
    <n v="5101"/>
    <x v="8"/>
    <s v="Release 2.2"/>
    <d v="2012-08-06T22:37:03"/>
    <x v="16"/>
    <n v="2.2916666666666665"/>
    <n v="0"/>
  </r>
  <r>
    <n v="5122"/>
    <x v="16"/>
    <s v="Release 2.1"/>
    <d v="2012-04-30T18:30:14"/>
    <x v="8"/>
    <n v="2.5583333333333331"/>
    <n v="0"/>
  </r>
  <r>
    <n v="5145"/>
    <x v="16"/>
    <s v="Release 2.1"/>
    <d v="2012-04-30T16:11:34"/>
    <x v="19"/>
    <n v="2.5583333333333331"/>
    <n v="0"/>
  </r>
  <r>
    <n v="5147"/>
    <x v="3"/>
    <s v="Release 2.1"/>
    <d v="2012-04-30T20:34:37"/>
    <x v="8"/>
    <n v="2.5583333333333331"/>
    <n v="0"/>
  </r>
  <r>
    <n v="5148"/>
    <x v="11"/>
    <s v="Release 2.1"/>
    <d v="2012-04-30T22:31:28"/>
    <x v="16"/>
    <n v="2.5583333333333331"/>
    <n v="0"/>
  </r>
  <r>
    <n v="5149"/>
    <x v="14"/>
    <s v="Release 2.1"/>
    <d v="2012-05-01T14:58:26"/>
    <x v="5"/>
    <n v="2.5555555555555554"/>
    <n v="0"/>
  </r>
  <r>
    <n v="5168"/>
    <x v="11"/>
    <s v="Release 2.1"/>
    <d v="2012-04-30T14:48:43"/>
    <x v="10"/>
    <n v="2.5583333333333331"/>
    <n v="0"/>
  </r>
  <r>
    <n v="5169"/>
    <x v="21"/>
    <s v="Release 2.1"/>
    <d v="2012-04-30T21:42:06"/>
    <x v="35"/>
    <n v="2.5583333333333331"/>
    <n v="0"/>
  </r>
  <r>
    <n v="5173"/>
    <x v="16"/>
    <s v="Release 2.2"/>
    <d v="2012-08-06T14:14:20"/>
    <x v="4"/>
    <n v="2.2916666666666665"/>
    <n v="0"/>
  </r>
  <r>
    <n v="5174"/>
    <x v="0"/>
    <s v="Release 2.5"/>
    <d v="2013-03-01T11:17:44"/>
    <x v="11"/>
    <n v="1.7222222222222223"/>
    <n v="0"/>
  </r>
  <r>
    <n v="5185"/>
    <x v="21"/>
    <s v="Release 2.1"/>
    <d v="2012-05-01T14:46:58"/>
    <x v="19"/>
    <n v="2.5555555555555554"/>
    <n v="0"/>
  </r>
  <r>
    <n v="5186"/>
    <x v="23"/>
    <s v="Release 2.2"/>
    <d v="2012-08-06T19:22:14"/>
    <x v="9"/>
    <n v="2.2916666666666665"/>
    <n v="0"/>
  </r>
  <r>
    <n v="5195"/>
    <x v="23"/>
    <s v="Release 2.2"/>
    <d v="2012-08-06T19:34:06"/>
    <x v="10"/>
    <n v="2.2916666666666665"/>
    <n v="0"/>
  </r>
  <r>
    <n v="5209"/>
    <x v="2"/>
    <s v="Release 2.5"/>
    <d v="2013-04-19T16:05:25"/>
    <x v="8"/>
    <n v="1.5888888888888888"/>
    <n v="0"/>
  </r>
  <r>
    <n v="5211"/>
    <x v="12"/>
    <s v="Release 2.1"/>
    <d v="2012-05-04T16:53:13"/>
    <x v="8"/>
    <n v="2.5472222222222221"/>
    <n v="0"/>
  </r>
  <r>
    <n v="5213"/>
    <x v="18"/>
    <s v="Release 2.1"/>
    <d v="2012-05-04T16:53:21"/>
    <x v="7"/>
    <n v="2.5472222222222221"/>
    <n v="0"/>
  </r>
  <r>
    <n v="5218"/>
    <x v="0"/>
    <s v="Release 2.1"/>
    <d v="2012-05-04T16:53:14"/>
    <x v="9"/>
    <n v="2.5472222222222221"/>
    <n v="0"/>
  </r>
  <r>
    <n v="5230"/>
    <x v="12"/>
    <s v="Release 2.2"/>
    <d v="2012-08-06T14:38:51"/>
    <x v="10"/>
    <n v="2.2916666666666665"/>
    <n v="0"/>
  </r>
  <r>
    <n v="5253"/>
    <x v="14"/>
    <s v="Release 2.2"/>
    <d v="2012-08-07T18:26:15"/>
    <x v="5"/>
    <n v="2.2888888888888888"/>
    <n v="0"/>
  </r>
  <r>
    <n v="5254"/>
    <x v="16"/>
    <s v="Release 2.1"/>
    <d v="2012-05-04T16:53:42"/>
    <x v="7"/>
    <n v="2.5472222222222221"/>
    <n v="0"/>
  </r>
  <r>
    <n v="5262"/>
    <x v="0"/>
    <s v="Release 2.2"/>
    <d v="2012-08-06T13:35:28"/>
    <x v="4"/>
    <n v="2.2916666666666665"/>
    <n v="0"/>
  </r>
  <r>
    <n v="5273"/>
    <x v="16"/>
    <s v="Release 2.2"/>
    <d v="2012-08-06T17:36:21"/>
    <x v="7"/>
    <n v="2.2916666666666665"/>
    <n v="0"/>
  </r>
  <r>
    <n v="5276"/>
    <x v="4"/>
    <s v="Release 2.2"/>
    <d v="2012-08-06T17:18:27"/>
    <x v="35"/>
    <n v="2.2916666666666665"/>
    <n v="0"/>
  </r>
  <r>
    <n v="5280"/>
    <x v="16"/>
    <s v="Release 2.2"/>
    <d v="2012-08-06T10:54:33"/>
    <x v="4"/>
    <n v="2.2916666666666665"/>
    <n v="0"/>
  </r>
  <r>
    <n v="5294"/>
    <x v="11"/>
    <s v="Release 2.4"/>
    <d v="2013-01-29T14:56:14"/>
    <x v="16"/>
    <n v="1.8111111111111111"/>
    <n v="0"/>
  </r>
  <r>
    <n v="5295"/>
    <x v="11"/>
    <s v="Release 2.4"/>
    <d v="2013-01-28T15:41:52"/>
    <x v="16"/>
    <n v="1.8138888888888889"/>
    <n v="0"/>
  </r>
  <r>
    <n v="5312"/>
    <x v="0"/>
    <s v="Release 2.2"/>
    <d v="2012-08-06T15:51:34"/>
    <x v="10"/>
    <n v="2.2916666666666665"/>
    <n v="0"/>
  </r>
  <r>
    <n v="5327"/>
    <x v="11"/>
    <s v="Release 2.3"/>
    <d v="2012-11-02T16:43:52"/>
    <x v="16"/>
    <n v="2.0527777777777776"/>
    <n v="0"/>
  </r>
  <r>
    <n v="5333"/>
    <x v="23"/>
    <s v="Release 2.2"/>
    <d v="2012-08-06T15:43:31"/>
    <x v="35"/>
    <n v="2.2916666666666665"/>
    <n v="0"/>
  </r>
  <r>
    <n v="5363"/>
    <x v="13"/>
    <s v="Release 2.2"/>
    <d v="2012-08-06T16:32:50"/>
    <x v="15"/>
    <n v="2.2916666666666665"/>
    <n v="0"/>
  </r>
  <r>
    <n v="5366"/>
    <x v="0"/>
    <s v="Release 2.5"/>
    <d v="2013-03-01T20:28:25"/>
    <x v="10"/>
    <n v="1.7222222222222223"/>
    <n v="0"/>
  </r>
  <r>
    <n v="5377"/>
    <x v="42"/>
    <s v="Release 2.2"/>
    <d v="2012-08-07T12:13:59"/>
    <x v="4"/>
    <n v="2.2888888888888888"/>
    <n v="0"/>
  </r>
  <r>
    <n v="5381"/>
    <x v="42"/>
    <s v="Release 2.2"/>
    <d v="2012-08-07T15:57:45"/>
    <x v="9"/>
    <n v="2.2888888888888888"/>
    <n v="0"/>
  </r>
  <r>
    <n v="5399"/>
    <x v="16"/>
    <s v="Release 2.2"/>
    <d v="2012-08-06T19:16:23"/>
    <x v="7"/>
    <n v="2.2916666666666665"/>
    <n v="0"/>
  </r>
  <r>
    <n v="5400"/>
    <x v="11"/>
    <s v="Release 2.4"/>
    <d v="2013-01-29T22:28:12"/>
    <x v="9"/>
    <n v="1.8111111111111111"/>
    <n v="0"/>
  </r>
  <r>
    <n v="5408"/>
    <x v="13"/>
    <s v="Release 2.2"/>
    <d v="2012-08-06T16:34:49"/>
    <x v="15"/>
    <n v="2.2916666666666665"/>
    <n v="0"/>
  </r>
  <r>
    <n v="5420"/>
    <x v="23"/>
    <s v="Release 2.3"/>
    <d v="2012-11-02T16:45:35"/>
    <x v="7"/>
    <n v="2.0527777777777776"/>
    <n v="0"/>
  </r>
  <r>
    <n v="5447"/>
    <x v="14"/>
    <s v="Release 2.2"/>
    <d v="2012-08-06T22:55:03"/>
    <x v="5"/>
    <n v="2.2916666666666665"/>
    <n v="0"/>
  </r>
  <r>
    <n v="5455"/>
    <x v="0"/>
    <s v="Release 2.2"/>
    <d v="2012-08-06T15:42:45"/>
    <x v="35"/>
    <n v="2.2916666666666665"/>
    <n v="0"/>
  </r>
  <r>
    <n v="5479"/>
    <x v="16"/>
    <s v="Release 2.2"/>
    <d v="2012-08-06T15:54:33"/>
    <x v="10"/>
    <n v="2.2916666666666665"/>
    <n v="0"/>
  </r>
  <r>
    <n v="5482"/>
    <x v="6"/>
    <s v="Release 3.1"/>
    <d v="2013-11-21T20:55:59"/>
    <x v="7"/>
    <n v="1"/>
    <n v="0"/>
  </r>
  <r>
    <n v="5486"/>
    <x v="19"/>
    <s v="Release 2.2"/>
    <d v="2012-08-08T16:45:58"/>
    <x v="2"/>
    <n v="2.286111111111111"/>
    <n v="0"/>
  </r>
  <r>
    <n v="5492"/>
    <x v="16"/>
    <s v="Release 2.2"/>
    <d v="2012-08-06T17:05:06"/>
    <x v="35"/>
    <n v="2.2916666666666665"/>
    <n v="0"/>
  </r>
  <r>
    <n v="5593"/>
    <x v="19"/>
    <s v="Release 2.2"/>
    <d v="2012-08-14T19:45:05"/>
    <x v="35"/>
    <n v="2.2694444444444444"/>
    <n v="0"/>
  </r>
  <r>
    <n v="5598"/>
    <x v="16"/>
    <s v="Release 2.2"/>
    <d v="2012-08-06T22:38:57"/>
    <x v="7"/>
    <n v="2.2916666666666665"/>
    <n v="0"/>
  </r>
  <r>
    <n v="5600"/>
    <x v="0"/>
    <s v="Release 2.2"/>
    <d v="2012-08-06T14:45:24"/>
    <x v="10"/>
    <n v="2.2916666666666665"/>
    <n v="0"/>
  </r>
  <r>
    <n v="5601"/>
    <x v="16"/>
    <s v="Release 2.2"/>
    <d v="2012-08-06T16:59:39"/>
    <x v="35"/>
    <n v="2.2916666666666665"/>
    <n v="0"/>
  </r>
  <r>
    <n v="5606"/>
    <x v="16"/>
    <s v="Release 2.2"/>
    <d v="2012-11-02T16:42:46"/>
    <x v="35"/>
    <n v="2.0527777777777776"/>
    <n v="0"/>
  </r>
  <r>
    <n v="5617"/>
    <x v="16"/>
    <s v="Release 2.2"/>
    <d v="2012-08-07T16:32:39"/>
    <x v="10"/>
    <n v="2.2888888888888888"/>
    <n v="0"/>
  </r>
  <r>
    <n v="5639"/>
    <x v="16"/>
    <s v="Release 2.2"/>
    <d v="2012-08-06T16:54:40"/>
    <x v="35"/>
    <n v="2.2916666666666665"/>
    <n v="0"/>
  </r>
  <r>
    <n v="5643"/>
    <x v="16"/>
    <s v="Release 2.2"/>
    <d v="2012-08-06T15:50:12"/>
    <x v="35"/>
    <n v="2.2916666666666665"/>
    <n v="0"/>
  </r>
  <r>
    <n v="5654"/>
    <x v="0"/>
    <s v="Release 2.2"/>
    <d v="2012-08-06T15:44:36"/>
    <x v="35"/>
    <n v="2.2916666666666665"/>
    <n v="0"/>
  </r>
  <r>
    <n v="5676"/>
    <x v="16"/>
    <s v="Release 2.2"/>
    <d v="2012-08-14T19:44:38"/>
    <x v="35"/>
    <n v="2.2694444444444444"/>
    <n v="0"/>
  </r>
  <r>
    <n v="5679"/>
    <x v="16"/>
    <s v="Release 2.3"/>
    <d v="2012-10-30T15:21:31"/>
    <x v="11"/>
    <n v="2.0583333333333331"/>
    <n v="0"/>
  </r>
  <r>
    <n v="5729"/>
    <x v="3"/>
    <s v="Release 2.4"/>
    <d v="2013-01-29T17:16:11"/>
    <x v="8"/>
    <n v="1.8111111111111111"/>
    <n v="0"/>
  </r>
  <r>
    <n v="5738"/>
    <x v="0"/>
    <s v="Release 3.3"/>
    <d v="2014-06-16T21:33:15"/>
    <x v="0"/>
    <n v="0.43055555555555558"/>
    <n v="1"/>
  </r>
  <r>
    <n v="5745"/>
    <x v="27"/>
    <s v="Release 2.3"/>
    <d v="2012-10-30T21:36:49"/>
    <x v="7"/>
    <n v="2.0583333333333331"/>
    <n v="0"/>
  </r>
  <r>
    <n v="5767"/>
    <x v="0"/>
    <s v="Release 2.3"/>
    <d v="2012-10-29T14:55:13"/>
    <x v="21"/>
    <n v="2.0611111111111109"/>
    <n v="0"/>
  </r>
  <r>
    <n v="5772"/>
    <x v="51"/>
    <s v="Release 2.4"/>
    <d v="2013-01-29T14:44:18"/>
    <x v="0"/>
    <n v="1.8111111111111111"/>
    <n v="0"/>
  </r>
  <r>
    <n v="5783"/>
    <x v="16"/>
    <s v="Release 2.3"/>
    <d v="2012-10-30T15:18:32"/>
    <x v="11"/>
    <n v="2.0583333333333331"/>
    <n v="0"/>
  </r>
  <r>
    <n v="5785"/>
    <x v="18"/>
    <s v="Release 2.3"/>
    <d v="2012-10-31T10:42:52"/>
    <x v="1"/>
    <n v="2.0583333333333331"/>
    <n v="0"/>
  </r>
  <r>
    <n v="5786"/>
    <x v="42"/>
    <s v="Release 2.4"/>
    <d v="2013-01-29T22:20:02"/>
    <x v="9"/>
    <n v="1.8111111111111111"/>
    <n v="0"/>
  </r>
  <r>
    <n v="5789"/>
    <x v="18"/>
    <s v="Release 2.3"/>
    <d v="2012-11-02T16:45:31"/>
    <x v="1"/>
    <n v="2.0527777777777776"/>
    <n v="0"/>
  </r>
  <r>
    <n v="5804"/>
    <x v="0"/>
    <s v="Release 2.3"/>
    <d v="2012-10-29T18:57:47"/>
    <x v="16"/>
    <n v="2.0611111111111109"/>
    <n v="0"/>
  </r>
  <r>
    <n v="5824"/>
    <x v="0"/>
    <s v="Release 2.3"/>
    <d v="2012-10-29T17:10:23"/>
    <x v="9"/>
    <n v="2.0611111111111109"/>
    <n v="0"/>
  </r>
  <r>
    <n v="5828"/>
    <x v="0"/>
    <s v="Release 2.3"/>
    <d v="2012-11-02T16:44:50"/>
    <x v="10"/>
    <n v="2.0527777777777776"/>
    <n v="0"/>
  </r>
  <r>
    <n v="5835"/>
    <x v="0"/>
    <s v="Release 2.3"/>
    <d v="2012-10-30T17:17:13"/>
    <x v="16"/>
    <n v="2.0583333333333331"/>
    <n v="0"/>
  </r>
  <r>
    <n v="5868"/>
    <x v="51"/>
    <s v="Release 2.3"/>
    <d v="2012-11-02T16:42:45"/>
    <x v="45"/>
    <n v="2.0527777777777776"/>
    <n v="0"/>
  </r>
  <r>
    <n v="5869"/>
    <x v="23"/>
    <s v="Release 2.3"/>
    <d v="2012-11-02T16:44:51"/>
    <x v="3"/>
    <n v="2.0527777777777776"/>
    <n v="0"/>
  </r>
  <r>
    <n v="5882"/>
    <x v="16"/>
    <s v="Release 2.4"/>
    <d v="2013-01-29T22:21:27"/>
    <x v="9"/>
    <n v="1.8111111111111111"/>
    <n v="0"/>
  </r>
  <r>
    <n v="5897"/>
    <x v="11"/>
    <s v="Release 2.3"/>
    <d v="2012-11-02T16:43:46"/>
    <x v="5"/>
    <n v="2.0527777777777776"/>
    <n v="0"/>
  </r>
  <r>
    <n v="5898"/>
    <x v="11"/>
    <s v="Release 2.3"/>
    <d v="2012-11-02T16:43:37"/>
    <x v="7"/>
    <n v="2.0527777777777776"/>
    <n v="0"/>
  </r>
  <r>
    <n v="5901"/>
    <x v="42"/>
    <s v="Release 2.3"/>
    <d v="2012-11-02T16:43:41"/>
    <x v="9"/>
    <n v="2.0527777777777776"/>
    <n v="0"/>
  </r>
  <r>
    <n v="5903"/>
    <x v="0"/>
    <s v="Release 2.3"/>
    <d v="2012-11-02T16:43:42"/>
    <x v="21"/>
    <n v="2.0527777777777776"/>
    <n v="0"/>
  </r>
  <r>
    <n v="5910"/>
    <x v="16"/>
    <s v="Release 2.3"/>
    <d v="2012-11-02T16:43:58"/>
    <x v="13"/>
    <n v="2.0527777777777776"/>
    <n v="0"/>
  </r>
  <r>
    <n v="5929"/>
    <x v="16"/>
    <s v="Release 2.3"/>
    <d v="2012-11-02T16:44:13"/>
    <x v="7"/>
    <n v="2.0527777777777776"/>
    <n v="0"/>
  </r>
  <r>
    <n v="5936"/>
    <x v="22"/>
    <s v="Release 2.3"/>
    <d v="2012-10-29T17:04:07"/>
    <x v="22"/>
    <n v="2.0611111111111109"/>
    <n v="0"/>
  </r>
  <r>
    <n v="5953"/>
    <x v="3"/>
    <s v="Release 2.3"/>
    <d v="2012-11-02T16:44:31"/>
    <x v="7"/>
    <n v="2.0527777777777776"/>
    <n v="0"/>
  </r>
  <r>
    <n v="5977"/>
    <x v="34"/>
    <s v="Release 3.3"/>
    <d v="2014-08-04T09:27:12"/>
    <x v="0"/>
    <n v="0.29722222222222222"/>
    <n v="1"/>
  </r>
  <r>
    <n v="5978"/>
    <x v="6"/>
    <s v="Release 3.3"/>
    <d v="2014-10-29T14:25:26"/>
    <x v="29"/>
    <n v="6.1111111111111109E-2"/>
    <n v="1"/>
  </r>
  <r>
    <n v="5983"/>
    <x v="4"/>
    <s v="Release 3.3"/>
    <d v="2014-09-02T21:17:00"/>
    <x v="5"/>
    <n v="0.21944444444444444"/>
    <n v="1"/>
  </r>
  <r>
    <n v="5988"/>
    <x v="16"/>
    <s v="Release 2.3"/>
    <d v="2012-11-02T16:45:41"/>
    <x v="11"/>
    <n v="2.0527777777777776"/>
    <n v="0"/>
  </r>
  <r>
    <n v="5990"/>
    <x v="16"/>
    <s v="Release 2.3"/>
    <d v="2012-12-06T21:10:52"/>
    <x v="13"/>
    <n v="1.9583333333333333"/>
    <n v="0"/>
  </r>
  <r>
    <n v="6012"/>
    <x v="16"/>
    <s v="Release 2.3"/>
    <d v="2012-11-02T16:45:57"/>
    <x v="12"/>
    <n v="2.0527777777777776"/>
    <n v="0"/>
  </r>
  <r>
    <n v="6013"/>
    <x v="21"/>
    <s v="Release 2.3"/>
    <d v="2012-11-02T16:45:52"/>
    <x v="7"/>
    <n v="2.0527777777777776"/>
    <n v="0"/>
  </r>
  <r>
    <n v="6026"/>
    <x v="22"/>
    <s v="Release 2.3"/>
    <d v="2012-11-02T16:45:49"/>
    <x v="9"/>
    <n v="2.0527777777777776"/>
    <n v="0"/>
  </r>
  <r>
    <n v="6036"/>
    <x v="11"/>
    <s v="Release 2.4"/>
    <d v="2013-01-29T17:15:19"/>
    <x v="9"/>
    <n v="1.8111111111111111"/>
    <n v="0"/>
  </r>
  <r>
    <n v="6059"/>
    <x v="14"/>
    <s v="Release 2.4"/>
    <d v="2013-01-29T14:49:36"/>
    <x v="35"/>
    <n v="1.8111111111111111"/>
    <n v="0"/>
  </r>
  <r>
    <n v="6095"/>
    <x v="23"/>
    <s v="Release 2.4"/>
    <d v="2013-01-28T15:21:33"/>
    <x v="4"/>
    <n v="1.8138888888888889"/>
    <n v="0"/>
  </r>
  <r>
    <n v="6096"/>
    <x v="2"/>
    <s v="Release 2.4"/>
    <d v="2013-02-04T11:08:25"/>
    <x v="8"/>
    <n v="1.7972222222222223"/>
    <n v="0"/>
  </r>
  <r>
    <n v="6097"/>
    <x v="2"/>
    <s v="Release 2.4"/>
    <d v="2013-01-30T22:52:26"/>
    <x v="8"/>
    <n v="1.8083333333333333"/>
    <n v="0"/>
  </r>
  <r>
    <n v="6098"/>
    <x v="2"/>
    <s v="Release 2.4"/>
    <d v="2013-01-30T22:53:08"/>
    <x v="8"/>
    <n v="1.8083333333333333"/>
    <n v="0"/>
  </r>
  <r>
    <n v="6099"/>
    <x v="3"/>
    <s v="Release 2.4"/>
    <d v="2013-01-29T16:58:41"/>
    <x v="7"/>
    <n v="1.8111111111111111"/>
    <n v="0"/>
  </r>
  <r>
    <n v="6102"/>
    <x v="23"/>
    <s v="Release 2.4"/>
    <d v="2013-01-29T14:46:36"/>
    <x v="35"/>
    <n v="1.8111111111111111"/>
    <n v="0"/>
  </r>
  <r>
    <n v="6118"/>
    <x v="42"/>
    <s v="Release 2.4"/>
    <d v="2013-01-28T15:28:16"/>
    <x v="4"/>
    <n v="1.8138888888888889"/>
    <n v="0"/>
  </r>
  <r>
    <n v="6132"/>
    <x v="27"/>
    <s v="Release 2.6"/>
    <d v="2013-06-27T12:52:34"/>
    <x v="10"/>
    <n v="1.4"/>
    <n v="0"/>
  </r>
  <r>
    <n v="6209"/>
    <x v="16"/>
    <s v="Release 2.4"/>
    <d v="2013-01-28T16:03:54"/>
    <x v="12"/>
    <n v="1.8138888888888889"/>
    <n v="0"/>
  </r>
  <r>
    <n v="6218"/>
    <x v="3"/>
    <s v="Release 2.4"/>
    <d v="2013-01-28T21:59:50"/>
    <x v="7"/>
    <n v="1.8138888888888889"/>
    <n v="0"/>
  </r>
  <r>
    <n v="6222"/>
    <x v="16"/>
    <s v="Release 2.4"/>
    <d v="2013-01-29T17:07:30"/>
    <x v="8"/>
    <n v="1.8111111111111111"/>
    <n v="0"/>
  </r>
  <r>
    <n v="6225"/>
    <x v="22"/>
    <s v="Release 2.4"/>
    <d v="2013-01-31T11:52:48"/>
    <x v="4"/>
    <n v="1.8083333333333333"/>
    <n v="0"/>
  </r>
  <r>
    <n v="6231"/>
    <x v="6"/>
    <s v="Release 2.4"/>
    <d v="2013-01-28T14:58:05"/>
    <x v="4"/>
    <n v="1.8138888888888889"/>
    <n v="0"/>
  </r>
  <r>
    <n v="6266"/>
    <x v="16"/>
    <s v="Release 2.4"/>
    <d v="2013-01-29T17:24:51"/>
    <x v="8"/>
    <n v="1.8111111111111111"/>
    <n v="0"/>
  </r>
  <r>
    <n v="6274"/>
    <x v="0"/>
    <s v="Release 3.0"/>
    <d v="2013-08-16T14:09:39"/>
    <x v="5"/>
    <n v="1.2638888888888888"/>
    <n v="0"/>
  </r>
  <r>
    <n v="6302"/>
    <x v="16"/>
    <s v="Release 2.4"/>
    <d v="2013-01-30T19:55:12"/>
    <x v="5"/>
    <n v="1.8083333333333333"/>
    <n v="0"/>
  </r>
  <r>
    <n v="6308"/>
    <x v="0"/>
    <s v="Release 2.4"/>
    <d v="2013-01-28T20:03:13"/>
    <x v="9"/>
    <n v="1.8138888888888889"/>
    <n v="0"/>
  </r>
  <r>
    <n v="6337"/>
    <x v="0"/>
    <s v="Release 2.4"/>
    <d v="2013-01-29T21:28:18"/>
    <x v="16"/>
    <n v="1.8111111111111111"/>
    <n v="0"/>
  </r>
  <r>
    <n v="6348"/>
    <x v="23"/>
    <s v="Release 2.4"/>
    <d v="2013-01-29T18:37:44"/>
    <x v="3"/>
    <n v="1.8111111111111111"/>
    <n v="0"/>
  </r>
  <r>
    <n v="6357"/>
    <x v="16"/>
    <s v="Release 2.4"/>
    <d v="2013-01-29T13:55:32"/>
    <x v="4"/>
    <n v="1.8111111111111111"/>
    <n v="0"/>
  </r>
  <r>
    <n v="6359"/>
    <x v="0"/>
    <s v="Release 2.6"/>
    <d v="2013-07-05T21:50:07"/>
    <x v="5"/>
    <n v="1.3777777777777778"/>
    <n v="0"/>
  </r>
  <r>
    <n v="6361"/>
    <x v="16"/>
    <s v="Release 2.4"/>
    <d v="2013-01-28T19:49:36"/>
    <x v="7"/>
    <n v="1.8138888888888889"/>
    <n v="0"/>
  </r>
  <r>
    <n v="6368"/>
    <x v="42"/>
    <s v="Release 2.4"/>
    <d v="2013-01-30T18:29:58"/>
    <x v="9"/>
    <n v="1.8083333333333333"/>
    <n v="0"/>
  </r>
  <r>
    <n v="6370"/>
    <x v="11"/>
    <s v="Release 2.4"/>
    <d v="2013-01-29T14:42:09"/>
    <x v="35"/>
    <n v="1.8111111111111111"/>
    <n v="0"/>
  </r>
  <r>
    <n v="6387"/>
    <x v="11"/>
    <s v="Release 2.4"/>
    <d v="2013-01-29T16:58:58"/>
    <x v="8"/>
    <n v="1.8111111111111111"/>
    <n v="0"/>
  </r>
  <r>
    <n v="6398"/>
    <x v="0"/>
    <s v="Release 2.4"/>
    <d v="2013-01-28T18:55:58"/>
    <x v="35"/>
    <n v="1.8138888888888889"/>
    <n v="0"/>
  </r>
  <r>
    <n v="6466"/>
    <x v="42"/>
    <s v="Release 2.5"/>
    <d v="2013-05-16T22:37:51"/>
    <x v="9"/>
    <n v="1.5138888888888888"/>
    <n v="0"/>
  </r>
  <r>
    <n v="6488"/>
    <x v="32"/>
    <s v="Release 2.5"/>
    <d v="2013-02-28T15:07:24"/>
    <x v="3"/>
    <n v="1.7250000000000001"/>
    <n v="0"/>
  </r>
  <r>
    <n v="6494"/>
    <x v="0"/>
    <s v="Release 3.0"/>
    <d v="2013-09-27T15:25:05"/>
    <x v="16"/>
    <n v="1.1499999999999999"/>
    <n v="0"/>
  </r>
  <r>
    <n v="6510"/>
    <x v="14"/>
    <s v="Release 2.5"/>
    <d v="2013-03-01T13:05:14"/>
    <x v="4"/>
    <n v="1.7222222222222223"/>
    <n v="0"/>
  </r>
  <r>
    <n v="6526"/>
    <x v="23"/>
    <s v="Release 3.1"/>
    <d v="2013-11-08T16:38:45"/>
    <x v="9"/>
    <n v="1.0361111111111112"/>
    <n v="0"/>
  </r>
  <r>
    <n v="6534"/>
    <x v="20"/>
    <s v="Release 2.5"/>
    <d v="2013-03-01T12:39:31"/>
    <x v="4"/>
    <n v="1.7222222222222223"/>
    <n v="0"/>
  </r>
  <r>
    <n v="6535"/>
    <x v="20"/>
    <s v="Release 2.5"/>
    <d v="2013-05-16T22:37:57"/>
    <x v="8"/>
    <n v="1.5138888888888888"/>
    <n v="0"/>
  </r>
  <r>
    <n v="6572"/>
    <x v="0"/>
    <s v="Release 2.5"/>
    <d v="2013-03-01T11:08:48"/>
    <x v="18"/>
    <n v="1.7222222222222223"/>
    <n v="0"/>
  </r>
  <r>
    <n v="6591"/>
    <x v="51"/>
    <s v="Release 2.5"/>
    <d v="2013-03-08T15:43:02"/>
    <x v="11"/>
    <n v="1.7027777777777777"/>
    <n v="0"/>
  </r>
  <r>
    <n v="6598"/>
    <x v="16"/>
    <s v="Release 2.5"/>
    <d v="2013-05-07T13:52:12"/>
    <x v="5"/>
    <n v="1.538888888888889"/>
    <n v="0"/>
  </r>
  <r>
    <n v="6607"/>
    <x v="51"/>
    <s v="Release 2.5"/>
    <d v="2013-03-08T17:20:57"/>
    <x v="22"/>
    <n v="1.7027777777777777"/>
    <n v="0"/>
  </r>
  <r>
    <n v="6618"/>
    <x v="16"/>
    <s v="Release 2.5"/>
    <d v="2013-03-01T11:29:38"/>
    <x v="11"/>
    <n v="1.7222222222222223"/>
    <n v="0"/>
  </r>
  <r>
    <n v="6620"/>
    <x v="16"/>
    <s v="Release 2.5"/>
    <d v="2013-03-08T15:37:01"/>
    <x v="12"/>
    <n v="1.7027777777777777"/>
    <n v="0"/>
  </r>
  <r>
    <n v="6631"/>
    <x v="11"/>
    <s v="Release 2.5"/>
    <d v="2013-04-22T14:32:29"/>
    <x v="5"/>
    <n v="1.5805555555555555"/>
    <n v="0"/>
  </r>
  <r>
    <n v="6660"/>
    <x v="16"/>
    <s v="Release 2.5"/>
    <d v="2013-04-05T12:47:32"/>
    <x v="8"/>
    <n v="1.6277777777777778"/>
    <n v="0"/>
  </r>
  <r>
    <n v="6698"/>
    <x v="51"/>
    <s v="Release 2.5"/>
    <d v="2013-04-05T12:47:51"/>
    <x v="10"/>
    <n v="1.6277777777777778"/>
    <n v="0"/>
  </r>
  <r>
    <n v="6699"/>
    <x v="11"/>
    <s v="Release 2.5"/>
    <d v="2013-03-13T20:35:52"/>
    <x v="16"/>
    <n v="1.6888888888888889"/>
    <n v="0"/>
  </r>
  <r>
    <n v="6701"/>
    <x v="16"/>
    <s v="Release 2.5"/>
    <d v="2013-04-05T12:47:48"/>
    <x v="8"/>
    <n v="1.6277777777777778"/>
    <n v="0"/>
  </r>
  <r>
    <n v="6704"/>
    <x v="51"/>
    <s v="Release 2.5"/>
    <d v="2013-04-16T11:29:46"/>
    <x v="12"/>
    <n v="1.5972222222222223"/>
    <n v="0"/>
  </r>
  <r>
    <n v="6705"/>
    <x v="3"/>
    <s v="Release 2.6"/>
    <d v="2013-05-17T16:25:37"/>
    <x v="11"/>
    <n v="1.5111111111111111"/>
    <n v="0"/>
  </r>
  <r>
    <n v="6721"/>
    <x v="21"/>
    <s v="Release 2.5"/>
    <d v="2013-04-19T16:05:01"/>
    <x v="7"/>
    <n v="1.5888888888888888"/>
    <n v="0"/>
  </r>
  <r>
    <n v="6723"/>
    <x v="11"/>
    <s v="Release 2.5.3"/>
    <d v="2013-05-20T21:47:15"/>
    <x v="10"/>
    <n v="1.5027777777777778"/>
    <n v="0"/>
  </r>
  <r>
    <n v="6735"/>
    <x v="16"/>
    <s v="Release 2.5"/>
    <d v="2013-04-19T16:05:07"/>
    <x v="5"/>
    <n v="1.5888888888888888"/>
    <n v="0"/>
  </r>
  <r>
    <n v="6743"/>
    <x v="16"/>
    <s v="Release 2.6"/>
    <d v="2013-07-24T17:09:11"/>
    <x v="12"/>
    <n v="1.325"/>
    <n v="0"/>
  </r>
  <r>
    <n v="6745"/>
    <x v="23"/>
    <s v="Release 2.5"/>
    <d v="2013-04-19T16:05:10"/>
    <x v="7"/>
    <n v="1.5888888888888888"/>
    <n v="0"/>
  </r>
  <r>
    <n v="6771"/>
    <x v="43"/>
    <s v="Release 2.6"/>
    <d v="2013-07-19T16:09:36"/>
    <x v="18"/>
    <n v="1.3388888888888888"/>
    <n v="0"/>
  </r>
  <r>
    <n v="6785"/>
    <x v="0"/>
    <s v="Release 2.5"/>
    <d v="2013-04-19T16:05:35"/>
    <x v="22"/>
    <n v="1.5888888888888888"/>
    <n v="0"/>
  </r>
  <r>
    <n v="6801"/>
    <x v="11"/>
    <s v="Release 2.5"/>
    <d v="2013-05-16T22:37:53"/>
    <x v="7"/>
    <n v="1.5138888888888888"/>
    <n v="0"/>
  </r>
  <r>
    <n v="6802"/>
    <x v="0"/>
    <s v="Release 2.5"/>
    <d v="2013-05-16T22:40:04"/>
    <x v="16"/>
    <n v="1.5138888888888888"/>
    <n v="0"/>
  </r>
  <r>
    <n v="6806"/>
    <x v="0"/>
    <s v="Release 3.0"/>
    <d v="2013-10-04T13:36:15"/>
    <x v="1"/>
    <n v="1.1305555555555555"/>
    <n v="0"/>
  </r>
  <r>
    <n v="6807"/>
    <x v="0"/>
    <s v="Release 3.2"/>
    <d v="2014-06-23T10:02:36"/>
    <x v="11"/>
    <n v="0.41111111111111109"/>
    <n v="1"/>
  </r>
  <r>
    <n v="6809"/>
    <x v="11"/>
    <s v="Release 2.5"/>
    <d v="2013-05-16T22:37:48"/>
    <x v="2"/>
    <n v="1.5138888888888888"/>
    <n v="0"/>
  </r>
  <r>
    <n v="6811"/>
    <x v="0"/>
    <s v="Release 2.5"/>
    <d v="2013-05-16T22:37:52"/>
    <x v="4"/>
    <n v="1.5138888888888888"/>
    <n v="0"/>
  </r>
  <r>
    <n v="6813"/>
    <x v="0"/>
    <s v="Release 3.2"/>
    <d v="2014-06-19T07:49:00"/>
    <x v="4"/>
    <n v="0.42222222222222222"/>
    <n v="1"/>
  </r>
  <r>
    <n v="6823"/>
    <x v="14"/>
    <s v="Release 2.5"/>
    <d v="2013-05-16T22:38:07"/>
    <x v="35"/>
    <n v="1.5138888888888888"/>
    <n v="0"/>
  </r>
  <r>
    <n v="6830"/>
    <x v="0"/>
    <s v="Release 3.2"/>
    <d v="2014-06-23T16:30:25"/>
    <x v="10"/>
    <n v="0.41111111111111109"/>
    <n v="1"/>
  </r>
  <r>
    <n v="6831"/>
    <x v="28"/>
    <s v="Release 3.0"/>
    <d v="2013-09-27T15:37:01"/>
    <x v="25"/>
    <n v="1.1499999999999999"/>
    <n v="0"/>
  </r>
  <r>
    <n v="6838"/>
    <x v="51"/>
    <s v="Release 2.5"/>
    <d v="2013-05-16T22:38:22"/>
    <x v="10"/>
    <n v="1.5138888888888888"/>
    <n v="0"/>
  </r>
  <r>
    <n v="6851"/>
    <x v="23"/>
    <s v="Release 2.5"/>
    <d v="2013-05-16T22:39:56"/>
    <x v="10"/>
    <n v="1.5138888888888888"/>
    <n v="0"/>
  </r>
  <r>
    <n v="6853"/>
    <x v="51"/>
    <s v="Release 2.5"/>
    <d v="2013-05-16T22:38:29"/>
    <x v="10"/>
    <n v="1.5138888888888888"/>
    <n v="0"/>
  </r>
  <r>
    <n v="6932"/>
    <x v="32"/>
    <s v="Release 2.6"/>
    <d v="2013-05-30T22:32:46"/>
    <x v="7"/>
    <n v="1.4750000000000001"/>
    <n v="0"/>
  </r>
  <r>
    <n v="6941"/>
    <x v="0"/>
    <s v="Release 2.5"/>
    <d v="2013-05-22T11:45:41"/>
    <x v="11"/>
    <n v="1.4972222222222222"/>
    <n v="0"/>
  </r>
  <r>
    <n v="6967"/>
    <x v="14"/>
    <s v="Release 2.6"/>
    <d v="2013-07-26T15:39:48"/>
    <x v="26"/>
    <n v="1.3194444444444444"/>
    <n v="0"/>
  </r>
  <r>
    <n v="7026"/>
    <x v="11"/>
    <s v="Release 2.6"/>
    <d v="2013-06-06T19:56:55"/>
    <x v="23"/>
    <n v="1.4583333333333333"/>
    <n v="0"/>
  </r>
  <r>
    <n v="7033"/>
    <x v="3"/>
    <s v="Release 2.6"/>
    <d v="2013-07-19T19:41:15"/>
    <x v="7"/>
    <n v="1.3388888888888888"/>
    <n v="0"/>
  </r>
  <r>
    <n v="7035"/>
    <x v="31"/>
    <s v="Release 2.5"/>
    <d v="2013-05-16T22:40:49"/>
    <x v="10"/>
    <n v="1.5138888888888888"/>
    <n v="0"/>
  </r>
  <r>
    <n v="7079"/>
    <x v="16"/>
    <s v="Release 2.6"/>
    <d v="2013-05-20T09:31:19"/>
    <x v="11"/>
    <n v="1.5027777777777778"/>
    <n v="0"/>
  </r>
  <r>
    <n v="7085"/>
    <x v="16"/>
    <s v="Release 2.6"/>
    <d v="2013-09-17T10:15:47"/>
    <x v="5"/>
    <n v="1.1777777777777778"/>
    <n v="0"/>
  </r>
  <r>
    <n v="7094"/>
    <x v="21"/>
    <s v="Release 2.5.3"/>
    <d v="2013-05-29T17:13:55"/>
    <x v="11"/>
    <n v="1.4777777777777779"/>
    <n v="0"/>
  </r>
  <r>
    <n v="7109"/>
    <x v="51"/>
    <s v="Release 2.6"/>
    <d v="2013-09-20T16:02:05"/>
    <x v="10"/>
    <n v="1.1694444444444445"/>
    <n v="0"/>
  </r>
  <r>
    <n v="7149"/>
    <x v="42"/>
    <s v="Release 2.6"/>
    <d v="2013-07-25T12:23:34"/>
    <x v="9"/>
    <n v="1.3222222222222222"/>
    <n v="0"/>
  </r>
  <r>
    <n v="7169"/>
    <x v="14"/>
    <s v="Release 2.6"/>
    <d v="2013-07-26T22:27:25"/>
    <x v="7"/>
    <n v="1.3194444444444444"/>
    <n v="0"/>
  </r>
  <r>
    <n v="7176"/>
    <x v="2"/>
    <s v="Release 2.6"/>
    <d v="2013-07-08T10:17:34"/>
    <x v="23"/>
    <n v="1.3694444444444445"/>
    <n v="0"/>
  </r>
  <r>
    <n v="7184"/>
    <x v="23"/>
    <s v="Release 2.6"/>
    <d v="2013-07-25T12:24:09"/>
    <x v="3"/>
    <n v="1.3222222222222222"/>
    <n v="0"/>
  </r>
  <r>
    <n v="7204"/>
    <x v="0"/>
    <s v="Release 2.6"/>
    <d v="2013-06-03T08:44:09"/>
    <x v="4"/>
    <n v="1.4666666666666666"/>
    <n v="0"/>
  </r>
  <r>
    <n v="7206"/>
    <x v="14"/>
    <s v="Release 2.6"/>
    <d v="2013-07-25T12:24:56"/>
    <x v="35"/>
    <n v="1.3222222222222222"/>
    <n v="0"/>
  </r>
  <r>
    <n v="7209"/>
    <x v="32"/>
    <s v="Release 3.2"/>
    <d v="2014-04-22T22:38:42"/>
    <x v="7"/>
    <n v="0.5805555555555556"/>
    <n v="1"/>
  </r>
  <r>
    <n v="7239"/>
    <x v="8"/>
    <s v="Release 3.0"/>
    <d v="2013-10-04T13:56:18"/>
    <x v="8"/>
    <n v="1.1305555555555555"/>
    <n v="0"/>
  </r>
  <r>
    <n v="7304"/>
    <x v="16"/>
    <s v="Release 2.6"/>
    <d v="2013-07-25T12:25:15"/>
    <x v="23"/>
    <n v="1.3222222222222222"/>
    <n v="0"/>
  </r>
  <r>
    <n v="7312"/>
    <x v="8"/>
    <s v="Release 2.6"/>
    <d v="2013-07-24T17:08:57"/>
    <x v="2"/>
    <n v="1.325"/>
    <n v="0"/>
  </r>
  <r>
    <n v="7315"/>
    <x v="8"/>
    <s v="Release 2.6"/>
    <d v="2013-07-24T17:08:21"/>
    <x v="21"/>
    <n v="1.325"/>
    <n v="0"/>
  </r>
  <r>
    <n v="7316"/>
    <x v="11"/>
    <s v="Release 2.6"/>
    <d v="2013-07-25T12:25:31"/>
    <x v="5"/>
    <n v="1.3222222222222222"/>
    <n v="0"/>
  </r>
  <r>
    <n v="7326"/>
    <x v="16"/>
    <s v="Release 2.6"/>
    <d v="2013-06-20T19:43:02"/>
    <x v="23"/>
    <n v="1.4194444444444445"/>
    <n v="0"/>
  </r>
  <r>
    <n v="7342"/>
    <x v="8"/>
    <s v="Release 2.6"/>
    <d v="2013-07-24T09:53:44"/>
    <x v="3"/>
    <n v="1.325"/>
    <n v="0"/>
  </r>
  <r>
    <n v="7344"/>
    <x v="3"/>
    <s v="Release 2.6"/>
    <d v="2013-07-25T12:25:55"/>
    <x v="5"/>
    <n v="1.3222222222222222"/>
    <n v="0"/>
  </r>
  <r>
    <n v="7350"/>
    <x v="3"/>
    <s v="Release 2.6"/>
    <d v="2013-07-25T12:26:02"/>
    <x v="23"/>
    <n v="1.3222222222222222"/>
    <n v="0"/>
  </r>
  <r>
    <n v="7400"/>
    <x v="16"/>
    <s v="Release 2.6"/>
    <d v="2013-07-15T10:43:00"/>
    <x v="4"/>
    <n v="1.35"/>
    <n v="0"/>
  </r>
  <r>
    <n v="7409"/>
    <x v="16"/>
    <s v="Release 2.6"/>
    <d v="2013-07-24T16:55:01"/>
    <x v="5"/>
    <n v="1.325"/>
    <n v="0"/>
  </r>
  <r>
    <n v="7424"/>
    <x v="0"/>
    <s v="Release 2.6"/>
    <d v="2013-07-18T17:16:09"/>
    <x v="23"/>
    <n v="1.3416666666666666"/>
    <n v="0"/>
  </r>
  <r>
    <n v="7435"/>
    <x v="6"/>
    <s v="Release 2.6"/>
    <d v="2013-07-25T12:26:28"/>
    <x v="18"/>
    <n v="1.3222222222222222"/>
    <n v="0"/>
  </r>
  <r>
    <n v="7441"/>
    <x v="29"/>
    <s v="Release 2.6"/>
    <d v="2013-07-26T10:02:58"/>
    <x v="28"/>
    <n v="1.3194444444444444"/>
    <n v="0"/>
  </r>
  <r>
    <n v="7480"/>
    <x v="0"/>
    <s v="Release 2.6"/>
    <d v="2013-07-22T15:09:19"/>
    <x v="9"/>
    <n v="1.3305555555555555"/>
    <n v="0"/>
  </r>
  <r>
    <n v="7503"/>
    <x v="22"/>
    <s v="Release 2.6"/>
    <d v="2013-07-29T10:19:31"/>
    <x v="25"/>
    <n v="1.3111111111111111"/>
    <n v="0"/>
  </r>
  <r>
    <n v="7511"/>
    <x v="22"/>
    <s v="Release 2.6"/>
    <d v="2013-07-25T15:55:02"/>
    <x v="28"/>
    <n v="1.3222222222222222"/>
    <n v="0"/>
  </r>
  <r>
    <n v="7543"/>
    <x v="28"/>
    <s v="Release 3.2"/>
    <d v="2014-06-10T16:26:35"/>
    <x v="25"/>
    <n v="0.44722222222222224"/>
    <n v="1"/>
  </r>
  <r>
    <n v="7550"/>
    <x v="28"/>
    <s v="Release 3.0"/>
    <d v="2013-10-23T10:33:09"/>
    <x v="25"/>
    <n v="1.0777777777777777"/>
    <n v="0"/>
  </r>
  <r>
    <n v="7573"/>
    <x v="34"/>
    <s v="Release 3.3"/>
    <d v="2014-08-08T15:39:33"/>
    <x v="11"/>
    <n v="0.28611111111111109"/>
    <n v="1"/>
  </r>
  <r>
    <n v="7575"/>
    <x v="28"/>
    <s v="Release 3.0"/>
    <d v="2013-10-23T10:32:12"/>
    <x v="25"/>
    <n v="1.0777777777777777"/>
    <n v="0"/>
  </r>
  <r>
    <n v="7582"/>
    <x v="30"/>
    <s v="Release 3.2"/>
    <d v="2014-02-13T09:59:25"/>
    <x v="4"/>
    <n v="0.77222222222222225"/>
    <n v="1"/>
  </r>
  <r>
    <n v="7657"/>
    <x v="0"/>
    <s v="Release 3.0"/>
    <d v="2013-08-09T14:04:20"/>
    <x v="3"/>
    <n v="1.2833333333333334"/>
    <n v="0"/>
  </r>
  <r>
    <n v="7672"/>
    <x v="11"/>
    <s v="Release 3.0"/>
    <d v="2013-09-13T17:54:59"/>
    <x v="5"/>
    <n v="1.1888888888888889"/>
    <n v="0"/>
  </r>
  <r>
    <n v="7682"/>
    <x v="22"/>
    <s v="Release 3.0"/>
    <d v="2013-10-21T09:46:28"/>
    <x v="25"/>
    <n v="1.0833333333333333"/>
    <n v="0"/>
  </r>
  <r>
    <n v="7692"/>
    <x v="0"/>
    <s v="Release 3.0"/>
    <d v="2013-08-07T22:24:47"/>
    <x v="5"/>
    <n v="1.288888888888889"/>
    <n v="0"/>
  </r>
  <r>
    <n v="7712"/>
    <x v="41"/>
    <s v="Release 3.0"/>
    <d v="2013-09-20T15:11:04"/>
    <x v="13"/>
    <n v="1.1694444444444445"/>
    <n v="0"/>
  </r>
  <r>
    <n v="7748"/>
    <x v="8"/>
    <s v="Release 3.0"/>
    <d v="2013-10-17T14:38:15"/>
    <x v="7"/>
    <n v="1.0944444444444446"/>
    <n v="0"/>
  </r>
  <r>
    <n v="7751"/>
    <x v="0"/>
    <s v="Release 3.0"/>
    <d v="2013-08-16T13:34:06"/>
    <x v="5"/>
    <n v="1.2638888888888888"/>
    <n v="0"/>
  </r>
  <r>
    <n v="7762"/>
    <x v="29"/>
    <s v="Release 3.0"/>
    <d v="2013-10-23T11:41:17"/>
    <x v="16"/>
    <n v="1.0777777777777777"/>
    <n v="0"/>
  </r>
  <r>
    <n v="7772"/>
    <x v="29"/>
    <s v="Release 3.0"/>
    <d v="2013-10-23T11:15:30"/>
    <x v="1"/>
    <n v="1.0777777777777777"/>
    <n v="0"/>
  </r>
  <r>
    <n v="7782"/>
    <x v="0"/>
    <s v="Release 3.0"/>
    <d v="2013-09-13T13:26:11"/>
    <x v="4"/>
    <n v="1.1888888888888889"/>
    <n v="0"/>
  </r>
  <r>
    <n v="7810"/>
    <x v="11"/>
    <s v="Release 3.0"/>
    <d v="2013-10-23T11:22:30"/>
    <x v="12"/>
    <n v="1.0777777777777777"/>
    <n v="0"/>
  </r>
  <r>
    <n v="7814"/>
    <x v="29"/>
    <s v="Release 3.0"/>
    <d v="2013-08-30T16:04:29"/>
    <x v="1"/>
    <n v="1.2250000000000001"/>
    <n v="0"/>
  </r>
  <r>
    <n v="7816"/>
    <x v="23"/>
    <s v="Release 3.0"/>
    <d v="2013-10-23T11:26:07"/>
    <x v="26"/>
    <n v="1.0777777777777777"/>
    <n v="0"/>
  </r>
  <r>
    <n v="7838"/>
    <x v="28"/>
    <s v="Release 3.2"/>
    <d v="2014-02-14T15:13:29"/>
    <x v="15"/>
    <n v="0.76944444444444449"/>
    <n v="1"/>
  </r>
  <r>
    <n v="7874"/>
    <x v="29"/>
    <s v="Release 3.0"/>
    <d v="2013-09-18T14:16:32"/>
    <x v="13"/>
    <n v="1.175"/>
    <n v="0"/>
  </r>
  <r>
    <n v="7879"/>
    <x v="0"/>
    <s v="Release 3.0"/>
    <d v="2013-09-13T13:34:26"/>
    <x v="4"/>
    <n v="1.1888888888888889"/>
    <n v="0"/>
  </r>
  <r>
    <n v="7886"/>
    <x v="24"/>
    <s v="Release 3.0"/>
    <d v="2013-10-18T16:26:25"/>
    <x v="11"/>
    <n v="1.0916666666666666"/>
    <n v="0"/>
  </r>
  <r>
    <n v="7907"/>
    <x v="32"/>
    <s v="Release 3.0"/>
    <d v="2013-09-13T20:01:07"/>
    <x v="23"/>
    <n v="1.1888888888888889"/>
    <n v="0"/>
  </r>
  <r>
    <n v="7932"/>
    <x v="8"/>
    <s v="Release 3.1"/>
    <d v="2013-11-15T13:56:15"/>
    <x v="2"/>
    <n v="1.0166666666666666"/>
    <n v="0"/>
  </r>
  <r>
    <n v="7946"/>
    <x v="32"/>
    <s v="Release 3.0"/>
    <d v="2013-09-20T14:38:02"/>
    <x v="23"/>
    <n v="1.1694444444444445"/>
    <n v="0"/>
  </r>
  <r>
    <n v="7984"/>
    <x v="28"/>
    <s v="Release 3.0"/>
    <d v="2013-09-24T14:45:53"/>
    <x v="7"/>
    <n v="1.1583333333333334"/>
    <n v="0"/>
  </r>
  <r>
    <n v="8005"/>
    <x v="0"/>
    <s v="Release 3.0"/>
    <d v="2013-09-24T11:08:52"/>
    <x v="4"/>
    <n v="1.1583333333333334"/>
    <n v="0"/>
  </r>
  <r>
    <n v="8033"/>
    <x v="0"/>
    <s v="Release 3.0"/>
    <d v="2013-11-04T18:06:43"/>
    <x v="16"/>
    <n v="1.0472222222222223"/>
    <n v="0"/>
  </r>
  <r>
    <n v="8078"/>
    <x v="0"/>
    <s v="Release 3.1"/>
    <d v="2013-11-15T15:05:22"/>
    <x v="16"/>
    <n v="1.0166666666666666"/>
    <n v="0"/>
  </r>
  <r>
    <n v="8087"/>
    <x v="24"/>
    <s v="Release 3.0"/>
    <d v="2013-10-24T17:23:42"/>
    <x v="11"/>
    <n v="1.075"/>
    <n v="0"/>
  </r>
  <r>
    <n v="8106"/>
    <x v="0"/>
    <s v="Release 3.0"/>
    <d v="2013-10-11T14:00:03"/>
    <x v="5"/>
    <n v="1.1111111111111112"/>
    <n v="0"/>
  </r>
  <r>
    <n v="8107"/>
    <x v="0"/>
    <s v="Release 3.0"/>
    <d v="2013-10-11T13:35:08"/>
    <x v="5"/>
    <n v="1.1111111111111112"/>
    <n v="0"/>
  </r>
  <r>
    <n v="8116"/>
    <x v="28"/>
    <s v="Release 3.1"/>
    <d v="2014-01-27T13:29:46"/>
    <x v="0"/>
    <n v="0.81666666666666665"/>
    <n v="1"/>
  </r>
  <r>
    <n v="8163"/>
    <x v="29"/>
    <s v="Release 3.1"/>
    <d v="2013-11-08T15:16:37"/>
    <x v="12"/>
    <n v="1.0361111111111112"/>
    <n v="0"/>
  </r>
  <r>
    <n v="8167"/>
    <x v="0"/>
    <s v="Release 3.0"/>
    <d v="2013-10-23T16:15:07"/>
    <x v="3"/>
    <n v="1.0777777777777777"/>
    <n v="0"/>
  </r>
  <r>
    <n v="8201"/>
    <x v="24"/>
    <s v="Release 3.1"/>
    <d v="2014-01-27T13:29:52"/>
    <x v="11"/>
    <n v="0.81666666666666665"/>
    <n v="1"/>
  </r>
  <r>
    <n v="8204"/>
    <x v="24"/>
    <s v="Release 3.1"/>
    <d v="2013-11-08T13:31:32"/>
    <x v="27"/>
    <n v="1.0361111111111112"/>
    <n v="0"/>
  </r>
  <r>
    <n v="8209"/>
    <x v="24"/>
    <s v="Release 3.0"/>
    <d v="2013-10-29T10:44:07"/>
    <x v="27"/>
    <n v="1.0611111111111111"/>
    <n v="0"/>
  </r>
  <r>
    <n v="8234"/>
    <x v="29"/>
    <s v="Release 3.0"/>
    <d v="2013-10-31T14:04:31"/>
    <x v="7"/>
    <n v="1.0583333333333333"/>
    <n v="0"/>
  </r>
  <r>
    <n v="8239"/>
    <x v="0"/>
    <s v="Release 3.1"/>
    <d v="2013-11-28T08:09:07"/>
    <x v="4"/>
    <n v="0.98055555555555551"/>
    <n v="1"/>
  </r>
  <r>
    <n v="8272"/>
    <x v="6"/>
    <s v="Release 3.1"/>
    <d v="2013-11-22T16:04:01"/>
    <x v="18"/>
    <n v="0.99722222222222223"/>
    <n v="1"/>
  </r>
  <r>
    <n v="8278"/>
    <x v="28"/>
    <s v="Release 3.2"/>
    <d v="2014-02-13T20:20:04"/>
    <x v="15"/>
    <n v="0.77222222222222225"/>
    <n v="1"/>
  </r>
  <r>
    <n v="8281"/>
    <x v="28"/>
    <s v="Release 3.2"/>
    <d v="2014-03-04T11:10:29"/>
    <x v="15"/>
    <n v="0.71388888888888891"/>
    <n v="1"/>
  </r>
  <r>
    <n v="8283"/>
    <x v="28"/>
    <s v="Release 3.2"/>
    <d v="2014-02-21T12:08:08"/>
    <x v="25"/>
    <n v="0.75"/>
    <n v="1"/>
  </r>
  <r>
    <n v="8284"/>
    <x v="28"/>
    <s v="Release 3.2"/>
    <d v="2014-04-30T14:28:35"/>
    <x v="25"/>
    <n v="0.55833333333333335"/>
    <n v="1"/>
  </r>
  <r>
    <n v="8289"/>
    <x v="0"/>
    <s v="Release 3.0"/>
    <d v="2013-10-29T20:26:42"/>
    <x v="0"/>
    <n v="1.0611111111111111"/>
    <n v="0"/>
  </r>
  <r>
    <n v="8290"/>
    <x v="0"/>
    <s v="Release 3.0"/>
    <d v="2013-10-30T20:58:45"/>
    <x v="0"/>
    <n v="1.0583333333333333"/>
    <n v="0"/>
  </r>
  <r>
    <n v="8295"/>
    <x v="28"/>
    <s v="Release 3.1"/>
    <d v="2013-11-18T10:44:24"/>
    <x v="11"/>
    <n v="1.0083333333333333"/>
    <n v="0"/>
  </r>
  <r>
    <n v="8316"/>
    <x v="35"/>
    <s v="Release 3.3"/>
    <d v="2014-08-20T15:29:17"/>
    <x v="9"/>
    <n v="0.25277777777777777"/>
    <n v="1"/>
  </r>
  <r>
    <n v="8321"/>
    <x v="24"/>
    <s v="Release 3.1"/>
    <d v="2014-01-27T13:29:47"/>
    <x v="4"/>
    <n v="0.81666666666666665"/>
    <n v="1"/>
  </r>
  <r>
    <n v="8322"/>
    <x v="24"/>
    <s v="Release 3.1"/>
    <d v="2014-01-27T13:29:48"/>
    <x v="7"/>
    <n v="0.81666666666666665"/>
    <n v="1"/>
  </r>
  <r>
    <n v="8344"/>
    <x v="28"/>
    <s v="Release 3.1"/>
    <d v="2013-12-02T17:39:59"/>
    <x v="25"/>
    <n v="0.96944444444444444"/>
    <n v="1"/>
  </r>
  <r>
    <n v="8373"/>
    <x v="42"/>
    <s v="Release 3.1"/>
    <d v="2014-02-05T00:42:58"/>
    <x v="4"/>
    <n v="0.7944444444444444"/>
    <n v="1"/>
  </r>
  <r>
    <n v="8380"/>
    <x v="24"/>
    <s v="Release 3.1"/>
    <d v="2013-11-18T09:07:09"/>
    <x v="2"/>
    <n v="1.0083333333333333"/>
    <n v="0"/>
  </r>
  <r>
    <n v="8383"/>
    <x v="8"/>
    <s v="Release 3.1"/>
    <d v="2013-11-08T17:00:31"/>
    <x v="7"/>
    <n v="1.0361111111111112"/>
    <n v="0"/>
  </r>
  <r>
    <n v="8399"/>
    <x v="10"/>
    <s v="Release 3.1"/>
    <d v="2013-11-07T19:52:15"/>
    <x v="3"/>
    <n v="1.038888888888889"/>
    <n v="0"/>
  </r>
  <r>
    <n v="8408"/>
    <x v="3"/>
    <s v="Release 3.1"/>
    <d v="2013-11-18T14:36:21"/>
    <x v="5"/>
    <n v="1.0083333333333333"/>
    <n v="0"/>
  </r>
  <r>
    <n v="8421"/>
    <x v="29"/>
    <s v="Release 3.1"/>
    <d v="2013-11-15T15:33:16"/>
    <x v="25"/>
    <n v="1.0166666666666666"/>
    <n v="0"/>
  </r>
  <r>
    <n v="8429"/>
    <x v="24"/>
    <s v="Release 3.1"/>
    <d v="2013-11-15T15:23:39"/>
    <x v="26"/>
    <n v="1.0166666666666666"/>
    <n v="0"/>
  </r>
  <r>
    <n v="8430"/>
    <x v="8"/>
    <s v="Release 3.1"/>
    <d v="2013-11-12T16:12:05"/>
    <x v="25"/>
    <n v="1.0249999999999999"/>
    <n v="0"/>
  </r>
  <r>
    <n v="8459"/>
    <x v="28"/>
    <s v="Release 3.1"/>
    <d v="2014-02-08T12:31:47"/>
    <x v="25"/>
    <n v="0.78611111111111109"/>
    <n v="1"/>
  </r>
  <r>
    <n v="8467"/>
    <x v="24"/>
    <s v="Release 3.1"/>
    <d v="2014-02-03T12:05:44"/>
    <x v="2"/>
    <n v="0.8"/>
    <n v="1"/>
  </r>
  <r>
    <n v="8477"/>
    <x v="4"/>
    <s v="Release 3.1"/>
    <d v="2013-11-21T18:11:27"/>
    <x v="3"/>
    <n v="1"/>
    <n v="0"/>
  </r>
  <r>
    <n v="8504"/>
    <x v="24"/>
    <s v="Release 3.1"/>
    <d v="2013-11-29T14:11:45"/>
    <x v="26"/>
    <n v="0.97777777777777775"/>
    <n v="1"/>
  </r>
  <r>
    <n v="8508"/>
    <x v="42"/>
    <s v="Release 3.1"/>
    <d v="2013-12-12T14:30:23"/>
    <x v="1"/>
    <n v="0.94166666666666665"/>
    <n v="1"/>
  </r>
  <r>
    <n v="8519"/>
    <x v="30"/>
    <s v="Release 3.1"/>
    <d v="2013-11-27T20:59:33"/>
    <x v="7"/>
    <n v="0.98333333333333328"/>
    <n v="1"/>
  </r>
  <r>
    <n v="8525"/>
    <x v="3"/>
    <s v="Release 3.1"/>
    <d v="2013-11-29T14:26:56"/>
    <x v="26"/>
    <n v="0.97777777777777775"/>
    <n v="1"/>
  </r>
  <r>
    <n v="8543"/>
    <x v="34"/>
    <s v="Release 3.3"/>
    <d v="2014-07-25T15:53:01"/>
    <x v="15"/>
    <n v="0.32222222222222224"/>
    <n v="1"/>
  </r>
  <r>
    <n v="8627"/>
    <x v="0"/>
    <s v="Release 3.1"/>
    <d v="2013-12-16T22:27:22"/>
    <x v="9"/>
    <n v="0.93055555555555558"/>
    <n v="1"/>
  </r>
  <r>
    <n v="8638"/>
    <x v="0"/>
    <s v="Release 3.1"/>
    <d v="2013-12-26T21:18:03"/>
    <x v="35"/>
    <n v="0.90277777777777779"/>
    <n v="1"/>
  </r>
  <r>
    <n v="8658"/>
    <x v="42"/>
    <s v="Release 3.1"/>
    <d v="2014-02-05T00:43:17"/>
    <x v="9"/>
    <n v="0.7944444444444444"/>
    <n v="1"/>
  </r>
  <r>
    <n v="8659"/>
    <x v="14"/>
    <s v="Release 3.1"/>
    <d v="2013-12-31T21:42:40"/>
    <x v="35"/>
    <n v="0.89166666666666672"/>
    <n v="1"/>
  </r>
  <r>
    <n v="8660"/>
    <x v="42"/>
    <s v="Release 3.1"/>
    <d v="2013-12-31T21:12:48"/>
    <x v="9"/>
    <n v="0.89166666666666672"/>
    <n v="1"/>
  </r>
  <r>
    <n v="8661"/>
    <x v="42"/>
    <s v="Release 3.1"/>
    <d v="2013-12-31T21:49:11"/>
    <x v="9"/>
    <n v="0.89166666666666672"/>
    <n v="1"/>
  </r>
  <r>
    <n v="8681"/>
    <x v="14"/>
    <s v="Release 3.1"/>
    <d v="2014-01-13T15:07:26"/>
    <x v="5"/>
    <n v="0.85555555555555551"/>
    <n v="1"/>
  </r>
  <r>
    <n v="8683"/>
    <x v="16"/>
    <s v="Release 3.1"/>
    <d v="2014-01-08T14:16:04"/>
    <x v="5"/>
    <n v="0.86944444444444446"/>
    <n v="1"/>
  </r>
  <r>
    <n v="8688"/>
    <x v="14"/>
    <s v="Release 3.1"/>
    <d v="2014-01-10T18:43:20"/>
    <x v="10"/>
    <n v="0.86388888888888893"/>
    <n v="1"/>
  </r>
  <r>
    <n v="8695"/>
    <x v="0"/>
    <s v="Release 3.1"/>
    <d v="2014-01-13T16:42:34"/>
    <x v="9"/>
    <n v="0.85555555555555551"/>
    <n v="1"/>
  </r>
  <r>
    <n v="8699"/>
    <x v="29"/>
    <s v="Release 3.1"/>
    <d v="2014-01-17T15:51:02"/>
    <x v="26"/>
    <n v="0.84444444444444444"/>
    <n v="1"/>
  </r>
  <r>
    <n v="8720"/>
    <x v="24"/>
    <s v="Release 3.1"/>
    <d v="2014-01-20T11:14:17"/>
    <x v="18"/>
    <n v="0.83611111111111114"/>
    <n v="1"/>
  </r>
  <r>
    <n v="8728"/>
    <x v="24"/>
    <s v="Release 3.2"/>
    <d v="2014-06-23T11:04:59"/>
    <x v="4"/>
    <n v="0.41111111111111109"/>
    <n v="1"/>
  </r>
  <r>
    <n v="8732"/>
    <x v="16"/>
    <s v="Release 3.1"/>
    <d v="2014-01-21T14:53:07"/>
    <x v="9"/>
    <n v="0.83333333333333337"/>
    <n v="1"/>
  </r>
  <r>
    <n v="8752"/>
    <x v="16"/>
    <s v="Release 3.1"/>
    <d v="2014-01-30T13:44:32"/>
    <x v="25"/>
    <n v="0.80833333333333335"/>
    <n v="1"/>
  </r>
  <r>
    <n v="8754"/>
    <x v="24"/>
    <s v="Release 3.1"/>
    <d v="2014-01-31T14:10:47"/>
    <x v="11"/>
    <n v="0.80833333333333335"/>
    <n v="1"/>
  </r>
  <r>
    <n v="8755"/>
    <x v="16"/>
    <s v="Release 3.1"/>
    <d v="2014-01-29T12:39:25"/>
    <x v="25"/>
    <n v="0.81111111111111112"/>
    <n v="1"/>
  </r>
  <r>
    <n v="8763"/>
    <x v="30"/>
    <s v="Release 3.1"/>
    <d v="2014-01-30T09:09:02"/>
    <x v="2"/>
    <n v="0.80833333333333335"/>
    <n v="1"/>
  </r>
  <r>
    <n v="8769"/>
    <x v="6"/>
    <s v="Release 3.1"/>
    <d v="2014-01-31T14:33:43"/>
    <x v="25"/>
    <n v="0.80833333333333335"/>
    <n v="1"/>
  </r>
  <r>
    <n v="8777"/>
    <x v="28"/>
    <s v="Release 3.2"/>
    <d v="2014-02-21T16:00:04"/>
    <x v="27"/>
    <n v="0.75"/>
    <n v="1"/>
  </r>
  <r>
    <n v="8779"/>
    <x v="14"/>
    <s v="Release 3.1"/>
    <d v="2014-01-30T14:11:08"/>
    <x v="25"/>
    <n v="0.80833333333333335"/>
    <n v="1"/>
  </r>
  <r>
    <n v="8786"/>
    <x v="29"/>
    <s v="Release 3.1"/>
    <d v="2014-01-31T11:30:57"/>
    <x v="25"/>
    <n v="0.80833333333333335"/>
    <n v="1"/>
  </r>
  <r>
    <n v="8793"/>
    <x v="28"/>
    <s v="Release 3.1"/>
    <d v="2014-01-31T14:54:59"/>
    <x v="12"/>
    <n v="0.80833333333333335"/>
    <n v="1"/>
  </r>
  <r>
    <n v="8808"/>
    <x v="28"/>
    <s v="Release 3.2"/>
    <d v="2014-02-24T16:40:42"/>
    <x v="25"/>
    <n v="0.7416666666666667"/>
    <n v="1"/>
  </r>
  <r>
    <n v="8819"/>
    <x v="28"/>
    <s v="Release 3.2"/>
    <d v="2014-02-24T10:47:04"/>
    <x v="27"/>
    <n v="0.7416666666666667"/>
    <n v="1"/>
  </r>
  <r>
    <n v="8820"/>
    <x v="28"/>
    <s v="Release 3.2"/>
    <d v="2014-02-25T14:51:38"/>
    <x v="25"/>
    <n v="0.73888888888888893"/>
    <n v="1"/>
  </r>
  <r>
    <n v="8823"/>
    <x v="24"/>
    <s v="Release 3.2"/>
    <d v="2014-02-21T15:06:51"/>
    <x v="15"/>
    <n v="0.75"/>
    <n v="1"/>
  </r>
  <r>
    <n v="8824"/>
    <x v="28"/>
    <s v="Release 3.2"/>
    <d v="2014-02-17T13:45:33"/>
    <x v="21"/>
    <n v="0.76111111111111107"/>
    <n v="1"/>
  </r>
  <r>
    <n v="8827"/>
    <x v="28"/>
    <s v="Release 3.2"/>
    <d v="2014-02-14T16:05:08"/>
    <x v="1"/>
    <n v="0.76944444444444449"/>
    <n v="1"/>
  </r>
  <r>
    <n v="8830"/>
    <x v="28"/>
    <s v="Release 3.2"/>
    <d v="2014-03-12T15:31:27"/>
    <x v="25"/>
    <n v="0.69166666666666665"/>
    <n v="1"/>
  </r>
  <r>
    <n v="8838"/>
    <x v="28"/>
    <s v="Release 3.2"/>
    <d v="2014-02-28T15:08:14"/>
    <x v="25"/>
    <n v="0.72499999999999998"/>
    <n v="1"/>
  </r>
  <r>
    <n v="8864"/>
    <x v="28"/>
    <s v="Release 3.1"/>
    <d v="2014-02-06T14:21:35"/>
    <x v="15"/>
    <n v="0.79166666666666663"/>
    <n v="1"/>
  </r>
  <r>
    <n v="8868"/>
    <x v="24"/>
    <s v="Release 3.1"/>
    <d v="2014-02-04T16:56:22"/>
    <x v="27"/>
    <n v="0.79722222222222228"/>
    <n v="1"/>
  </r>
  <r>
    <n v="8889"/>
    <x v="29"/>
    <s v="Release 3.1"/>
    <d v="2014-02-05T14:47:59"/>
    <x v="25"/>
    <n v="0.7944444444444444"/>
    <n v="1"/>
  </r>
  <r>
    <n v="8898"/>
    <x v="24"/>
    <s v="Release 3.2"/>
    <d v="2014-02-21T14:15:21"/>
    <x v="4"/>
    <n v="0.75"/>
    <n v="1"/>
  </r>
  <r>
    <n v="8995"/>
    <x v="22"/>
    <s v="Release 3.2"/>
    <d v="2014-02-13T19:01:41"/>
    <x v="15"/>
    <n v="0.77222222222222225"/>
    <n v="1"/>
  </r>
  <r>
    <n v="9002"/>
    <x v="32"/>
    <s v="Release 3.2"/>
    <d v="2014-02-28T15:19:58"/>
    <x v="25"/>
    <n v="0.72499999999999998"/>
    <n v="1"/>
  </r>
  <r>
    <n v="9029"/>
    <x v="19"/>
    <s v="Release 3.2"/>
    <d v="2014-06-20T07:54:00"/>
    <x v="0"/>
    <n v="0.41944444444444445"/>
    <n v="1"/>
  </r>
  <r>
    <n v="9049"/>
    <x v="32"/>
    <s v="Release 3.2"/>
    <d v="2014-03-11T15:28:42"/>
    <x v="7"/>
    <n v="0.69444444444444442"/>
    <n v="1"/>
  </r>
  <r>
    <n v="9071"/>
    <x v="28"/>
    <s v="Release 3.3"/>
    <d v="2014-08-01T14:06:55"/>
    <x v="32"/>
    <n v="0.30555555555555558"/>
    <n v="1"/>
  </r>
  <r>
    <n v="9087"/>
    <x v="0"/>
    <s v="Release 3.2"/>
    <d v="2014-03-13T15:12:11"/>
    <x v="5"/>
    <n v="0.68888888888888888"/>
    <n v="1"/>
  </r>
  <r>
    <n v="9090"/>
    <x v="29"/>
    <s v="Release 3.2"/>
    <d v="2014-03-19T19:00:30"/>
    <x v="7"/>
    <n v="0.67222222222222228"/>
    <n v="1"/>
  </r>
  <r>
    <n v="9106"/>
    <x v="14"/>
    <s v="Release 3.2"/>
    <d v="2014-03-03T20:32:44"/>
    <x v="3"/>
    <n v="0.71666666666666667"/>
    <n v="1"/>
  </r>
  <r>
    <n v="9142"/>
    <x v="42"/>
    <s v="Release 3.2"/>
    <d v="2014-03-07T17:17:27"/>
    <x v="10"/>
    <n v="0.7055555555555556"/>
    <n v="1"/>
  </r>
  <r>
    <n v="9212"/>
    <x v="23"/>
    <s v="Release 3.2"/>
    <d v="2014-04-23T20:53:03"/>
    <x v="10"/>
    <n v="0.57777777777777772"/>
    <n v="1"/>
  </r>
  <r>
    <n v="9239"/>
    <x v="30"/>
    <s v="Release 3.2"/>
    <d v="2014-04-10T10:00:55"/>
    <x v="25"/>
    <n v="0.61388888888888893"/>
    <n v="1"/>
  </r>
  <r>
    <n v="9243"/>
    <x v="23"/>
    <s v="Release 3.2"/>
    <d v="2014-04-14T22:22:42"/>
    <x v="7"/>
    <n v="0.60277777777777775"/>
    <n v="1"/>
  </r>
  <r>
    <n v="9267"/>
    <x v="0"/>
    <s v="Release 3.2"/>
    <d v="2014-04-22T14:08:55"/>
    <x v="25"/>
    <n v="0.5805555555555556"/>
    <n v="1"/>
  </r>
  <r>
    <n v="9311"/>
    <x v="0"/>
    <s v="Release 3.2"/>
    <d v="2014-04-11T18:24:52"/>
    <x v="23"/>
    <n v="0.61111111111111116"/>
    <n v="1"/>
  </r>
  <r>
    <n v="9339"/>
    <x v="34"/>
    <s v="Release 3.3"/>
    <d v="2014-08-15T14:57:25"/>
    <x v="26"/>
    <n v="0.26666666666666666"/>
    <n v="1"/>
  </r>
  <r>
    <n v="9351"/>
    <x v="0"/>
    <s v="Release 3.2"/>
    <d v="2014-04-21T21:53:48"/>
    <x v="9"/>
    <n v="0.58333333333333337"/>
    <n v="1"/>
  </r>
  <r>
    <n v="9382"/>
    <x v="6"/>
    <s v="Release 3.2"/>
    <d v="2014-05-09T14:01:55"/>
    <x v="11"/>
    <n v="0.53333333333333333"/>
    <n v="1"/>
  </r>
  <r>
    <n v="9395"/>
    <x v="28"/>
    <s v="Release 3.2"/>
    <d v="2014-05-16T13:57:40"/>
    <x v="15"/>
    <n v="0.51388888888888884"/>
    <n v="1"/>
  </r>
  <r>
    <n v="9398"/>
    <x v="0"/>
    <s v="Release 3.2"/>
    <d v="2014-05-09T18:40:27"/>
    <x v="5"/>
    <n v="0.53333333333333333"/>
    <n v="1"/>
  </r>
  <r>
    <n v="9433"/>
    <x v="8"/>
    <s v="Release 3.2"/>
    <d v="2014-05-09T15:12:08"/>
    <x v="9"/>
    <n v="0.53333333333333333"/>
    <n v="1"/>
  </r>
  <r>
    <n v="9459"/>
    <x v="23"/>
    <s v="Release 3.2"/>
    <d v="2014-05-28T21:30:47"/>
    <x v="3"/>
    <n v="0.48055555555555557"/>
    <n v="1"/>
  </r>
  <r>
    <n v="9512"/>
    <x v="0"/>
    <s v="Release 3.2"/>
    <d v="2014-05-22T08:15:53"/>
    <x v="4"/>
    <n v="0.49722222222222223"/>
    <n v="1"/>
  </r>
  <r>
    <n v="9515"/>
    <x v="35"/>
    <s v="Release 3.3"/>
    <d v="2014-08-06T09:56:49"/>
    <x v="32"/>
    <n v="0.29166666666666669"/>
    <n v="1"/>
  </r>
  <r>
    <n v="9516"/>
    <x v="29"/>
    <s v="Release 3.2"/>
    <d v="2014-05-28T07:51:37"/>
    <x v="4"/>
    <n v="0.48055555555555557"/>
    <n v="1"/>
  </r>
  <r>
    <n v="9545"/>
    <x v="0"/>
    <s v="Release 3.2"/>
    <d v="2014-06-13T16:11:17"/>
    <x v="38"/>
    <n v="0.43888888888888888"/>
    <n v="1"/>
  </r>
  <r>
    <n v="9592"/>
    <x v="2"/>
    <s v="Release 3.2"/>
    <d v="2014-06-17T14:18:19"/>
    <x v="4"/>
    <n v="0.42777777777777776"/>
    <n v="1"/>
  </r>
  <r>
    <n v="9619"/>
    <x v="3"/>
    <s v="Release 3.3"/>
    <d v="2014-09-09T18:53:32"/>
    <x v="3"/>
    <n v="0.2"/>
    <n v="1"/>
  </r>
  <r>
    <n v="9638"/>
    <x v="2"/>
    <s v="Release 3.2"/>
    <d v="2014-06-13T16:27:15"/>
    <x v="18"/>
    <n v="0.43888888888888888"/>
    <n v="1"/>
  </r>
  <r>
    <n v="9672"/>
    <x v="28"/>
    <s v="Release 3.3"/>
    <d v="2014-08-11T09:04:58"/>
    <x v="4"/>
    <n v="0.27777777777777779"/>
    <n v="1"/>
  </r>
  <r>
    <n v="9700"/>
    <x v="28"/>
    <s v="Release 3.2"/>
    <d v="2014-06-20T15:30:31"/>
    <x v="4"/>
    <n v="0.41944444444444445"/>
    <n v="1"/>
  </r>
  <r>
    <n v="9702"/>
    <x v="28"/>
    <s v="Release 3.2"/>
    <d v="2014-06-20T14:58:18"/>
    <x v="4"/>
    <n v="0.41944444444444445"/>
    <n v="1"/>
  </r>
  <r>
    <n v="9738"/>
    <x v="34"/>
    <s v="Release 3.3"/>
    <d v="2014-09-12T14:14:40"/>
    <x v="41"/>
    <n v="0.19166666666666668"/>
    <n v="1"/>
  </r>
  <r>
    <n v="9759"/>
    <x v="28"/>
    <s v="Release 3.3"/>
    <d v="2014-08-08T14:34:37"/>
    <x v="29"/>
    <n v="0.28611111111111109"/>
    <n v="1"/>
  </r>
  <r>
    <n v="9767"/>
    <x v="14"/>
    <s v="Release 3.2"/>
    <d v="2014-06-27T13:46:40"/>
    <x v="10"/>
    <n v="0.4"/>
    <n v="1"/>
  </r>
  <r>
    <n v="9801"/>
    <x v="42"/>
    <s v="Release 3.2"/>
    <d v="2014-07-03T19:12:36"/>
    <x v="3"/>
    <n v="0.38333333333333336"/>
    <n v="1"/>
  </r>
  <r>
    <n v="9814"/>
    <x v="2"/>
    <s v="Release 3.3"/>
    <d v="2014-11-04T16:29:05"/>
    <x v="41"/>
    <n v="4.7222222222222221E-2"/>
    <n v="1"/>
  </r>
  <r>
    <n v="9830"/>
    <x v="28"/>
    <s v="Release 3.2"/>
    <d v="2014-07-07T22:14:09"/>
    <x v="5"/>
    <n v="0.37222222222222223"/>
    <n v="1"/>
  </r>
  <r>
    <n v="9831"/>
    <x v="34"/>
    <s v="Release 3.3"/>
    <d v="2014-09-12T14:30:35"/>
    <x v="4"/>
    <n v="0.19166666666666668"/>
    <n v="1"/>
  </r>
  <r>
    <n v="9833"/>
    <x v="44"/>
    <s v="Release 3.3"/>
    <d v="2014-11-06T15:34:05"/>
    <x v="42"/>
    <n v="4.1666666666666664E-2"/>
    <n v="1"/>
  </r>
  <r>
    <n v="9857"/>
    <x v="14"/>
    <s v="Release 3.3"/>
    <d v="2014-07-14T21:24:11"/>
    <x v="40"/>
    <n v="0.3527777777777778"/>
    <n v="1"/>
  </r>
  <r>
    <n v="9973"/>
    <x v="28"/>
    <s v="Release 3.3"/>
    <d v="2014-07-28T10:04:51"/>
    <x v="32"/>
    <n v="0.31388888888888888"/>
    <n v="1"/>
  </r>
  <r>
    <n v="10018"/>
    <x v="42"/>
    <s v="Release 3.3"/>
    <d v="2014-08-01T14:00:42"/>
    <x v="41"/>
    <n v="0.30555555555555558"/>
    <n v="1"/>
  </r>
  <r>
    <n v="10021"/>
    <x v="35"/>
    <s v="Release 3.3"/>
    <d v="2014-07-31T12:25:36"/>
    <x v="13"/>
    <n v="0.30833333333333335"/>
    <n v="1"/>
  </r>
  <r>
    <n v="10023"/>
    <x v="35"/>
    <s v="Release 3.3"/>
    <d v="2014-08-11T09:01:24"/>
    <x v="4"/>
    <n v="0.27777777777777779"/>
    <n v="1"/>
  </r>
  <r>
    <n v="10080"/>
    <x v="42"/>
    <s v="Release 3.3"/>
    <d v="2014-08-14T16:08:26"/>
    <x v="10"/>
    <n v="0.26944444444444443"/>
    <n v="1"/>
  </r>
  <r>
    <n v="10086"/>
    <x v="6"/>
    <s v="Release 3.3"/>
    <d v="2014-08-15T13:58:08"/>
    <x v="41"/>
    <n v="0.26666666666666666"/>
    <n v="1"/>
  </r>
  <r>
    <n v="10089"/>
    <x v="35"/>
    <s v="Release 3.3"/>
    <d v="2014-08-18T11:22:01"/>
    <x v="13"/>
    <n v="0.25833333333333336"/>
    <n v="1"/>
  </r>
  <r>
    <n v="10101"/>
    <x v="42"/>
    <s v="Release 3.3"/>
    <d v="2014-08-14T16:04:30"/>
    <x v="10"/>
    <n v="0.26944444444444443"/>
    <n v="1"/>
  </r>
  <r>
    <n v="10128"/>
    <x v="35"/>
    <s v="Release 3.3"/>
    <d v="2014-08-21T09:57:19"/>
    <x v="2"/>
    <n v="0.25"/>
    <n v="1"/>
  </r>
  <r>
    <n v="10137"/>
    <x v="11"/>
    <s v="Release 3.3"/>
    <d v="2014-08-21T16:39:52"/>
    <x v="0"/>
    <n v="0.25"/>
    <n v="1"/>
  </r>
  <r>
    <n v="10141"/>
    <x v="34"/>
    <s v="Release 3.3"/>
    <d v="2014-08-22T15:02:15"/>
    <x v="41"/>
    <n v="0.24722222222222223"/>
    <n v="1"/>
  </r>
  <r>
    <n v="10261"/>
    <x v="53"/>
    <s v="Release 3.3"/>
    <d v="2014-11-12T09:22:32"/>
    <x v="29"/>
    <n v="2.5000000000000001E-2"/>
    <n v="1"/>
  </r>
  <r>
    <n v="10288"/>
    <x v="6"/>
    <s v="Release 3.3"/>
    <d v="2014-10-27T15:13:39"/>
    <x v="41"/>
    <n v="6.6666666666666666E-2"/>
    <n v="1"/>
  </r>
  <r>
    <n v="10289"/>
    <x v="6"/>
    <s v="Release 3.3"/>
    <d v="2014-10-06T15:06:38"/>
    <x v="18"/>
    <n v="0.125"/>
    <n v="1"/>
  </r>
  <r>
    <n v="10295"/>
    <x v="35"/>
    <s v="Release 3.3"/>
    <d v="2014-10-10T15:04:16"/>
    <x v="0"/>
    <n v="0.11388888888888889"/>
    <n v="1"/>
  </r>
  <r>
    <n v="10307"/>
    <x v="33"/>
    <s v="Release 3.3"/>
    <d v="2014-10-23T16:40:02"/>
    <x v="13"/>
    <n v="7.7777777777777779E-2"/>
    <n v="1"/>
  </r>
  <r>
    <n v="10312"/>
    <x v="33"/>
    <s v="Release 3.3"/>
    <d v="2014-10-08T14:25:08"/>
    <x v="32"/>
    <n v="0.11944444444444445"/>
    <n v="1"/>
  </r>
  <r>
    <n v="10318"/>
    <x v="33"/>
    <s v="Release 3.3"/>
    <d v="2014-11-04T13:17:43"/>
    <x v="46"/>
    <n v="4.7222222222222221E-2"/>
    <n v="1"/>
  </r>
  <r>
    <n v="10321"/>
    <x v="33"/>
    <s v="Release 3.3"/>
    <d v="2014-10-08T14:12:43"/>
    <x v="32"/>
    <n v="0.11944444444444445"/>
    <n v="1"/>
  </r>
  <r>
    <n v="10335"/>
    <x v="44"/>
    <s v="Release 3.3"/>
    <d v="2014-10-22T11:06:13"/>
    <x v="13"/>
    <n v="8.0555555555555561E-2"/>
    <n v="1"/>
  </r>
  <r>
    <n v="10353"/>
    <x v="3"/>
    <s v="Release 3.3"/>
    <d v="2014-10-13T19:00:40"/>
    <x v="31"/>
    <n v="0.10555555555555556"/>
    <n v="1"/>
  </r>
  <r>
    <n v="10363"/>
    <x v="46"/>
    <s v="Release 3.3"/>
    <d v="2014-10-14T20:28:26"/>
    <x v="0"/>
    <n v="0.10277777777777777"/>
    <n v="1"/>
  </r>
  <r>
    <n v="10373"/>
    <x v="35"/>
    <s v="Release 3.3"/>
    <d v="2014-10-27T16:10:43"/>
    <x v="29"/>
    <n v="6.6666666666666666E-2"/>
    <n v="1"/>
  </r>
  <r>
    <n v="10378"/>
    <x v="35"/>
    <s v="Release 3.3"/>
    <d v="2014-10-17T10:54:45"/>
    <x v="29"/>
    <n v="9.4444444444444442E-2"/>
    <n v="1"/>
  </r>
  <r>
    <n v="10397"/>
    <x v="54"/>
    <s v="Release 3.3"/>
    <d v="2014-10-24T10:20:55"/>
    <x v="30"/>
    <n v="7.4999999999999997E-2"/>
    <n v="1"/>
  </r>
  <r>
    <n v="10398"/>
    <x v="35"/>
    <s v="Release 3.3"/>
    <d v="2014-10-22T15:39:36"/>
    <x v="2"/>
    <n v="8.0555555555555561E-2"/>
    <n v="1"/>
  </r>
  <r>
    <n v="10402"/>
    <x v="33"/>
    <s v="Release 3.3"/>
    <d v="2014-11-03T15:42:23"/>
    <x v="13"/>
    <n v="0.05"/>
    <n v="1"/>
  </r>
  <r>
    <n v="10407"/>
    <x v="33"/>
    <s v="Release 3.3"/>
    <d v="2014-10-23T17:06:11"/>
    <x v="13"/>
    <n v="7.7777777777777779E-2"/>
    <n v="1"/>
  </r>
  <r>
    <n v="10415"/>
    <x v="33"/>
    <s v="Release 3.3"/>
    <d v="2014-11-03T15:45:21"/>
    <x v="13"/>
    <n v="0.05"/>
    <n v="1"/>
  </r>
  <r>
    <n v="10416"/>
    <x v="33"/>
    <s v="Release 3.3"/>
    <d v="2014-10-23T16:58:31"/>
    <x v="13"/>
    <n v="7.7777777777777779E-2"/>
    <n v="1"/>
  </r>
  <r>
    <n v="10424"/>
    <x v="33"/>
    <s v="Release 3.3"/>
    <d v="2014-11-03T15:53:04"/>
    <x v="13"/>
    <n v="0.05"/>
    <n v="1"/>
  </r>
  <r>
    <n v="10439"/>
    <x v="57"/>
    <s v="Backlog"/>
    <d v="2014-10-28T20:16:07"/>
    <x v="0"/>
    <n v="6.3888888888888884E-2"/>
    <n v="1"/>
  </r>
  <r>
    <n v="10440"/>
    <x v="35"/>
    <s v="Release 3.3"/>
    <d v="2014-11-04T14:26:17"/>
    <x v="0"/>
    <n v="4.7222222222222221E-2"/>
    <n v="1"/>
  </r>
  <r>
    <n v="10442"/>
    <x v="53"/>
    <s v="Release 3.3"/>
    <d v="2014-11-11T12:19:53"/>
    <x v="29"/>
    <n v="2.7777777777777776E-2"/>
    <n v="1"/>
  </r>
  <r>
    <n v="10457"/>
    <x v="35"/>
    <s v="Release 3.3"/>
    <d v="2014-10-31T14:01:23"/>
    <x v="29"/>
    <n v="5.8333333333333334E-2"/>
    <n v="1"/>
  </r>
  <r>
    <n v="10467"/>
    <x v="35"/>
    <s v="Release 3.3"/>
    <d v="2014-10-31T15:10:20"/>
    <x v="43"/>
    <n v="5.8333333333333334E-2"/>
    <n v="1"/>
  </r>
  <r>
    <n v="10495"/>
    <x v="35"/>
    <s v="Release 3.3"/>
    <d v="2014-11-11T16:27:28"/>
    <x v="29"/>
    <n v="2.7777777777777776E-2"/>
    <n v="1"/>
  </r>
  <r>
    <n v="10525"/>
    <x v="35"/>
    <s v="Release 3.3"/>
    <d v="2014-11-11T16:35:05"/>
    <x v="29"/>
    <n v="2.7777777777777776E-2"/>
    <n v="1"/>
  </r>
  <r>
    <n v="10529"/>
    <x v="16"/>
    <s v="Release 3.3"/>
    <d v="2014-11-11T09:46:32"/>
    <x v="0"/>
    <n v="2.7777777777777776E-2"/>
    <n v="1"/>
  </r>
  <r>
    <n v="10536"/>
    <x v="35"/>
    <s v="Release 3.3"/>
    <d v="2014-11-12T17:05:44"/>
    <x v="29"/>
    <n v="2.5000000000000001E-2"/>
    <n v="1"/>
  </r>
  <r>
    <n v="10548"/>
    <x v="35"/>
    <s v="Release 3.3"/>
    <d v="2014-11-13T12:23:49"/>
    <x v="29"/>
    <n v="2.2222222222222223E-2"/>
    <n v="1"/>
  </r>
  <r>
    <n v="13"/>
    <x v="2"/>
    <m/>
    <d v="2013-07-22T15:40:02"/>
    <x v="23"/>
    <n v="1.3305555555555555"/>
    <n v="0"/>
  </r>
  <r>
    <n v="73"/>
    <x v="0"/>
    <s v="Iteration 4"/>
    <d v="2008-01-09T08:54:23"/>
    <x v="0"/>
    <n v="6.8666666666666663"/>
    <n v="0"/>
  </r>
  <r>
    <n v="100"/>
    <x v="2"/>
    <s v="Iteration 27"/>
    <d v="2011-02-14T16:22:05"/>
    <x v="8"/>
    <n v="3.7694444444444444"/>
    <n v="0"/>
  </r>
  <r>
    <n v="143"/>
    <x v="12"/>
    <s v="Iteration 26"/>
    <d v="2010-12-15T18:29:15"/>
    <x v="7"/>
    <n v="3.9333333333333331"/>
    <n v="0"/>
  </r>
  <r>
    <n v="380"/>
    <x v="2"/>
    <s v="Pilot"/>
    <d v="2010-02-09T10:39:15"/>
    <x v="0"/>
    <n v="4.7833333333333332"/>
    <n v="0"/>
  </r>
  <r>
    <n v="641"/>
    <x v="4"/>
    <s v="Iteration 20"/>
    <d v="2009-06-16T13:44:02"/>
    <x v="0"/>
    <n v="5.4305555555555554"/>
    <n v="0"/>
  </r>
  <r>
    <n v="872"/>
    <x v="0"/>
    <s v="Iteration 23"/>
    <d v="2010-06-09T16:22:16"/>
    <x v="0"/>
    <n v="4.45"/>
    <n v="0"/>
  </r>
  <r>
    <n v="874"/>
    <x v="4"/>
    <s v="Iteration 24"/>
    <d v="2010-08-26T09:18:02"/>
    <x v="13"/>
    <n v="4.2361111111111107"/>
    <n v="0"/>
  </r>
  <r>
    <n v="1036"/>
    <x v="3"/>
    <s v="Iteration 22"/>
    <d v="2010-04-07T09:51:54"/>
    <x v="0"/>
    <n v="4.6222222222222218"/>
    <n v="0"/>
  </r>
  <r>
    <n v="1104"/>
    <x v="10"/>
    <s v="Iteration 22"/>
    <d v="2010-04-06T14:48:50"/>
    <x v="0"/>
    <n v="4.625"/>
    <n v="0"/>
  </r>
  <r>
    <n v="1555"/>
    <x v="0"/>
    <s v="Release 2.1"/>
    <d v="2012-04-30T11:12:53"/>
    <x v="4"/>
    <n v="2.5583333333333331"/>
    <n v="0"/>
  </r>
  <r>
    <n v="1606"/>
    <x v="11"/>
    <s v="Iteration 25"/>
    <d v="2010-11-02T17:27:20"/>
    <x v="19"/>
    <n v="4.052777777777778"/>
    <n v="0"/>
  </r>
  <r>
    <n v="2045"/>
    <x v="36"/>
    <s v="Iteration 27"/>
    <d v="2011-02-15T10:49:08"/>
    <x v="6"/>
    <n v="3.7666666666666666"/>
    <n v="0"/>
  </r>
  <r>
    <n v="2071"/>
    <x v="4"/>
    <s v="Iteration 30"/>
    <d v="2011-09-19T13:38:10"/>
    <x v="10"/>
    <n v="3.1722222222222221"/>
    <n v="0"/>
  </r>
  <r>
    <n v="2235"/>
    <x v="21"/>
    <s v="Iteration 27"/>
    <d v="2011-02-16T15:52:25"/>
    <x v="6"/>
    <n v="3.7638888888888888"/>
    <n v="0"/>
  </r>
  <r>
    <n v="2243"/>
    <x v="9"/>
    <s v="Iteration 27"/>
    <d v="2011-02-17T13:41:18"/>
    <x v="2"/>
    <n v="3.7611111111111111"/>
    <n v="0"/>
  </r>
  <r>
    <n v="2247"/>
    <x v="12"/>
    <s v="Iteration 27"/>
    <d v="2011-02-17T13:35:51"/>
    <x v="10"/>
    <n v="3.7611111111111111"/>
    <n v="0"/>
  </r>
  <r>
    <n v="2258"/>
    <x v="3"/>
    <s v="Iteration 28"/>
    <d v="2011-04-27T10:55:04"/>
    <x v="6"/>
    <n v="3.5666666666666669"/>
    <n v="0"/>
  </r>
  <r>
    <n v="2293"/>
    <x v="9"/>
    <s v="Iteration 27"/>
    <d v="2011-02-16T12:01:14"/>
    <x v="33"/>
    <n v="3.7638888888888888"/>
    <n v="0"/>
  </r>
  <r>
    <n v="2319"/>
    <x v="15"/>
    <s v="Iteration 27"/>
    <d v="2011-02-15T19:46:50"/>
    <x v="19"/>
    <n v="3.7666666666666666"/>
    <n v="0"/>
  </r>
  <r>
    <n v="2349"/>
    <x v="3"/>
    <s v="Iteration 28"/>
    <d v="2011-04-27T16:57:30"/>
    <x v="6"/>
    <n v="3.5666666666666669"/>
    <n v="0"/>
  </r>
  <r>
    <n v="2387"/>
    <x v="12"/>
    <s v="Iteration 27"/>
    <d v="2011-02-16T18:42:49"/>
    <x v="9"/>
    <n v="3.7638888888888888"/>
    <n v="0"/>
  </r>
  <r>
    <n v="2426"/>
    <x v="12"/>
    <s v="Iteration 29"/>
    <d v="2011-06-29T19:38:30"/>
    <x v="4"/>
    <n v="3.3944444444444444"/>
    <n v="0"/>
  </r>
  <r>
    <n v="2449"/>
    <x v="12"/>
    <s v="Iteration 27"/>
    <d v="2011-02-17T18:59:01"/>
    <x v="6"/>
    <n v="3.7611111111111111"/>
    <n v="0"/>
  </r>
  <r>
    <n v="2451"/>
    <x v="0"/>
    <s v="Iteration 28"/>
    <d v="2011-05-03T18:11:06"/>
    <x v="8"/>
    <n v="3.55"/>
    <n v="0"/>
  </r>
  <r>
    <n v="2501"/>
    <x v="10"/>
    <s v="Iteration 28"/>
    <d v="2011-05-05T08:27:53"/>
    <x v="6"/>
    <n v="3.5444444444444443"/>
    <n v="0"/>
  </r>
  <r>
    <n v="2522"/>
    <x v="3"/>
    <s v="Release 3.0"/>
    <d v="2013-10-11T14:05:14"/>
    <x v="3"/>
    <n v="1.1111111111111112"/>
    <n v="0"/>
  </r>
  <r>
    <n v="2610"/>
    <x v="0"/>
    <s v="Iteration 28"/>
    <d v="2011-05-04T17:15:18"/>
    <x v="2"/>
    <n v="3.5472222222222221"/>
    <n v="0"/>
  </r>
  <r>
    <n v="2629"/>
    <x v="11"/>
    <s v="Iteration 28"/>
    <d v="2011-04-29T19:09:35"/>
    <x v="19"/>
    <n v="3.5611111111111109"/>
    <n v="0"/>
  </r>
  <r>
    <n v="2676"/>
    <x v="21"/>
    <s v="Iteration 28"/>
    <d v="2011-04-27T11:06:08"/>
    <x v="6"/>
    <n v="3.5666666666666669"/>
    <n v="0"/>
  </r>
  <r>
    <n v="2715"/>
    <x v="11"/>
    <s v="Iteration 28"/>
    <d v="2011-04-27T16:28:01"/>
    <x v="6"/>
    <n v="3.5666666666666669"/>
    <n v="0"/>
  </r>
  <r>
    <n v="2735"/>
    <x v="9"/>
    <s v="Iteration 28"/>
    <d v="2011-04-28T02:36:36"/>
    <x v="8"/>
    <n v="3.5638888888888891"/>
    <n v="0"/>
  </r>
  <r>
    <n v="2892"/>
    <x v="48"/>
    <s v="Iteration 29"/>
    <d v="2011-06-27T20:02:15"/>
    <x v="5"/>
    <n v="3.4"/>
    <n v="0"/>
  </r>
  <r>
    <n v="2923"/>
    <x v="3"/>
    <s v="Iteration 28"/>
    <d v="2011-05-06T09:08:08"/>
    <x v="6"/>
    <n v="3.5416666666666665"/>
    <n v="0"/>
  </r>
  <r>
    <n v="2936"/>
    <x v="2"/>
    <s v="Iteration 29"/>
    <d v="2011-06-27T04:38:15"/>
    <x v="8"/>
    <n v="3.4"/>
    <n v="0"/>
  </r>
  <r>
    <n v="2942"/>
    <x v="3"/>
    <s v="Iteration 29"/>
    <d v="2011-06-27T04:34:03"/>
    <x v="8"/>
    <n v="3.4"/>
    <n v="0"/>
  </r>
  <r>
    <n v="3085"/>
    <x v="2"/>
    <s v="Iteration 29"/>
    <d v="2011-06-27T19:40:00"/>
    <x v="5"/>
    <n v="3.4"/>
    <n v="0"/>
  </r>
  <r>
    <n v="3107"/>
    <x v="15"/>
    <s v="Iteration 29"/>
    <d v="2011-06-27T16:27:07"/>
    <x v="8"/>
    <n v="3.4"/>
    <n v="0"/>
  </r>
  <r>
    <n v="3132"/>
    <x v="2"/>
    <s v="Iteration 29"/>
    <d v="2011-06-27T17:13:59"/>
    <x v="8"/>
    <n v="3.4"/>
    <n v="0"/>
  </r>
  <r>
    <n v="3159"/>
    <x v="2"/>
    <s v="Iteration 29"/>
    <d v="2011-06-27T16:19:27"/>
    <x v="8"/>
    <n v="3.4"/>
    <n v="0"/>
  </r>
  <r>
    <n v="3256"/>
    <x v="12"/>
    <s v="Release 2.0"/>
    <d v="2012-01-09T16:32:23"/>
    <x v="16"/>
    <n v="2.8666666666666667"/>
    <n v="0"/>
  </r>
  <r>
    <n v="3502"/>
    <x v="11"/>
    <s v="Release 2.5"/>
    <d v="2013-03-01T13:21:42"/>
    <x v="10"/>
    <n v="1.7222222222222223"/>
    <n v="0"/>
  </r>
  <r>
    <n v="3550"/>
    <x v="0"/>
    <s v="Iteration 30"/>
    <d v="2011-09-19T14:50:00"/>
    <x v="4"/>
    <n v="3.1722222222222221"/>
    <n v="0"/>
  </r>
  <r>
    <n v="3559"/>
    <x v="12"/>
    <s v="Iteration 30"/>
    <d v="2011-09-19T13:29:15"/>
    <x v="10"/>
    <n v="3.1722222222222221"/>
    <n v="0"/>
  </r>
  <r>
    <n v="3573"/>
    <x v="12"/>
    <s v="Iteration 30"/>
    <d v="2011-09-19T17:03:12"/>
    <x v="4"/>
    <n v="3.1722222222222221"/>
    <n v="0"/>
  </r>
  <r>
    <n v="3600"/>
    <x v="0"/>
    <s v="Iteration 30"/>
    <d v="2011-09-19T14:48:10"/>
    <x v="4"/>
    <n v="3.1722222222222221"/>
    <n v="0"/>
  </r>
  <r>
    <n v="3744"/>
    <x v="0"/>
    <s v="Release 2.0"/>
    <d v="2012-01-10T11:11:23"/>
    <x v="11"/>
    <n v="2.8638888888888889"/>
    <n v="0"/>
  </r>
  <r>
    <n v="3754"/>
    <x v="0"/>
    <s v="Release 2.3"/>
    <d v="2012-10-29T15:28:59"/>
    <x v="3"/>
    <n v="2.0611111111111109"/>
    <n v="0"/>
  </r>
  <r>
    <n v="3768"/>
    <x v="12"/>
    <s v="Iteration 30"/>
    <d v="2011-09-20T19:12:38"/>
    <x v="5"/>
    <n v="3.1694444444444443"/>
    <n v="0"/>
  </r>
  <r>
    <n v="3771"/>
    <x v="12"/>
    <s v="Release 2.0"/>
    <d v="2012-01-10T18:15:23"/>
    <x v="10"/>
    <n v="2.8638888888888889"/>
    <n v="0"/>
  </r>
  <r>
    <n v="3777"/>
    <x v="18"/>
    <s v="Iteration 30"/>
    <d v="2011-09-21T20:02:16"/>
    <x v="7"/>
    <n v="3.1666666666666665"/>
    <n v="0"/>
  </r>
  <r>
    <n v="3887"/>
    <x v="11"/>
    <s v="Release 2.0"/>
    <d v="2012-01-10T17:58:18"/>
    <x v="10"/>
    <n v="2.8638888888888889"/>
    <n v="0"/>
  </r>
  <r>
    <n v="4027"/>
    <x v="12"/>
    <s v="Release 2.0"/>
    <d v="2012-01-11T15:20:18"/>
    <x v="16"/>
    <n v="2.8611111111111112"/>
    <n v="0"/>
  </r>
  <r>
    <n v="4115"/>
    <x v="12"/>
    <s v="Release 2.0"/>
    <d v="2012-01-09T22:47:35"/>
    <x v="5"/>
    <n v="2.8666666666666667"/>
    <n v="0"/>
  </r>
  <r>
    <n v="4184"/>
    <x v="12"/>
    <s v="Release 2.0"/>
    <d v="2012-02-21T18:01:52"/>
    <x v="10"/>
    <n v="2.75"/>
    <n v="0"/>
  </r>
  <r>
    <n v="4279"/>
    <x v="14"/>
    <s v="Release 2.0"/>
    <d v="2012-01-12T09:46:22"/>
    <x v="15"/>
    <n v="2.8583333333333334"/>
    <n v="0"/>
  </r>
  <r>
    <n v="4380"/>
    <x v="12"/>
    <s v="Release 2.0"/>
    <d v="2012-01-10T16:12:22"/>
    <x v="5"/>
    <n v="2.8638888888888889"/>
    <n v="0"/>
  </r>
  <r>
    <n v="4396"/>
    <x v="12"/>
    <s v="Release 2.0"/>
    <d v="2012-01-11T17:50:47"/>
    <x v="35"/>
    <n v="2.8611111111111112"/>
    <n v="0"/>
  </r>
  <r>
    <n v="4404"/>
    <x v="12"/>
    <s v="Release 2.0"/>
    <d v="2012-01-10T10:44:21"/>
    <x v="2"/>
    <n v="2.8638888888888889"/>
    <n v="0"/>
  </r>
  <r>
    <n v="4676"/>
    <x v="12"/>
    <s v="Release 2.1"/>
    <d v="2012-05-01T22:25:29"/>
    <x v="9"/>
    <n v="2.5555555555555554"/>
    <n v="0"/>
  </r>
  <r>
    <n v="4765"/>
    <x v="0"/>
    <s v="Release 2.1"/>
    <d v="2012-04-30T16:40:03"/>
    <x v="35"/>
    <n v="2.5583333333333331"/>
    <n v="0"/>
  </r>
  <r>
    <n v="4779"/>
    <x v="0"/>
    <s v="Release 2.1"/>
    <d v="2012-04-30T11:08:55"/>
    <x v="4"/>
    <n v="2.5583333333333331"/>
    <n v="0"/>
  </r>
  <r>
    <n v="4840"/>
    <x v="18"/>
    <s v="Release 2.1"/>
    <d v="2012-04-30T21:40:32"/>
    <x v="35"/>
    <n v="2.5583333333333331"/>
    <n v="0"/>
  </r>
  <r>
    <n v="4851"/>
    <x v="12"/>
    <s v="Release 2.1"/>
    <d v="2012-04-30T16:59:35"/>
    <x v="35"/>
    <n v="2.5583333333333331"/>
    <n v="0"/>
  </r>
  <r>
    <n v="4883"/>
    <x v="10"/>
    <s v="Release 2.1"/>
    <d v="2012-04-30T11:06:33"/>
    <x v="4"/>
    <n v="2.5583333333333331"/>
    <n v="0"/>
  </r>
  <r>
    <n v="4948"/>
    <x v="12"/>
    <s v="Release 2.1"/>
    <d v="2012-04-30T20:22:33"/>
    <x v="5"/>
    <n v="2.5583333333333331"/>
    <n v="0"/>
  </r>
  <r>
    <n v="4961"/>
    <x v="0"/>
    <s v="Release 2.1"/>
    <d v="2012-04-30T17:14:17"/>
    <x v="8"/>
    <n v="2.5583333333333331"/>
    <n v="0"/>
  </r>
  <r>
    <n v="4983"/>
    <x v="11"/>
    <s v="Release 2.1"/>
    <d v="2012-04-30T19:45:13"/>
    <x v="10"/>
    <n v="2.5583333333333331"/>
    <n v="0"/>
  </r>
  <r>
    <n v="5009"/>
    <x v="12"/>
    <s v="Release 2.1"/>
    <d v="2012-04-30T20:14:34"/>
    <x v="35"/>
    <n v="2.5583333333333331"/>
    <n v="0"/>
  </r>
  <r>
    <n v="5027"/>
    <x v="11"/>
    <s v="Release 2.1"/>
    <d v="2012-04-30T19:31:38"/>
    <x v="10"/>
    <n v="2.5583333333333331"/>
    <n v="0"/>
  </r>
  <r>
    <n v="5067"/>
    <x v="12"/>
    <s v="Release 2.1"/>
    <d v="2012-04-30T17:02:51"/>
    <x v="35"/>
    <n v="2.5583333333333331"/>
    <n v="0"/>
  </r>
  <r>
    <n v="5128"/>
    <x v="12"/>
    <s v="Release 2.1"/>
    <d v="2012-04-30T16:49:39"/>
    <x v="35"/>
    <n v="2.5583333333333331"/>
    <n v="0"/>
  </r>
  <r>
    <n v="5144"/>
    <x v="12"/>
    <s v="Release 2.1"/>
    <d v="2012-05-02T16:30:38"/>
    <x v="3"/>
    <n v="2.5527777777777776"/>
    <n v="0"/>
  </r>
  <r>
    <n v="5150"/>
    <x v="12"/>
    <s v="Release 2.1"/>
    <d v="2012-05-02T14:54:37"/>
    <x v="8"/>
    <n v="2.5527777777777776"/>
    <n v="0"/>
  </r>
  <r>
    <n v="5152"/>
    <x v="18"/>
    <s v="Release 2.1"/>
    <d v="2012-05-02T16:28:24"/>
    <x v="3"/>
    <n v="2.5527777777777776"/>
    <n v="0"/>
  </r>
  <r>
    <n v="5178"/>
    <x v="11"/>
    <s v="Release 2.1"/>
    <d v="2012-05-04T16:52:43"/>
    <x v="8"/>
    <n v="2.5472222222222221"/>
    <n v="0"/>
  </r>
  <r>
    <n v="5269"/>
    <x v="14"/>
    <s v="Release 2.2"/>
    <d v="2012-11-02T14:56:25"/>
    <x v="0"/>
    <n v="2.0527777777777776"/>
    <n v="0"/>
  </r>
  <r>
    <n v="5281"/>
    <x v="14"/>
    <s v="Release 2.2"/>
    <d v="2012-11-02T14:56:25"/>
    <x v="0"/>
    <n v="2.0527777777777776"/>
    <n v="0"/>
  </r>
  <r>
    <n v="5282"/>
    <x v="14"/>
    <s v="Release 2.2"/>
    <d v="2012-11-02T14:56:25"/>
    <x v="0"/>
    <n v="2.0527777777777776"/>
    <n v="0"/>
  </r>
  <r>
    <n v="5305"/>
    <x v="14"/>
    <s v="Release 2.2"/>
    <d v="2012-08-06T15:41:47"/>
    <x v="35"/>
    <n v="2.2916666666666665"/>
    <n v="0"/>
  </r>
  <r>
    <n v="5325"/>
    <x v="11"/>
    <s v="Release 2.3"/>
    <d v="2012-11-02T16:43:51"/>
    <x v="9"/>
    <n v="2.0527777777777776"/>
    <n v="0"/>
  </r>
  <r>
    <n v="5416"/>
    <x v="42"/>
    <s v="Release 2.2"/>
    <d v="2012-08-06T16:09:33"/>
    <x v="4"/>
    <n v="2.2916666666666665"/>
    <n v="0"/>
  </r>
  <r>
    <n v="5423"/>
    <x v="18"/>
    <s v="Release 2.2"/>
    <d v="2012-08-06T15:40:43"/>
    <x v="35"/>
    <n v="2.2916666666666665"/>
    <n v="0"/>
  </r>
  <r>
    <n v="5597"/>
    <x v="42"/>
    <s v="Release 3.1"/>
    <d v="2014-02-05T00:43:29"/>
    <x v="7"/>
    <n v="0.7944444444444444"/>
    <n v="1"/>
  </r>
  <r>
    <n v="5742"/>
    <x v="2"/>
    <s v="Release 2.3"/>
    <d v="2012-12-06T21:10:54"/>
    <x v="18"/>
    <n v="1.9583333333333333"/>
    <n v="0"/>
  </r>
  <r>
    <n v="5850"/>
    <x v="0"/>
    <s v="Release 2.3"/>
    <d v="2012-11-02T16:42:13"/>
    <x v="16"/>
    <n v="2.0527777777777776"/>
    <n v="0"/>
  </r>
  <r>
    <n v="5878"/>
    <x v="18"/>
    <s v="Release 2.3"/>
    <d v="2012-12-06T21:10:55"/>
    <x v="9"/>
    <n v="1.9583333333333333"/>
    <n v="0"/>
  </r>
  <r>
    <n v="5879"/>
    <x v="3"/>
    <s v="Release 2.4"/>
    <d v="2013-01-30T16:50:25"/>
    <x v="7"/>
    <n v="1.8083333333333333"/>
    <n v="0"/>
  </r>
  <r>
    <n v="5917"/>
    <x v="14"/>
    <s v="Release 2.4"/>
    <d v="2013-01-28T13:54:04"/>
    <x v="4"/>
    <n v="1.8138888888888889"/>
    <n v="0"/>
  </r>
  <r>
    <n v="5940"/>
    <x v="42"/>
    <s v="Release 2.3"/>
    <d v="2012-11-02T16:44:21"/>
    <x v="16"/>
    <n v="2.0527777777777776"/>
    <n v="0"/>
  </r>
  <r>
    <n v="5981"/>
    <x v="42"/>
    <s v="Release 2.3"/>
    <d v="2012-11-02T16:45:07"/>
    <x v="16"/>
    <n v="2.0527777777777776"/>
    <n v="0"/>
  </r>
  <r>
    <n v="5996"/>
    <x v="18"/>
    <s v="Release 2.3"/>
    <d v="2012-11-02T16:45:30"/>
    <x v="45"/>
    <n v="2.0527777777777776"/>
    <n v="0"/>
  </r>
  <r>
    <n v="5999"/>
    <x v="22"/>
    <s v="Release 2.3"/>
    <d v="2012-11-02T16:45:26"/>
    <x v="3"/>
    <n v="2.0527777777777776"/>
    <n v="0"/>
  </r>
  <r>
    <n v="6086"/>
    <x v="25"/>
    <s v="Release 2.4"/>
    <d v="2013-05-17T18:32:48"/>
    <x v="11"/>
    <n v="1.5111111111111111"/>
    <n v="0"/>
  </r>
  <r>
    <n v="6094"/>
    <x v="8"/>
    <s v="Release 2.4"/>
    <d v="2013-01-28T14:45:42"/>
    <x v="3"/>
    <n v="1.8138888888888889"/>
    <n v="0"/>
  </r>
  <r>
    <n v="6226"/>
    <x v="22"/>
    <s v="Release 2.6"/>
    <d v="2013-07-25T12:28:03"/>
    <x v="4"/>
    <n v="1.3222222222222222"/>
    <n v="0"/>
  </r>
  <r>
    <n v="6358"/>
    <x v="42"/>
    <s v="Release 2.4"/>
    <d v="2013-01-28T16:11:33"/>
    <x v="5"/>
    <n v="1.8138888888888889"/>
    <n v="0"/>
  </r>
  <r>
    <n v="6360"/>
    <x v="42"/>
    <s v="Release 2.4"/>
    <d v="2013-01-28T16:11:46"/>
    <x v="5"/>
    <n v="1.8138888888888889"/>
    <n v="0"/>
  </r>
  <r>
    <n v="6367"/>
    <x v="42"/>
    <s v="Release 2.4"/>
    <d v="2013-01-28T15:26:49"/>
    <x v="16"/>
    <n v="1.8138888888888889"/>
    <n v="0"/>
  </r>
  <r>
    <n v="6369"/>
    <x v="0"/>
    <s v="Release 2.4"/>
    <d v="2013-01-30T20:34:15"/>
    <x v="3"/>
    <n v="1.8083333333333333"/>
    <n v="0"/>
  </r>
  <r>
    <n v="6433"/>
    <x v="18"/>
    <s v="Release 2.4"/>
    <d v="2013-01-28T17:18:30"/>
    <x v="35"/>
    <n v="1.8138888888888889"/>
    <n v="0"/>
  </r>
  <r>
    <n v="6571"/>
    <x v="23"/>
    <s v="Release 2.5"/>
    <d v="2013-03-01T16:09:20"/>
    <x v="9"/>
    <n v="1.7222222222222223"/>
    <n v="0"/>
  </r>
  <r>
    <n v="6593"/>
    <x v="42"/>
    <s v="Release 2.5"/>
    <d v="2013-03-01T11:40:05"/>
    <x v="18"/>
    <n v="1.7222222222222223"/>
    <n v="0"/>
  </r>
  <r>
    <n v="6597"/>
    <x v="42"/>
    <s v="Release 2.5"/>
    <d v="2013-03-01T10:55:36"/>
    <x v="4"/>
    <n v="1.7222222222222223"/>
    <n v="0"/>
  </r>
  <r>
    <n v="6674"/>
    <x v="18"/>
    <s v="Release 2.5"/>
    <d v="2013-04-05T12:47:37"/>
    <x v="12"/>
    <n v="1.6277777777777778"/>
    <n v="0"/>
  </r>
  <r>
    <n v="6688"/>
    <x v="51"/>
    <s v="Release 2.5"/>
    <d v="2013-03-27T18:14:06"/>
    <x v="21"/>
    <n v="1.65"/>
    <n v="0"/>
  </r>
  <r>
    <n v="6712"/>
    <x v="20"/>
    <s v="Release 2.5"/>
    <d v="2013-04-05T12:48:11"/>
    <x v="21"/>
    <n v="1.6277777777777778"/>
    <n v="0"/>
  </r>
  <r>
    <n v="6731"/>
    <x v="23"/>
    <s v="Release 2.5"/>
    <d v="2013-04-19T16:05:04"/>
    <x v="7"/>
    <n v="1.5888888888888888"/>
    <n v="0"/>
  </r>
  <r>
    <n v="6804"/>
    <x v="0"/>
    <s v="Release 2.5"/>
    <d v="2013-05-16T22:40:06"/>
    <x v="11"/>
    <n v="1.5138888888888888"/>
    <n v="0"/>
  </r>
  <r>
    <n v="6819"/>
    <x v="14"/>
    <s v="Release 2.5"/>
    <d v="2013-05-16T22:37:52"/>
    <x v="35"/>
    <n v="1.5138888888888888"/>
    <n v="0"/>
  </r>
  <r>
    <n v="7045"/>
    <x v="2"/>
    <s v="Release 2.6"/>
    <d v="2013-06-18T13:26:04"/>
    <x v="5"/>
    <n v="1.425"/>
    <n v="0"/>
  </r>
  <r>
    <n v="7062"/>
    <x v="2"/>
    <s v="Release 2.6"/>
    <d v="2013-07-25T12:28:14"/>
    <x v="5"/>
    <n v="1.3222222222222222"/>
    <n v="0"/>
  </r>
  <r>
    <n v="7119"/>
    <x v="42"/>
    <s v="Release 2.6"/>
    <d v="2013-07-25T12:28:29"/>
    <x v="22"/>
    <n v="1.3222222222222222"/>
    <n v="0"/>
  </r>
  <r>
    <n v="7138"/>
    <x v="14"/>
    <s v="Release 2.6"/>
    <d v="2013-06-03T13:45:19"/>
    <x v="4"/>
    <n v="1.4666666666666666"/>
    <n v="0"/>
  </r>
  <r>
    <n v="7243"/>
    <x v="0"/>
    <s v="Release 3.0"/>
    <d v="2013-08-30T16:34:28"/>
    <x v="8"/>
    <n v="1.2250000000000001"/>
    <n v="0"/>
  </r>
  <r>
    <n v="7284"/>
    <x v="10"/>
    <s v="Release 3.2"/>
    <d v="2014-04-16T19:24:22"/>
    <x v="5"/>
    <n v="0.59722222222222221"/>
    <n v="1"/>
  </r>
  <r>
    <n v="7385"/>
    <x v="11"/>
    <s v="Release 2.6"/>
    <d v="2013-07-26T16:54:07"/>
    <x v="9"/>
    <n v="1.3194444444444444"/>
    <n v="0"/>
  </r>
  <r>
    <n v="7450"/>
    <x v="22"/>
    <s v="Release 2.6"/>
    <d v="2013-07-25T12:28:43"/>
    <x v="7"/>
    <n v="1.3222222222222222"/>
    <n v="0"/>
  </r>
  <r>
    <n v="7494"/>
    <x v="0"/>
    <s v="Release 3.0"/>
    <d v="2013-09-05T14:47:54"/>
    <x v="5"/>
    <n v="1.211111111111111"/>
    <n v="0"/>
  </r>
  <r>
    <n v="7537"/>
    <x v="0"/>
    <s v="Release 3.0"/>
    <d v="2013-08-02T14:30:26"/>
    <x v="26"/>
    <n v="1.3027777777777778"/>
    <n v="0"/>
  </r>
  <r>
    <n v="7556"/>
    <x v="29"/>
    <s v="Release 3.0"/>
    <d v="2013-09-06T15:44:06"/>
    <x v="18"/>
    <n v="1.2083333333333333"/>
    <n v="0"/>
  </r>
  <r>
    <n v="7560"/>
    <x v="29"/>
    <s v="Release 3.0"/>
    <d v="2013-08-07T11:58:24"/>
    <x v="4"/>
    <n v="1.288888888888889"/>
    <n v="0"/>
  </r>
  <r>
    <n v="7566"/>
    <x v="14"/>
    <s v="Release 3.0"/>
    <d v="2013-11-01T15:15:46"/>
    <x v="0"/>
    <n v="1.0555555555555556"/>
    <n v="0"/>
  </r>
  <r>
    <n v="7593"/>
    <x v="22"/>
    <s v="Release 3.0"/>
    <d v="2013-08-09T12:04:25"/>
    <x v="25"/>
    <n v="1.2833333333333334"/>
    <n v="0"/>
  </r>
  <r>
    <n v="7594"/>
    <x v="22"/>
    <s v="Release 3.0"/>
    <d v="2013-08-09T14:36:51"/>
    <x v="25"/>
    <n v="1.2833333333333334"/>
    <n v="0"/>
  </r>
  <r>
    <n v="7687"/>
    <x v="11"/>
    <s v="Release 3.0"/>
    <d v="2013-08-07T15:26:12"/>
    <x v="16"/>
    <n v="1.288888888888889"/>
    <n v="0"/>
  </r>
  <r>
    <n v="7784"/>
    <x v="11"/>
    <s v="Release 3.0"/>
    <d v="2013-08-30T15:55:31"/>
    <x v="5"/>
    <n v="1.2250000000000001"/>
    <n v="0"/>
  </r>
  <r>
    <n v="7811"/>
    <x v="11"/>
    <s v="Release 3.0"/>
    <d v="2013-10-23T11:12:19"/>
    <x v="23"/>
    <n v="1.0777777777777777"/>
    <n v="0"/>
  </r>
  <r>
    <n v="7815"/>
    <x v="22"/>
    <s v="Release 3.0"/>
    <d v="2013-08-28T21:20:08"/>
    <x v="3"/>
    <n v="1.2305555555555556"/>
    <n v="0"/>
  </r>
  <r>
    <n v="7854"/>
    <x v="0"/>
    <s v="Release 3.0"/>
    <d v="2013-09-05T15:51:36"/>
    <x v="5"/>
    <n v="1.211111111111111"/>
    <n v="0"/>
  </r>
  <r>
    <n v="7923"/>
    <x v="14"/>
    <s v="Release 3.0"/>
    <d v="2013-10-04T15:22:17"/>
    <x v="5"/>
    <n v="1.1305555555555555"/>
    <n v="0"/>
  </r>
  <r>
    <n v="8011"/>
    <x v="0"/>
    <s v="Release 3.0"/>
    <d v="2013-09-27T15:39:12"/>
    <x v="4"/>
    <n v="1.1499999999999999"/>
    <n v="0"/>
  </r>
  <r>
    <n v="8014"/>
    <x v="0"/>
    <s v="Release 3.0"/>
    <d v="2013-09-26T19:48:35"/>
    <x v="3"/>
    <n v="1.1527777777777777"/>
    <n v="0"/>
  </r>
  <r>
    <n v="8068"/>
    <x v="22"/>
    <s v="Release 3.0"/>
    <d v="2013-10-23T11:41:31"/>
    <x v="7"/>
    <n v="1.0777777777777777"/>
    <n v="0"/>
  </r>
  <r>
    <n v="8069"/>
    <x v="11"/>
    <s v="Release 3.0"/>
    <d v="2013-10-04T10:45:20"/>
    <x v="25"/>
    <n v="1.1305555555555555"/>
    <n v="0"/>
  </r>
  <r>
    <n v="8142"/>
    <x v="0"/>
    <s v="Release 3.0"/>
    <d v="2013-10-18T16:33:21"/>
    <x v="11"/>
    <n v="1.0916666666666666"/>
    <n v="0"/>
  </r>
  <r>
    <n v="8150"/>
    <x v="0"/>
    <s v="Release 3.0"/>
    <d v="2013-10-25T15:09:15"/>
    <x v="5"/>
    <n v="1.0722222222222222"/>
    <n v="0"/>
  </r>
  <r>
    <n v="8196"/>
    <x v="18"/>
    <s v="Release 3.0"/>
    <d v="2013-10-28T09:26:49"/>
    <x v="26"/>
    <n v="1.0638888888888889"/>
    <n v="0"/>
  </r>
  <r>
    <n v="8199"/>
    <x v="24"/>
    <s v="Release 3.1"/>
    <d v="2013-11-08T13:09:31"/>
    <x v="27"/>
    <n v="1.0361111111111112"/>
    <n v="0"/>
  </r>
  <r>
    <n v="8202"/>
    <x v="24"/>
    <s v="Release 3.0"/>
    <d v="2013-10-29T10:50:23"/>
    <x v="15"/>
    <n v="1.0611111111111111"/>
    <n v="0"/>
  </r>
  <r>
    <n v="8277"/>
    <x v="24"/>
    <s v="Release 3.0"/>
    <d v="2013-10-29T16:33:12"/>
    <x v="11"/>
    <n v="1.0611111111111111"/>
    <n v="0"/>
  </r>
  <r>
    <n v="8306"/>
    <x v="0"/>
    <s v="Release 3.0"/>
    <d v="2013-10-30T21:20:55"/>
    <x v="9"/>
    <n v="1.0583333333333333"/>
    <n v="0"/>
  </r>
  <r>
    <n v="8311"/>
    <x v="28"/>
    <s v="Release 3.1"/>
    <d v="2013-11-15T14:25:16"/>
    <x v="25"/>
    <n v="1.0166666666666666"/>
    <n v="0"/>
  </r>
  <r>
    <n v="8345"/>
    <x v="28"/>
    <s v="Release 3.1"/>
    <d v="2013-11-08T17:50:27"/>
    <x v="5"/>
    <n v="1.0361111111111112"/>
    <n v="0"/>
  </r>
  <r>
    <n v="8348"/>
    <x v="29"/>
    <s v="Release 3.1"/>
    <d v="2013-11-08T15:54:09"/>
    <x v="26"/>
    <n v="1.0361111111111112"/>
    <n v="0"/>
  </r>
  <r>
    <n v="8439"/>
    <x v="28"/>
    <s v="Release 3.1"/>
    <d v="2013-11-18T13:08:04"/>
    <x v="15"/>
    <n v="1.0083333333333333"/>
    <n v="0"/>
  </r>
  <r>
    <n v="8446"/>
    <x v="24"/>
    <s v="Release 3.1"/>
    <d v="2013-11-15T13:57:36"/>
    <x v="4"/>
    <n v="1.0166666666666666"/>
    <n v="0"/>
  </r>
  <r>
    <n v="8454"/>
    <x v="34"/>
    <s v="Release 3.3"/>
    <d v="2014-07-15T14:05:32"/>
    <x v="0"/>
    <n v="0.35"/>
    <n v="1"/>
  </r>
  <r>
    <n v="8463"/>
    <x v="0"/>
    <s v="Release 3.1"/>
    <d v="2014-01-27T13:29:54"/>
    <x v="4"/>
    <n v="0.81666666666666665"/>
    <n v="1"/>
  </r>
  <r>
    <n v="8469"/>
    <x v="19"/>
    <s v="Release 3.1"/>
    <d v="2013-12-18T21:32:24"/>
    <x v="7"/>
    <n v="0.92500000000000004"/>
    <n v="1"/>
  </r>
  <r>
    <n v="8479"/>
    <x v="0"/>
    <s v="Release 3.1"/>
    <d v="2013-11-22T19:42:45"/>
    <x v="5"/>
    <n v="0.99722222222222223"/>
    <n v="1"/>
  </r>
  <r>
    <n v="8544"/>
    <x v="11"/>
    <s v="Release 3.1"/>
    <d v="2013-12-05T15:46:28"/>
    <x v="5"/>
    <n v="0.96111111111111114"/>
    <n v="1"/>
  </r>
  <r>
    <n v="8573"/>
    <x v="0"/>
    <s v="Release 3.1"/>
    <d v="2013-12-10T19:44:07"/>
    <x v="5"/>
    <n v="0.94722222222222219"/>
    <n v="1"/>
  </r>
  <r>
    <n v="8574"/>
    <x v="0"/>
    <s v="Release 3.1"/>
    <d v="2013-12-09T16:02:14"/>
    <x v="3"/>
    <n v="0.95"/>
    <n v="1"/>
  </r>
  <r>
    <n v="8591"/>
    <x v="16"/>
    <s v="Release 3.1"/>
    <d v="2013-12-11T20:34:02"/>
    <x v="7"/>
    <n v="0.94444444444444442"/>
    <n v="1"/>
  </r>
  <r>
    <n v="8612"/>
    <x v="0"/>
    <s v="Release 3.1"/>
    <d v="2014-01-31T14:11:40"/>
    <x v="16"/>
    <n v="0.80833333333333335"/>
    <n v="1"/>
  </r>
  <r>
    <n v="8621"/>
    <x v="42"/>
    <s v="Release 3.1"/>
    <d v="2014-01-31T14:11:48"/>
    <x v="5"/>
    <n v="0.80833333333333335"/>
    <n v="1"/>
  </r>
  <r>
    <n v="8629"/>
    <x v="34"/>
    <s v="Release 3.3"/>
    <d v="2014-08-22T16:56:59"/>
    <x v="1"/>
    <n v="0.24722222222222223"/>
    <n v="1"/>
  </r>
  <r>
    <n v="8654"/>
    <x v="21"/>
    <s v="Release 3.1"/>
    <d v="2014-01-08T19:12:40"/>
    <x v="9"/>
    <n v="0.86944444444444446"/>
    <n v="1"/>
  </r>
  <r>
    <n v="8657"/>
    <x v="42"/>
    <s v="Release 3.1"/>
    <d v="2014-02-05T00:43:41"/>
    <x v="9"/>
    <n v="0.7944444444444444"/>
    <n v="1"/>
  </r>
  <r>
    <n v="8729"/>
    <x v="24"/>
    <s v="Release 3.1"/>
    <d v="2014-01-22T13:59:15"/>
    <x v="27"/>
    <n v="0.8305555555555556"/>
    <n v="1"/>
  </r>
  <r>
    <n v="8790"/>
    <x v="28"/>
    <s v="Release 3.1"/>
    <d v="2014-01-31T15:40:08"/>
    <x v="1"/>
    <n v="0.80833333333333335"/>
    <n v="1"/>
  </r>
  <r>
    <n v="8795"/>
    <x v="11"/>
    <s v="Release 3.2"/>
    <d v="2014-02-10T22:20:29"/>
    <x v="9"/>
    <n v="0.78055555555555556"/>
    <n v="1"/>
  </r>
  <r>
    <n v="8817"/>
    <x v="28"/>
    <s v="Release 3.2"/>
    <d v="2014-02-12T15:07:36"/>
    <x v="25"/>
    <n v="0.77500000000000002"/>
    <n v="1"/>
  </r>
  <r>
    <n v="8849"/>
    <x v="29"/>
    <s v="Release 3.2"/>
    <d v="2014-03-10T09:41:26"/>
    <x v="28"/>
    <n v="0.69722222222222219"/>
    <n v="1"/>
  </r>
  <r>
    <n v="8885"/>
    <x v="24"/>
    <s v="Release 3.1"/>
    <d v="2014-02-13T19:37:40"/>
    <x v="26"/>
    <n v="0.77222222222222225"/>
    <n v="1"/>
  </r>
  <r>
    <n v="8903"/>
    <x v="42"/>
    <s v="Release 3.2"/>
    <d v="2014-02-11T15:17:26"/>
    <x v="9"/>
    <n v="0.77777777777777779"/>
    <n v="1"/>
  </r>
  <r>
    <n v="8904"/>
    <x v="0"/>
    <s v="Release 3.1"/>
    <d v="2014-02-07T01:44:33"/>
    <x v="0"/>
    <n v="0.78888888888888886"/>
    <n v="1"/>
  </r>
  <r>
    <n v="8991"/>
    <x v="42"/>
    <s v="Release 3.2"/>
    <d v="2014-03-03T18:38:59"/>
    <x v="9"/>
    <n v="0.71666666666666667"/>
    <n v="1"/>
  </r>
  <r>
    <n v="9073"/>
    <x v="0"/>
    <s v="Release 3.2"/>
    <d v="2014-03-05T15:17:49"/>
    <x v="5"/>
    <n v="0.71111111111111114"/>
    <n v="1"/>
  </r>
  <r>
    <n v="9085"/>
    <x v="19"/>
    <s v="Release 3.2"/>
    <d v="2014-02-28T14:29:20"/>
    <x v="11"/>
    <n v="0.72499999999999998"/>
    <n v="1"/>
  </r>
  <r>
    <n v="9122"/>
    <x v="14"/>
    <s v="Release 3.2"/>
    <d v="2014-05-09T15:00:13"/>
    <x v="5"/>
    <n v="0.53333333333333333"/>
    <n v="1"/>
  </r>
  <r>
    <n v="9134"/>
    <x v="42"/>
    <s v="Release 3.2"/>
    <d v="2014-03-11T13:41:10"/>
    <x v="10"/>
    <n v="0.69444444444444442"/>
    <n v="1"/>
  </r>
  <r>
    <n v="9152"/>
    <x v="30"/>
    <s v="Release 3.2"/>
    <d v="2014-03-11T15:38:18"/>
    <x v="10"/>
    <n v="0.69444444444444442"/>
    <n v="1"/>
  </r>
  <r>
    <n v="9201"/>
    <x v="18"/>
    <s v="Release 3.2"/>
    <d v="2014-03-28T15:53:38"/>
    <x v="26"/>
    <n v="0.64722222222222225"/>
    <n v="1"/>
  </r>
  <r>
    <n v="9220"/>
    <x v="14"/>
    <s v="Release 3.2"/>
    <d v="2014-03-26T14:46:42"/>
    <x v="3"/>
    <n v="0.65277777777777779"/>
    <n v="1"/>
  </r>
  <r>
    <n v="9256"/>
    <x v="18"/>
    <s v="Release 3.2"/>
    <d v="2014-04-25T11:25:01"/>
    <x v="25"/>
    <n v="0.57222222222222219"/>
    <n v="1"/>
  </r>
  <r>
    <n v="9330"/>
    <x v="0"/>
    <s v="Release 3.2"/>
    <d v="2014-04-16T18:29:15"/>
    <x v="0"/>
    <n v="0.59722222222222221"/>
    <n v="1"/>
  </r>
  <r>
    <n v="9341"/>
    <x v="0"/>
    <s v="Release 3.2"/>
    <d v="2014-04-21T15:47:37"/>
    <x v="3"/>
    <n v="0.58333333333333337"/>
    <n v="1"/>
  </r>
  <r>
    <n v="9355"/>
    <x v="23"/>
    <s v="Release 3.2"/>
    <d v="2014-05-02T16:21:00"/>
    <x v="21"/>
    <n v="0.55277777777777781"/>
    <n v="1"/>
  </r>
  <r>
    <n v="9386"/>
    <x v="0"/>
    <s v="Release 3.2"/>
    <d v="2014-04-28T18:35:04"/>
    <x v="5"/>
    <n v="0.56388888888888888"/>
    <n v="1"/>
  </r>
  <r>
    <n v="9396"/>
    <x v="18"/>
    <s v="Release 3.2"/>
    <d v="2014-05-02T14:50:56"/>
    <x v="26"/>
    <n v="0.55277777777777781"/>
    <n v="1"/>
  </r>
  <r>
    <n v="9441"/>
    <x v="11"/>
    <s v="Release 3.2"/>
    <d v="2014-05-13T19:08:58"/>
    <x v="10"/>
    <n v="0.52222222222222225"/>
    <n v="1"/>
  </r>
  <r>
    <n v="9442"/>
    <x v="0"/>
    <s v="Release 3.2"/>
    <d v="2014-05-20T20:57:25"/>
    <x v="3"/>
    <n v="0.50277777777777777"/>
    <n v="1"/>
  </r>
  <r>
    <n v="9454"/>
    <x v="21"/>
    <s v="Release 3.2"/>
    <d v="2014-05-15T19:05:15"/>
    <x v="5"/>
    <n v="0.51666666666666672"/>
    <n v="1"/>
  </r>
  <r>
    <n v="9498"/>
    <x v="14"/>
    <s v="Release 3.2"/>
    <d v="2014-05-20T16:42:12"/>
    <x v="10"/>
    <n v="0.50277777777777777"/>
    <n v="1"/>
  </r>
  <r>
    <n v="9528"/>
    <x v="0"/>
    <s v="Release 3.2"/>
    <d v="2014-05-23T20:18:06"/>
    <x v="23"/>
    <n v="0.49444444444444446"/>
    <n v="1"/>
  </r>
  <r>
    <n v="9669"/>
    <x v="14"/>
    <s v="Release 3.2"/>
    <d v="2014-06-19T15:00:21"/>
    <x v="5"/>
    <n v="0.42222222222222222"/>
    <n v="1"/>
  </r>
  <r>
    <n v="9713"/>
    <x v="43"/>
    <s v="Release 3.3"/>
    <d v="2014-07-25T15:17:34"/>
    <x v="41"/>
    <n v="0.32222222222222224"/>
    <n v="1"/>
  </r>
  <r>
    <n v="9730"/>
    <x v="14"/>
    <s v="Release 3.3"/>
    <d v="2014-07-17T19:03:04"/>
    <x v="40"/>
    <n v="0.34444444444444444"/>
    <n v="1"/>
  </r>
  <r>
    <n v="9822"/>
    <x v="28"/>
    <s v="Release 3.3"/>
    <d v="2014-08-01T14:07:47"/>
    <x v="4"/>
    <n v="0.30555555555555558"/>
    <n v="1"/>
  </r>
  <r>
    <n v="9838"/>
    <x v="14"/>
    <s v="Release 3.2"/>
    <d v="2014-07-08T14:19:01"/>
    <x v="16"/>
    <n v="0.36944444444444446"/>
    <n v="1"/>
  </r>
  <r>
    <n v="9858"/>
    <x v="42"/>
    <s v="Release 3.3"/>
    <d v="2014-08-01T15:15:29"/>
    <x v="16"/>
    <n v="0.30555555555555558"/>
    <n v="1"/>
  </r>
  <r>
    <n v="9882"/>
    <x v="15"/>
    <s v="Release 3.3"/>
    <d v="2014-07-18T20:14:42"/>
    <x v="9"/>
    <n v="0.34166666666666667"/>
    <n v="1"/>
  </r>
  <r>
    <n v="9886"/>
    <x v="42"/>
    <s v="Release 3.3"/>
    <d v="2014-07-25T12:49:55"/>
    <x v="11"/>
    <n v="0.32222222222222224"/>
    <n v="1"/>
  </r>
  <r>
    <n v="9889"/>
    <x v="35"/>
    <s v="Release 3.3"/>
    <d v="2014-07-25T16:55:52"/>
    <x v="11"/>
    <n v="0.32222222222222224"/>
    <n v="1"/>
  </r>
  <r>
    <n v="9948"/>
    <x v="18"/>
    <s v="Release 3.3"/>
    <d v="2014-08-01T14:08:56"/>
    <x v="4"/>
    <n v="0.30555555555555558"/>
    <n v="1"/>
  </r>
  <r>
    <n v="9963"/>
    <x v="14"/>
    <s v="Release 3.3"/>
    <d v="2014-07-21T16:05:56"/>
    <x v="3"/>
    <n v="0.33333333333333331"/>
    <n v="1"/>
  </r>
  <r>
    <n v="9974"/>
    <x v="19"/>
    <s v="Release 3.3"/>
    <d v="2014-07-25T14:04:05"/>
    <x v="41"/>
    <n v="0.32222222222222224"/>
    <n v="1"/>
  </r>
  <r>
    <n v="10073"/>
    <x v="35"/>
    <s v="Release 3.3"/>
    <d v="2014-08-08T15:31:09"/>
    <x v="4"/>
    <n v="0.28611111111111109"/>
    <n v="1"/>
  </r>
  <r>
    <n v="10105"/>
    <x v="42"/>
    <s v="Release 3.3"/>
    <d v="2014-08-14T15:54:47"/>
    <x v="4"/>
    <n v="0.26944444444444443"/>
    <n v="1"/>
  </r>
  <r>
    <n v="10142"/>
    <x v="35"/>
    <s v="Release 3.3"/>
    <d v="2014-08-21T10:16:31"/>
    <x v="2"/>
    <n v="0.25"/>
    <n v="1"/>
  </r>
  <r>
    <n v="10158"/>
    <x v="34"/>
    <s v="Release 3.3"/>
    <d v="2014-09-09T15:56:06"/>
    <x v="3"/>
    <n v="0.2"/>
    <n v="1"/>
  </r>
  <r>
    <n v="10401"/>
    <x v="33"/>
    <s v="Release 3.3"/>
    <d v="2014-11-03T16:03:30"/>
    <x v="13"/>
    <n v="0.05"/>
    <n v="1"/>
  </r>
  <r>
    <n v="10403"/>
    <x v="33"/>
    <s v="Release 3.3"/>
    <d v="2014-11-03T15:54:43"/>
    <x v="13"/>
    <n v="0.05"/>
    <n v="1"/>
  </r>
  <r>
    <n v="10417"/>
    <x v="33"/>
    <s v="Release 3.3"/>
    <d v="2014-10-23T17:00:47"/>
    <x v="13"/>
    <n v="7.7777777777777779E-2"/>
    <n v="1"/>
  </r>
  <r>
    <n v="10452"/>
    <x v="33"/>
    <s v="Release 3.3"/>
    <d v="2014-11-05T16:09:07"/>
    <x v="13"/>
    <n v="4.4444444444444446E-2"/>
    <n v="1"/>
  </r>
  <r>
    <n v="10469"/>
    <x v="57"/>
    <s v="Release 3.3"/>
    <d v="2014-11-05T21:13:30"/>
    <x v="0"/>
    <n v="4.4444444444444446E-2"/>
    <n v="1"/>
  </r>
  <r>
    <n v="10483"/>
    <x v="35"/>
    <s v="Release 3.3"/>
    <d v="2014-11-05T15:21:15"/>
    <x v="3"/>
    <n v="4.4444444444444446E-2"/>
    <n v="1"/>
  </r>
  <r>
    <n v="10488"/>
    <x v="35"/>
    <s v="Release 3.3"/>
    <d v="2014-11-07T14:00:29"/>
    <x v="46"/>
    <n v="3.888888888888889E-2"/>
    <n v="1"/>
  </r>
  <r>
    <n v="10517"/>
    <x v="11"/>
    <s v="Release 3.3"/>
    <d v="2014-11-07T16:18:03"/>
    <x v="40"/>
    <n v="3.888888888888889E-2"/>
    <n v="1"/>
  </r>
  <r>
    <m/>
    <x v="48"/>
    <m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4">
  <r>
    <s v="Martyn Gigg"/>
    <x v="0"/>
    <s v="Tessella"/>
    <n v="118"/>
    <n v="954"/>
    <n v="120"/>
    <n v="524"/>
    <n v="903"/>
    <n v="4182"/>
  </r>
  <r>
    <s v="Owen Arnold"/>
    <x v="0"/>
    <s v="Tessella"/>
    <n v="104"/>
    <n v="522"/>
    <n v="111"/>
    <n v="499"/>
    <n v="613"/>
    <n v="2435"/>
  </r>
  <r>
    <s v="Samuel Jackson"/>
    <x v="0"/>
    <n v="0"/>
    <n v="100"/>
    <n v="184"/>
    <n v="62"/>
    <n v="100"/>
    <n v="655"/>
    <n v="1068"/>
  </r>
  <r>
    <s v="Harry Jeffery"/>
    <x v="0"/>
    <n v="0"/>
    <n v="85"/>
    <n v="85"/>
    <n v="49"/>
    <n v="49"/>
    <n v="437"/>
    <n v="437"/>
  </r>
  <r>
    <s v="Dan Nixon"/>
    <x v="0"/>
    <n v="0"/>
    <n v="81"/>
    <n v="81"/>
    <n v="35"/>
    <n v="35"/>
    <n v="516"/>
    <n v="516"/>
  </r>
  <r>
    <s v="Peter Peterson"/>
    <x v="1"/>
    <n v="0"/>
    <n v="80"/>
    <n v="372"/>
    <n v="74"/>
    <n v="302"/>
    <n v="425"/>
    <n v="1973"/>
  </r>
  <r>
    <s v="Russell Taylor"/>
    <x v="1"/>
    <s v="Tessella"/>
    <n v="69"/>
    <n v="606"/>
    <n v="53"/>
    <n v="368"/>
    <n v="349"/>
    <n v="3100"/>
  </r>
  <r>
    <s v="Wenduo Zhou"/>
    <x v="1"/>
    <n v="0"/>
    <n v="68"/>
    <n v="216"/>
    <n v="62"/>
    <n v="244"/>
    <n v="424"/>
    <n v="1349"/>
  </r>
  <r>
    <s v="Vickie Lynch"/>
    <x v="1"/>
    <n v="0"/>
    <n v="62"/>
    <n v="283"/>
    <n v="59"/>
    <n v="368"/>
    <n v="248"/>
    <n v="1211"/>
  </r>
  <r>
    <s v="Jay Rainey"/>
    <x v="0"/>
    <n v="0"/>
    <n v="61"/>
    <n v="97"/>
    <n v="56"/>
    <n v="118"/>
    <n v="468"/>
    <n v="759"/>
  </r>
  <r>
    <s v="Nick Draper"/>
    <x v="0"/>
    <s v="Tessella"/>
    <n v="61"/>
    <n v="266"/>
    <n v="84"/>
    <n v="373"/>
    <n v="290"/>
    <n v="1048"/>
  </r>
  <r>
    <s v="Arturs Bekasovs"/>
    <x v="0"/>
    <n v="0"/>
    <n v="58"/>
    <n v="102"/>
    <n v="21"/>
    <n v="43"/>
    <n v="515"/>
    <n v="762"/>
  </r>
  <r>
    <s v="Anders Markvardsen"/>
    <x v="0"/>
    <n v="0"/>
    <n v="58"/>
    <n v="326"/>
    <n v="110"/>
    <n v="342"/>
    <n v="194"/>
    <n v="1007"/>
  </r>
  <r>
    <s v="Roman Tolchenov"/>
    <x v="0"/>
    <s v="Tessella"/>
    <n v="54"/>
    <n v="543"/>
    <n v="77"/>
    <n v="311"/>
    <n v="321"/>
    <n v="1744"/>
  </r>
  <r>
    <s v="Alex Buts"/>
    <x v="0"/>
    <n v="0"/>
    <n v="47"/>
    <n v="151"/>
    <n v="32"/>
    <n v="98"/>
    <n v="466"/>
    <n v="1991"/>
  </r>
  <r>
    <s v="Keith Brown"/>
    <x v="0"/>
    <n v="0"/>
    <n v="46"/>
    <n v="58"/>
    <n v="20"/>
    <n v="36"/>
    <n v="269"/>
    <n v="389"/>
  </r>
  <r>
    <s v="Peter Parker"/>
    <x v="0"/>
    <n v="0"/>
    <n v="45"/>
    <n v="126"/>
    <n v="79"/>
    <n v="156"/>
    <n v="192"/>
    <n v="526"/>
  </r>
  <r>
    <s v="Karl Palmen"/>
    <x v="0"/>
    <n v="0"/>
    <n v="39"/>
    <n v="146"/>
    <n v="67"/>
    <n v="192"/>
    <n v="220"/>
    <n v="689"/>
  </r>
  <r>
    <s v="MarcusNoble"/>
    <x v="2"/>
    <e v="#N/A"/>
    <n v="0"/>
    <n v="0"/>
    <n v="0"/>
    <n v="0"/>
    <n v="0"/>
    <n v="0"/>
  </r>
  <r>
    <s v="Jose Borreguero"/>
    <x v="1"/>
    <n v="0"/>
    <n v="34"/>
    <n v="84"/>
    <n v="12"/>
    <n v="138"/>
    <n v="122"/>
    <n v="351"/>
  </r>
  <r>
    <s v="Andrei Savici"/>
    <x v="1"/>
    <n v="0"/>
    <n v="32"/>
    <n v="149"/>
    <n v="69"/>
    <n v="423"/>
    <n v="213"/>
    <n v="544"/>
  </r>
  <r>
    <s v="Michael Reuter"/>
    <x v="1"/>
    <n v="0"/>
    <n v="29"/>
    <n v="252"/>
    <n v="92"/>
    <n v="625"/>
    <n v="191"/>
    <n v="1634"/>
  </r>
  <r>
    <s v="Gesner Passos"/>
    <x v="0"/>
    <n v="0"/>
    <n v="24"/>
    <n v="138"/>
    <n v="13"/>
    <n v="108"/>
    <n v="114"/>
    <n v="664"/>
  </r>
  <r>
    <s v="Michael Wedel"/>
    <x v="3"/>
    <n v="0"/>
    <n v="21"/>
    <n v="21"/>
    <n v="12"/>
    <n v="12"/>
    <n v="355"/>
    <n v="355"/>
  </r>
  <r>
    <s v="Mathieu Doucet"/>
    <x v="1"/>
    <n v="0"/>
    <n v="15"/>
    <n v="278"/>
    <n v="4"/>
    <n v="88"/>
    <n v="81"/>
    <n v="1602"/>
  </r>
  <r>
    <s v="Stuart Campbell"/>
    <x v="1"/>
    <n v="0"/>
    <n v="13"/>
    <n v="185"/>
    <n v="14"/>
    <n v="350"/>
    <n v="99"/>
    <n v="1047"/>
  </r>
  <r>
    <s v="Federico M Pouzols"/>
    <x v="2"/>
    <e v="#N/A"/>
    <n v="0"/>
    <n v="0"/>
    <n v="23"/>
    <n v="23"/>
    <n v="0"/>
    <n v="0"/>
  </r>
  <r>
    <s v="Ricardo Leal"/>
    <x v="4"/>
    <n v="0"/>
    <n v="12"/>
    <n v="22"/>
    <n v="0"/>
    <n v="0"/>
    <n v="138"/>
    <n v="193"/>
  </r>
  <r>
    <s v="Ross Miller"/>
    <x v="1"/>
    <n v="0"/>
    <n v="11"/>
    <n v="45"/>
    <n v="2"/>
    <n v="5"/>
    <n v="27"/>
    <n v="226"/>
  </r>
  <r>
    <s v="Steven Hahn"/>
    <x v="1"/>
    <n v="0"/>
    <n v="8"/>
    <n v="8"/>
    <n v="3"/>
    <n v="3"/>
    <n v="45"/>
    <n v="45"/>
  </r>
  <r>
    <s v="Raquel Alvarez Banos"/>
    <x v="0"/>
    <n v="0"/>
    <n v="7"/>
    <n v="7"/>
    <n v="8"/>
    <n v="8"/>
    <n v="28"/>
    <n v="28"/>
  </r>
  <r>
    <s v="John Hill"/>
    <x v="0"/>
    <n v="0"/>
    <n v="6"/>
    <n v="6"/>
    <n v="14"/>
    <n v="14"/>
    <n v="44"/>
    <n v="44"/>
  </r>
  <r>
    <s v="Jean Bilheux"/>
    <x v="1"/>
    <n v="0"/>
    <n v="5"/>
    <n v="29"/>
    <n v="0"/>
    <n v="37"/>
    <n v="4"/>
    <n v="317"/>
  </r>
  <r>
    <s v="Ross Whitfield"/>
    <x v="1"/>
    <n v="0"/>
    <n v="3"/>
    <n v="3"/>
    <n v="7"/>
    <n v="7"/>
    <n v="34"/>
    <n v="34"/>
  </r>
  <r>
    <s v="Ian Bush"/>
    <x v="0"/>
    <s v="Tessella"/>
    <n v="2"/>
    <n v="2"/>
    <n v="0"/>
    <n v="0"/>
    <n v="7"/>
    <n v="7"/>
  </r>
  <r>
    <s v="Lottie Greenwood"/>
    <x v="0"/>
    <n v="0"/>
    <n v="2"/>
    <n v="2"/>
    <n v="2"/>
    <n v="2"/>
    <n v="14"/>
    <n v="14"/>
  </r>
  <r>
    <s v="Janik Zikovsky"/>
    <x v="1"/>
    <n v="0"/>
    <n v="2"/>
    <n v="647"/>
    <n v="0"/>
    <n v="268"/>
    <n v="0"/>
    <n v="2892"/>
  </r>
  <r>
    <s v="(blank)"/>
    <x v="2"/>
    <e v="#N/A"/>
    <n v="1"/>
    <n v="79"/>
    <n v="60"/>
    <n v="1113"/>
    <m/>
    <m/>
  </r>
  <r>
    <s v="Sofia Antony"/>
    <x v="0"/>
    <n v="0"/>
    <n v="1"/>
    <n v="83"/>
    <n v="0"/>
    <n v="13"/>
    <n v="0"/>
    <n v="234"/>
  </r>
  <r>
    <s v="Steve Williams"/>
    <x v="0"/>
    <n v="0"/>
    <n v="1"/>
    <n v="129"/>
    <n v="0"/>
    <n v="28"/>
    <n v="0"/>
    <n v="480"/>
  </r>
  <r>
    <s v="Steve Miller"/>
    <x v="2"/>
    <e v="#N/A"/>
    <n v="0"/>
    <n v="0"/>
    <n v="0"/>
    <n v="0"/>
    <n v="0"/>
    <n v="0"/>
  </r>
  <r>
    <s v="Shelly Ren"/>
    <x v="1"/>
    <n v="0"/>
    <n v="1"/>
    <n v="5"/>
    <n v="0"/>
    <n v="17"/>
    <n v="3"/>
    <n v="81"/>
  </r>
  <r>
    <s v="Yannick Raoul"/>
    <x v="4"/>
    <n v="0"/>
    <n v="1"/>
    <n v="1"/>
    <n v="0"/>
    <n v="0"/>
    <n v="24"/>
    <n v="24"/>
  </r>
  <r>
    <s v="Dickon Champion"/>
    <x v="0"/>
    <n v="0"/>
    <n v="0"/>
    <n v="11"/>
    <n v="0"/>
    <n v="0"/>
    <n v="0"/>
    <n v="75"/>
  </r>
  <r>
    <s v="Lakshmi Sastry"/>
    <x v="0"/>
    <n v="0"/>
    <n v="0"/>
    <n v="1"/>
    <n v="0"/>
    <n v="0"/>
    <n v="0"/>
    <n v="7"/>
  </r>
  <r>
    <s v="Ronald Fowler"/>
    <x v="0"/>
    <n v="0"/>
    <n v="0"/>
    <n v="15"/>
    <n v="0"/>
    <n v="13"/>
    <n v="0"/>
    <n v="86"/>
  </r>
  <r>
    <s v="Michael Whitty"/>
    <x v="0"/>
    <n v="0"/>
    <n v="0"/>
    <n v="122"/>
    <n v="0"/>
    <n v="285"/>
    <n v="0"/>
    <n v="382"/>
  </r>
  <r>
    <s v="Anyone"/>
    <x v="2"/>
    <e v="#N/A"/>
    <n v="0"/>
    <n v="0"/>
    <n v="0"/>
    <n v="0"/>
    <n v="0"/>
    <n v="0"/>
  </r>
  <r>
    <s v="Ruth Mikkelson"/>
    <x v="1"/>
    <n v="0"/>
    <n v="0"/>
    <n v="33"/>
    <n v="0"/>
    <n v="1"/>
    <n v="0"/>
    <n v="208"/>
  </r>
  <r>
    <s v="Laurent Chapon"/>
    <x v="0"/>
    <n v="0"/>
    <n v="0"/>
    <n v="46"/>
    <n v="0"/>
    <n v="0"/>
    <n v="0"/>
    <n v="150"/>
  </r>
  <r>
    <s v="Mike Thomas"/>
    <x v="0"/>
    <n v="0"/>
    <n v="0"/>
    <n v="17"/>
    <n v="0"/>
    <n v="0"/>
    <n v="0"/>
    <n v="18"/>
  </r>
  <r>
    <s v="Sri Nagella"/>
    <x v="0"/>
    <n v="0"/>
    <n v="0"/>
    <n v="20"/>
    <n v="0"/>
    <n v="0"/>
    <n v="0"/>
    <n v="93"/>
  </r>
  <r>
    <s v="Robert Whitley"/>
    <x v="0"/>
    <n v="0"/>
    <n v="0"/>
    <n v="102"/>
    <n v="0"/>
    <n v="46"/>
    <n v="0"/>
    <n v="222"/>
  </r>
  <r>
    <s v="Stuart Ansell"/>
    <x v="0"/>
    <n v="0"/>
    <n v="0"/>
    <n v="1"/>
    <n v="0"/>
    <n v="0"/>
    <n v="0"/>
    <n v="66"/>
  </r>
  <r>
    <s v="Dereck Kachere"/>
    <x v="0"/>
    <n v="0"/>
    <n v="0"/>
    <n v="27"/>
    <n v="0"/>
    <n v="27"/>
    <n v="0"/>
    <n v="95"/>
  </r>
  <r>
    <s v="Freddie Akeroyd"/>
    <x v="0"/>
    <n v="0"/>
    <n v="0"/>
    <n v="42"/>
    <n v="0"/>
    <n v="0"/>
    <n v="0"/>
    <n v="140"/>
  </r>
  <r>
    <s v="Pascal Manuel"/>
    <x v="0"/>
    <n v="0"/>
    <n v="0"/>
    <n v="3"/>
    <n v="0"/>
    <n v="0"/>
    <n v="0"/>
    <n v="1"/>
  </r>
  <r>
    <s v="Matt Clarke"/>
    <x v="0"/>
    <n v="0"/>
    <n v="0"/>
    <n v="26"/>
    <n v="0"/>
    <n v="0"/>
    <n v="0"/>
    <n v="346"/>
  </r>
  <r>
    <s v="Dennis Mikkelson"/>
    <x v="1"/>
    <n v="0"/>
    <n v="0"/>
    <n v="46"/>
    <n v="0"/>
    <n v="11"/>
    <n v="0"/>
    <n v="245"/>
  </r>
  <r>
    <s v="Pete Peterson"/>
    <x v="2"/>
    <e v="#N/A"/>
    <n v="0"/>
    <n v="0"/>
    <n v="9"/>
    <n v="9"/>
    <n v="0"/>
    <n v="0"/>
  </r>
  <r>
    <s v="mareuter"/>
    <x v="2"/>
    <e v="#N/A"/>
    <n v="0"/>
    <n v="0"/>
    <n v="2"/>
    <n v="2"/>
    <n v="0"/>
    <n v="0"/>
  </r>
  <r>
    <s v="Brett Tully"/>
    <x v="0"/>
    <s v="Tessella"/>
    <n v="0"/>
    <n v="0"/>
    <n v="0"/>
    <n v="23"/>
    <n v="0"/>
    <n v="0"/>
  </r>
  <r>
    <s v="Federico Montesino P..."/>
    <x v="0"/>
    <n v="0"/>
    <n v="0"/>
    <n v="0"/>
    <n v="0"/>
    <n v="0"/>
    <n v="50"/>
    <n v="50"/>
  </r>
  <r>
    <s v="David Mannicke"/>
    <x v="5"/>
    <n v="0"/>
    <n v="0"/>
    <n v="0"/>
    <n v="0"/>
    <n v="0"/>
    <n v="4"/>
    <n v="4"/>
  </r>
  <r>
    <s v="Diego Monserrat"/>
    <x v="6"/>
    <n v="0"/>
    <n v="0"/>
    <n v="0"/>
    <n v="0"/>
    <n v="0"/>
    <n v="3"/>
    <n v="3"/>
  </r>
  <r>
    <s v="abuts"/>
    <x v="0"/>
    <n v="0"/>
    <n v="0"/>
    <n v="0"/>
    <n v="0"/>
    <n v="0"/>
    <n v="1"/>
    <n v="1"/>
  </r>
  <r>
    <s v="Joachim Wuttke"/>
    <x v="7"/>
    <n v="0"/>
    <n v="0"/>
    <n v="0"/>
    <n v="0"/>
    <n v="0"/>
    <n v="1"/>
    <n v="1"/>
  </r>
  <r>
    <s v="Robert Dalgliesh"/>
    <x v="0"/>
    <n v="0"/>
    <n v="0"/>
    <n v="0"/>
    <n v="0"/>
    <n v="0"/>
    <n v="0"/>
    <n v="1"/>
  </r>
  <r>
    <s v="T Nielsen"/>
    <x v="8"/>
    <n v="0"/>
    <n v="0"/>
    <n v="0"/>
    <n v="0"/>
    <n v="0"/>
    <n v="0"/>
    <n v="6"/>
  </r>
  <r>
    <s v="unknown"/>
    <x v="9"/>
    <n v="0"/>
    <n v="0"/>
    <n v="0"/>
    <n v="0"/>
    <n v="0"/>
    <n v="0"/>
    <n v="2"/>
  </r>
  <r>
    <s v="Mark Koennecke"/>
    <x v="3"/>
    <n v="0"/>
    <n v="0"/>
    <n v="0"/>
    <n v="0"/>
    <n v="0"/>
    <n v="0"/>
    <n v="13"/>
  </r>
  <r>
    <s v="Marie Yao"/>
    <x v="1"/>
    <n v="0"/>
    <n v="0"/>
    <n v="0"/>
    <n v="0"/>
    <n v="0"/>
    <n v="0"/>
    <n v="7"/>
  </r>
  <r>
    <s v="Christophe Le Bourlot"/>
    <x v="9"/>
    <n v="0"/>
    <n v="0"/>
    <n v="0"/>
    <n v="0"/>
    <n v="0"/>
    <n v="0"/>
    <n v="5"/>
  </r>
  <r>
    <m/>
    <x v="10"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3">
  <r>
    <s v="Martyn Gigg"/>
    <s v="ISIS"/>
    <s v="Tessella"/>
    <n v="118"/>
    <n v="954"/>
    <n v="120"/>
    <n v="524"/>
    <n v="903"/>
    <n v="4182"/>
    <x v="0"/>
  </r>
  <r>
    <s v="Owen Arnold"/>
    <s v="ISIS"/>
    <s v="Tessella"/>
    <n v="104"/>
    <n v="522"/>
    <n v="111"/>
    <n v="499"/>
    <n v="613"/>
    <n v="2435"/>
    <x v="0"/>
  </r>
  <r>
    <s v="Samuel Jackson"/>
    <s v="ISIS"/>
    <n v="0"/>
    <n v="100"/>
    <n v="184"/>
    <n v="62"/>
    <n v="100"/>
    <n v="655"/>
    <n v="1068"/>
    <x v="1"/>
  </r>
  <r>
    <s v="Harry Jeffery"/>
    <s v="ISIS"/>
    <n v="0"/>
    <n v="85"/>
    <n v="85"/>
    <n v="49"/>
    <n v="49"/>
    <n v="437"/>
    <n v="437"/>
    <x v="1"/>
  </r>
  <r>
    <s v="Dan Nixon"/>
    <s v="ISIS"/>
    <n v="0"/>
    <n v="81"/>
    <n v="81"/>
    <n v="35"/>
    <n v="35"/>
    <n v="516"/>
    <n v="516"/>
    <x v="1"/>
  </r>
  <r>
    <s v="Peter Peterson"/>
    <s v="SNS"/>
    <n v="0"/>
    <n v="80"/>
    <n v="372"/>
    <n v="74"/>
    <n v="302"/>
    <n v="425"/>
    <n v="1973"/>
    <x v="2"/>
  </r>
  <r>
    <s v="Russell Taylor"/>
    <s v="SNS"/>
    <s v="Tessella"/>
    <n v="69"/>
    <n v="606"/>
    <n v="53"/>
    <n v="368"/>
    <n v="349"/>
    <n v="3100"/>
    <x v="0"/>
  </r>
  <r>
    <s v="Wenduo Zhou"/>
    <s v="SNS"/>
    <n v="0"/>
    <n v="68"/>
    <n v="216"/>
    <n v="62"/>
    <n v="244"/>
    <n v="424"/>
    <n v="1349"/>
    <x v="2"/>
  </r>
  <r>
    <s v="Vickie Lynch"/>
    <s v="SNS"/>
    <n v="0"/>
    <n v="62"/>
    <n v="283"/>
    <n v="59"/>
    <n v="368"/>
    <n v="248"/>
    <n v="1211"/>
    <x v="2"/>
  </r>
  <r>
    <s v="Jay Rainey"/>
    <s v="ISIS"/>
    <n v="0"/>
    <n v="61"/>
    <n v="97"/>
    <n v="56"/>
    <n v="118"/>
    <n v="468"/>
    <n v="759"/>
    <x v="1"/>
  </r>
  <r>
    <s v="Nick Draper"/>
    <s v="ISIS"/>
    <s v="Tessella"/>
    <n v="61"/>
    <n v="266"/>
    <n v="84"/>
    <n v="373"/>
    <n v="290"/>
    <n v="1048"/>
    <x v="0"/>
  </r>
  <r>
    <s v="Arturs Bekasovs"/>
    <s v="ISIS"/>
    <n v="0"/>
    <n v="58"/>
    <n v="102"/>
    <n v="21"/>
    <n v="43"/>
    <n v="515"/>
    <n v="762"/>
    <x v="1"/>
  </r>
  <r>
    <s v="Anders Markvardsen"/>
    <s v="ISIS"/>
    <n v="0"/>
    <n v="58"/>
    <n v="326"/>
    <n v="110"/>
    <n v="342"/>
    <n v="194"/>
    <n v="1007"/>
    <x v="1"/>
  </r>
  <r>
    <s v="Roman Tolchenov"/>
    <s v="ISIS"/>
    <s v="Tessella"/>
    <n v="54"/>
    <n v="543"/>
    <n v="77"/>
    <n v="311"/>
    <n v="321"/>
    <n v="1744"/>
    <x v="0"/>
  </r>
  <r>
    <s v="Alex Buts"/>
    <s v="ISIS"/>
    <n v="0"/>
    <n v="47"/>
    <n v="151"/>
    <n v="32"/>
    <n v="98"/>
    <n v="466"/>
    <n v="1991"/>
    <x v="1"/>
  </r>
  <r>
    <s v="Keith Brown"/>
    <s v="ISIS"/>
    <n v="0"/>
    <n v="46"/>
    <n v="58"/>
    <n v="20"/>
    <n v="36"/>
    <n v="269"/>
    <n v="389"/>
    <x v="1"/>
  </r>
  <r>
    <s v="Peter Parker"/>
    <s v="ISIS"/>
    <n v="0"/>
    <n v="45"/>
    <n v="126"/>
    <n v="79"/>
    <n v="156"/>
    <n v="192"/>
    <n v="526"/>
    <x v="1"/>
  </r>
  <r>
    <s v="Karl Palmen"/>
    <s v="ISIS"/>
    <n v="0"/>
    <n v="39"/>
    <n v="146"/>
    <n v="67"/>
    <n v="192"/>
    <n v="220"/>
    <n v="689"/>
    <x v="1"/>
  </r>
  <r>
    <s v="MarcusNoble"/>
    <e v="#N/A"/>
    <e v="#N/A"/>
    <n v="0"/>
    <n v="0"/>
    <n v="0"/>
    <n v="0"/>
    <n v="0"/>
    <n v="0"/>
    <x v="3"/>
  </r>
  <r>
    <s v="Jose Borreguero"/>
    <s v="SNS"/>
    <n v="0"/>
    <n v="34"/>
    <n v="84"/>
    <n v="12"/>
    <n v="138"/>
    <n v="122"/>
    <n v="351"/>
    <x v="2"/>
  </r>
  <r>
    <s v="Andrei Savici"/>
    <s v="SNS"/>
    <n v="0"/>
    <n v="32"/>
    <n v="149"/>
    <n v="69"/>
    <n v="423"/>
    <n v="213"/>
    <n v="544"/>
    <x v="2"/>
  </r>
  <r>
    <s v="Michael Reuter"/>
    <s v="SNS"/>
    <n v="0"/>
    <n v="29"/>
    <n v="252"/>
    <n v="92"/>
    <n v="625"/>
    <n v="191"/>
    <n v="1634"/>
    <x v="2"/>
  </r>
  <r>
    <s v="Gesner Passos"/>
    <s v="ISIS"/>
    <n v="0"/>
    <n v="24"/>
    <n v="138"/>
    <n v="13"/>
    <n v="108"/>
    <n v="114"/>
    <n v="664"/>
    <x v="1"/>
  </r>
  <r>
    <s v="Michael Wedel"/>
    <s v="PSI"/>
    <n v="0"/>
    <n v="21"/>
    <n v="21"/>
    <n v="12"/>
    <n v="12"/>
    <n v="355"/>
    <n v="355"/>
    <x v="4"/>
  </r>
  <r>
    <s v="Mathieu Doucet"/>
    <s v="SNS"/>
    <n v="0"/>
    <n v="15"/>
    <n v="278"/>
    <n v="4"/>
    <n v="88"/>
    <n v="81"/>
    <n v="1602"/>
    <x v="2"/>
  </r>
  <r>
    <s v="Stuart Campbell"/>
    <s v="SNS"/>
    <n v="0"/>
    <n v="13"/>
    <n v="185"/>
    <n v="14"/>
    <n v="350"/>
    <n v="99"/>
    <n v="1047"/>
    <x v="2"/>
  </r>
  <r>
    <s v="Federico M Pouzols"/>
    <e v="#N/A"/>
    <e v="#N/A"/>
    <n v="0"/>
    <n v="0"/>
    <n v="23"/>
    <n v="23"/>
    <n v="0"/>
    <n v="0"/>
    <x v="3"/>
  </r>
  <r>
    <s v="Ricardo Leal"/>
    <s v="ILL"/>
    <n v="0"/>
    <n v="12"/>
    <n v="22"/>
    <n v="0"/>
    <n v="0"/>
    <n v="138"/>
    <n v="193"/>
    <x v="5"/>
  </r>
  <r>
    <s v="Ross Miller"/>
    <s v="SNS"/>
    <n v="0"/>
    <n v="11"/>
    <n v="45"/>
    <n v="2"/>
    <n v="5"/>
    <n v="27"/>
    <n v="226"/>
    <x v="2"/>
  </r>
  <r>
    <s v="Steven Hahn"/>
    <s v="SNS"/>
    <n v="0"/>
    <n v="8"/>
    <n v="8"/>
    <n v="3"/>
    <n v="3"/>
    <n v="45"/>
    <n v="45"/>
    <x v="2"/>
  </r>
  <r>
    <s v="Raquel Alvarez Banos"/>
    <s v="ISIS"/>
    <n v="0"/>
    <n v="7"/>
    <n v="7"/>
    <n v="8"/>
    <n v="8"/>
    <n v="28"/>
    <n v="28"/>
    <x v="1"/>
  </r>
  <r>
    <s v="John Hill"/>
    <s v="ISIS"/>
    <n v="0"/>
    <n v="6"/>
    <n v="6"/>
    <n v="14"/>
    <n v="14"/>
    <n v="44"/>
    <n v="44"/>
    <x v="1"/>
  </r>
  <r>
    <s v="Jean Bilheux"/>
    <s v="SNS"/>
    <n v="0"/>
    <n v="5"/>
    <n v="29"/>
    <n v="0"/>
    <n v="37"/>
    <n v="4"/>
    <n v="317"/>
    <x v="2"/>
  </r>
  <r>
    <s v="Ross Whitfield"/>
    <s v="SNS"/>
    <n v="0"/>
    <n v="3"/>
    <n v="3"/>
    <n v="7"/>
    <n v="7"/>
    <n v="34"/>
    <n v="34"/>
    <x v="2"/>
  </r>
  <r>
    <s v="Ian Bush"/>
    <s v="ISIS"/>
    <s v="Tessella"/>
    <n v="2"/>
    <n v="2"/>
    <n v="0"/>
    <n v="0"/>
    <n v="7"/>
    <n v="7"/>
    <x v="0"/>
  </r>
  <r>
    <s v="Lottie Greenwood"/>
    <s v="ISIS"/>
    <n v="0"/>
    <n v="2"/>
    <n v="2"/>
    <n v="2"/>
    <n v="2"/>
    <n v="14"/>
    <n v="14"/>
    <x v="1"/>
  </r>
  <r>
    <s v="Janik Zikovsky"/>
    <s v="SNS"/>
    <n v="0"/>
    <n v="2"/>
    <n v="647"/>
    <n v="0"/>
    <n v="268"/>
    <n v="0"/>
    <n v="2892"/>
    <x v="2"/>
  </r>
  <r>
    <s v="(blank)"/>
    <e v="#N/A"/>
    <e v="#N/A"/>
    <n v="1"/>
    <n v="79"/>
    <n v="60"/>
    <n v="1113"/>
    <m/>
    <m/>
    <x v="3"/>
  </r>
  <r>
    <s v="Sofia Antony"/>
    <s v="ISIS"/>
    <n v="0"/>
    <n v="1"/>
    <n v="83"/>
    <n v="0"/>
    <n v="13"/>
    <n v="0"/>
    <n v="234"/>
    <x v="1"/>
  </r>
  <r>
    <s v="Steve Williams"/>
    <s v="ISIS"/>
    <n v="0"/>
    <n v="1"/>
    <n v="129"/>
    <n v="0"/>
    <n v="28"/>
    <n v="0"/>
    <n v="480"/>
    <x v="1"/>
  </r>
  <r>
    <s v="Steve Miller"/>
    <s v="SNS"/>
    <n v="0"/>
    <n v="0"/>
    <n v="0"/>
    <n v="0"/>
    <n v="0"/>
    <n v="0"/>
    <n v="0"/>
    <x v="2"/>
  </r>
  <r>
    <s v="Shelly Ren"/>
    <s v="SNS"/>
    <n v="0"/>
    <n v="1"/>
    <n v="5"/>
    <n v="0"/>
    <n v="17"/>
    <n v="3"/>
    <n v="81"/>
    <x v="2"/>
  </r>
  <r>
    <s v="Yannick Raoul"/>
    <s v="ILL"/>
    <n v="0"/>
    <n v="1"/>
    <n v="1"/>
    <n v="0"/>
    <n v="0"/>
    <n v="24"/>
    <n v="24"/>
    <x v="5"/>
  </r>
  <r>
    <s v="Dickon Champion"/>
    <s v="ISIS"/>
    <n v="0"/>
    <n v="0"/>
    <n v="11"/>
    <n v="0"/>
    <n v="0"/>
    <n v="0"/>
    <n v="75"/>
    <x v="1"/>
  </r>
  <r>
    <s v="Lakshmi Sastry"/>
    <s v="ISIS"/>
    <n v="0"/>
    <n v="0"/>
    <n v="1"/>
    <n v="0"/>
    <n v="0"/>
    <n v="0"/>
    <n v="7"/>
    <x v="1"/>
  </r>
  <r>
    <s v="Ronald Fowler"/>
    <s v="ISIS"/>
    <n v="0"/>
    <n v="0"/>
    <n v="15"/>
    <n v="0"/>
    <n v="13"/>
    <n v="0"/>
    <n v="86"/>
    <x v="1"/>
  </r>
  <r>
    <s v="Michael Whitty"/>
    <s v="ISIS"/>
    <n v="0"/>
    <n v="0"/>
    <n v="122"/>
    <n v="0"/>
    <n v="285"/>
    <n v="0"/>
    <n v="382"/>
    <x v="1"/>
  </r>
  <r>
    <s v="Anyone"/>
    <e v="#N/A"/>
    <e v="#N/A"/>
    <n v="0"/>
    <n v="0"/>
    <n v="0"/>
    <n v="0"/>
    <n v="0"/>
    <n v="0"/>
    <x v="3"/>
  </r>
  <r>
    <s v="Ruth Mikkelson"/>
    <s v="SNS"/>
    <n v="0"/>
    <n v="0"/>
    <n v="33"/>
    <n v="0"/>
    <n v="1"/>
    <n v="0"/>
    <n v="208"/>
    <x v="2"/>
  </r>
  <r>
    <s v="Laurent Chapon"/>
    <s v="ISIS"/>
    <n v="0"/>
    <n v="0"/>
    <n v="46"/>
    <n v="0"/>
    <n v="0"/>
    <n v="0"/>
    <n v="150"/>
    <x v="1"/>
  </r>
  <r>
    <s v="Mike Thomas"/>
    <s v="ISIS"/>
    <n v="0"/>
    <n v="0"/>
    <n v="17"/>
    <n v="0"/>
    <n v="0"/>
    <n v="0"/>
    <n v="18"/>
    <x v="1"/>
  </r>
  <r>
    <s v="Sri Nagella"/>
    <s v="ISIS"/>
    <n v="0"/>
    <n v="0"/>
    <n v="20"/>
    <n v="0"/>
    <n v="0"/>
    <n v="0"/>
    <n v="93"/>
    <x v="1"/>
  </r>
  <r>
    <s v="Robert Whitley"/>
    <s v="ISIS"/>
    <n v="0"/>
    <n v="0"/>
    <n v="102"/>
    <n v="0"/>
    <n v="46"/>
    <n v="0"/>
    <n v="222"/>
    <x v="1"/>
  </r>
  <r>
    <s v="Stuart Ansell"/>
    <s v="ISIS"/>
    <n v="0"/>
    <n v="0"/>
    <n v="1"/>
    <n v="0"/>
    <n v="0"/>
    <n v="0"/>
    <n v="66"/>
    <x v="1"/>
  </r>
  <r>
    <s v="Dereck Kachere"/>
    <s v="ISIS"/>
    <n v="0"/>
    <n v="0"/>
    <n v="27"/>
    <n v="0"/>
    <n v="27"/>
    <n v="0"/>
    <n v="95"/>
    <x v="1"/>
  </r>
  <r>
    <s v="Freddie Akeroyd"/>
    <s v="ISIS"/>
    <n v="0"/>
    <n v="0"/>
    <n v="42"/>
    <n v="0"/>
    <n v="0"/>
    <n v="0"/>
    <n v="140"/>
    <x v="1"/>
  </r>
  <r>
    <s v="Pascal Manuel"/>
    <s v="ISIS"/>
    <n v="0"/>
    <n v="0"/>
    <n v="3"/>
    <n v="0"/>
    <n v="0"/>
    <n v="0"/>
    <n v="1"/>
    <x v="1"/>
  </r>
  <r>
    <s v="Matt Clarke"/>
    <s v="ISIS"/>
    <n v="0"/>
    <n v="0"/>
    <n v="26"/>
    <n v="0"/>
    <n v="0"/>
    <n v="0"/>
    <n v="346"/>
    <x v="1"/>
  </r>
  <r>
    <s v="Dennis Mikkelson"/>
    <s v="SNS"/>
    <n v="0"/>
    <n v="0"/>
    <n v="46"/>
    <n v="0"/>
    <n v="11"/>
    <n v="0"/>
    <n v="245"/>
    <x v="2"/>
  </r>
  <r>
    <s v="Pete Peterson"/>
    <e v="#N/A"/>
    <e v="#N/A"/>
    <n v="0"/>
    <n v="0"/>
    <n v="9"/>
    <n v="9"/>
    <n v="0"/>
    <n v="0"/>
    <x v="3"/>
  </r>
  <r>
    <s v="mareuter"/>
    <e v="#N/A"/>
    <e v="#N/A"/>
    <n v="0"/>
    <n v="0"/>
    <n v="2"/>
    <n v="2"/>
    <n v="0"/>
    <n v="0"/>
    <x v="3"/>
  </r>
  <r>
    <s v="Brett Tully"/>
    <s v="ISIS"/>
    <s v="Tessella"/>
    <n v="0"/>
    <n v="0"/>
    <n v="0"/>
    <n v="23"/>
    <n v="0"/>
    <n v="0"/>
    <x v="0"/>
  </r>
  <r>
    <s v="Federico Montesino P..."/>
    <s v="ISIS"/>
    <n v="0"/>
    <n v="0"/>
    <n v="0"/>
    <n v="0"/>
    <n v="0"/>
    <n v="50"/>
    <n v="50"/>
    <x v="1"/>
  </r>
  <r>
    <s v="David Mannicke"/>
    <s v="ANSTO"/>
    <n v="0"/>
    <n v="0"/>
    <n v="0"/>
    <n v="0"/>
    <n v="0"/>
    <n v="4"/>
    <n v="4"/>
    <x v="6"/>
  </r>
  <r>
    <s v="Diego Monserrat"/>
    <s v="Polytechnic University of Catalonia"/>
    <n v="0"/>
    <n v="0"/>
    <n v="0"/>
    <n v="0"/>
    <n v="0"/>
    <n v="3"/>
    <n v="3"/>
    <x v="7"/>
  </r>
  <r>
    <s v="abuts"/>
    <s v="ISIS"/>
    <n v="0"/>
    <n v="0"/>
    <n v="0"/>
    <n v="0"/>
    <n v="0"/>
    <n v="1"/>
    <n v="1"/>
    <x v="1"/>
  </r>
  <r>
    <s v="Joachim Wuttke"/>
    <s v="Juelich"/>
    <n v="0"/>
    <n v="0"/>
    <n v="0"/>
    <n v="0"/>
    <n v="0"/>
    <n v="1"/>
    <n v="1"/>
    <x v="8"/>
  </r>
  <r>
    <s v="Robert Dalgliesh"/>
    <s v="ISIS"/>
    <n v="0"/>
    <n v="0"/>
    <n v="0"/>
    <n v="0"/>
    <n v="0"/>
    <n v="0"/>
    <n v="1"/>
    <x v="1"/>
  </r>
  <r>
    <s v="T Nielsen"/>
    <s v="ESS"/>
    <n v="0"/>
    <n v="0"/>
    <n v="0"/>
    <n v="0"/>
    <n v="0"/>
    <n v="0"/>
    <n v="6"/>
    <x v="9"/>
  </r>
  <r>
    <s v="unknown"/>
    <s v="?"/>
    <n v="0"/>
    <n v="0"/>
    <n v="0"/>
    <n v="0"/>
    <n v="0"/>
    <n v="0"/>
    <n v="2"/>
    <x v="10"/>
  </r>
  <r>
    <s v="Mark Koennecke"/>
    <s v="PSI"/>
    <n v="0"/>
    <n v="0"/>
    <n v="0"/>
    <n v="0"/>
    <n v="0"/>
    <n v="0"/>
    <n v="13"/>
    <x v="4"/>
  </r>
  <r>
    <s v="Marie Yao"/>
    <s v="SNS"/>
    <n v="0"/>
    <n v="0"/>
    <n v="0"/>
    <n v="0"/>
    <n v="0"/>
    <n v="0"/>
    <n v="7"/>
    <x v="2"/>
  </r>
  <r>
    <s v="Christophe Le Bourlot"/>
    <s v="?"/>
    <n v="0"/>
    <n v="0"/>
    <n v="0"/>
    <n v="0"/>
    <n v="0"/>
    <n v="0"/>
    <n v="5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22:D31" firstHeaderRow="0" firstDataRow="1" firstDataCol="1"/>
  <pivotFields count="9"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 sortType="descending">
      <items count="12">
        <item h="1" x="9"/>
        <item x="8"/>
        <item x="4"/>
        <item x="0"/>
        <item x="3"/>
        <item x="1"/>
        <item h="1" x="2"/>
        <item h="1" x="10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1">
    <field x="1"/>
  </rowFields>
  <rowItems count="9">
    <i>
      <x v="3"/>
    </i>
    <i>
      <x v="5"/>
    </i>
    <i>
      <x v="4"/>
    </i>
    <i>
      <x v="2"/>
    </i>
    <i>
      <x v="10"/>
    </i>
    <i>
      <x v="9"/>
    </i>
    <i>
      <x v="1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ickets Fixed-12 months" fld="3" baseField="1" baseItem="0"/>
    <dataField name="Sum of Tickets Tested-12 months" fld="5" baseField="1" baseItem="0"/>
    <dataField name="Sum of Commits-12 months" fld="7" baseField="1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25:D31" firstHeaderRow="0" firstDataRow="1" firstDataCol="1"/>
  <pivotFields count="9">
    <pivotField showAll="0"/>
    <pivotField axis="axisRow" showAll="0" sortType="descending">
      <items count="12">
        <item h="1" x="9"/>
        <item x="8"/>
        <item x="4"/>
        <item x="0"/>
        <item x="3"/>
        <item x="1"/>
        <item h="1" x="2"/>
        <item h="1" x="10"/>
        <item h="1" x="5"/>
        <item h="1" x="6"/>
        <item h="1"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dataField="1" showAll="0"/>
    <pivotField showAll="0"/>
    <pivotField dataField="1" showAll="0"/>
  </pivotFields>
  <rowFields count="1">
    <field x="1"/>
  </rowFields>
  <rowItems count="6">
    <i>
      <x v="3"/>
    </i>
    <i>
      <x v="5"/>
    </i>
    <i>
      <x v="2"/>
    </i>
    <i>
      <x v="4"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ickets Fixed-Total" fld="4" baseField="1" baseItem="0"/>
    <dataField name="Sum of Tickets Tested-Total" fld="6" baseField="1" baseItem="0"/>
    <dataField name="Sum of Commits-Total" fld="8" baseField="1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3:D7" firstHeaderRow="0" firstDataRow="1" firstDataCol="1"/>
  <pivotFields count="10"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axis="axisRow" showAll="0">
      <items count="12">
        <item h="1" x="10"/>
        <item h="1" x="6"/>
        <item h="1" x="9"/>
        <item h="1" x="5"/>
        <item x="1"/>
        <item h="1" x="8"/>
        <item h="1" x="7"/>
        <item h="1" x="4"/>
        <item x="2"/>
        <item x="0"/>
        <item h="1" x="3"/>
        <item t="default"/>
      </items>
    </pivotField>
  </pivotFields>
  <rowFields count="1">
    <field x="9"/>
  </rowFields>
  <rowItems count="4">
    <i>
      <x v="4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kets Fixed-12 months" fld="3" subtotal="average" baseField="9" baseItem="0"/>
    <dataField name="Average of Tickets Tested-12 months" fld="5" subtotal="average" baseField="9" baseItem="4"/>
    <dataField name="Average of Commits-12 months" fld="7" subtotal="average" baseField="9" baseItem="4"/>
  </dataFields>
  <chartFormats count="14"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1:C61" firstHeaderRow="0" firstDataRow="1" firstDataCol="1"/>
  <pivotFields count="7">
    <pivotField showAll="0"/>
    <pivotField axis="axisRow" showAll="0" sortType="descending">
      <items count="60">
        <item x="18"/>
        <item x="6"/>
        <item x="14"/>
        <item x="25"/>
        <item x="29"/>
        <item x="27"/>
        <item x="20"/>
        <item x="37"/>
        <item x="36"/>
        <item x="22"/>
        <item x="12"/>
        <item x="24"/>
        <item x="26"/>
        <item x="42"/>
        <item x="17"/>
        <item x="30"/>
        <item x="49"/>
        <item x="1"/>
        <item x="3"/>
        <item x="15"/>
        <item x="39"/>
        <item x="8"/>
        <item x="9"/>
        <item x="41"/>
        <item x="2"/>
        <item x="16"/>
        <item x="50"/>
        <item x="19"/>
        <item x="11"/>
        <item x="43"/>
        <item x="13"/>
        <item x="4"/>
        <item x="40"/>
        <item x="32"/>
        <item x="0"/>
        <item x="51"/>
        <item x="28"/>
        <item x="31"/>
        <item x="5"/>
        <item x="38"/>
        <item x="7"/>
        <item x="47"/>
        <item x="10"/>
        <item x="21"/>
        <item x="23"/>
        <item x="48"/>
        <item x="33"/>
        <item x="34"/>
        <item x="35"/>
        <item x="44"/>
        <item x="45"/>
        <item x="46"/>
        <item x="52"/>
        <item x="53"/>
        <item x="54"/>
        <item x="55"/>
        <item x="56"/>
        <item x="57"/>
        <item x="5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</pivotFields>
  <rowFields count="1">
    <field x="1"/>
  </rowFields>
  <rowItems count="60">
    <i>
      <x v="18"/>
    </i>
    <i>
      <x v="25"/>
    </i>
    <i>
      <x v="36"/>
    </i>
    <i>
      <x v="48"/>
    </i>
    <i>
      <x v="47"/>
    </i>
    <i>
      <x v="28"/>
    </i>
    <i>
      <x v="34"/>
    </i>
    <i>
      <x v="44"/>
    </i>
    <i>
      <x v="43"/>
    </i>
    <i>
      <x v="11"/>
    </i>
    <i>
      <x v="24"/>
    </i>
    <i>
      <x v="4"/>
    </i>
    <i>
      <x v="1"/>
    </i>
    <i>
      <x v="31"/>
    </i>
    <i>
      <x/>
    </i>
    <i>
      <x v="15"/>
    </i>
    <i>
      <x v="27"/>
    </i>
    <i>
      <x v="14"/>
    </i>
    <i>
      <x v="46"/>
    </i>
    <i>
      <x v="13"/>
    </i>
    <i>
      <x v="2"/>
    </i>
    <i>
      <x v="21"/>
    </i>
    <i>
      <x v="9"/>
    </i>
    <i>
      <x v="50"/>
    </i>
    <i>
      <x v="19"/>
    </i>
    <i>
      <x v="42"/>
    </i>
    <i>
      <x v="49"/>
    </i>
    <i>
      <x v="29"/>
    </i>
    <i>
      <x v="33"/>
    </i>
    <i>
      <x v="51"/>
    </i>
    <i>
      <x v="53"/>
    </i>
    <i>
      <x v="54"/>
    </i>
    <i>
      <x v="12"/>
    </i>
    <i>
      <x v="57"/>
    </i>
    <i>
      <x v="55"/>
    </i>
    <i>
      <x v="52"/>
    </i>
    <i>
      <x v="10"/>
    </i>
    <i>
      <x v="45"/>
    </i>
    <i>
      <x v="38"/>
    </i>
    <i>
      <x v="40"/>
    </i>
    <i>
      <x v="56"/>
    </i>
    <i>
      <x v="37"/>
    </i>
    <i>
      <x v="58"/>
    </i>
    <i>
      <x v="7"/>
    </i>
    <i>
      <x v="16"/>
    </i>
    <i>
      <x v="32"/>
    </i>
    <i>
      <x v="22"/>
    </i>
    <i>
      <x v="3"/>
    </i>
    <i>
      <x v="35"/>
    </i>
    <i>
      <x v="17"/>
    </i>
    <i>
      <x v="23"/>
    </i>
    <i>
      <x v="39"/>
    </i>
    <i>
      <x v="30"/>
    </i>
    <i>
      <x v="41"/>
    </i>
    <i>
      <x v="6"/>
    </i>
    <i>
      <x v="8"/>
    </i>
    <i>
      <x v="26"/>
    </i>
    <i>
      <x v="20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6" subtotal="count" baseField="0" baseItem="0"/>
    <dataField name="12 Months" fld="6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1:C49" firstHeaderRow="0" firstDataRow="1" firstDataCol="1"/>
  <pivotFields count="7">
    <pivotField showAll="0"/>
    <pivotField showAll="0"/>
    <pivotField showAll="0"/>
    <pivotField showAll="0"/>
    <pivotField axis="axisRow" showAll="0" sortType="descending">
      <items count="48">
        <item x="21"/>
        <item x="13"/>
        <item x="9"/>
        <item x="27"/>
        <item x="34"/>
        <item x="45"/>
        <item x="22"/>
        <item x="12"/>
        <item x="19"/>
        <item x="25"/>
        <item x="36"/>
        <item x="35"/>
        <item x="18"/>
        <item x="28"/>
        <item x="4"/>
        <item x="23"/>
        <item x="5"/>
        <item x="6"/>
        <item x="11"/>
        <item x="2"/>
        <item x="15"/>
        <item x="3"/>
        <item x="20"/>
        <item x="1"/>
        <item x="17"/>
        <item x="37"/>
        <item x="7"/>
        <item x="44"/>
        <item x="26"/>
        <item x="24"/>
        <item x="33"/>
        <item x="14"/>
        <item x="8"/>
        <item x="10"/>
        <item x="16"/>
        <item x="0"/>
        <item x="29"/>
        <item x="30"/>
        <item x="31"/>
        <item x="32"/>
        <item x="38"/>
        <item x="39"/>
        <item x="40"/>
        <item x="41"/>
        <item x="42"/>
        <item x="43"/>
        <item x="4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48">
    <i>
      <x v="14"/>
    </i>
    <i>
      <x v="19"/>
    </i>
    <i>
      <x v="1"/>
    </i>
    <i>
      <x v="16"/>
    </i>
    <i>
      <x v="18"/>
    </i>
    <i>
      <x v="20"/>
    </i>
    <i>
      <x v="23"/>
    </i>
    <i>
      <x v="21"/>
    </i>
    <i>
      <x v="2"/>
    </i>
    <i>
      <x v="12"/>
    </i>
    <i>
      <x v="28"/>
    </i>
    <i>
      <x v="34"/>
    </i>
    <i>
      <x v="35"/>
    </i>
    <i>
      <x v="33"/>
    </i>
    <i>
      <x v="9"/>
    </i>
    <i>
      <x v="26"/>
    </i>
    <i>
      <x v="43"/>
    </i>
    <i>
      <x v="36"/>
    </i>
    <i>
      <x/>
    </i>
    <i>
      <x v="37"/>
    </i>
    <i>
      <x v="3"/>
    </i>
    <i>
      <x v="13"/>
    </i>
    <i>
      <x v="32"/>
    </i>
    <i>
      <x v="39"/>
    </i>
    <i>
      <x v="7"/>
    </i>
    <i>
      <x v="11"/>
    </i>
    <i>
      <x v="40"/>
    </i>
    <i>
      <x v="38"/>
    </i>
    <i>
      <x v="45"/>
    </i>
    <i>
      <x v="42"/>
    </i>
    <i>
      <x v="15"/>
    </i>
    <i>
      <x v="44"/>
    </i>
    <i>
      <x v="41"/>
    </i>
    <i>
      <x v="25"/>
    </i>
    <i>
      <x v="46"/>
    </i>
    <i>
      <x v="4"/>
    </i>
    <i>
      <x v="17"/>
    </i>
    <i>
      <x v="10"/>
    </i>
    <i>
      <x v="6"/>
    </i>
    <i>
      <x v="22"/>
    </i>
    <i>
      <x v="27"/>
    </i>
    <i>
      <x v="24"/>
    </i>
    <i>
      <x v="8"/>
    </i>
    <i>
      <x v="5"/>
    </i>
    <i>
      <x v="29"/>
    </i>
    <i>
      <x v="30"/>
    </i>
    <i>
      <x v="31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6" subtotal="count" baseField="0" baseItem="0"/>
    <dataField name="12 Months" fld="6" baseField="4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68" firstHeaderRow="0" firstDataRow="1" firstDataCol="1"/>
  <pivotFields count="11"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axis="axisRow" showAll="0" sortType="descending">
      <items count="74">
        <item x="4"/>
        <item x="14"/>
        <item x="19"/>
        <item m="1" x="68"/>
        <item x="15"/>
        <item x="57"/>
        <item x="30"/>
        <item x="38"/>
        <item x="42"/>
        <item x="36"/>
        <item x="18"/>
        <item x="2"/>
        <item x="16"/>
        <item x="28"/>
        <item x="26"/>
        <item x="17"/>
        <item x="24"/>
        <item x="55"/>
        <item x="35"/>
        <item x="53"/>
        <item x="52"/>
        <item x="0"/>
        <item m="1" x="70"/>
        <item x="8"/>
        <item x="27"/>
        <item x="7"/>
        <item x="29"/>
        <item x="50"/>
        <item m="1" x="67"/>
        <item x="13"/>
        <item x="3"/>
        <item x="61"/>
        <item m="1" x="66"/>
        <item x="20"/>
        <item x="5"/>
        <item m="1" x="69"/>
        <item x="62"/>
        <item x="6"/>
        <item x="40"/>
        <item x="32"/>
        <item x="47"/>
        <item x="1"/>
        <item x="34"/>
        <item x="11"/>
        <item x="41"/>
        <item x="31"/>
        <item x="39"/>
        <item x="22"/>
        <item x="43"/>
        <item x="12"/>
        <item m="1" x="72"/>
        <item x="56"/>
        <item x="59"/>
        <item x="10"/>
        <item m="1" x="71"/>
        <item x="9"/>
        <item x="65"/>
        <item x="25"/>
        <item x="33"/>
        <item x="37"/>
        <item x="49"/>
        <item x="21"/>
        <item x="23"/>
        <item x="44"/>
        <item x="45"/>
        <item x="46"/>
        <item x="48"/>
        <item x="51"/>
        <item x="54"/>
        <item x="58"/>
        <item x="60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</pivotFields>
  <rowFields count="1">
    <field x="8"/>
  </rowFields>
  <rowItems count="67">
    <i>
      <x v="21"/>
    </i>
    <i>
      <x v="43"/>
    </i>
    <i>
      <x v="30"/>
    </i>
    <i>
      <x v="61"/>
    </i>
    <i>
      <x v="4"/>
    </i>
    <i>
      <x v="12"/>
    </i>
    <i>
      <x/>
    </i>
    <i>
      <x v="62"/>
    </i>
    <i>
      <x v="34"/>
    </i>
    <i>
      <x v="55"/>
    </i>
    <i>
      <x v="26"/>
    </i>
    <i>
      <x v="41"/>
    </i>
    <i>
      <x v="37"/>
    </i>
    <i>
      <x v="29"/>
    </i>
    <i>
      <x v="16"/>
    </i>
    <i>
      <x v="53"/>
    </i>
    <i>
      <x v="15"/>
    </i>
    <i>
      <x v="2"/>
    </i>
    <i>
      <x v="1"/>
    </i>
    <i>
      <x v="33"/>
    </i>
    <i>
      <x v="25"/>
    </i>
    <i>
      <x v="59"/>
    </i>
    <i>
      <x v="14"/>
    </i>
    <i>
      <x v="10"/>
    </i>
    <i>
      <x v="49"/>
    </i>
    <i>
      <x v="23"/>
    </i>
    <i>
      <x v="63"/>
    </i>
    <i>
      <x v="64"/>
    </i>
    <i>
      <x v="65"/>
    </i>
    <i>
      <x v="40"/>
    </i>
    <i>
      <x v="66"/>
    </i>
    <i>
      <x v="39"/>
    </i>
    <i>
      <x v="60"/>
    </i>
    <i>
      <x v="67"/>
    </i>
    <i>
      <x v="68"/>
    </i>
    <i>
      <x v="13"/>
    </i>
    <i>
      <x v="69"/>
    </i>
    <i>
      <x v="70"/>
    </i>
    <i>
      <x v="44"/>
    </i>
    <i>
      <x v="71"/>
    </i>
    <i>
      <x v="72"/>
    </i>
    <i>
      <x v="36"/>
    </i>
    <i>
      <x v="46"/>
    </i>
    <i>
      <x v="24"/>
    </i>
    <i>
      <x v="47"/>
    </i>
    <i>
      <x v="17"/>
    </i>
    <i>
      <x v="48"/>
    </i>
    <i>
      <x v="38"/>
    </i>
    <i>
      <x v="27"/>
    </i>
    <i>
      <x v="42"/>
    </i>
    <i>
      <x v="51"/>
    </i>
    <i>
      <x v="31"/>
    </i>
    <i>
      <x v="52"/>
    </i>
    <i>
      <x v="7"/>
    </i>
    <i>
      <x v="20"/>
    </i>
    <i>
      <x v="8"/>
    </i>
    <i>
      <x v="11"/>
    </i>
    <i>
      <x v="18"/>
    </i>
    <i>
      <x v="56"/>
    </i>
    <i>
      <x v="9"/>
    </i>
    <i>
      <x v="57"/>
    </i>
    <i>
      <x v="19"/>
    </i>
    <i>
      <x v="45"/>
    </i>
    <i>
      <x v="5"/>
    </i>
    <i>
      <x v="58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ll Time Commits" fld="3" baseField="9" baseItem="0"/>
    <dataField name="Sum of 12 Month Commits" fld="2" baseField="8" baseItem="0"/>
  </dataFields>
  <chartFormats count="2">
    <chartFormat chart="0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ohloh.net/p/Mantid/contributors?query=&amp;sort=commits" TargetMode="External"/><Relationship Id="rId1" Type="http://schemas.openxmlformats.org/officeDocument/2006/relationships/hyperlink" Target="http://trac.mantidproject.org/mantid/query?status=closed&amp;resolution=fixed&amp;col=id&amp;col=owner&amp;col=milestone&amp;col=changetime&amp;col=tester&amp;order=priorit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16"/>
  <sheetViews>
    <sheetView workbookViewId="0">
      <selection activeCell="A8" sqref="A8"/>
    </sheetView>
  </sheetViews>
  <sheetFormatPr defaultRowHeight="15"/>
  <sheetData>
    <row r="3" spans="1:1">
      <c r="A3" t="s">
        <v>197</v>
      </c>
    </row>
    <row r="4" spans="1:1">
      <c r="A4" t="s">
        <v>196</v>
      </c>
    </row>
    <row r="5" spans="1:1">
      <c r="A5" s="10" t="s">
        <v>176</v>
      </c>
    </row>
    <row r="7" spans="1:1">
      <c r="A7" t="s">
        <v>198</v>
      </c>
    </row>
    <row r="8" spans="1:1">
      <c r="A8" s="10" t="s">
        <v>199</v>
      </c>
    </row>
    <row r="10" spans="1:1">
      <c r="A10" t="s">
        <v>200</v>
      </c>
    </row>
    <row r="12" spans="1:1">
      <c r="A12" t="s">
        <v>201</v>
      </c>
    </row>
    <row r="14" spans="1:1">
      <c r="A14" t="s">
        <v>202</v>
      </c>
    </row>
    <row r="16" spans="1:1">
      <c r="A16" t="s">
        <v>203</v>
      </c>
    </row>
  </sheetData>
  <hyperlinks>
    <hyperlink ref="A5" r:id="rId1"/>
    <hyperlink ref="A8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31"/>
  <sheetViews>
    <sheetView topLeftCell="A6" workbookViewId="0">
      <selection activeCell="I31" sqref="I31"/>
    </sheetView>
  </sheetViews>
  <sheetFormatPr defaultRowHeight="15"/>
  <cols>
    <col min="1" max="1" width="32.42578125" customWidth="1"/>
    <col min="2" max="2" width="29.42578125" customWidth="1"/>
    <col min="3" max="3" width="30.7109375" customWidth="1"/>
    <col min="4" max="4" width="25.85546875" customWidth="1"/>
  </cols>
  <sheetData>
    <row r="1" spans="1:1" s="14" customFormat="1" ht="26.25">
      <c r="A1" s="14" t="s">
        <v>191</v>
      </c>
    </row>
    <row r="22" spans="1:4">
      <c r="A22" s="6" t="s">
        <v>114</v>
      </c>
      <c r="B22" t="s">
        <v>188</v>
      </c>
      <c r="C22" t="s">
        <v>189</v>
      </c>
      <c r="D22" t="s">
        <v>190</v>
      </c>
    </row>
    <row r="23" spans="1:4">
      <c r="A23" s="7" t="s">
        <v>39</v>
      </c>
      <c r="B23" s="8">
        <v>1000</v>
      </c>
      <c r="C23" s="8">
        <v>960</v>
      </c>
      <c r="D23" s="8">
        <v>6317</v>
      </c>
    </row>
    <row r="24" spans="1:4">
      <c r="A24" s="7" t="s">
        <v>40</v>
      </c>
      <c r="B24" s="8">
        <v>432</v>
      </c>
      <c r="C24" s="8">
        <v>451</v>
      </c>
      <c r="D24" s="8">
        <v>2265</v>
      </c>
    </row>
    <row r="25" spans="1:4">
      <c r="A25" s="7" t="s">
        <v>72</v>
      </c>
      <c r="B25" s="8">
        <v>21</v>
      </c>
      <c r="C25" s="8">
        <v>12</v>
      </c>
      <c r="D25" s="8">
        <v>355</v>
      </c>
    </row>
    <row r="26" spans="1:4">
      <c r="A26" s="7" t="s">
        <v>73</v>
      </c>
      <c r="B26" s="8">
        <v>13</v>
      </c>
      <c r="C26" s="8">
        <v>0</v>
      </c>
      <c r="D26" s="8">
        <v>162</v>
      </c>
    </row>
    <row r="27" spans="1:4">
      <c r="A27" s="7" t="s">
        <v>244</v>
      </c>
      <c r="B27" s="8">
        <v>0</v>
      </c>
      <c r="C27" s="8">
        <v>0</v>
      </c>
      <c r="D27" s="8">
        <v>1</v>
      </c>
    </row>
    <row r="28" spans="1:4">
      <c r="A28" s="7" t="s">
        <v>245</v>
      </c>
      <c r="B28" s="8">
        <v>0</v>
      </c>
      <c r="C28" s="8">
        <v>0</v>
      </c>
      <c r="D28" s="8">
        <v>3</v>
      </c>
    </row>
    <row r="29" spans="1:4">
      <c r="A29" s="7" t="s">
        <v>75</v>
      </c>
      <c r="B29" s="8">
        <v>0</v>
      </c>
      <c r="C29" s="8">
        <v>0</v>
      </c>
      <c r="D29" s="8">
        <v>0</v>
      </c>
    </row>
    <row r="30" spans="1:4">
      <c r="A30" s="7" t="s">
        <v>242</v>
      </c>
      <c r="B30" s="8">
        <v>0</v>
      </c>
      <c r="C30" s="8">
        <v>0</v>
      </c>
      <c r="D30" s="8">
        <v>4</v>
      </c>
    </row>
    <row r="31" spans="1:4">
      <c r="A31" s="7" t="s">
        <v>115</v>
      </c>
      <c r="B31" s="8">
        <v>1466</v>
      </c>
      <c r="C31" s="8">
        <v>1423</v>
      </c>
      <c r="D31" s="8">
        <v>9107</v>
      </c>
    </row>
  </sheetData>
  <pageMargins left="0.7" right="0.7" top="0.75" bottom="0.75" header="0.3" footer="0.3"/>
  <pageSetup paperSize="9" scale="64" orientation="portrait" horizontalDpi="4294967295" verticalDpi="4294967295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D31"/>
  <sheetViews>
    <sheetView workbookViewId="0">
      <selection activeCell="B27" sqref="B27"/>
    </sheetView>
  </sheetViews>
  <sheetFormatPr defaultRowHeight="15"/>
  <cols>
    <col min="1" max="1" width="13.140625" bestFit="1" customWidth="1"/>
    <col min="2" max="2" width="24.5703125" customWidth="1"/>
    <col min="3" max="3" width="25.85546875" customWidth="1"/>
    <col min="4" max="4" width="20.85546875" customWidth="1"/>
  </cols>
  <sheetData>
    <row r="1" spans="1:1">
      <c r="A1" t="s">
        <v>192</v>
      </c>
    </row>
    <row r="25" spans="1:4">
      <c r="A25" s="6" t="s">
        <v>114</v>
      </c>
      <c r="B25" t="s">
        <v>193</v>
      </c>
      <c r="C25" t="s">
        <v>194</v>
      </c>
      <c r="D25" t="s">
        <v>195</v>
      </c>
    </row>
    <row r="26" spans="1:4">
      <c r="A26" s="7" t="s">
        <v>39</v>
      </c>
      <c r="B26" s="8">
        <v>4441</v>
      </c>
      <c r="C26" s="8">
        <v>3443</v>
      </c>
      <c r="D26" s="8">
        <v>20757</v>
      </c>
    </row>
    <row r="27" spans="1:4">
      <c r="A27" s="7" t="s">
        <v>40</v>
      </c>
      <c r="B27" s="8">
        <v>3241</v>
      </c>
      <c r="C27" s="8">
        <v>3255</v>
      </c>
      <c r="D27" s="8">
        <v>16866</v>
      </c>
    </row>
    <row r="28" spans="1:4">
      <c r="A28" s="7" t="s">
        <v>73</v>
      </c>
      <c r="B28" s="8">
        <v>23</v>
      </c>
      <c r="C28" s="8">
        <v>0</v>
      </c>
      <c r="D28" s="8">
        <v>217</v>
      </c>
    </row>
    <row r="29" spans="1:4">
      <c r="A29" s="7" t="s">
        <v>72</v>
      </c>
      <c r="B29" s="8">
        <v>21</v>
      </c>
      <c r="C29" s="8">
        <v>12</v>
      </c>
      <c r="D29" s="8">
        <v>368</v>
      </c>
    </row>
    <row r="30" spans="1:4">
      <c r="A30" s="7" t="s">
        <v>75</v>
      </c>
      <c r="B30" s="8">
        <v>0</v>
      </c>
      <c r="C30" s="8">
        <v>0</v>
      </c>
      <c r="D30" s="8">
        <v>6</v>
      </c>
    </row>
    <row r="31" spans="1:4">
      <c r="A31" s="7" t="s">
        <v>115</v>
      </c>
      <c r="B31" s="8">
        <v>7726</v>
      </c>
      <c r="C31" s="8">
        <v>6710</v>
      </c>
      <c r="D31" s="8">
        <v>38214</v>
      </c>
    </row>
  </sheetData>
  <pageMargins left="0.7" right="0.7" top="0.75" bottom="0.75" header="0.3" footer="0.3"/>
  <pageSetup paperSize="9" scale="62" orientation="portrait" horizontalDpi="4294967295" verticalDpi="4294967295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7"/>
  <sheetViews>
    <sheetView tabSelected="1" workbookViewId="0">
      <selection activeCell="A3" sqref="A3"/>
    </sheetView>
  </sheetViews>
  <sheetFormatPr defaultRowHeight="15"/>
  <cols>
    <col min="1" max="1" width="13.140625" customWidth="1"/>
    <col min="2" max="2" width="33" customWidth="1"/>
    <col min="3" max="3" width="34.28515625" customWidth="1"/>
    <col min="4" max="4" width="29.28515625" customWidth="1"/>
    <col min="5" max="5" width="4" customWidth="1"/>
    <col min="6" max="6" width="9" customWidth="1"/>
    <col min="7" max="7" width="7.140625" customWidth="1"/>
    <col min="8" max="8" width="32.5703125" customWidth="1"/>
    <col min="9" max="9" width="5" customWidth="1"/>
    <col min="10" max="13" width="12" customWidth="1"/>
    <col min="14" max="22" width="34.28515625" bestFit="1" customWidth="1"/>
    <col min="23" max="23" width="34.42578125" bestFit="1" customWidth="1"/>
    <col min="24" max="24" width="39.28515625" bestFit="1" customWidth="1"/>
  </cols>
  <sheetData>
    <row r="3" spans="1:4">
      <c r="A3" s="6" t="s">
        <v>114</v>
      </c>
      <c r="B3" t="s">
        <v>250</v>
      </c>
      <c r="C3" t="s">
        <v>249</v>
      </c>
      <c r="D3" t="s">
        <v>248</v>
      </c>
    </row>
    <row r="4" spans="1:4">
      <c r="A4" s="7" t="s">
        <v>39</v>
      </c>
      <c r="B4" s="8">
        <v>20.65625</v>
      </c>
      <c r="C4" s="8">
        <v>17.75</v>
      </c>
      <c r="D4" s="8">
        <v>130.71875</v>
      </c>
    </row>
    <row r="5" spans="1:4">
      <c r="A5" s="7" t="s">
        <v>40</v>
      </c>
      <c r="B5" s="8">
        <v>20.166666666666668</v>
      </c>
      <c r="C5" s="8">
        <v>22.111111111111111</v>
      </c>
      <c r="D5" s="8">
        <v>106.44444444444444</v>
      </c>
    </row>
    <row r="6" spans="1:4">
      <c r="A6" s="7" t="s">
        <v>109</v>
      </c>
      <c r="B6" s="8">
        <v>58.285714285714285</v>
      </c>
      <c r="C6" s="8">
        <v>63.571428571428569</v>
      </c>
      <c r="D6" s="8">
        <v>354.71428571428572</v>
      </c>
    </row>
    <row r="7" spans="1:4">
      <c r="A7" s="7" t="s">
        <v>115</v>
      </c>
      <c r="B7" s="8">
        <v>25.12280701754386</v>
      </c>
      <c r="C7" s="8">
        <v>24.754385964912281</v>
      </c>
      <c r="D7" s="8">
        <v>150.56140350877192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4"/>
  <sheetViews>
    <sheetView workbookViewId="0">
      <selection activeCell="J1" sqref="J1"/>
    </sheetView>
  </sheetViews>
  <sheetFormatPr defaultRowHeight="15"/>
  <cols>
    <col min="1" max="1" width="19.5703125" customWidth="1"/>
    <col min="4" max="4" width="14.28515625" customWidth="1"/>
    <col min="10" max="10" width="22" customWidth="1"/>
  </cols>
  <sheetData>
    <row r="1" spans="1:12">
      <c r="A1" s="11" t="s">
        <v>0</v>
      </c>
      <c r="B1" s="4" t="s">
        <v>71</v>
      </c>
      <c r="C1" s="4" t="s">
        <v>108</v>
      </c>
      <c r="D1" s="11" t="s">
        <v>182</v>
      </c>
      <c r="E1" s="11" t="s">
        <v>183</v>
      </c>
      <c r="F1" s="11" t="s">
        <v>184</v>
      </c>
      <c r="G1" s="11" t="s">
        <v>185</v>
      </c>
      <c r="H1" s="11" t="s">
        <v>186</v>
      </c>
      <c r="I1" s="11" t="s">
        <v>187</v>
      </c>
      <c r="J1" s="4" t="s">
        <v>247</v>
      </c>
      <c r="K1" s="4"/>
      <c r="L1" s="4"/>
    </row>
    <row r="2" spans="1:12">
      <c r="A2" t="s">
        <v>8</v>
      </c>
      <c r="B2" s="3" t="str">
        <f>VLOOKUP($A$2,People!$B$2:$C$10000,2,FALSE)</f>
        <v>ISIS</v>
      </c>
      <c r="C2" s="3" t="str">
        <f>VLOOKUP($A$2,People!$B$2:$D$10000,3,FALSE)</f>
        <v>Tessella</v>
      </c>
      <c r="D2">
        <v>118</v>
      </c>
      <c r="E2">
        <v>954</v>
      </c>
      <c r="F2">
        <v>120</v>
      </c>
      <c r="G2">
        <v>524</v>
      </c>
      <c r="H2">
        <v>903</v>
      </c>
      <c r="I2">
        <v>4182</v>
      </c>
      <c r="J2" s="3" t="str">
        <f>IF(C2=0,B2,C2)</f>
        <v>Tessella</v>
      </c>
      <c r="K2" s="3"/>
      <c r="L2" s="3"/>
    </row>
    <row r="3" spans="1:12">
      <c r="A3" t="s">
        <v>19</v>
      </c>
      <c r="B3" s="3" t="str">
        <f>VLOOKUP($A$3,People!$B$2:$C$10000,2,FALSE)</f>
        <v>ISIS</v>
      </c>
      <c r="C3" s="3" t="str">
        <f>VLOOKUP($A$3,People!$B$2:$D$10000,3,FALSE)</f>
        <v>Tessella</v>
      </c>
      <c r="D3">
        <v>104</v>
      </c>
      <c r="E3">
        <v>522</v>
      </c>
      <c r="F3">
        <v>111</v>
      </c>
      <c r="G3">
        <v>499</v>
      </c>
      <c r="H3">
        <v>613</v>
      </c>
      <c r="I3">
        <v>2435</v>
      </c>
      <c r="J3" s="3" t="str">
        <f t="shared" ref="J3:J66" si="0">IF(C3=0,B3,C3)</f>
        <v>Tessella</v>
      </c>
      <c r="K3" s="3"/>
      <c r="L3" s="3"/>
    </row>
    <row r="4" spans="1:12">
      <c r="A4" t="s">
        <v>14</v>
      </c>
      <c r="B4" s="3" t="str">
        <f>VLOOKUP($A$4,People!$B$2:$C$10000,2,FALSE)</f>
        <v>ISIS</v>
      </c>
      <c r="C4" s="3">
        <f>VLOOKUP($A$4,People!$B$2:$D$10000,3,FALSE)</f>
        <v>0</v>
      </c>
      <c r="D4">
        <v>100</v>
      </c>
      <c r="E4">
        <v>184</v>
      </c>
      <c r="F4">
        <v>62</v>
      </c>
      <c r="G4">
        <v>100</v>
      </c>
      <c r="H4">
        <v>655</v>
      </c>
      <c r="I4" s="12">
        <v>1068</v>
      </c>
      <c r="J4" s="3" t="str">
        <f t="shared" si="0"/>
        <v>ISIS</v>
      </c>
      <c r="K4" s="3"/>
      <c r="L4" s="3"/>
    </row>
    <row r="5" spans="1:12">
      <c r="A5" t="s">
        <v>215</v>
      </c>
      <c r="B5" s="3" t="str">
        <f>VLOOKUP($A$5,People!$B$2:$C$10000,2,FALSE)</f>
        <v>ISIS</v>
      </c>
      <c r="C5" s="3">
        <f>VLOOKUP($A$5,People!$B$2:$D$10000,3,FALSE)</f>
        <v>0</v>
      </c>
      <c r="D5">
        <v>85</v>
      </c>
      <c r="E5">
        <v>85</v>
      </c>
      <c r="F5">
        <v>49</v>
      </c>
      <c r="G5">
        <v>49</v>
      </c>
      <c r="H5">
        <v>437</v>
      </c>
      <c r="I5">
        <v>437</v>
      </c>
      <c r="J5" s="3" t="str">
        <f t="shared" si="0"/>
        <v>ISIS</v>
      </c>
      <c r="K5" s="3"/>
      <c r="L5" s="3"/>
    </row>
    <row r="6" spans="1:12">
      <c r="A6" t="s">
        <v>211</v>
      </c>
      <c r="B6" s="3" t="str">
        <f>VLOOKUP($A$6,People!$B$2:$C$10000,2,FALSE)</f>
        <v>ISIS</v>
      </c>
      <c r="C6" s="3">
        <f>VLOOKUP($A$6,People!$B$2:$D$10000,3,FALSE)</f>
        <v>0</v>
      </c>
      <c r="D6">
        <v>81</v>
      </c>
      <c r="E6">
        <v>81</v>
      </c>
      <c r="F6">
        <v>35</v>
      </c>
      <c r="G6">
        <v>35</v>
      </c>
      <c r="H6">
        <v>516</v>
      </c>
      <c r="I6">
        <v>516</v>
      </c>
      <c r="J6" s="3" t="str">
        <f t="shared" si="0"/>
        <v>ISIS</v>
      </c>
      <c r="K6" s="3"/>
      <c r="L6" s="3"/>
    </row>
    <row r="7" spans="1:12">
      <c r="A7" t="s">
        <v>20</v>
      </c>
      <c r="B7" s="3" t="str">
        <f>VLOOKUP($A$7,People!$B$2:$C$10000,2,FALSE)</f>
        <v>SNS</v>
      </c>
      <c r="C7" s="3">
        <f>VLOOKUP($A$7,People!$B$2:$D$10000,3,FALSE)</f>
        <v>0</v>
      </c>
      <c r="D7">
        <v>80</v>
      </c>
      <c r="E7">
        <v>372</v>
      </c>
      <c r="F7">
        <v>74</v>
      </c>
      <c r="G7">
        <v>302</v>
      </c>
      <c r="H7">
        <v>425</v>
      </c>
      <c r="I7">
        <v>1973</v>
      </c>
      <c r="J7" s="3" t="str">
        <f t="shared" si="0"/>
        <v>SNS</v>
      </c>
      <c r="K7" s="3"/>
      <c r="L7" s="3"/>
    </row>
    <row r="8" spans="1:12">
      <c r="A8" t="s">
        <v>11</v>
      </c>
      <c r="B8" s="3" t="str">
        <f>VLOOKUP($A$8,People!$B$2:$C$10000,2,FALSE)</f>
        <v>SNS</v>
      </c>
      <c r="C8" s="3" t="str">
        <f>VLOOKUP($A$8,People!$B$2:$D$10000,3,FALSE)</f>
        <v>Tessella</v>
      </c>
      <c r="D8">
        <v>69</v>
      </c>
      <c r="E8">
        <v>606</v>
      </c>
      <c r="F8">
        <v>53</v>
      </c>
      <c r="G8">
        <v>368</v>
      </c>
      <c r="H8">
        <v>349</v>
      </c>
      <c r="I8">
        <v>3100</v>
      </c>
      <c r="J8" s="3" t="str">
        <f t="shared" si="0"/>
        <v>Tessella</v>
      </c>
      <c r="K8" s="3"/>
      <c r="L8" s="3"/>
    </row>
    <row r="9" spans="1:12">
      <c r="A9" t="s">
        <v>21</v>
      </c>
      <c r="B9" s="3" t="str">
        <f>VLOOKUP($A$9,People!$B$2:$C$10000,2,FALSE)</f>
        <v>SNS</v>
      </c>
      <c r="C9" s="3">
        <f>VLOOKUP($A$9,People!$B$2:$D$10000,3,FALSE)</f>
        <v>0</v>
      </c>
      <c r="D9">
        <v>68</v>
      </c>
      <c r="E9">
        <v>216</v>
      </c>
      <c r="F9">
        <v>62</v>
      </c>
      <c r="G9">
        <v>244</v>
      </c>
      <c r="H9">
        <v>424</v>
      </c>
      <c r="I9">
        <v>1349</v>
      </c>
      <c r="J9" s="3" t="str">
        <f t="shared" si="0"/>
        <v>SNS</v>
      </c>
      <c r="K9" s="3"/>
      <c r="L9" s="3"/>
    </row>
    <row r="10" spans="1:12">
      <c r="A10" t="s">
        <v>32</v>
      </c>
      <c r="B10" s="3" t="str">
        <f>VLOOKUP($A$10,People!$B$2:$C$10000,2,FALSE)</f>
        <v>SNS</v>
      </c>
      <c r="C10" s="3">
        <f>VLOOKUP($A$10,People!$B$2:$D$10000,3,FALSE)</f>
        <v>0</v>
      </c>
      <c r="D10">
        <v>62</v>
      </c>
      <c r="E10">
        <v>283</v>
      </c>
      <c r="F10">
        <v>59</v>
      </c>
      <c r="G10">
        <v>368</v>
      </c>
      <c r="H10">
        <v>248</v>
      </c>
      <c r="I10">
        <v>1211</v>
      </c>
      <c r="J10" s="3" t="str">
        <f t="shared" si="0"/>
        <v>SNS</v>
      </c>
      <c r="K10" s="3"/>
      <c r="L10" s="3"/>
    </row>
    <row r="11" spans="1:12">
      <c r="A11" t="s">
        <v>17</v>
      </c>
      <c r="B11" s="3" t="str">
        <f>VLOOKUP($A$11,People!$B$2:$C$10000,2,FALSE)</f>
        <v>ISIS</v>
      </c>
      <c r="C11" s="3">
        <f>VLOOKUP($A$11,People!$B$2:$D$10000,3,FALSE)</f>
        <v>0</v>
      </c>
      <c r="D11">
        <v>61</v>
      </c>
      <c r="E11">
        <v>97</v>
      </c>
      <c r="F11">
        <v>56</v>
      </c>
      <c r="G11">
        <v>118</v>
      </c>
      <c r="H11">
        <v>468</v>
      </c>
      <c r="I11">
        <v>759</v>
      </c>
      <c r="J11" s="3" t="str">
        <f t="shared" si="0"/>
        <v>ISIS</v>
      </c>
      <c r="K11" s="3"/>
      <c r="L11" s="3"/>
    </row>
    <row r="12" spans="1:12">
      <c r="A12" t="s">
        <v>112</v>
      </c>
      <c r="B12" s="3" t="str">
        <f>VLOOKUP($A$12,People!$B$2:$C$10000,2,FALSE)</f>
        <v>ISIS</v>
      </c>
      <c r="C12" s="3" t="str">
        <f>VLOOKUP($A$12,People!$B$2:$D$10000,3,FALSE)</f>
        <v>Tessella</v>
      </c>
      <c r="D12">
        <v>61</v>
      </c>
      <c r="E12">
        <v>266</v>
      </c>
      <c r="F12">
        <v>84</v>
      </c>
      <c r="G12">
        <v>373</v>
      </c>
      <c r="H12">
        <v>290</v>
      </c>
      <c r="I12">
        <v>1048</v>
      </c>
      <c r="J12" s="3" t="str">
        <f t="shared" si="0"/>
        <v>Tessella</v>
      </c>
      <c r="K12" s="3"/>
      <c r="L12" s="3"/>
    </row>
    <row r="13" spans="1:12">
      <c r="A13" t="s">
        <v>18</v>
      </c>
      <c r="B13" s="3" t="str">
        <f>VLOOKUP($A$13,People!$B$2:$C$10000,2,FALSE)</f>
        <v>ISIS</v>
      </c>
      <c r="C13" s="3">
        <f>VLOOKUP($A$13,People!$B$2:$D$10000,3,FALSE)</f>
        <v>0</v>
      </c>
      <c r="D13">
        <v>58</v>
      </c>
      <c r="E13">
        <v>102</v>
      </c>
      <c r="F13">
        <v>21</v>
      </c>
      <c r="G13">
        <v>43</v>
      </c>
      <c r="H13">
        <v>515</v>
      </c>
      <c r="I13">
        <v>762</v>
      </c>
      <c r="J13" s="3" t="str">
        <f t="shared" si="0"/>
        <v>ISIS</v>
      </c>
      <c r="K13" s="3"/>
      <c r="L13" s="3"/>
    </row>
    <row r="14" spans="1:12">
      <c r="A14" t="s">
        <v>44</v>
      </c>
      <c r="B14" s="3" t="str">
        <f>VLOOKUP($A$14,People!$B$2:$C$10000,2,FALSE)</f>
        <v>ISIS</v>
      </c>
      <c r="C14" s="3">
        <f>VLOOKUP($A$14,People!$B$2:$D$10000,3,FALSE)</f>
        <v>0</v>
      </c>
      <c r="D14">
        <v>58</v>
      </c>
      <c r="E14">
        <v>326</v>
      </c>
      <c r="F14">
        <v>110</v>
      </c>
      <c r="G14">
        <v>342</v>
      </c>
      <c r="H14">
        <v>194</v>
      </c>
      <c r="I14">
        <v>1007</v>
      </c>
      <c r="J14" s="3" t="str">
        <f t="shared" si="0"/>
        <v>ISIS</v>
      </c>
      <c r="K14" s="3"/>
      <c r="L14" s="3"/>
    </row>
    <row r="15" spans="1:12">
      <c r="A15" t="s">
        <v>34</v>
      </c>
      <c r="B15" s="3" t="str">
        <f>VLOOKUP($A$15,People!$B$2:$C$10000,2,FALSE)</f>
        <v>ISIS</v>
      </c>
      <c r="C15" s="3" t="str">
        <f>VLOOKUP($A$15,People!$B$2:$D$10000,3,FALSE)</f>
        <v>Tessella</v>
      </c>
      <c r="D15">
        <v>54</v>
      </c>
      <c r="E15">
        <v>543</v>
      </c>
      <c r="F15">
        <v>77</v>
      </c>
      <c r="G15">
        <v>311</v>
      </c>
      <c r="H15">
        <v>321</v>
      </c>
      <c r="I15">
        <v>1744</v>
      </c>
      <c r="J15" s="3" t="str">
        <f t="shared" si="0"/>
        <v>Tessella</v>
      </c>
      <c r="K15" s="3"/>
      <c r="L15" s="3"/>
    </row>
    <row r="16" spans="1:12">
      <c r="A16" t="s">
        <v>23</v>
      </c>
      <c r="B16" s="3" t="str">
        <f>VLOOKUP($A$16,People!$B$2:$C$10000,2,FALSE)</f>
        <v>ISIS</v>
      </c>
      <c r="C16" s="3">
        <f>VLOOKUP($A$16,People!$B$2:$D$10000,3,FALSE)</f>
        <v>0</v>
      </c>
      <c r="D16">
        <v>47</v>
      </c>
      <c r="E16">
        <v>151</v>
      </c>
      <c r="F16">
        <v>32</v>
      </c>
      <c r="G16">
        <v>98</v>
      </c>
      <c r="H16">
        <v>466</v>
      </c>
      <c r="I16">
        <v>1991</v>
      </c>
      <c r="J16" s="3" t="str">
        <f t="shared" si="0"/>
        <v>ISIS</v>
      </c>
      <c r="K16" s="3"/>
      <c r="L16" s="3"/>
    </row>
    <row r="17" spans="1:12">
      <c r="A17" t="s">
        <v>29</v>
      </c>
      <c r="B17" s="3" t="str">
        <f>VLOOKUP($A$17,People!$B$2:$C$10000,2,FALSE)</f>
        <v>ISIS</v>
      </c>
      <c r="C17" s="3">
        <f>VLOOKUP($A$17,People!$B$2:$D$10000,3,FALSE)</f>
        <v>0</v>
      </c>
      <c r="D17">
        <v>46</v>
      </c>
      <c r="E17">
        <v>58</v>
      </c>
      <c r="F17">
        <v>20</v>
      </c>
      <c r="G17">
        <v>36</v>
      </c>
      <c r="H17">
        <v>269</v>
      </c>
      <c r="I17">
        <v>389</v>
      </c>
      <c r="J17" s="3" t="str">
        <f t="shared" si="0"/>
        <v>ISIS</v>
      </c>
      <c r="K17" s="3"/>
      <c r="L17" s="3"/>
    </row>
    <row r="18" spans="1:12">
      <c r="A18" t="s">
        <v>37</v>
      </c>
      <c r="B18" s="3" t="str">
        <f>VLOOKUP($A$18,People!$B$2:$C$10000,2,FALSE)</f>
        <v>ISIS</v>
      </c>
      <c r="C18" s="3">
        <f>VLOOKUP($A$18,People!$B$2:$D$10000,3,FALSE)</f>
        <v>0</v>
      </c>
      <c r="D18">
        <v>45</v>
      </c>
      <c r="E18">
        <v>126</v>
      </c>
      <c r="F18">
        <v>79</v>
      </c>
      <c r="G18">
        <v>156</v>
      </c>
      <c r="H18">
        <v>192</v>
      </c>
      <c r="I18">
        <v>526</v>
      </c>
      <c r="J18" s="3" t="str">
        <f t="shared" si="0"/>
        <v>ISIS</v>
      </c>
      <c r="K18" s="3"/>
      <c r="L18" s="3"/>
    </row>
    <row r="19" spans="1:12">
      <c r="A19" t="s">
        <v>30</v>
      </c>
      <c r="B19" s="3" t="str">
        <f>VLOOKUP($A$19,People!$B$2:$C$10000,2,FALSE)</f>
        <v>ISIS</v>
      </c>
      <c r="C19" s="3">
        <f>VLOOKUP($A$19,People!$B$2:$D$10000,3,FALSE)</f>
        <v>0</v>
      </c>
      <c r="D19">
        <v>39</v>
      </c>
      <c r="E19">
        <v>146</v>
      </c>
      <c r="F19">
        <v>67</v>
      </c>
      <c r="G19">
        <v>192</v>
      </c>
      <c r="H19">
        <v>220</v>
      </c>
      <c r="I19">
        <v>689</v>
      </c>
      <c r="J19" s="3" t="str">
        <f t="shared" si="0"/>
        <v>ISIS</v>
      </c>
      <c r="K19" s="3"/>
      <c r="L19" s="3"/>
    </row>
    <row r="20" spans="1:12">
      <c r="A20" t="s">
        <v>212</v>
      </c>
      <c r="B20" s="3" t="e">
        <f>VLOOKUP($A$20,People!$B$2:$C$10000,2,FALSE)</f>
        <v>#N/A</v>
      </c>
      <c r="C20" s="3" t="e">
        <f>VLOOKUP($A$20,People!$B$2:$D$10000,3,FALSE)</f>
        <v>#N/A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s="3" t="e">
        <f t="shared" si="0"/>
        <v>#N/A</v>
      </c>
      <c r="K20" s="3"/>
      <c r="L20" s="3"/>
    </row>
    <row r="21" spans="1:12">
      <c r="A21" t="s">
        <v>43</v>
      </c>
      <c r="B21" s="3" t="str">
        <f>VLOOKUP($A$21,People!$B$2:$C$10000,2,FALSE)</f>
        <v>SNS</v>
      </c>
      <c r="C21" s="3">
        <f>VLOOKUP($A$21,People!$B$2:$D$10000,3,FALSE)</f>
        <v>0</v>
      </c>
      <c r="D21">
        <v>34</v>
      </c>
      <c r="E21">
        <v>84</v>
      </c>
      <c r="F21">
        <v>12</v>
      </c>
      <c r="G21">
        <v>138</v>
      </c>
      <c r="H21">
        <v>122</v>
      </c>
      <c r="I21">
        <v>351</v>
      </c>
      <c r="J21" s="3" t="str">
        <f t="shared" si="0"/>
        <v>SNS</v>
      </c>
      <c r="K21" s="3"/>
      <c r="L21" s="3"/>
    </row>
    <row r="22" spans="1:12">
      <c r="A22" t="s">
        <v>36</v>
      </c>
      <c r="B22" s="3" t="str">
        <f>VLOOKUP($A$22,People!$B$2:$C$10000,2,FALSE)</f>
        <v>SNS</v>
      </c>
      <c r="C22" s="3">
        <f>VLOOKUP($A$22,People!$B$2:$D$10000,3,FALSE)</f>
        <v>0</v>
      </c>
      <c r="D22">
        <v>32</v>
      </c>
      <c r="E22">
        <v>149</v>
      </c>
      <c r="F22">
        <v>69</v>
      </c>
      <c r="G22">
        <v>423</v>
      </c>
      <c r="H22">
        <v>213</v>
      </c>
      <c r="I22">
        <v>544</v>
      </c>
      <c r="J22" s="3" t="str">
        <f t="shared" si="0"/>
        <v>SNS</v>
      </c>
      <c r="K22" s="3"/>
      <c r="L22" s="3"/>
    </row>
    <row r="23" spans="1:12">
      <c r="A23" t="s">
        <v>27</v>
      </c>
      <c r="B23" s="3" t="str">
        <f>VLOOKUP($A$23,People!$B$2:$C$10000,2,FALSE)</f>
        <v>SNS</v>
      </c>
      <c r="C23" s="3">
        <f>VLOOKUP($A$23,People!$B$2:$D$10000,3,FALSE)</f>
        <v>0</v>
      </c>
      <c r="D23">
        <v>29</v>
      </c>
      <c r="E23">
        <v>252</v>
      </c>
      <c r="F23">
        <v>92</v>
      </c>
      <c r="G23">
        <v>625</v>
      </c>
      <c r="H23">
        <v>191</v>
      </c>
      <c r="I23">
        <v>1634</v>
      </c>
      <c r="J23" s="3" t="str">
        <f t="shared" si="0"/>
        <v>SNS</v>
      </c>
      <c r="K23" s="3"/>
      <c r="L23" s="3"/>
    </row>
    <row r="24" spans="1:12">
      <c r="A24" t="s">
        <v>24</v>
      </c>
      <c r="B24" s="3" t="str">
        <f>VLOOKUP($A$24,People!$B$2:$C$10000,2,FALSE)</f>
        <v>ISIS</v>
      </c>
      <c r="C24" s="3">
        <f>VLOOKUP($A$24,People!$B$2:$D$10000,3,FALSE)</f>
        <v>0</v>
      </c>
      <c r="D24">
        <v>24</v>
      </c>
      <c r="E24">
        <v>138</v>
      </c>
      <c r="F24">
        <v>13</v>
      </c>
      <c r="G24">
        <v>108</v>
      </c>
      <c r="H24">
        <v>114</v>
      </c>
      <c r="I24">
        <v>664</v>
      </c>
      <c r="J24" s="3" t="str">
        <f t="shared" si="0"/>
        <v>ISIS</v>
      </c>
      <c r="K24" s="3"/>
      <c r="L24" s="3"/>
    </row>
    <row r="25" spans="1:12">
      <c r="A25" t="s">
        <v>69</v>
      </c>
      <c r="B25" s="3" t="str">
        <f>VLOOKUP($A$25,People!$B$2:$C$10000,2,FALSE)</f>
        <v>PSI</v>
      </c>
      <c r="C25" s="3">
        <f>VLOOKUP($A$25,People!$B$2:$D$10000,3,FALSE)</f>
        <v>0</v>
      </c>
      <c r="D25">
        <v>21</v>
      </c>
      <c r="E25">
        <v>21</v>
      </c>
      <c r="F25">
        <v>12</v>
      </c>
      <c r="G25">
        <v>12</v>
      </c>
      <c r="H25">
        <v>355</v>
      </c>
      <c r="I25">
        <v>355</v>
      </c>
      <c r="J25" s="3" t="str">
        <f t="shared" si="0"/>
        <v>PSI</v>
      </c>
      <c r="K25" s="3"/>
      <c r="L25" s="3"/>
    </row>
    <row r="26" spans="1:12">
      <c r="A26" t="s">
        <v>111</v>
      </c>
      <c r="B26" s="3" t="str">
        <f>VLOOKUP($A$26,People!$B$2:$C$10000,2,FALSE)</f>
        <v>SNS</v>
      </c>
      <c r="C26" s="3">
        <f>VLOOKUP($A$26,People!$B$2:$D$10000,3,FALSE)</f>
        <v>0</v>
      </c>
      <c r="D26">
        <v>15</v>
      </c>
      <c r="E26">
        <v>278</v>
      </c>
      <c r="F26">
        <v>4</v>
      </c>
      <c r="G26">
        <v>88</v>
      </c>
      <c r="H26">
        <v>81</v>
      </c>
      <c r="I26">
        <v>1602</v>
      </c>
      <c r="J26" s="3" t="str">
        <f t="shared" si="0"/>
        <v>SNS</v>
      </c>
      <c r="K26" s="3"/>
      <c r="L26" s="3"/>
    </row>
    <row r="27" spans="1:12">
      <c r="A27" t="s">
        <v>38</v>
      </c>
      <c r="B27" s="3" t="str">
        <f>VLOOKUP($A$27,People!$B$2:$C$10000,2,FALSE)</f>
        <v>SNS</v>
      </c>
      <c r="C27" s="3">
        <f>VLOOKUP($A$27,People!$B$2:$D$10000,3,FALSE)</f>
        <v>0</v>
      </c>
      <c r="D27">
        <v>13</v>
      </c>
      <c r="E27">
        <v>185</v>
      </c>
      <c r="F27">
        <v>14</v>
      </c>
      <c r="G27">
        <v>350</v>
      </c>
      <c r="H27">
        <v>99</v>
      </c>
      <c r="I27">
        <v>1047</v>
      </c>
      <c r="J27" s="3" t="str">
        <f t="shared" si="0"/>
        <v>SNS</v>
      </c>
      <c r="K27" s="3"/>
      <c r="L27" s="3"/>
    </row>
    <row r="28" spans="1:12">
      <c r="A28" t="s">
        <v>213</v>
      </c>
      <c r="B28" s="3" t="e">
        <f>VLOOKUP($A$28,People!$B$2:$C$10000,2,FALSE)</f>
        <v>#N/A</v>
      </c>
      <c r="C28" s="3" t="e">
        <f>VLOOKUP($A$28,People!$B$2:$D$10000,3,FALSE)</f>
        <v>#N/A</v>
      </c>
      <c r="D28">
        <v>0</v>
      </c>
      <c r="E28">
        <v>0</v>
      </c>
      <c r="F28">
        <v>23</v>
      </c>
      <c r="G28">
        <v>23</v>
      </c>
      <c r="H28">
        <v>0</v>
      </c>
      <c r="I28">
        <v>0</v>
      </c>
      <c r="J28" s="3" t="e">
        <f t="shared" si="0"/>
        <v>#N/A</v>
      </c>
      <c r="K28" s="3"/>
      <c r="L28" s="3"/>
    </row>
    <row r="29" spans="1:12">
      <c r="A29" t="s">
        <v>50</v>
      </c>
      <c r="B29" s="3" t="str">
        <f>VLOOKUP($A$29,People!$B$2:$C$10000,2,FALSE)</f>
        <v>ILL</v>
      </c>
      <c r="C29" s="3">
        <f>VLOOKUP($A$29,People!$B$2:$D$10000,3,FALSE)</f>
        <v>0</v>
      </c>
      <c r="D29">
        <v>12</v>
      </c>
      <c r="E29">
        <v>22</v>
      </c>
      <c r="F29">
        <v>0</v>
      </c>
      <c r="G29">
        <v>0</v>
      </c>
      <c r="H29">
        <v>138</v>
      </c>
      <c r="I29">
        <v>193</v>
      </c>
      <c r="J29" s="3" t="str">
        <f t="shared" si="0"/>
        <v>ILL</v>
      </c>
      <c r="K29" s="3"/>
      <c r="L29" s="3"/>
    </row>
    <row r="30" spans="1:12">
      <c r="A30" t="s">
        <v>45</v>
      </c>
      <c r="B30" s="3" t="str">
        <f>VLOOKUP($A$30,People!$B$2:$C$10000,2,FALSE)</f>
        <v>SNS</v>
      </c>
      <c r="C30" s="3">
        <f>VLOOKUP($A$30,People!$B$2:$D$10000,3,FALSE)</f>
        <v>0</v>
      </c>
      <c r="D30">
        <v>11</v>
      </c>
      <c r="E30">
        <v>45</v>
      </c>
      <c r="F30">
        <v>2</v>
      </c>
      <c r="G30">
        <v>5</v>
      </c>
      <c r="H30">
        <v>27</v>
      </c>
      <c r="I30">
        <v>226</v>
      </c>
      <c r="J30" s="3" t="str">
        <f t="shared" si="0"/>
        <v>SNS</v>
      </c>
      <c r="K30" s="3"/>
      <c r="L30" s="3"/>
    </row>
    <row r="31" spans="1:12">
      <c r="A31" t="s">
        <v>217</v>
      </c>
      <c r="B31" s="3" t="str">
        <f>VLOOKUP($A$31,People!$B$2:$C$10000,2,FALSE)</f>
        <v>SNS</v>
      </c>
      <c r="C31" s="3">
        <f>VLOOKUP($A$31,People!$B$2:$D$10000,3,FALSE)</f>
        <v>0</v>
      </c>
      <c r="D31">
        <v>8</v>
      </c>
      <c r="E31">
        <v>8</v>
      </c>
      <c r="F31">
        <v>3</v>
      </c>
      <c r="G31">
        <v>3</v>
      </c>
      <c r="H31">
        <v>45</v>
      </c>
      <c r="I31">
        <v>45</v>
      </c>
      <c r="J31" s="3" t="str">
        <f t="shared" si="0"/>
        <v>SNS</v>
      </c>
      <c r="K31" s="3"/>
      <c r="L31" s="3"/>
    </row>
    <row r="32" spans="1:12">
      <c r="A32" t="s">
        <v>220</v>
      </c>
      <c r="B32" s="3" t="str">
        <f>VLOOKUP($A$32,People!$B$2:$C$10000,2,FALSE)</f>
        <v>ISIS</v>
      </c>
      <c r="C32" s="3">
        <f>VLOOKUP($A$32,People!$B$2:$D$10000,3,FALSE)</f>
        <v>0</v>
      </c>
      <c r="D32">
        <v>7</v>
      </c>
      <c r="E32">
        <v>7</v>
      </c>
      <c r="F32">
        <v>8</v>
      </c>
      <c r="G32">
        <v>8</v>
      </c>
      <c r="H32">
        <v>28</v>
      </c>
      <c r="I32">
        <v>28</v>
      </c>
      <c r="J32" s="3" t="str">
        <f t="shared" si="0"/>
        <v>ISIS</v>
      </c>
      <c r="K32" s="3"/>
      <c r="L32" s="3"/>
    </row>
    <row r="33" spans="1:12">
      <c r="A33" t="s">
        <v>214</v>
      </c>
      <c r="B33" s="3" t="str">
        <f>VLOOKUP($A$33,People!$B$2:$C$10000,2,FALSE)</f>
        <v>ISIS</v>
      </c>
      <c r="C33" s="3">
        <f>VLOOKUP($A$33,People!$B$2:$D$10000,3,FALSE)</f>
        <v>0</v>
      </c>
      <c r="D33">
        <v>6</v>
      </c>
      <c r="E33">
        <v>6</v>
      </c>
      <c r="F33">
        <v>14</v>
      </c>
      <c r="G33">
        <v>14</v>
      </c>
      <c r="H33">
        <v>44</v>
      </c>
      <c r="I33">
        <v>44</v>
      </c>
      <c r="J33" s="3" t="str">
        <f t="shared" si="0"/>
        <v>ISIS</v>
      </c>
      <c r="K33" s="3"/>
      <c r="L33" s="3"/>
    </row>
    <row r="34" spans="1:12">
      <c r="A34" t="s">
        <v>52</v>
      </c>
      <c r="B34" s="3" t="str">
        <f>VLOOKUP($A$34,People!$B$2:$C$10000,2,FALSE)</f>
        <v>SNS</v>
      </c>
      <c r="C34" s="3">
        <f>VLOOKUP($A$34,People!$B$2:$D$10000,3,FALSE)</f>
        <v>0</v>
      </c>
      <c r="D34">
        <v>5</v>
      </c>
      <c r="E34">
        <v>29</v>
      </c>
      <c r="F34">
        <v>0</v>
      </c>
      <c r="G34">
        <v>37</v>
      </c>
      <c r="H34">
        <v>4</v>
      </c>
      <c r="I34">
        <v>317</v>
      </c>
      <c r="J34" s="3" t="str">
        <f t="shared" si="0"/>
        <v>SNS</v>
      </c>
      <c r="K34" s="3"/>
      <c r="L34" s="3"/>
    </row>
    <row r="35" spans="1:12">
      <c r="A35" t="s">
        <v>80</v>
      </c>
      <c r="B35" s="3" t="str">
        <f>VLOOKUP($A$35,People!$B$2:$C$10000,2,FALSE)</f>
        <v>SNS</v>
      </c>
      <c r="C35" s="3">
        <f>VLOOKUP($A$35,People!$B$2:$D$10000,3,FALSE)</f>
        <v>0</v>
      </c>
      <c r="D35">
        <v>3</v>
      </c>
      <c r="E35">
        <v>3</v>
      </c>
      <c r="F35">
        <v>7</v>
      </c>
      <c r="G35">
        <v>7</v>
      </c>
      <c r="H35">
        <v>34</v>
      </c>
      <c r="I35">
        <v>34</v>
      </c>
      <c r="J35" s="3" t="str">
        <f t="shared" si="0"/>
        <v>SNS</v>
      </c>
      <c r="K35" s="3"/>
      <c r="L35" s="3"/>
    </row>
    <row r="36" spans="1:12">
      <c r="A36" t="s">
        <v>221</v>
      </c>
      <c r="B36" s="3" t="str">
        <f>VLOOKUP($A$36,People!$B$2:$C$10000,2,FALSE)</f>
        <v>ISIS</v>
      </c>
      <c r="C36" s="3" t="str">
        <f>VLOOKUP($A$36,People!$B$2:$D$10000,3,FALSE)</f>
        <v>Tessella</v>
      </c>
      <c r="D36">
        <v>2</v>
      </c>
      <c r="E36">
        <v>2</v>
      </c>
      <c r="F36">
        <v>0</v>
      </c>
      <c r="G36">
        <v>0</v>
      </c>
      <c r="H36">
        <v>7</v>
      </c>
      <c r="I36">
        <v>7</v>
      </c>
      <c r="J36" s="3" t="str">
        <f t="shared" si="0"/>
        <v>Tessella</v>
      </c>
      <c r="K36" s="3"/>
      <c r="L36" s="3"/>
    </row>
    <row r="37" spans="1:12">
      <c r="A37" t="s">
        <v>219</v>
      </c>
      <c r="B37" s="3" t="str">
        <f>VLOOKUP($A$37,People!$B$2:$C$10000,2,FALSE)</f>
        <v>ISIS</v>
      </c>
      <c r="C37" s="3">
        <f>VLOOKUP($A$37,People!$B$2:$D$10000,3,FALSE)</f>
        <v>0</v>
      </c>
      <c r="D37">
        <v>2</v>
      </c>
      <c r="E37">
        <v>2</v>
      </c>
      <c r="F37">
        <v>2</v>
      </c>
      <c r="G37">
        <v>2</v>
      </c>
      <c r="H37">
        <v>14</v>
      </c>
      <c r="I37">
        <v>14</v>
      </c>
      <c r="J37" s="3" t="str">
        <f t="shared" si="0"/>
        <v>ISIS</v>
      </c>
      <c r="K37" s="3"/>
      <c r="L37" s="3"/>
    </row>
    <row r="38" spans="1:12">
      <c r="A38" t="s">
        <v>99</v>
      </c>
      <c r="B38" s="3" t="str">
        <f>VLOOKUP($A$38,People!$B$2:$C$10000,2,FALSE)</f>
        <v>SNS</v>
      </c>
      <c r="C38" s="3">
        <f>VLOOKUP($A$38,People!$B$2:$D$10000,3,FALSE)</f>
        <v>0</v>
      </c>
      <c r="D38">
        <v>2</v>
      </c>
      <c r="E38">
        <v>647</v>
      </c>
      <c r="F38">
        <v>0</v>
      </c>
      <c r="G38">
        <v>268</v>
      </c>
      <c r="H38">
        <v>0</v>
      </c>
      <c r="I38">
        <v>2892</v>
      </c>
      <c r="J38" s="3" t="str">
        <f t="shared" si="0"/>
        <v>SNS</v>
      </c>
      <c r="K38" s="3"/>
      <c r="L38" s="3"/>
    </row>
    <row r="39" spans="1:12">
      <c r="A39" t="s">
        <v>179</v>
      </c>
      <c r="B39" s="3" t="e">
        <f>VLOOKUP($A$39,People!$B$2:$C$10000,2,FALSE)</f>
        <v>#N/A</v>
      </c>
      <c r="C39" s="3" t="e">
        <f>VLOOKUP($A$39,People!$B$2:$D$10000,3,FALSE)</f>
        <v>#N/A</v>
      </c>
      <c r="D39">
        <v>1</v>
      </c>
      <c r="E39">
        <v>79</v>
      </c>
      <c r="F39">
        <v>60</v>
      </c>
      <c r="G39">
        <v>1113</v>
      </c>
      <c r="J39" s="3" t="e">
        <f t="shared" si="0"/>
        <v>#N/A</v>
      </c>
      <c r="K39" s="3"/>
      <c r="L39" s="3"/>
    </row>
    <row r="40" spans="1:12">
      <c r="A40" t="s">
        <v>102</v>
      </c>
      <c r="B40" s="3" t="str">
        <f>VLOOKUP($A$40,People!$B$2:$C$10000,2,FALSE)</f>
        <v>ISIS</v>
      </c>
      <c r="C40" s="3">
        <f>VLOOKUP($A$40,People!$B$2:$D$10000,3,FALSE)</f>
        <v>0</v>
      </c>
      <c r="D40">
        <v>1</v>
      </c>
      <c r="E40">
        <v>83</v>
      </c>
      <c r="F40">
        <v>0</v>
      </c>
      <c r="G40">
        <v>13</v>
      </c>
      <c r="H40">
        <v>0</v>
      </c>
      <c r="I40">
        <v>234</v>
      </c>
      <c r="J40" s="3" t="str">
        <f t="shared" si="0"/>
        <v>ISIS</v>
      </c>
      <c r="K40" s="3"/>
      <c r="L40" s="3"/>
    </row>
    <row r="41" spans="1:12">
      <c r="A41" t="s">
        <v>101</v>
      </c>
      <c r="B41" s="3" t="str">
        <f>VLOOKUP($A$41,People!$B$2:$C$10000,2,FALSE)</f>
        <v>ISIS</v>
      </c>
      <c r="C41" s="3">
        <f>VLOOKUP($A$41,People!$B$2:$D$10000,3,FALSE)</f>
        <v>0</v>
      </c>
      <c r="D41">
        <v>1</v>
      </c>
      <c r="E41">
        <v>129</v>
      </c>
      <c r="F41">
        <v>0</v>
      </c>
      <c r="G41">
        <v>28</v>
      </c>
      <c r="H41">
        <v>0</v>
      </c>
      <c r="I41">
        <v>480</v>
      </c>
      <c r="J41" s="3" t="str">
        <f t="shared" si="0"/>
        <v>ISIS</v>
      </c>
      <c r="K41" s="3"/>
      <c r="L41" s="3"/>
    </row>
    <row r="42" spans="1:12">
      <c r="A42" t="s">
        <v>222</v>
      </c>
      <c r="B42" s="3" t="str">
        <f>VLOOKUP($A$42,People!$B$2:$C$10000,2,FALSE)</f>
        <v>SNS</v>
      </c>
      <c r="C42" s="3">
        <f>VLOOKUP($A$42,People!$B$2:$D$10000,3,FALSE)</f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s="3" t="str">
        <f t="shared" si="0"/>
        <v>SNS</v>
      </c>
      <c r="K42" s="3"/>
      <c r="L42" s="3"/>
    </row>
    <row r="43" spans="1:12">
      <c r="A43" t="s">
        <v>64</v>
      </c>
      <c r="B43" s="3" t="str">
        <f>VLOOKUP($A$43,People!$B$2:$C$10000,2,FALSE)</f>
        <v>SNS</v>
      </c>
      <c r="C43" s="3">
        <f>VLOOKUP($A$43,People!$B$2:$D$10000,3,FALSE)</f>
        <v>0</v>
      </c>
      <c r="D43">
        <v>1</v>
      </c>
      <c r="E43">
        <v>5</v>
      </c>
      <c r="F43">
        <v>0</v>
      </c>
      <c r="G43">
        <v>17</v>
      </c>
      <c r="H43">
        <v>3</v>
      </c>
      <c r="I43">
        <v>81</v>
      </c>
      <c r="J43" s="3" t="str">
        <f t="shared" si="0"/>
        <v>SNS</v>
      </c>
      <c r="K43" s="3"/>
      <c r="L43" s="3"/>
    </row>
    <row r="44" spans="1:12">
      <c r="A44" t="s">
        <v>208</v>
      </c>
      <c r="B44" s="3" t="str">
        <f>VLOOKUP($A$44,People!$B$2:$C$10000,2,FALSE)</f>
        <v>ILL</v>
      </c>
      <c r="C44" s="3">
        <f>VLOOKUP($A$44,People!$B$2:$D$10000,3,FALSE)</f>
        <v>0</v>
      </c>
      <c r="D44">
        <v>1</v>
      </c>
      <c r="E44">
        <v>1</v>
      </c>
      <c r="F44">
        <v>0</v>
      </c>
      <c r="G44">
        <v>0</v>
      </c>
      <c r="H44">
        <v>24</v>
      </c>
      <c r="I44">
        <v>24</v>
      </c>
      <c r="J44" s="3" t="str">
        <f t="shared" si="0"/>
        <v>ILL</v>
      </c>
      <c r="K44" s="3"/>
      <c r="L44" s="3"/>
    </row>
    <row r="45" spans="1:12">
      <c r="A45" t="s">
        <v>98</v>
      </c>
      <c r="B45" s="3" t="str">
        <f>VLOOKUP($A$45,People!$B$2:$C$10000,2,FALSE)</f>
        <v>ISIS</v>
      </c>
      <c r="C45" s="3">
        <f>VLOOKUP($A$45,People!$B$2:$D$10000,3,FALSE)</f>
        <v>0</v>
      </c>
      <c r="D45">
        <v>0</v>
      </c>
      <c r="E45">
        <v>11</v>
      </c>
      <c r="F45">
        <v>0</v>
      </c>
      <c r="G45">
        <v>0</v>
      </c>
      <c r="H45">
        <v>0</v>
      </c>
      <c r="I45">
        <v>75</v>
      </c>
      <c r="J45" s="3" t="str">
        <f t="shared" si="0"/>
        <v>ISIS</v>
      </c>
      <c r="K45" s="3"/>
      <c r="L45" s="3"/>
    </row>
    <row r="46" spans="1:12">
      <c r="A46" t="s">
        <v>105</v>
      </c>
      <c r="B46" s="3" t="str">
        <f>VLOOKUP($A$46,People!$B$2:$C$10000,2,FALSE)</f>
        <v>ISIS</v>
      </c>
      <c r="C46" s="3">
        <f>VLOOKUP($A$46,People!$B$2:$D$10000,3,FALSE)</f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7</v>
      </c>
      <c r="J46" s="3" t="str">
        <f t="shared" si="0"/>
        <v>ISIS</v>
      </c>
      <c r="K46" s="3"/>
      <c r="L46" s="3"/>
    </row>
    <row r="47" spans="1:12">
      <c r="A47" t="s">
        <v>104</v>
      </c>
      <c r="B47" s="3" t="str">
        <f>VLOOKUP($A$47,People!$B$2:$C$10000,2,FALSE)</f>
        <v>ISIS</v>
      </c>
      <c r="C47" s="3">
        <f>VLOOKUP($A$47,People!$B$2:$D$10000,3,FALSE)</f>
        <v>0</v>
      </c>
      <c r="D47">
        <v>0</v>
      </c>
      <c r="E47">
        <v>15</v>
      </c>
      <c r="F47">
        <v>0</v>
      </c>
      <c r="G47">
        <v>13</v>
      </c>
      <c r="H47">
        <v>0</v>
      </c>
      <c r="I47">
        <v>86</v>
      </c>
      <c r="J47" s="3" t="str">
        <f t="shared" si="0"/>
        <v>ISIS</v>
      </c>
      <c r="K47" s="3"/>
      <c r="L47" s="3"/>
    </row>
    <row r="48" spans="1:12">
      <c r="A48" t="s">
        <v>131</v>
      </c>
      <c r="B48" s="3" t="str">
        <f>VLOOKUP($A$48,People!$B$2:$C$10000,2,FALSE)</f>
        <v>ISIS</v>
      </c>
      <c r="C48" s="3">
        <f>VLOOKUP($A$48,People!$B$2:$D$10000,3,FALSE)</f>
        <v>0</v>
      </c>
      <c r="D48">
        <v>0</v>
      </c>
      <c r="E48">
        <v>122</v>
      </c>
      <c r="F48">
        <v>0</v>
      </c>
      <c r="G48">
        <v>285</v>
      </c>
      <c r="H48">
        <v>0</v>
      </c>
      <c r="I48">
        <v>382</v>
      </c>
      <c r="J48" s="3" t="str">
        <f t="shared" si="0"/>
        <v>ISIS</v>
      </c>
      <c r="K48" s="3"/>
      <c r="L48" s="3"/>
    </row>
    <row r="49" spans="1:12">
      <c r="A49" t="s">
        <v>124</v>
      </c>
      <c r="B49" s="3" t="e">
        <f>VLOOKUP($A$49,People!$B$2:$C$10000,2,FALSE)</f>
        <v>#N/A</v>
      </c>
      <c r="C49" s="3" t="e">
        <f>VLOOKUP($A$49,People!$B$2:$D$10000,3,FALSE)</f>
        <v>#N/A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s="3" t="e">
        <f t="shared" si="0"/>
        <v>#N/A</v>
      </c>
      <c r="K49" s="3"/>
      <c r="L49" s="3"/>
    </row>
    <row r="50" spans="1:12">
      <c r="A50" t="s">
        <v>54</v>
      </c>
      <c r="B50" s="3" t="str">
        <f>VLOOKUP($A$50,People!$B$2:$C$10000,2,FALSE)</f>
        <v>SNS</v>
      </c>
      <c r="C50" s="3">
        <f>VLOOKUP($A$50,People!$B$2:$D$10000,3,FALSE)</f>
        <v>0</v>
      </c>
      <c r="D50">
        <v>0</v>
      </c>
      <c r="E50">
        <v>33</v>
      </c>
      <c r="F50">
        <v>0</v>
      </c>
      <c r="G50">
        <v>1</v>
      </c>
      <c r="H50">
        <v>0</v>
      </c>
      <c r="I50">
        <v>208</v>
      </c>
      <c r="J50" s="3" t="str">
        <f t="shared" si="0"/>
        <v>SNS</v>
      </c>
      <c r="K50" s="3"/>
      <c r="L50" s="3"/>
    </row>
    <row r="51" spans="1:12">
      <c r="A51" t="s">
        <v>91</v>
      </c>
      <c r="B51" s="3" t="str">
        <f>VLOOKUP($A$51,People!$B$2:$C$10000,2,FALSE)</f>
        <v>ISIS</v>
      </c>
      <c r="C51" s="3">
        <f>VLOOKUP($A$51,People!$B$2:$D$10000,3,FALSE)</f>
        <v>0</v>
      </c>
      <c r="D51">
        <v>0</v>
      </c>
      <c r="E51">
        <v>46</v>
      </c>
      <c r="F51">
        <v>0</v>
      </c>
      <c r="G51">
        <v>0</v>
      </c>
      <c r="H51">
        <v>0</v>
      </c>
      <c r="I51">
        <v>150</v>
      </c>
      <c r="J51" s="3" t="str">
        <f t="shared" si="0"/>
        <v>ISIS</v>
      </c>
      <c r="K51" s="3"/>
      <c r="L51" s="3"/>
    </row>
    <row r="52" spans="1:12">
      <c r="A52" t="s">
        <v>55</v>
      </c>
      <c r="B52" s="3" t="str">
        <f>VLOOKUP($A$52,People!$B$2:$C$10000,2,FALSE)</f>
        <v>ISIS</v>
      </c>
      <c r="C52" s="3">
        <f>VLOOKUP($A$52,People!$B$2:$D$10000,3,FALSE)</f>
        <v>0</v>
      </c>
      <c r="D52">
        <v>0</v>
      </c>
      <c r="E52">
        <v>17</v>
      </c>
      <c r="F52">
        <v>0</v>
      </c>
      <c r="G52">
        <v>0</v>
      </c>
      <c r="H52">
        <v>0</v>
      </c>
      <c r="I52">
        <v>18</v>
      </c>
      <c r="J52" s="3" t="str">
        <f t="shared" si="0"/>
        <v>ISIS</v>
      </c>
      <c r="K52" s="3"/>
      <c r="L52" s="3"/>
    </row>
    <row r="53" spans="1:12">
      <c r="A53" t="s">
        <v>95</v>
      </c>
      <c r="B53" s="3" t="str">
        <f>VLOOKUP($A$53,People!$B$2:$C$10000,2,FALSE)</f>
        <v>ISIS</v>
      </c>
      <c r="C53" s="3">
        <f>VLOOKUP($A$53,People!$B$2:$D$10000,3,FALSE)</f>
        <v>0</v>
      </c>
      <c r="D53">
        <v>0</v>
      </c>
      <c r="E53">
        <v>20</v>
      </c>
      <c r="F53">
        <v>0</v>
      </c>
      <c r="G53">
        <v>0</v>
      </c>
      <c r="H53">
        <v>0</v>
      </c>
      <c r="I53">
        <v>93</v>
      </c>
      <c r="J53" s="3" t="str">
        <f t="shared" si="0"/>
        <v>ISIS</v>
      </c>
      <c r="K53" s="3"/>
      <c r="L53" s="3"/>
    </row>
    <row r="54" spans="1:12">
      <c r="A54" t="s">
        <v>143</v>
      </c>
      <c r="B54" s="3" t="str">
        <f>VLOOKUP($A$54,People!$B$2:$C$10000,2,FALSE)</f>
        <v>ISIS</v>
      </c>
      <c r="C54" s="3">
        <f>VLOOKUP($A$54,People!$B$2:$D$10000,3,FALSE)</f>
        <v>0</v>
      </c>
      <c r="D54">
        <v>0</v>
      </c>
      <c r="E54">
        <v>102</v>
      </c>
      <c r="F54">
        <v>0</v>
      </c>
      <c r="G54">
        <v>46</v>
      </c>
      <c r="H54">
        <v>0</v>
      </c>
      <c r="I54">
        <v>222</v>
      </c>
      <c r="J54" s="3" t="str">
        <f t="shared" si="0"/>
        <v>ISIS</v>
      </c>
      <c r="K54" s="3"/>
      <c r="L54" s="3"/>
    </row>
    <row r="55" spans="1:12">
      <c r="A55" t="s">
        <v>90</v>
      </c>
      <c r="B55" s="3" t="str">
        <f>VLOOKUP($A$55,People!$B$2:$C$10000,2,FALSE)</f>
        <v>ISIS</v>
      </c>
      <c r="C55" s="3">
        <f>VLOOKUP($A$55,People!$B$2:$D$10000,3,FALSE)</f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66</v>
      </c>
      <c r="J55" s="3" t="str">
        <f t="shared" si="0"/>
        <v>ISIS</v>
      </c>
      <c r="K55" s="3"/>
      <c r="L55" s="3"/>
    </row>
    <row r="56" spans="1:12">
      <c r="A56" t="s">
        <v>51</v>
      </c>
      <c r="B56" s="3" t="str">
        <f>VLOOKUP($A$56,People!$B$2:$C$10000,2,FALSE)</f>
        <v>ISIS</v>
      </c>
      <c r="C56" s="3">
        <f>VLOOKUP($A$56,People!$B$2:$D$10000,3,FALSE)</f>
        <v>0</v>
      </c>
      <c r="D56">
        <v>0</v>
      </c>
      <c r="E56">
        <v>27</v>
      </c>
      <c r="F56">
        <v>0</v>
      </c>
      <c r="G56">
        <v>27</v>
      </c>
      <c r="H56">
        <v>0</v>
      </c>
      <c r="I56">
        <v>95</v>
      </c>
      <c r="J56" s="3" t="str">
        <f t="shared" si="0"/>
        <v>ISIS</v>
      </c>
      <c r="K56" s="3"/>
      <c r="L56" s="3"/>
    </row>
    <row r="57" spans="1:12">
      <c r="A57" t="s">
        <v>77</v>
      </c>
      <c r="B57" s="3" t="str">
        <f>VLOOKUP($A$57,People!$B$2:$C$10000,2,FALSE)</f>
        <v>ISIS</v>
      </c>
      <c r="C57" s="3">
        <f>VLOOKUP($A$57,People!$B$2:$D$10000,3,FALSE)</f>
        <v>0</v>
      </c>
      <c r="D57">
        <v>0</v>
      </c>
      <c r="E57">
        <v>42</v>
      </c>
      <c r="F57">
        <v>0</v>
      </c>
      <c r="G57">
        <v>0</v>
      </c>
      <c r="H57">
        <v>0</v>
      </c>
      <c r="I57">
        <v>140</v>
      </c>
      <c r="J57" s="3" t="str">
        <f t="shared" si="0"/>
        <v>ISIS</v>
      </c>
      <c r="K57" s="3"/>
      <c r="L57" s="3"/>
    </row>
    <row r="58" spans="1:12">
      <c r="A58" t="s">
        <v>103</v>
      </c>
      <c r="B58" s="3" t="str">
        <f>VLOOKUP($A$58,People!$B$2:$C$10000,2,FALSE)</f>
        <v>ISIS</v>
      </c>
      <c r="C58" s="3">
        <f>VLOOKUP($A$58,People!$B$2:$D$10000,3,FALSE)</f>
        <v>0</v>
      </c>
      <c r="D58">
        <v>0</v>
      </c>
      <c r="E58">
        <v>3</v>
      </c>
      <c r="F58">
        <v>0</v>
      </c>
      <c r="G58">
        <v>0</v>
      </c>
      <c r="H58">
        <v>0</v>
      </c>
      <c r="I58">
        <v>1</v>
      </c>
      <c r="J58" s="3" t="str">
        <f t="shared" si="0"/>
        <v>ISIS</v>
      </c>
      <c r="K58" s="3"/>
      <c r="L58" s="3"/>
    </row>
    <row r="59" spans="1:12">
      <c r="A59" t="s">
        <v>93</v>
      </c>
      <c r="B59" s="3" t="str">
        <f>VLOOKUP($A$59,People!$B$2:$C$10000,2,FALSE)</f>
        <v>ISIS</v>
      </c>
      <c r="C59" s="3">
        <f>VLOOKUP($A$59,People!$B$2:$D$10000,3,FALSE)</f>
        <v>0</v>
      </c>
      <c r="D59">
        <v>0</v>
      </c>
      <c r="E59">
        <v>26</v>
      </c>
      <c r="F59">
        <v>0</v>
      </c>
      <c r="G59">
        <v>0</v>
      </c>
      <c r="H59">
        <v>0</v>
      </c>
      <c r="I59">
        <v>346</v>
      </c>
      <c r="J59" s="3" t="str">
        <f t="shared" si="0"/>
        <v>ISIS</v>
      </c>
      <c r="K59" s="3"/>
      <c r="L59" s="3"/>
    </row>
    <row r="60" spans="1:12">
      <c r="A60" t="s">
        <v>49</v>
      </c>
      <c r="B60" s="3" t="str">
        <f>VLOOKUP($A$60,People!$B$2:$C$10000,2,FALSE)</f>
        <v>SNS</v>
      </c>
      <c r="C60" s="3">
        <f>VLOOKUP($A$60,People!$B$2:$D$10000,3,FALSE)</f>
        <v>0</v>
      </c>
      <c r="D60">
        <v>0</v>
      </c>
      <c r="E60">
        <v>46</v>
      </c>
      <c r="F60">
        <v>0</v>
      </c>
      <c r="G60">
        <v>11</v>
      </c>
      <c r="H60">
        <v>0</v>
      </c>
      <c r="I60">
        <v>245</v>
      </c>
      <c r="J60" s="3" t="str">
        <f t="shared" si="0"/>
        <v>SNS</v>
      </c>
      <c r="K60" s="3"/>
      <c r="L60" s="3"/>
    </row>
    <row r="61" spans="1:12">
      <c r="A61" t="s">
        <v>59</v>
      </c>
      <c r="B61" s="3" t="e">
        <f>VLOOKUP($A$61,People!$B$2:$C$10000,2,FALSE)</f>
        <v>#N/A</v>
      </c>
      <c r="C61" s="3" t="e">
        <f>VLOOKUP($A$61,People!$B$2:$D$10000,3,FALSE)</f>
        <v>#N/A</v>
      </c>
      <c r="D61">
        <v>0</v>
      </c>
      <c r="E61">
        <v>0</v>
      </c>
      <c r="F61">
        <v>9</v>
      </c>
      <c r="G61">
        <v>9</v>
      </c>
      <c r="H61">
        <v>0</v>
      </c>
      <c r="I61">
        <v>0</v>
      </c>
      <c r="J61" s="3" t="e">
        <f t="shared" si="0"/>
        <v>#N/A</v>
      </c>
      <c r="K61" s="3"/>
      <c r="L61" s="3"/>
    </row>
    <row r="62" spans="1:12">
      <c r="A62" t="s">
        <v>216</v>
      </c>
      <c r="B62" s="3" t="e">
        <f>VLOOKUP($A$62,People!$B$2:$C$10000,2,FALSE)</f>
        <v>#N/A</v>
      </c>
      <c r="C62" s="3" t="e">
        <f>VLOOKUP($A$62,People!$B$2:$D$10000,3,FALSE)</f>
        <v>#N/A</v>
      </c>
      <c r="D62">
        <v>0</v>
      </c>
      <c r="E62">
        <v>0</v>
      </c>
      <c r="F62">
        <v>2</v>
      </c>
      <c r="G62">
        <v>2</v>
      </c>
      <c r="H62">
        <v>0</v>
      </c>
      <c r="I62">
        <v>0</v>
      </c>
      <c r="J62" s="3" t="e">
        <f t="shared" si="0"/>
        <v>#N/A</v>
      </c>
      <c r="K62" s="3"/>
      <c r="L62" s="3"/>
    </row>
    <row r="63" spans="1:12">
      <c r="A63" t="s">
        <v>144</v>
      </c>
      <c r="B63" s="3" t="str">
        <f>VLOOKUP($A$63,People!$B$2:$C$10000,2,FALSE)</f>
        <v>ISIS</v>
      </c>
      <c r="C63" s="3" t="str">
        <f>VLOOKUP($A$63,People!$B$2:$D$10000,3,FALSE)</f>
        <v>Tessella</v>
      </c>
      <c r="D63">
        <v>0</v>
      </c>
      <c r="E63">
        <v>0</v>
      </c>
      <c r="F63">
        <v>0</v>
      </c>
      <c r="G63">
        <v>23</v>
      </c>
      <c r="H63">
        <v>0</v>
      </c>
      <c r="I63">
        <v>0</v>
      </c>
      <c r="J63" s="3" t="str">
        <f t="shared" si="0"/>
        <v>Tessella</v>
      </c>
      <c r="K63" s="3"/>
      <c r="L63" s="3"/>
    </row>
    <row r="64" spans="1:12">
      <c r="A64" t="s">
        <v>232</v>
      </c>
      <c r="B64" s="3" t="str">
        <f>VLOOKUP($A$64,People!$B$2:$C$10000,2,FALSE)</f>
        <v>ISIS</v>
      </c>
      <c r="C64" s="3">
        <f>VLOOKUP($A$64,People!$B$2:$D$10000,3,FALSE)</f>
        <v>0</v>
      </c>
      <c r="D64">
        <v>0</v>
      </c>
      <c r="E64">
        <v>0</v>
      </c>
      <c r="F64">
        <v>0</v>
      </c>
      <c r="G64">
        <v>0</v>
      </c>
      <c r="H64">
        <v>50</v>
      </c>
      <c r="I64">
        <v>50</v>
      </c>
      <c r="J64" s="3" t="str">
        <f t="shared" si="0"/>
        <v>ISIS</v>
      </c>
      <c r="K64" s="3"/>
      <c r="L64" s="3"/>
    </row>
    <row r="65" spans="1:12">
      <c r="A65" t="s">
        <v>235</v>
      </c>
      <c r="B65" s="3" t="str">
        <f>VLOOKUP($A$65,People!$B$2:$C$10000,2,FALSE)</f>
        <v>ANSTO</v>
      </c>
      <c r="C65" s="3">
        <f>VLOOKUP($A$65,People!$B$2:$D$10000,3,FALSE)</f>
        <v>0</v>
      </c>
      <c r="D65">
        <v>0</v>
      </c>
      <c r="E65">
        <v>0</v>
      </c>
      <c r="F65">
        <v>0</v>
      </c>
      <c r="G65">
        <v>0</v>
      </c>
      <c r="H65">
        <v>4</v>
      </c>
      <c r="I65">
        <v>4</v>
      </c>
      <c r="J65" s="3" t="str">
        <f t="shared" si="0"/>
        <v>ANSTO</v>
      </c>
      <c r="K65" s="3"/>
      <c r="L65" s="3"/>
    </row>
    <row r="66" spans="1:12">
      <c r="A66" t="s">
        <v>237</v>
      </c>
      <c r="B66" s="3" t="str">
        <f>VLOOKUP($A$66,People!$B$2:$C$10000,2,FALSE)</f>
        <v>Polytechnic University of Catalonia</v>
      </c>
      <c r="C66" s="3">
        <f>VLOOKUP($A$66,People!$B$2:$D$10000,3,FALSE)</f>
        <v>0</v>
      </c>
      <c r="D66">
        <v>0</v>
      </c>
      <c r="E66">
        <v>0</v>
      </c>
      <c r="F66">
        <v>0</v>
      </c>
      <c r="G66">
        <v>0</v>
      </c>
      <c r="H66">
        <v>3</v>
      </c>
      <c r="I66">
        <v>3</v>
      </c>
      <c r="J66" s="3" t="str">
        <f t="shared" si="0"/>
        <v>Polytechnic University of Catalonia</v>
      </c>
      <c r="K66" s="3"/>
      <c r="L66" s="3"/>
    </row>
    <row r="67" spans="1:12">
      <c r="A67" t="s">
        <v>240</v>
      </c>
      <c r="B67" s="3" t="str">
        <f>VLOOKUP($A$67,People!$B$2:$C$10000,2,FALSE)</f>
        <v>ISIS</v>
      </c>
      <c r="C67" s="3">
        <f>VLOOKUP($A$67,People!$B$2:$D$10000,3,FALSE)</f>
        <v>0</v>
      </c>
      <c r="D67">
        <v>0</v>
      </c>
      <c r="E67">
        <v>0</v>
      </c>
      <c r="F67">
        <v>0</v>
      </c>
      <c r="G67">
        <v>0</v>
      </c>
      <c r="H67">
        <v>1</v>
      </c>
      <c r="I67">
        <v>1</v>
      </c>
      <c r="J67" s="3" t="str">
        <f t="shared" ref="J67:J74" si="1">IF(C67=0,B67,C67)</f>
        <v>ISIS</v>
      </c>
      <c r="K67" s="3"/>
      <c r="L67" s="3"/>
    </row>
    <row r="68" spans="1:12">
      <c r="A68" t="s">
        <v>243</v>
      </c>
      <c r="B68" s="3" t="str">
        <f>VLOOKUP($A$68,People!$B$2:$C$10000,2,FALSE)</f>
        <v>Juelich</v>
      </c>
      <c r="C68">
        <f>VLOOKUP($A$68,People!$B$2:$D$10000,3,FALSE)</f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1</v>
      </c>
      <c r="J68" s="3" t="str">
        <f t="shared" si="1"/>
        <v>Juelich</v>
      </c>
      <c r="K68" s="3"/>
    </row>
    <row r="69" spans="1:12">
      <c r="A69" t="s">
        <v>83</v>
      </c>
      <c r="B69" s="3" t="str">
        <f>VLOOKUP($A$69,People!$B$2:$C$10000,2,FALSE)</f>
        <v>ISIS</v>
      </c>
      <c r="C69">
        <f>VLOOKUP($A$69,People!$B$2:$D$10000,3,FALSE)</f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1</v>
      </c>
      <c r="J69" s="3" t="str">
        <f t="shared" si="1"/>
        <v>ISIS</v>
      </c>
      <c r="K69" s="3"/>
    </row>
    <row r="70" spans="1:12">
      <c r="A70" t="s">
        <v>65</v>
      </c>
      <c r="B70" s="3" t="str">
        <f>VLOOKUP($A$70,People!$B$2:$C$10000,2,FALSE)</f>
        <v>ESS</v>
      </c>
      <c r="C70">
        <f>VLOOKUP($A$70,People!$B$2:$D$10000,3,FALSE)</f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6</v>
      </c>
      <c r="J70" s="3" t="str">
        <f t="shared" si="1"/>
        <v>ESS</v>
      </c>
      <c r="K70" s="3"/>
    </row>
    <row r="71" spans="1:12">
      <c r="A71" t="s">
        <v>76</v>
      </c>
      <c r="B71" s="3" t="str">
        <f>VLOOKUP($A$71,People!$B$2:$C$10000,2,FALSE)</f>
        <v>?</v>
      </c>
      <c r="C71">
        <f>VLOOKUP($A$71,People!$B$2:$D$10000,3,FALSE)</f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2</v>
      </c>
      <c r="J71" s="3" t="str">
        <f t="shared" si="1"/>
        <v>?</v>
      </c>
      <c r="K71" s="3"/>
    </row>
    <row r="72" spans="1:12">
      <c r="A72" t="s">
        <v>61</v>
      </c>
      <c r="B72" s="3" t="str">
        <f>VLOOKUP($A$72,People!$B$2:$C$10000,2,FALSE)</f>
        <v>PSI</v>
      </c>
      <c r="C72">
        <f>VLOOKUP($A$72,People!$B$2:$D$10000,3,FALSE)</f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13</v>
      </c>
      <c r="J72" s="3" t="str">
        <f t="shared" si="1"/>
        <v>PSI</v>
      </c>
      <c r="K72" s="3"/>
    </row>
    <row r="73" spans="1:12">
      <c r="A73" t="s">
        <v>89</v>
      </c>
      <c r="B73" s="3" t="str">
        <f>VLOOKUP($A$73,People!$B$2:$C$10000,2,FALSE)</f>
        <v>SNS</v>
      </c>
      <c r="C73">
        <f>VLOOKUP($A$73,People!$B$2:$D$10000,3,FALSE)</f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7</v>
      </c>
      <c r="J73" s="3" t="str">
        <f t="shared" si="1"/>
        <v>SNS</v>
      </c>
      <c r="K73" s="3"/>
    </row>
    <row r="74" spans="1:12">
      <c r="A74" t="s">
        <v>63</v>
      </c>
      <c r="B74" t="str">
        <f>VLOOKUP($A$74,People!$B$2:$C$10000,2,FALSE)</f>
        <v>?</v>
      </c>
      <c r="C74">
        <f>VLOOKUP($A$74,People!$B$2:$D$10000,3,FALSE)</f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5</v>
      </c>
      <c r="J74" s="3" t="str">
        <f t="shared" si="1"/>
        <v>?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odule1.Amalgamate" altText="Refresh From Raw Data">
                <anchor moveWithCells="1" sizeWithCells="1">
                  <from>
                    <xdr:col>14</xdr:col>
                    <xdr:colOff>19050</xdr:colOff>
                    <xdr:row>0</xdr:row>
                    <xdr:rowOff>171450</xdr:rowOff>
                  </from>
                  <to>
                    <xdr:col>20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61"/>
  <sheetViews>
    <sheetView topLeftCell="A43" workbookViewId="0">
      <selection activeCell="A62" sqref="A62"/>
    </sheetView>
  </sheetViews>
  <sheetFormatPr defaultRowHeight="15"/>
  <cols>
    <col min="1" max="1" width="20.140625" bestFit="1" customWidth="1"/>
    <col min="2" max="2" width="5.42578125" customWidth="1"/>
    <col min="3" max="3" width="10.28515625" customWidth="1"/>
    <col min="6" max="6" width="19.42578125" bestFit="1" customWidth="1"/>
    <col min="7" max="7" width="5.42578125" customWidth="1"/>
    <col min="8" max="8" width="10.28515625" customWidth="1"/>
  </cols>
  <sheetData>
    <row r="1" spans="1:8">
      <c r="A1" s="6" t="s">
        <v>114</v>
      </c>
      <c r="B1" t="s">
        <v>180</v>
      </c>
      <c r="C1" t="s">
        <v>181</v>
      </c>
    </row>
    <row r="2" spans="1:8">
      <c r="A2" s="7" t="s">
        <v>8</v>
      </c>
      <c r="B2" s="8">
        <v>954</v>
      </c>
      <c r="C2" s="8">
        <v>118</v>
      </c>
      <c r="F2" s="7"/>
      <c r="G2" s="8"/>
      <c r="H2" s="8"/>
    </row>
    <row r="3" spans="1:8">
      <c r="A3" s="7" t="s">
        <v>19</v>
      </c>
      <c r="B3" s="8">
        <v>522</v>
      </c>
      <c r="C3" s="8">
        <v>104</v>
      </c>
      <c r="F3" s="7"/>
      <c r="G3" s="8"/>
      <c r="H3" s="8"/>
    </row>
    <row r="4" spans="1:8">
      <c r="A4" s="7" t="s">
        <v>14</v>
      </c>
      <c r="B4" s="8">
        <v>184</v>
      </c>
      <c r="C4" s="8">
        <v>100</v>
      </c>
      <c r="F4" s="7"/>
      <c r="G4" s="8"/>
      <c r="H4" s="8"/>
    </row>
    <row r="5" spans="1:8">
      <c r="A5" s="7" t="s">
        <v>215</v>
      </c>
      <c r="B5" s="8">
        <v>85</v>
      </c>
      <c r="C5" s="8">
        <v>85</v>
      </c>
      <c r="F5" s="7"/>
      <c r="G5" s="8"/>
      <c r="H5" s="8"/>
    </row>
    <row r="6" spans="1:8">
      <c r="A6" s="7" t="s">
        <v>211</v>
      </c>
      <c r="B6" s="8">
        <v>81</v>
      </c>
      <c r="C6" s="8">
        <v>81</v>
      </c>
      <c r="F6" s="7"/>
      <c r="G6" s="8"/>
      <c r="H6" s="8"/>
    </row>
    <row r="7" spans="1:8">
      <c r="A7" s="7" t="s">
        <v>20</v>
      </c>
      <c r="B7" s="8">
        <v>372</v>
      </c>
      <c r="C7" s="8">
        <v>80</v>
      </c>
      <c r="F7" s="7"/>
      <c r="G7" s="8"/>
      <c r="H7" s="8"/>
    </row>
    <row r="8" spans="1:8">
      <c r="A8" s="7" t="s">
        <v>11</v>
      </c>
      <c r="B8" s="8">
        <v>606</v>
      </c>
      <c r="C8" s="8">
        <v>69</v>
      </c>
      <c r="F8" s="7"/>
      <c r="G8" s="8"/>
      <c r="H8" s="8"/>
    </row>
    <row r="9" spans="1:8">
      <c r="A9" s="7" t="s">
        <v>21</v>
      </c>
      <c r="B9" s="8">
        <v>216</v>
      </c>
      <c r="C9" s="8">
        <v>68</v>
      </c>
      <c r="F9" s="7"/>
      <c r="G9" s="8"/>
      <c r="H9" s="8"/>
    </row>
    <row r="10" spans="1:8">
      <c r="A10" s="7" t="s">
        <v>32</v>
      </c>
      <c r="B10" s="8">
        <v>283</v>
      </c>
      <c r="C10" s="8">
        <v>62</v>
      </c>
      <c r="F10" s="7"/>
      <c r="G10" s="8"/>
      <c r="H10" s="8"/>
    </row>
    <row r="11" spans="1:8">
      <c r="A11" s="7" t="s">
        <v>17</v>
      </c>
      <c r="B11" s="8">
        <v>97</v>
      </c>
      <c r="C11" s="8">
        <v>61</v>
      </c>
      <c r="F11" s="7"/>
      <c r="G11" s="8"/>
      <c r="H11" s="8"/>
    </row>
    <row r="12" spans="1:8">
      <c r="A12" s="7" t="s">
        <v>112</v>
      </c>
      <c r="B12" s="8">
        <v>266</v>
      </c>
      <c r="C12" s="8">
        <v>61</v>
      </c>
      <c r="F12" s="7"/>
      <c r="G12" s="8"/>
      <c r="H12" s="8"/>
    </row>
    <row r="13" spans="1:8">
      <c r="A13" s="7" t="s">
        <v>18</v>
      </c>
      <c r="B13" s="8">
        <v>102</v>
      </c>
      <c r="C13" s="8">
        <v>58</v>
      </c>
      <c r="F13" s="7"/>
      <c r="G13" s="8"/>
      <c r="H13" s="8"/>
    </row>
    <row r="14" spans="1:8">
      <c r="A14" s="7" t="s">
        <v>44</v>
      </c>
      <c r="B14" s="8">
        <v>326</v>
      </c>
      <c r="C14" s="8">
        <v>58</v>
      </c>
      <c r="F14" s="7"/>
      <c r="G14" s="8"/>
      <c r="H14" s="8"/>
    </row>
    <row r="15" spans="1:8">
      <c r="A15" s="7" t="s">
        <v>34</v>
      </c>
      <c r="B15" s="8">
        <v>543</v>
      </c>
      <c r="C15" s="8">
        <v>54</v>
      </c>
      <c r="F15" s="7"/>
      <c r="G15" s="8"/>
      <c r="H15" s="8"/>
    </row>
    <row r="16" spans="1:8">
      <c r="A16" s="7" t="s">
        <v>23</v>
      </c>
      <c r="B16" s="8">
        <v>151</v>
      </c>
      <c r="C16" s="8">
        <v>47</v>
      </c>
      <c r="F16" s="7"/>
      <c r="G16" s="8"/>
      <c r="H16" s="8"/>
    </row>
    <row r="17" spans="1:8">
      <c r="A17" s="7" t="s">
        <v>29</v>
      </c>
      <c r="B17" s="8">
        <v>58</v>
      </c>
      <c r="C17" s="8">
        <v>46</v>
      </c>
      <c r="F17" s="7"/>
      <c r="G17" s="8"/>
      <c r="H17" s="8"/>
    </row>
    <row r="18" spans="1:8">
      <c r="A18" s="7" t="s">
        <v>37</v>
      </c>
      <c r="B18" s="8">
        <v>126</v>
      </c>
      <c r="C18" s="8">
        <v>45</v>
      </c>
      <c r="F18" s="7"/>
      <c r="G18" s="8"/>
      <c r="H18" s="8"/>
    </row>
    <row r="19" spans="1:8">
      <c r="A19" s="7" t="s">
        <v>30</v>
      </c>
      <c r="B19" s="8">
        <v>146</v>
      </c>
      <c r="C19" s="8">
        <v>39</v>
      </c>
      <c r="F19" s="7"/>
      <c r="G19" s="8"/>
      <c r="H19" s="8"/>
    </row>
    <row r="20" spans="1:8">
      <c r="A20" s="7" t="s">
        <v>212</v>
      </c>
      <c r="B20" s="8">
        <v>37</v>
      </c>
      <c r="C20" s="8">
        <v>37</v>
      </c>
      <c r="F20" s="7"/>
      <c r="G20" s="8"/>
      <c r="H20" s="8"/>
    </row>
    <row r="21" spans="1:8">
      <c r="A21" s="7" t="s">
        <v>43</v>
      </c>
      <c r="B21" s="8">
        <v>84</v>
      </c>
      <c r="C21" s="8">
        <v>34</v>
      </c>
      <c r="F21" s="7"/>
      <c r="G21" s="8"/>
      <c r="H21" s="8"/>
    </row>
    <row r="22" spans="1:8">
      <c r="A22" s="7" t="s">
        <v>36</v>
      </c>
      <c r="B22" s="8">
        <v>149</v>
      </c>
      <c r="C22" s="8">
        <v>32</v>
      </c>
      <c r="F22" s="7"/>
      <c r="G22" s="8"/>
      <c r="H22" s="8"/>
    </row>
    <row r="23" spans="1:8">
      <c r="A23" s="7" t="s">
        <v>27</v>
      </c>
      <c r="B23" s="8">
        <v>252</v>
      </c>
      <c r="C23" s="8">
        <v>29</v>
      </c>
      <c r="F23" s="7"/>
      <c r="G23" s="8"/>
      <c r="H23" s="8"/>
    </row>
    <row r="24" spans="1:8">
      <c r="A24" s="7" t="s">
        <v>24</v>
      </c>
      <c r="B24" s="8">
        <v>138</v>
      </c>
      <c r="C24" s="8">
        <v>24</v>
      </c>
      <c r="F24" s="7"/>
      <c r="G24" s="8"/>
      <c r="H24" s="8"/>
    </row>
    <row r="25" spans="1:8">
      <c r="A25" s="7" t="s">
        <v>69</v>
      </c>
      <c r="B25" s="8">
        <v>21</v>
      </c>
      <c r="C25" s="8">
        <v>21</v>
      </c>
      <c r="F25" s="7"/>
      <c r="G25" s="8"/>
      <c r="H25" s="8"/>
    </row>
    <row r="26" spans="1:8">
      <c r="A26" s="7" t="s">
        <v>111</v>
      </c>
      <c r="B26" s="8">
        <v>278</v>
      </c>
      <c r="C26" s="8">
        <v>15</v>
      </c>
      <c r="F26" s="7"/>
      <c r="G26" s="8"/>
      <c r="H26" s="8"/>
    </row>
    <row r="27" spans="1:8">
      <c r="A27" s="7" t="s">
        <v>38</v>
      </c>
      <c r="B27" s="8">
        <v>185</v>
      </c>
      <c r="C27" s="8">
        <v>13</v>
      </c>
      <c r="F27" s="7"/>
      <c r="G27" s="8"/>
      <c r="H27" s="8"/>
    </row>
    <row r="28" spans="1:8">
      <c r="A28" s="7" t="s">
        <v>213</v>
      </c>
      <c r="B28" s="8">
        <v>12</v>
      </c>
      <c r="C28" s="8">
        <v>12</v>
      </c>
      <c r="F28" s="7"/>
      <c r="G28" s="8"/>
      <c r="H28" s="8"/>
    </row>
    <row r="29" spans="1:8">
      <c r="A29" s="7" t="s">
        <v>50</v>
      </c>
      <c r="B29" s="8">
        <v>22</v>
      </c>
      <c r="C29" s="8">
        <v>12</v>
      </c>
      <c r="F29" s="7"/>
      <c r="G29" s="8"/>
      <c r="H29" s="8"/>
    </row>
    <row r="30" spans="1:8">
      <c r="A30" s="7" t="s">
        <v>45</v>
      </c>
      <c r="B30" s="8">
        <v>45</v>
      </c>
      <c r="C30" s="8">
        <v>11</v>
      </c>
      <c r="F30" s="7"/>
      <c r="G30" s="8"/>
      <c r="H30" s="8"/>
    </row>
    <row r="31" spans="1:8">
      <c r="A31" s="7" t="s">
        <v>217</v>
      </c>
      <c r="B31" s="8">
        <v>8</v>
      </c>
      <c r="C31" s="8">
        <v>8</v>
      </c>
      <c r="F31" s="7"/>
      <c r="G31" s="8"/>
      <c r="H31" s="8"/>
    </row>
    <row r="32" spans="1:8">
      <c r="A32" s="7" t="s">
        <v>220</v>
      </c>
      <c r="B32" s="8">
        <v>7</v>
      </c>
      <c r="C32" s="8">
        <v>7</v>
      </c>
      <c r="F32" s="7"/>
      <c r="G32" s="8"/>
      <c r="H32" s="8"/>
    </row>
    <row r="33" spans="1:8">
      <c r="A33" s="7" t="s">
        <v>214</v>
      </c>
      <c r="B33" s="8">
        <v>6</v>
      </c>
      <c r="C33" s="8">
        <v>6</v>
      </c>
      <c r="F33" s="7"/>
      <c r="G33" s="8"/>
      <c r="H33" s="8"/>
    </row>
    <row r="34" spans="1:8">
      <c r="A34" s="7" t="s">
        <v>52</v>
      </c>
      <c r="B34" s="8">
        <v>29</v>
      </c>
      <c r="C34" s="8">
        <v>5</v>
      </c>
      <c r="F34" s="7"/>
      <c r="G34" s="8"/>
      <c r="H34" s="8"/>
    </row>
    <row r="35" spans="1:8">
      <c r="A35" s="7" t="s">
        <v>80</v>
      </c>
      <c r="B35" s="8">
        <v>3</v>
      </c>
      <c r="C35" s="8">
        <v>3</v>
      </c>
      <c r="F35" s="7"/>
      <c r="G35" s="8"/>
      <c r="H35" s="8"/>
    </row>
    <row r="36" spans="1:8">
      <c r="A36" s="7" t="s">
        <v>221</v>
      </c>
      <c r="B36" s="8">
        <v>2</v>
      </c>
      <c r="C36" s="8">
        <v>2</v>
      </c>
      <c r="F36" s="7"/>
      <c r="G36" s="8"/>
      <c r="H36" s="8"/>
    </row>
    <row r="37" spans="1:8">
      <c r="A37" s="7" t="s">
        <v>219</v>
      </c>
      <c r="B37" s="8">
        <v>2</v>
      </c>
      <c r="C37" s="8">
        <v>2</v>
      </c>
      <c r="F37" s="7"/>
      <c r="G37" s="8"/>
      <c r="H37" s="8"/>
    </row>
    <row r="38" spans="1:8">
      <c r="A38" s="7" t="s">
        <v>99</v>
      </c>
      <c r="B38" s="8">
        <v>647</v>
      </c>
      <c r="C38" s="8">
        <v>2</v>
      </c>
    </row>
    <row r="39" spans="1:8">
      <c r="A39" s="7" t="s">
        <v>179</v>
      </c>
      <c r="B39" s="8">
        <v>79</v>
      </c>
      <c r="C39" s="8">
        <v>1</v>
      </c>
    </row>
    <row r="40" spans="1:8">
      <c r="A40" s="7" t="s">
        <v>102</v>
      </c>
      <c r="B40" s="8">
        <v>83</v>
      </c>
      <c r="C40" s="8">
        <v>1</v>
      </c>
    </row>
    <row r="41" spans="1:8">
      <c r="A41" s="7" t="s">
        <v>101</v>
      </c>
      <c r="B41" s="8">
        <v>129</v>
      </c>
      <c r="C41" s="8">
        <v>1</v>
      </c>
    </row>
    <row r="42" spans="1:8">
      <c r="A42" s="7" t="s">
        <v>222</v>
      </c>
      <c r="B42" s="8">
        <v>1</v>
      </c>
      <c r="C42" s="8">
        <v>1</v>
      </c>
    </row>
    <row r="43" spans="1:8">
      <c r="A43" s="7" t="s">
        <v>64</v>
      </c>
      <c r="B43" s="8">
        <v>5</v>
      </c>
      <c r="C43" s="8">
        <v>1</v>
      </c>
    </row>
    <row r="44" spans="1:8">
      <c r="A44" s="7" t="s">
        <v>208</v>
      </c>
      <c r="B44" s="8">
        <v>1</v>
      </c>
      <c r="C44" s="8">
        <v>1</v>
      </c>
    </row>
    <row r="45" spans="1:8">
      <c r="A45" s="7" t="s">
        <v>98</v>
      </c>
      <c r="B45" s="8">
        <v>11</v>
      </c>
      <c r="C45" s="8">
        <v>0</v>
      </c>
    </row>
    <row r="46" spans="1:8">
      <c r="A46" s="7" t="s">
        <v>105</v>
      </c>
      <c r="B46" s="8">
        <v>1</v>
      </c>
      <c r="C46" s="8">
        <v>0</v>
      </c>
    </row>
    <row r="47" spans="1:8">
      <c r="A47" s="7" t="s">
        <v>104</v>
      </c>
      <c r="B47" s="8">
        <v>15</v>
      </c>
      <c r="C47" s="8">
        <v>0</v>
      </c>
    </row>
    <row r="48" spans="1:8">
      <c r="A48" s="7" t="s">
        <v>131</v>
      </c>
      <c r="B48" s="8">
        <v>122</v>
      </c>
      <c r="C48" s="8">
        <v>0</v>
      </c>
    </row>
    <row r="49" spans="1:3">
      <c r="A49" s="7" t="s">
        <v>124</v>
      </c>
      <c r="B49" s="8">
        <v>2</v>
      </c>
      <c r="C49" s="8">
        <v>0</v>
      </c>
    </row>
    <row r="50" spans="1:3">
      <c r="A50" s="7" t="s">
        <v>54</v>
      </c>
      <c r="B50" s="8">
        <v>33</v>
      </c>
      <c r="C50" s="8">
        <v>0</v>
      </c>
    </row>
    <row r="51" spans="1:3">
      <c r="A51" s="7" t="s">
        <v>91</v>
      </c>
      <c r="B51" s="8">
        <v>46</v>
      </c>
      <c r="C51" s="8">
        <v>0</v>
      </c>
    </row>
    <row r="52" spans="1:3">
      <c r="A52" s="7" t="s">
        <v>55</v>
      </c>
      <c r="B52" s="8">
        <v>17</v>
      </c>
      <c r="C52" s="8">
        <v>0</v>
      </c>
    </row>
    <row r="53" spans="1:3">
      <c r="A53" s="7" t="s">
        <v>95</v>
      </c>
      <c r="B53" s="8">
        <v>20</v>
      </c>
      <c r="C53" s="8">
        <v>0</v>
      </c>
    </row>
    <row r="54" spans="1:3">
      <c r="A54" s="7" t="s">
        <v>143</v>
      </c>
      <c r="B54" s="8">
        <v>102</v>
      </c>
      <c r="C54" s="8">
        <v>0</v>
      </c>
    </row>
    <row r="55" spans="1:3">
      <c r="A55" s="7" t="s">
        <v>90</v>
      </c>
      <c r="B55" s="8">
        <v>1</v>
      </c>
      <c r="C55" s="8">
        <v>0</v>
      </c>
    </row>
    <row r="56" spans="1:3">
      <c r="A56" s="7" t="s">
        <v>51</v>
      </c>
      <c r="B56" s="8">
        <v>27</v>
      </c>
      <c r="C56" s="8">
        <v>0</v>
      </c>
    </row>
    <row r="57" spans="1:3">
      <c r="A57" s="7" t="s">
        <v>77</v>
      </c>
      <c r="B57" s="8">
        <v>42</v>
      </c>
      <c r="C57" s="8">
        <v>0</v>
      </c>
    </row>
    <row r="58" spans="1:3">
      <c r="A58" s="7" t="s">
        <v>103</v>
      </c>
      <c r="B58" s="8">
        <v>3</v>
      </c>
      <c r="C58" s="8">
        <v>0</v>
      </c>
    </row>
    <row r="59" spans="1:3">
      <c r="A59" s="7" t="s">
        <v>93</v>
      </c>
      <c r="B59" s="8">
        <v>26</v>
      </c>
      <c r="C59" s="8">
        <v>0</v>
      </c>
    </row>
    <row r="60" spans="1:3">
      <c r="A60" s="7" t="s">
        <v>49</v>
      </c>
      <c r="B60" s="8">
        <v>46</v>
      </c>
      <c r="C60" s="8">
        <v>0</v>
      </c>
    </row>
    <row r="61" spans="1:3">
      <c r="A61" s="7" t="s">
        <v>115</v>
      </c>
      <c r="B61" s="8">
        <v>7857</v>
      </c>
      <c r="C61" s="8">
        <v>1517</v>
      </c>
    </row>
  </sheetData>
  <pageMargins left="0.7" right="0.7" top="0.75" bottom="0.75" header="0.3" footer="0.3"/>
  <pageSetup paperSize="9" orientation="portrait" horizontalDpi="4294967295" verticalDpi="4294967295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9"/>
  <sheetViews>
    <sheetView topLeftCell="A29" workbookViewId="0">
      <selection activeCell="A50" sqref="A50"/>
    </sheetView>
  </sheetViews>
  <sheetFormatPr defaultRowHeight="15"/>
  <cols>
    <col min="1" max="1" width="20.140625" bestFit="1" customWidth="1"/>
    <col min="2" max="2" width="5.42578125" customWidth="1"/>
    <col min="3" max="3" width="10.28515625" customWidth="1"/>
  </cols>
  <sheetData>
    <row r="1" spans="1:3">
      <c r="A1" s="6" t="s">
        <v>114</v>
      </c>
      <c r="B1" t="s">
        <v>180</v>
      </c>
      <c r="C1" t="s">
        <v>181</v>
      </c>
    </row>
    <row r="2" spans="1:3">
      <c r="A2" s="7" t="s">
        <v>8</v>
      </c>
      <c r="B2" s="8">
        <v>524</v>
      </c>
      <c r="C2" s="8">
        <v>120</v>
      </c>
    </row>
    <row r="3" spans="1:3">
      <c r="A3" s="7" t="s">
        <v>19</v>
      </c>
      <c r="B3" s="8">
        <v>499</v>
      </c>
      <c r="C3" s="8">
        <v>111</v>
      </c>
    </row>
    <row r="4" spans="1:3">
      <c r="A4" s="7" t="s">
        <v>44</v>
      </c>
      <c r="B4" s="8">
        <v>342</v>
      </c>
      <c r="C4" s="8">
        <v>110</v>
      </c>
    </row>
    <row r="5" spans="1:3">
      <c r="A5" s="7" t="s">
        <v>27</v>
      </c>
      <c r="B5" s="8">
        <v>625</v>
      </c>
      <c r="C5" s="8">
        <v>92</v>
      </c>
    </row>
    <row r="6" spans="1:3">
      <c r="A6" s="7" t="s">
        <v>112</v>
      </c>
      <c r="B6" s="8">
        <v>373</v>
      </c>
      <c r="C6" s="8">
        <v>84</v>
      </c>
    </row>
    <row r="7" spans="1:3">
      <c r="A7" s="7" t="s">
        <v>37</v>
      </c>
      <c r="B7" s="8">
        <v>156</v>
      </c>
      <c r="C7" s="8">
        <v>79</v>
      </c>
    </row>
    <row r="8" spans="1:3">
      <c r="A8" s="7" t="s">
        <v>34</v>
      </c>
      <c r="B8" s="8">
        <v>311</v>
      </c>
      <c r="C8" s="8">
        <v>77</v>
      </c>
    </row>
    <row r="9" spans="1:3">
      <c r="A9" s="7" t="s">
        <v>20</v>
      </c>
      <c r="B9" s="8">
        <v>302</v>
      </c>
      <c r="C9" s="8">
        <v>74</v>
      </c>
    </row>
    <row r="10" spans="1:3">
      <c r="A10" s="7" t="s">
        <v>36</v>
      </c>
      <c r="B10" s="8">
        <v>423</v>
      </c>
      <c r="C10" s="8">
        <v>69</v>
      </c>
    </row>
    <row r="11" spans="1:3">
      <c r="A11" s="7" t="s">
        <v>30</v>
      </c>
      <c r="B11" s="8">
        <v>192</v>
      </c>
      <c r="C11" s="8">
        <v>67</v>
      </c>
    </row>
    <row r="12" spans="1:3">
      <c r="A12" s="7" t="s">
        <v>14</v>
      </c>
      <c r="B12" s="8">
        <v>100</v>
      </c>
      <c r="C12" s="8">
        <v>62</v>
      </c>
    </row>
    <row r="13" spans="1:3">
      <c r="A13" s="7" t="s">
        <v>21</v>
      </c>
      <c r="B13" s="8">
        <v>244</v>
      </c>
      <c r="C13" s="8">
        <v>62</v>
      </c>
    </row>
    <row r="14" spans="1:3">
      <c r="A14" s="7" t="s">
        <v>179</v>
      </c>
      <c r="B14" s="8">
        <v>1113</v>
      </c>
      <c r="C14" s="8">
        <v>60</v>
      </c>
    </row>
    <row r="15" spans="1:3">
      <c r="A15" s="7" t="s">
        <v>32</v>
      </c>
      <c r="B15" s="8">
        <v>368</v>
      </c>
      <c r="C15" s="8">
        <v>59</v>
      </c>
    </row>
    <row r="16" spans="1:3">
      <c r="A16" s="7" t="s">
        <v>17</v>
      </c>
      <c r="B16" s="8">
        <v>118</v>
      </c>
      <c r="C16" s="8">
        <v>56</v>
      </c>
    </row>
    <row r="17" spans="1:3">
      <c r="A17" s="7" t="s">
        <v>11</v>
      </c>
      <c r="B17" s="8">
        <v>368</v>
      </c>
      <c r="C17" s="8">
        <v>53</v>
      </c>
    </row>
    <row r="18" spans="1:3">
      <c r="A18" s="7" t="s">
        <v>215</v>
      </c>
      <c r="B18" s="8">
        <v>49</v>
      </c>
      <c r="C18" s="8">
        <v>49</v>
      </c>
    </row>
    <row r="19" spans="1:3">
      <c r="A19" s="7" t="s">
        <v>211</v>
      </c>
      <c r="B19" s="8">
        <v>35</v>
      </c>
      <c r="C19" s="8">
        <v>35</v>
      </c>
    </row>
    <row r="20" spans="1:3">
      <c r="A20" s="7" t="s">
        <v>23</v>
      </c>
      <c r="B20" s="8">
        <v>98</v>
      </c>
      <c r="C20" s="8">
        <v>32</v>
      </c>
    </row>
    <row r="21" spans="1:3">
      <c r="A21" s="7" t="s">
        <v>213</v>
      </c>
      <c r="B21" s="8">
        <v>23</v>
      </c>
      <c r="C21" s="8">
        <v>23</v>
      </c>
    </row>
    <row r="22" spans="1:3">
      <c r="A22" s="7" t="s">
        <v>18</v>
      </c>
      <c r="B22" s="8">
        <v>43</v>
      </c>
      <c r="C22" s="8">
        <v>21</v>
      </c>
    </row>
    <row r="23" spans="1:3">
      <c r="A23" s="7" t="s">
        <v>29</v>
      </c>
      <c r="B23" s="8">
        <v>36</v>
      </c>
      <c r="C23" s="8">
        <v>20</v>
      </c>
    </row>
    <row r="24" spans="1:3">
      <c r="A24" s="7" t="s">
        <v>38</v>
      </c>
      <c r="B24" s="8">
        <v>350</v>
      </c>
      <c r="C24" s="8">
        <v>14</v>
      </c>
    </row>
    <row r="25" spans="1:3">
      <c r="A25" s="7" t="s">
        <v>214</v>
      </c>
      <c r="B25" s="8">
        <v>14</v>
      </c>
      <c r="C25" s="8">
        <v>14</v>
      </c>
    </row>
    <row r="26" spans="1:3">
      <c r="A26" s="7" t="s">
        <v>24</v>
      </c>
      <c r="B26" s="8">
        <v>108</v>
      </c>
      <c r="C26" s="8">
        <v>13</v>
      </c>
    </row>
    <row r="27" spans="1:3">
      <c r="A27" s="7" t="s">
        <v>43</v>
      </c>
      <c r="B27" s="8">
        <v>138</v>
      </c>
      <c r="C27" s="8">
        <v>12</v>
      </c>
    </row>
    <row r="28" spans="1:3">
      <c r="A28" s="7" t="s">
        <v>69</v>
      </c>
      <c r="B28" s="8">
        <v>12</v>
      </c>
      <c r="C28" s="8">
        <v>12</v>
      </c>
    </row>
    <row r="29" spans="1:3">
      <c r="A29" s="7" t="s">
        <v>59</v>
      </c>
      <c r="B29" s="8">
        <v>9</v>
      </c>
      <c r="C29" s="8">
        <v>9</v>
      </c>
    </row>
    <row r="30" spans="1:3">
      <c r="A30" s="7" t="s">
        <v>220</v>
      </c>
      <c r="B30" s="8">
        <v>8</v>
      </c>
      <c r="C30" s="8">
        <v>8</v>
      </c>
    </row>
    <row r="31" spans="1:3">
      <c r="A31" s="7" t="s">
        <v>80</v>
      </c>
      <c r="B31" s="8">
        <v>7</v>
      </c>
      <c r="C31" s="8">
        <v>7</v>
      </c>
    </row>
    <row r="32" spans="1:3">
      <c r="A32" s="7" t="s">
        <v>111</v>
      </c>
      <c r="B32" s="8">
        <v>88</v>
      </c>
      <c r="C32" s="8">
        <v>4</v>
      </c>
    </row>
    <row r="33" spans="1:3">
      <c r="A33" s="7" t="s">
        <v>217</v>
      </c>
      <c r="B33" s="8">
        <v>3</v>
      </c>
      <c r="C33" s="8">
        <v>3</v>
      </c>
    </row>
    <row r="34" spans="1:3">
      <c r="A34" s="7" t="s">
        <v>216</v>
      </c>
      <c r="B34" s="8">
        <v>2</v>
      </c>
      <c r="C34" s="8">
        <v>2</v>
      </c>
    </row>
    <row r="35" spans="1:3">
      <c r="A35" s="7" t="s">
        <v>45</v>
      </c>
      <c r="B35" s="8">
        <v>5</v>
      </c>
      <c r="C35" s="8">
        <v>2</v>
      </c>
    </row>
    <row r="36" spans="1:3">
      <c r="A36" s="7" t="s">
        <v>219</v>
      </c>
      <c r="B36" s="8">
        <v>2</v>
      </c>
      <c r="C36" s="8">
        <v>2</v>
      </c>
    </row>
    <row r="37" spans="1:3">
      <c r="A37" s="7" t="s">
        <v>144</v>
      </c>
      <c r="B37" s="8">
        <v>23</v>
      </c>
      <c r="C37" s="8">
        <v>0</v>
      </c>
    </row>
    <row r="38" spans="1:3">
      <c r="A38" s="7" t="s">
        <v>131</v>
      </c>
      <c r="B38" s="8">
        <v>285</v>
      </c>
      <c r="C38" s="8">
        <v>0</v>
      </c>
    </row>
    <row r="39" spans="1:3">
      <c r="A39" s="7" t="s">
        <v>52</v>
      </c>
      <c r="B39" s="8">
        <v>37</v>
      </c>
      <c r="C39" s="8">
        <v>0</v>
      </c>
    </row>
    <row r="40" spans="1:3">
      <c r="A40" s="7" t="s">
        <v>51</v>
      </c>
      <c r="B40" s="8">
        <v>27</v>
      </c>
      <c r="C40" s="8">
        <v>0</v>
      </c>
    </row>
    <row r="41" spans="1:3">
      <c r="A41" s="7" t="s">
        <v>143</v>
      </c>
      <c r="B41" s="8">
        <v>46</v>
      </c>
      <c r="C41" s="8">
        <v>0</v>
      </c>
    </row>
    <row r="42" spans="1:3">
      <c r="A42" s="7" t="s">
        <v>54</v>
      </c>
      <c r="B42" s="8">
        <v>1</v>
      </c>
      <c r="C42" s="8">
        <v>0</v>
      </c>
    </row>
    <row r="43" spans="1:3">
      <c r="A43" s="7" t="s">
        <v>104</v>
      </c>
      <c r="B43" s="8">
        <v>13</v>
      </c>
      <c r="C43" s="8">
        <v>0</v>
      </c>
    </row>
    <row r="44" spans="1:3">
      <c r="A44" s="7" t="s">
        <v>99</v>
      </c>
      <c r="B44" s="8">
        <v>268</v>
      </c>
      <c r="C44" s="8">
        <v>0</v>
      </c>
    </row>
    <row r="45" spans="1:3">
      <c r="A45" s="7" t="s">
        <v>49</v>
      </c>
      <c r="B45" s="8">
        <v>11</v>
      </c>
      <c r="C45" s="8">
        <v>0</v>
      </c>
    </row>
    <row r="46" spans="1:3">
      <c r="A46" s="7" t="s">
        <v>64</v>
      </c>
      <c r="B46" s="8">
        <v>17</v>
      </c>
      <c r="C46" s="8">
        <v>0</v>
      </c>
    </row>
    <row r="47" spans="1:3">
      <c r="A47" s="7" t="s">
        <v>102</v>
      </c>
      <c r="B47" s="8">
        <v>13</v>
      </c>
      <c r="C47" s="8">
        <v>0</v>
      </c>
    </row>
    <row r="48" spans="1:3">
      <c r="A48" s="7" t="s">
        <v>101</v>
      </c>
      <c r="B48" s="8">
        <v>28</v>
      </c>
      <c r="C48" s="8">
        <v>0</v>
      </c>
    </row>
    <row r="49" spans="1:3">
      <c r="A49" s="7" t="s">
        <v>115</v>
      </c>
      <c r="B49" s="8">
        <v>7857</v>
      </c>
      <c r="C49" s="8">
        <v>1517</v>
      </c>
    </row>
  </sheetData>
  <pageMargins left="0.7" right="0.7" top="0.75" bottom="0.75" header="0.3" footer="0.3"/>
  <pageSetup paperSize="9" orientation="portrait" horizontalDpi="4294967295" verticalDpi="4294967295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8"/>
  <sheetViews>
    <sheetView topLeftCell="A43" workbookViewId="0">
      <selection activeCell="A69" sqref="A69"/>
    </sheetView>
  </sheetViews>
  <sheetFormatPr defaultRowHeight="15"/>
  <cols>
    <col min="1" max="1" width="22.42578125" bestFit="1" customWidth="1"/>
    <col min="2" max="2" width="23.5703125" customWidth="1"/>
    <col min="3" max="3" width="24.7109375" customWidth="1"/>
    <col min="4" max="7" width="2" bestFit="1" customWidth="1"/>
    <col min="8" max="17" width="3" bestFit="1" customWidth="1"/>
    <col min="18" max="38" width="4" bestFit="1" customWidth="1"/>
    <col min="39" max="39" width="7.28515625" bestFit="1" customWidth="1"/>
    <col min="40" max="40" width="11.28515625" bestFit="1" customWidth="1"/>
  </cols>
  <sheetData>
    <row r="1" spans="1:3">
      <c r="A1" s="6" t="s">
        <v>114</v>
      </c>
      <c r="B1" t="s">
        <v>117</v>
      </c>
      <c r="C1" t="s">
        <v>116</v>
      </c>
    </row>
    <row r="2" spans="1:3">
      <c r="A2" s="7" t="s">
        <v>8</v>
      </c>
      <c r="B2" s="8">
        <v>4182</v>
      </c>
      <c r="C2" s="8">
        <v>903</v>
      </c>
    </row>
    <row r="3" spans="1:3">
      <c r="A3" s="7" t="s">
        <v>14</v>
      </c>
      <c r="B3" s="8">
        <v>1068</v>
      </c>
      <c r="C3" s="8">
        <v>655</v>
      </c>
    </row>
    <row r="4" spans="1:3">
      <c r="A4" s="7" t="s">
        <v>19</v>
      </c>
      <c r="B4" s="8">
        <v>2435</v>
      </c>
      <c r="C4" s="8">
        <v>613</v>
      </c>
    </row>
    <row r="5" spans="1:3">
      <c r="A5" s="7" t="s">
        <v>211</v>
      </c>
      <c r="B5" s="8">
        <v>516</v>
      </c>
      <c r="C5" s="8">
        <v>516</v>
      </c>
    </row>
    <row r="6" spans="1:3">
      <c r="A6" s="7" t="s">
        <v>18</v>
      </c>
      <c r="B6" s="8">
        <v>762</v>
      </c>
      <c r="C6" s="8">
        <v>515</v>
      </c>
    </row>
    <row r="7" spans="1:3">
      <c r="A7" s="7" t="s">
        <v>17</v>
      </c>
      <c r="B7" s="8">
        <v>759</v>
      </c>
      <c r="C7" s="8">
        <v>468</v>
      </c>
    </row>
    <row r="8" spans="1:3">
      <c r="A8" s="7" t="s">
        <v>23</v>
      </c>
      <c r="B8" s="8">
        <v>1991</v>
      </c>
      <c r="C8" s="8">
        <v>466</v>
      </c>
    </row>
    <row r="9" spans="1:3">
      <c r="A9" s="7" t="s">
        <v>215</v>
      </c>
      <c r="B9" s="8">
        <v>437</v>
      </c>
      <c r="C9" s="8">
        <v>437</v>
      </c>
    </row>
    <row r="10" spans="1:3">
      <c r="A10" s="7" t="s">
        <v>20</v>
      </c>
      <c r="B10" s="8">
        <v>1973</v>
      </c>
      <c r="C10" s="8">
        <v>425</v>
      </c>
    </row>
    <row r="11" spans="1:3">
      <c r="A11" s="7" t="s">
        <v>21</v>
      </c>
      <c r="B11" s="8">
        <v>1349</v>
      </c>
      <c r="C11" s="8">
        <v>424</v>
      </c>
    </row>
    <row r="12" spans="1:3">
      <c r="A12" s="7" t="s">
        <v>69</v>
      </c>
      <c r="B12" s="8">
        <v>355</v>
      </c>
      <c r="C12" s="8">
        <v>355</v>
      </c>
    </row>
    <row r="13" spans="1:3">
      <c r="A13" s="7" t="s">
        <v>11</v>
      </c>
      <c r="B13" s="8">
        <v>3100</v>
      </c>
      <c r="C13" s="8">
        <v>349</v>
      </c>
    </row>
    <row r="14" spans="1:3">
      <c r="A14" s="7" t="s">
        <v>34</v>
      </c>
      <c r="B14" s="8">
        <v>1744</v>
      </c>
      <c r="C14" s="8">
        <v>321</v>
      </c>
    </row>
    <row r="15" spans="1:3">
      <c r="A15" s="7" t="s">
        <v>112</v>
      </c>
      <c r="B15" s="8">
        <v>1048</v>
      </c>
      <c r="C15" s="8">
        <v>290</v>
      </c>
    </row>
    <row r="16" spans="1:3">
      <c r="A16" s="7" t="s">
        <v>29</v>
      </c>
      <c r="B16" s="8">
        <v>389</v>
      </c>
      <c r="C16" s="8">
        <v>269</v>
      </c>
    </row>
    <row r="17" spans="1:3">
      <c r="A17" s="7" t="s">
        <v>32</v>
      </c>
      <c r="B17" s="8">
        <v>1211</v>
      </c>
      <c r="C17" s="8">
        <v>248</v>
      </c>
    </row>
    <row r="18" spans="1:3">
      <c r="A18" s="7" t="s">
        <v>30</v>
      </c>
      <c r="B18" s="8">
        <v>689</v>
      </c>
      <c r="C18" s="8">
        <v>220</v>
      </c>
    </row>
    <row r="19" spans="1:3">
      <c r="A19" s="7" t="s">
        <v>36</v>
      </c>
      <c r="B19" s="8">
        <v>544</v>
      </c>
      <c r="C19" s="8">
        <v>213</v>
      </c>
    </row>
    <row r="20" spans="1:3">
      <c r="A20" s="7" t="s">
        <v>44</v>
      </c>
      <c r="B20" s="8">
        <v>1007</v>
      </c>
      <c r="C20" s="8">
        <v>194</v>
      </c>
    </row>
    <row r="21" spans="1:3">
      <c r="A21" s="7" t="s">
        <v>37</v>
      </c>
      <c r="B21" s="8">
        <v>526</v>
      </c>
      <c r="C21" s="8">
        <v>192</v>
      </c>
    </row>
    <row r="22" spans="1:3">
      <c r="A22" s="7" t="s">
        <v>27</v>
      </c>
      <c r="B22" s="8">
        <v>1634</v>
      </c>
      <c r="C22" s="8">
        <v>191</v>
      </c>
    </row>
    <row r="23" spans="1:3">
      <c r="A23" s="7" t="s">
        <v>50</v>
      </c>
      <c r="B23" s="8">
        <v>193</v>
      </c>
      <c r="C23" s="8">
        <v>138</v>
      </c>
    </row>
    <row r="24" spans="1:3">
      <c r="A24" s="7" t="s">
        <v>43</v>
      </c>
      <c r="B24" s="8">
        <v>351</v>
      </c>
      <c r="C24" s="8">
        <v>122</v>
      </c>
    </row>
    <row r="25" spans="1:3">
      <c r="A25" s="7" t="s">
        <v>24</v>
      </c>
      <c r="B25" s="8">
        <v>664</v>
      </c>
      <c r="C25" s="8">
        <v>114</v>
      </c>
    </row>
    <row r="26" spans="1:3">
      <c r="A26" s="7" t="s">
        <v>38</v>
      </c>
      <c r="B26" s="8">
        <v>1047</v>
      </c>
      <c r="C26" s="8">
        <v>99</v>
      </c>
    </row>
    <row r="27" spans="1:3">
      <c r="A27" s="7" t="s">
        <v>111</v>
      </c>
      <c r="B27" s="8">
        <v>1602</v>
      </c>
      <c r="C27" s="8">
        <v>81</v>
      </c>
    </row>
    <row r="28" spans="1:3">
      <c r="A28" s="7" t="s">
        <v>232</v>
      </c>
      <c r="B28" s="8">
        <v>50</v>
      </c>
      <c r="C28" s="8">
        <v>50</v>
      </c>
    </row>
    <row r="29" spans="1:3">
      <c r="A29" s="7" t="s">
        <v>217</v>
      </c>
      <c r="B29" s="8">
        <v>45</v>
      </c>
      <c r="C29" s="8">
        <v>45</v>
      </c>
    </row>
    <row r="30" spans="1:3">
      <c r="A30" s="7" t="s">
        <v>214</v>
      </c>
      <c r="B30" s="8">
        <v>44</v>
      </c>
      <c r="C30" s="8">
        <v>44</v>
      </c>
    </row>
    <row r="31" spans="1:3">
      <c r="A31" s="7" t="s">
        <v>80</v>
      </c>
      <c r="B31" s="8">
        <v>34</v>
      </c>
      <c r="C31" s="8">
        <v>34</v>
      </c>
    </row>
    <row r="32" spans="1:3">
      <c r="A32" s="7" t="s">
        <v>220</v>
      </c>
      <c r="B32" s="8">
        <v>28</v>
      </c>
      <c r="C32" s="8">
        <v>28</v>
      </c>
    </row>
    <row r="33" spans="1:3">
      <c r="A33" s="7" t="s">
        <v>45</v>
      </c>
      <c r="B33" s="8">
        <v>226</v>
      </c>
      <c r="C33" s="8">
        <v>27</v>
      </c>
    </row>
    <row r="34" spans="1:3">
      <c r="A34" s="7" t="s">
        <v>208</v>
      </c>
      <c r="B34" s="8">
        <v>24</v>
      </c>
      <c r="C34" s="8">
        <v>24</v>
      </c>
    </row>
    <row r="35" spans="1:3">
      <c r="A35" s="7" t="s">
        <v>219</v>
      </c>
      <c r="B35" s="8">
        <v>14</v>
      </c>
      <c r="C35" s="8">
        <v>14</v>
      </c>
    </row>
    <row r="36" spans="1:3">
      <c r="A36" s="7" t="s">
        <v>221</v>
      </c>
      <c r="B36" s="8">
        <v>7</v>
      </c>
      <c r="C36" s="8">
        <v>7</v>
      </c>
    </row>
    <row r="37" spans="1:3">
      <c r="A37" s="7" t="s">
        <v>52</v>
      </c>
      <c r="B37" s="8">
        <v>317</v>
      </c>
      <c r="C37" s="8">
        <v>4</v>
      </c>
    </row>
    <row r="38" spans="1:3">
      <c r="A38" s="7" t="s">
        <v>235</v>
      </c>
      <c r="B38" s="8">
        <v>4</v>
      </c>
      <c r="C38" s="8">
        <v>4</v>
      </c>
    </row>
    <row r="39" spans="1:3">
      <c r="A39" s="7" t="s">
        <v>237</v>
      </c>
      <c r="B39" s="8">
        <v>3</v>
      </c>
      <c r="C39" s="8">
        <v>3</v>
      </c>
    </row>
    <row r="40" spans="1:3">
      <c r="A40" s="7" t="s">
        <v>64</v>
      </c>
      <c r="B40" s="8">
        <v>81</v>
      </c>
      <c r="C40" s="8">
        <v>3</v>
      </c>
    </row>
    <row r="41" spans="1:3">
      <c r="A41" s="7" t="s">
        <v>240</v>
      </c>
      <c r="B41" s="8">
        <v>1</v>
      </c>
      <c r="C41" s="8">
        <v>1</v>
      </c>
    </row>
    <row r="42" spans="1:3">
      <c r="A42" s="7" t="s">
        <v>243</v>
      </c>
      <c r="B42" s="8">
        <v>1</v>
      </c>
      <c r="C42" s="8">
        <v>1</v>
      </c>
    </row>
    <row r="43" spans="1:3">
      <c r="A43" s="7" t="s">
        <v>83</v>
      </c>
      <c r="B43" s="8">
        <v>1</v>
      </c>
      <c r="C43" s="8">
        <v>0</v>
      </c>
    </row>
    <row r="44" spans="1:3">
      <c r="A44" s="7" t="s">
        <v>95</v>
      </c>
      <c r="B44" s="8">
        <v>93</v>
      </c>
      <c r="C44" s="8">
        <v>0</v>
      </c>
    </row>
    <row r="45" spans="1:3">
      <c r="A45" s="7" t="s">
        <v>93</v>
      </c>
      <c r="B45" s="8">
        <v>346</v>
      </c>
      <c r="C45" s="8">
        <v>0</v>
      </c>
    </row>
    <row r="46" spans="1:3">
      <c r="A46" s="7" t="s">
        <v>101</v>
      </c>
      <c r="B46" s="8">
        <v>480</v>
      </c>
      <c r="C46" s="8">
        <v>0</v>
      </c>
    </row>
    <row r="47" spans="1:3">
      <c r="A47" s="7" t="s">
        <v>105</v>
      </c>
      <c r="B47" s="8">
        <v>7</v>
      </c>
      <c r="C47" s="8">
        <v>0</v>
      </c>
    </row>
    <row r="48" spans="1:3">
      <c r="A48" s="7" t="s">
        <v>90</v>
      </c>
      <c r="B48" s="8">
        <v>66</v>
      </c>
      <c r="C48" s="8">
        <v>0</v>
      </c>
    </row>
    <row r="49" spans="1:3">
      <c r="A49" s="7" t="s">
        <v>104</v>
      </c>
      <c r="B49" s="8">
        <v>86</v>
      </c>
      <c r="C49" s="8">
        <v>0</v>
      </c>
    </row>
    <row r="50" spans="1:3">
      <c r="A50" s="7" t="s">
        <v>55</v>
      </c>
      <c r="B50" s="8">
        <v>18</v>
      </c>
      <c r="C50" s="8">
        <v>0</v>
      </c>
    </row>
    <row r="51" spans="1:3">
      <c r="A51" s="7" t="s">
        <v>54</v>
      </c>
      <c r="B51" s="8">
        <v>208</v>
      </c>
      <c r="C51" s="8">
        <v>0</v>
      </c>
    </row>
    <row r="52" spans="1:3">
      <c r="A52" s="7" t="s">
        <v>65</v>
      </c>
      <c r="B52" s="8">
        <v>6</v>
      </c>
      <c r="C52" s="8">
        <v>0</v>
      </c>
    </row>
    <row r="53" spans="1:3">
      <c r="A53" s="7" t="s">
        <v>103</v>
      </c>
      <c r="B53" s="8">
        <v>1</v>
      </c>
      <c r="C53" s="8">
        <v>0</v>
      </c>
    </row>
    <row r="54" spans="1:3">
      <c r="A54" s="7" t="s">
        <v>76</v>
      </c>
      <c r="B54" s="8">
        <v>2</v>
      </c>
      <c r="C54" s="8">
        <v>0</v>
      </c>
    </row>
    <row r="55" spans="1:3">
      <c r="A55" s="7" t="s">
        <v>51</v>
      </c>
      <c r="B55" s="8">
        <v>95</v>
      </c>
      <c r="C55" s="8">
        <v>0</v>
      </c>
    </row>
    <row r="56" spans="1:3">
      <c r="A56" s="7" t="s">
        <v>61</v>
      </c>
      <c r="B56" s="8">
        <v>13</v>
      </c>
      <c r="C56" s="8">
        <v>0</v>
      </c>
    </row>
    <row r="57" spans="1:3">
      <c r="A57" s="7" t="s">
        <v>98</v>
      </c>
      <c r="B57" s="8">
        <v>75</v>
      </c>
      <c r="C57" s="8">
        <v>0</v>
      </c>
    </row>
    <row r="58" spans="1:3">
      <c r="A58" s="7" t="s">
        <v>99</v>
      </c>
      <c r="B58" s="8">
        <v>2892</v>
      </c>
      <c r="C58" s="8">
        <v>0</v>
      </c>
    </row>
    <row r="59" spans="1:3">
      <c r="A59" s="7" t="s">
        <v>91</v>
      </c>
      <c r="B59" s="8">
        <v>150</v>
      </c>
      <c r="C59" s="8">
        <v>0</v>
      </c>
    </row>
    <row r="60" spans="1:3">
      <c r="A60" s="7" t="s">
        <v>179</v>
      </c>
      <c r="B60" s="8"/>
      <c r="C60" s="8"/>
    </row>
    <row r="61" spans="1:3">
      <c r="A61" s="7" t="s">
        <v>77</v>
      </c>
      <c r="B61" s="8">
        <v>140</v>
      </c>
      <c r="C61" s="8">
        <v>0</v>
      </c>
    </row>
    <row r="62" spans="1:3">
      <c r="A62" s="7" t="s">
        <v>131</v>
      </c>
      <c r="B62" s="8">
        <v>382</v>
      </c>
      <c r="C62" s="8">
        <v>0</v>
      </c>
    </row>
    <row r="63" spans="1:3">
      <c r="A63" s="7" t="s">
        <v>89</v>
      </c>
      <c r="B63" s="8">
        <v>7</v>
      </c>
      <c r="C63" s="8">
        <v>0</v>
      </c>
    </row>
    <row r="64" spans="1:3">
      <c r="A64" s="7" t="s">
        <v>102</v>
      </c>
      <c r="B64" s="8">
        <v>234</v>
      </c>
      <c r="C64" s="8">
        <v>0</v>
      </c>
    </row>
    <row r="65" spans="1:3">
      <c r="A65" s="7" t="s">
        <v>63</v>
      </c>
      <c r="B65" s="8">
        <v>5</v>
      </c>
      <c r="C65" s="8">
        <v>0</v>
      </c>
    </row>
    <row r="66" spans="1:3">
      <c r="A66" s="7" t="s">
        <v>143</v>
      </c>
      <c r="B66" s="8">
        <v>222</v>
      </c>
      <c r="C66" s="8">
        <v>0</v>
      </c>
    </row>
    <row r="67" spans="1:3">
      <c r="A67" s="7" t="s">
        <v>49</v>
      </c>
      <c r="B67" s="8">
        <v>245</v>
      </c>
      <c r="C67" s="8">
        <v>0</v>
      </c>
    </row>
    <row r="68" spans="1:3">
      <c r="A68" s="7" t="s">
        <v>115</v>
      </c>
      <c r="B68" s="8">
        <v>38229</v>
      </c>
      <c r="C68" s="8">
        <v>9107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858"/>
  <sheetViews>
    <sheetView workbookViewId="0">
      <selection activeCell="I7041" sqref="I7041"/>
    </sheetView>
  </sheetViews>
  <sheetFormatPr defaultRowHeight="15"/>
  <cols>
    <col min="7" max="7" width="15.85546875" bestFit="1" customWidth="1"/>
  </cols>
  <sheetData>
    <row r="1" spans="1:7">
      <c r="A1" t="s">
        <v>175</v>
      </c>
      <c r="B1" t="s">
        <v>174</v>
      </c>
      <c r="C1" t="s">
        <v>173</v>
      </c>
      <c r="D1" t="s">
        <v>172</v>
      </c>
      <c r="E1" t="s">
        <v>171</v>
      </c>
      <c r="F1" t="s">
        <v>177</v>
      </c>
      <c r="G1" t="s">
        <v>178</v>
      </c>
    </row>
    <row r="2" spans="1:7">
      <c r="A2">
        <v>45</v>
      </c>
      <c r="B2" t="s">
        <v>11</v>
      </c>
      <c r="C2" t="s">
        <v>169</v>
      </c>
      <c r="D2" s="9">
        <v>39392.683055555557</v>
      </c>
      <c r="F2">
        <f ca="1">YEARFRAC(TODAY(),$D2)</f>
        <v>7.2305555555555552</v>
      </c>
      <c r="G2">
        <f ca="1">IF($F2&lt;1,1,0)</f>
        <v>0</v>
      </c>
    </row>
    <row r="3" spans="1:7">
      <c r="A3">
        <v>53</v>
      </c>
      <c r="B3" t="s">
        <v>91</v>
      </c>
      <c r="C3" t="s">
        <v>156</v>
      </c>
      <c r="D3" s="9">
        <v>39608.712453703702</v>
      </c>
      <c r="F3">
        <f t="shared" ref="F3:F66" ca="1" si="0">YEARFRAC(TODAY(),$D3)</f>
        <v>6.6388888888888893</v>
      </c>
      <c r="G3">
        <f t="shared" ref="G3:G66" ca="1" si="1">IF($F3&lt;1,1,0)</f>
        <v>0</v>
      </c>
    </row>
    <row r="4" spans="1:7">
      <c r="A4">
        <v>62</v>
      </c>
      <c r="B4" t="s">
        <v>112</v>
      </c>
      <c r="C4" t="s">
        <v>169</v>
      </c>
      <c r="D4" s="9">
        <v>39412.609201388892</v>
      </c>
      <c r="F4">
        <f t="shared" ca="1" si="0"/>
        <v>7.1749999999999998</v>
      </c>
      <c r="G4">
        <f t="shared" ca="1" si="1"/>
        <v>0</v>
      </c>
    </row>
    <row r="5" spans="1:7">
      <c r="A5">
        <v>64</v>
      </c>
      <c r="B5" t="s">
        <v>11</v>
      </c>
      <c r="C5" t="s">
        <v>154</v>
      </c>
      <c r="D5" s="9">
        <v>39644.398692129631</v>
      </c>
      <c r="F5">
        <f t="shared" ca="1" si="0"/>
        <v>6.5388888888888888</v>
      </c>
      <c r="G5">
        <f t="shared" ca="1" si="1"/>
        <v>0</v>
      </c>
    </row>
    <row r="6" spans="1:7">
      <c r="A6">
        <v>130</v>
      </c>
      <c r="B6" t="s">
        <v>91</v>
      </c>
      <c r="C6" t="s">
        <v>156</v>
      </c>
      <c r="D6" s="9">
        <v>39608.713101851848</v>
      </c>
      <c r="F6">
        <f t="shared" ca="1" si="0"/>
        <v>6.6388888888888893</v>
      </c>
      <c r="G6">
        <f t="shared" ca="1" si="1"/>
        <v>0</v>
      </c>
    </row>
    <row r="7" spans="1:7">
      <c r="A7">
        <v>377</v>
      </c>
      <c r="B7" t="s">
        <v>8</v>
      </c>
      <c r="C7" t="s">
        <v>150</v>
      </c>
      <c r="D7" s="9">
        <v>39843.572210648148</v>
      </c>
      <c r="F7">
        <f t="shared" ca="1" si="0"/>
        <v>5.9972222222222218</v>
      </c>
      <c r="G7">
        <f t="shared" ca="1" si="1"/>
        <v>0</v>
      </c>
    </row>
    <row r="8" spans="1:7">
      <c r="A8">
        <v>508</v>
      </c>
      <c r="B8" t="s">
        <v>11</v>
      </c>
      <c r="C8" t="s">
        <v>148</v>
      </c>
      <c r="D8" s="9">
        <v>39955.446747685186</v>
      </c>
      <c r="F8">
        <f t="shared" ca="1" si="0"/>
        <v>5.6861111111111109</v>
      </c>
      <c r="G8">
        <f t="shared" ca="1" si="1"/>
        <v>0</v>
      </c>
    </row>
    <row r="9" spans="1:7">
      <c r="A9">
        <v>519</v>
      </c>
      <c r="B9" t="s">
        <v>8</v>
      </c>
      <c r="C9" t="s">
        <v>149</v>
      </c>
      <c r="D9" s="9">
        <v>39895.461076388892</v>
      </c>
      <c r="F9">
        <f t="shared" ca="1" si="0"/>
        <v>5.85</v>
      </c>
      <c r="G9">
        <f t="shared" ca="1" si="1"/>
        <v>0</v>
      </c>
    </row>
    <row r="10" spans="1:7">
      <c r="A10">
        <v>547</v>
      </c>
      <c r="B10" t="s">
        <v>34</v>
      </c>
      <c r="C10" t="s">
        <v>148</v>
      </c>
      <c r="D10" s="9">
        <v>39923.651805555557</v>
      </c>
      <c r="F10">
        <f t="shared" ca="1" si="0"/>
        <v>5.7750000000000004</v>
      </c>
      <c r="G10">
        <f t="shared" ca="1" si="1"/>
        <v>0</v>
      </c>
    </row>
    <row r="11" spans="1:7">
      <c r="A11">
        <v>571</v>
      </c>
      <c r="B11" t="s">
        <v>8</v>
      </c>
      <c r="C11" t="s">
        <v>148</v>
      </c>
      <c r="D11" s="9">
        <v>39930.409537037034</v>
      </c>
      <c r="F11">
        <f t="shared" ca="1" si="0"/>
        <v>5.7555555555555555</v>
      </c>
      <c r="G11">
        <f t="shared" ca="1" si="1"/>
        <v>0</v>
      </c>
    </row>
    <row r="12" spans="1:7">
      <c r="A12">
        <v>577</v>
      </c>
      <c r="B12" t="s">
        <v>34</v>
      </c>
      <c r="C12" t="s">
        <v>147</v>
      </c>
      <c r="D12" s="9">
        <v>39976.357858796298</v>
      </c>
      <c r="F12">
        <f t="shared" ca="1" si="0"/>
        <v>5.6305555555555555</v>
      </c>
      <c r="G12">
        <f t="shared" ca="1" si="1"/>
        <v>0</v>
      </c>
    </row>
    <row r="13" spans="1:7">
      <c r="A13">
        <v>615</v>
      </c>
      <c r="B13" t="s">
        <v>34</v>
      </c>
      <c r="C13" t="s">
        <v>147</v>
      </c>
      <c r="D13" s="9">
        <v>39976.358206018522</v>
      </c>
      <c r="F13">
        <f t="shared" ca="1" si="0"/>
        <v>5.6305555555555555</v>
      </c>
      <c r="G13">
        <f t="shared" ca="1" si="1"/>
        <v>0</v>
      </c>
    </row>
    <row r="14" spans="1:7">
      <c r="A14">
        <v>627</v>
      </c>
      <c r="B14" t="s">
        <v>8</v>
      </c>
      <c r="C14" t="s">
        <v>147</v>
      </c>
      <c r="D14" s="9">
        <v>39980.403946759259</v>
      </c>
      <c r="F14">
        <f t="shared" ca="1" si="0"/>
        <v>5.6194444444444445</v>
      </c>
      <c r="G14">
        <f t="shared" ca="1" si="1"/>
        <v>0</v>
      </c>
    </row>
    <row r="15" spans="1:7">
      <c r="A15">
        <v>634</v>
      </c>
      <c r="B15" t="s">
        <v>11</v>
      </c>
      <c r="C15" t="s">
        <v>147</v>
      </c>
      <c r="D15" s="9">
        <v>39974.657129629632</v>
      </c>
      <c r="F15">
        <f t="shared" ca="1" si="0"/>
        <v>5.6361111111111111</v>
      </c>
      <c r="G15">
        <f t="shared" ca="1" si="1"/>
        <v>0</v>
      </c>
    </row>
    <row r="16" spans="1:7">
      <c r="A16">
        <v>719</v>
      </c>
      <c r="B16" t="s">
        <v>102</v>
      </c>
      <c r="C16" t="s">
        <v>147</v>
      </c>
      <c r="D16" s="9">
        <v>39996.539861111109</v>
      </c>
      <c r="F16">
        <f t="shared" ca="1" si="0"/>
        <v>5.5750000000000002</v>
      </c>
      <c r="G16">
        <f t="shared" ca="1" si="1"/>
        <v>0</v>
      </c>
    </row>
    <row r="17" spans="1:7">
      <c r="A17">
        <v>959</v>
      </c>
      <c r="B17" t="s">
        <v>34</v>
      </c>
      <c r="C17" t="s">
        <v>138</v>
      </c>
      <c r="D17" s="9">
        <v>40123.599027777775</v>
      </c>
      <c r="F17">
        <f t="shared" ca="1" si="0"/>
        <v>5.2305555555555552</v>
      </c>
      <c r="G17">
        <f t="shared" ca="1" si="1"/>
        <v>0</v>
      </c>
    </row>
    <row r="18" spans="1:7">
      <c r="A18">
        <v>963</v>
      </c>
      <c r="B18" t="s">
        <v>44</v>
      </c>
      <c r="C18" t="s">
        <v>145</v>
      </c>
      <c r="D18" s="9">
        <v>40148.577326388891</v>
      </c>
      <c r="F18">
        <f t="shared" ca="1" si="0"/>
        <v>5.1611111111111114</v>
      </c>
      <c r="G18">
        <f t="shared" ca="1" si="1"/>
        <v>0</v>
      </c>
    </row>
    <row r="19" spans="1:7">
      <c r="A19">
        <v>970</v>
      </c>
      <c r="B19" t="s">
        <v>8</v>
      </c>
      <c r="C19" t="s">
        <v>122</v>
      </c>
      <c r="D19" s="9">
        <v>41416.489988425928</v>
      </c>
      <c r="E19" t="s">
        <v>34</v>
      </c>
      <c r="F19">
        <f t="shared" ca="1" si="0"/>
        <v>1.6861111111111111</v>
      </c>
      <c r="G19">
        <f t="shared" ca="1" si="1"/>
        <v>0</v>
      </c>
    </row>
    <row r="20" spans="1:7">
      <c r="A20">
        <v>977</v>
      </c>
      <c r="B20" t="s">
        <v>8</v>
      </c>
      <c r="C20" t="s">
        <v>138</v>
      </c>
      <c r="D20" s="9">
        <v>41827.561099537037</v>
      </c>
      <c r="F20">
        <f t="shared" ca="1" si="0"/>
        <v>0.56111111111111112</v>
      </c>
      <c r="G20">
        <f t="shared" ca="1" si="1"/>
        <v>1</v>
      </c>
    </row>
    <row r="21" spans="1:7">
      <c r="A21">
        <v>1009</v>
      </c>
      <c r="B21" t="s">
        <v>34</v>
      </c>
      <c r="C21" t="s">
        <v>145</v>
      </c>
      <c r="D21" s="9">
        <v>40213.713078703702</v>
      </c>
      <c r="F21">
        <f t="shared" ca="1" si="0"/>
        <v>4.9861111111111107</v>
      </c>
      <c r="G21">
        <f t="shared" ca="1" si="1"/>
        <v>0</v>
      </c>
    </row>
    <row r="22" spans="1:7">
      <c r="A22">
        <v>1010</v>
      </c>
      <c r="B22" t="s">
        <v>34</v>
      </c>
      <c r="C22" t="s">
        <v>138</v>
      </c>
      <c r="D22" s="9">
        <v>40142.439201388886</v>
      </c>
      <c r="F22">
        <f t="shared" ca="1" si="0"/>
        <v>5.177777777777778</v>
      </c>
      <c r="G22">
        <f t="shared" ca="1" si="1"/>
        <v>0</v>
      </c>
    </row>
    <row r="23" spans="1:7">
      <c r="A23">
        <v>1015</v>
      </c>
      <c r="B23" t="s">
        <v>11</v>
      </c>
      <c r="C23" t="s">
        <v>138</v>
      </c>
      <c r="D23" s="9">
        <v>40142.576388888891</v>
      </c>
      <c r="F23">
        <f t="shared" ca="1" si="0"/>
        <v>5.177777777777778</v>
      </c>
      <c r="G23">
        <f t="shared" ca="1" si="1"/>
        <v>0</v>
      </c>
    </row>
    <row r="24" spans="1:7">
      <c r="A24">
        <v>1022</v>
      </c>
      <c r="B24" t="s">
        <v>11</v>
      </c>
      <c r="C24" t="s">
        <v>138</v>
      </c>
      <c r="D24" s="9">
        <v>40143.551736111112</v>
      </c>
      <c r="F24">
        <f t="shared" ca="1" si="0"/>
        <v>5.1749999999999998</v>
      </c>
      <c r="G24">
        <f t="shared" ca="1" si="1"/>
        <v>0</v>
      </c>
    </row>
    <row r="25" spans="1:7">
      <c r="A25">
        <v>1081</v>
      </c>
      <c r="B25" t="s">
        <v>11</v>
      </c>
      <c r="C25" t="s">
        <v>145</v>
      </c>
      <c r="D25" s="9">
        <v>40213.624409722222</v>
      </c>
      <c r="F25">
        <f t="shared" ca="1" si="0"/>
        <v>4.9861111111111107</v>
      </c>
      <c r="G25">
        <f t="shared" ca="1" si="1"/>
        <v>0</v>
      </c>
    </row>
    <row r="26" spans="1:7">
      <c r="A26">
        <v>1086</v>
      </c>
      <c r="B26" t="s">
        <v>11</v>
      </c>
      <c r="C26" t="s">
        <v>145</v>
      </c>
      <c r="D26" s="9">
        <v>40217.690023148149</v>
      </c>
      <c r="F26">
        <f t="shared" ca="1" si="0"/>
        <v>4.9749999999999996</v>
      </c>
      <c r="G26">
        <f t="shared" ca="1" si="1"/>
        <v>0</v>
      </c>
    </row>
    <row r="27" spans="1:7">
      <c r="A27">
        <v>1105</v>
      </c>
      <c r="B27" t="s">
        <v>34</v>
      </c>
      <c r="C27" t="s">
        <v>145</v>
      </c>
      <c r="D27" s="9">
        <v>40218.422025462962</v>
      </c>
      <c r="F27">
        <f t="shared" ca="1" si="0"/>
        <v>4.9722222222222223</v>
      </c>
      <c r="G27">
        <f t="shared" ca="1" si="1"/>
        <v>0</v>
      </c>
    </row>
    <row r="28" spans="1:7">
      <c r="A28">
        <v>1106</v>
      </c>
      <c r="B28" t="s">
        <v>11</v>
      </c>
      <c r="C28" t="s">
        <v>145</v>
      </c>
      <c r="D28" s="9">
        <v>40217.687789351854</v>
      </c>
      <c r="F28">
        <f t="shared" ca="1" si="0"/>
        <v>4.9749999999999996</v>
      </c>
      <c r="G28">
        <f t="shared" ca="1" si="1"/>
        <v>0</v>
      </c>
    </row>
    <row r="29" spans="1:7">
      <c r="A29">
        <v>1145</v>
      </c>
      <c r="B29" t="s">
        <v>34</v>
      </c>
      <c r="C29" t="s">
        <v>135</v>
      </c>
      <c r="D29" s="9">
        <v>40269.45585648148</v>
      </c>
      <c r="F29">
        <f t="shared" ca="1" si="0"/>
        <v>4.8277777777777775</v>
      </c>
      <c r="G29">
        <f t="shared" ca="1" si="1"/>
        <v>0</v>
      </c>
    </row>
    <row r="30" spans="1:7">
      <c r="A30">
        <v>1187</v>
      </c>
      <c r="B30" t="s">
        <v>34</v>
      </c>
      <c r="C30" t="s">
        <v>137</v>
      </c>
      <c r="D30" s="9">
        <v>40338.53638888889</v>
      </c>
      <c r="F30">
        <f t="shared" ca="1" si="0"/>
        <v>4.6388888888888893</v>
      </c>
      <c r="G30">
        <f t="shared" ca="1" si="1"/>
        <v>0</v>
      </c>
    </row>
    <row r="31" spans="1:7">
      <c r="A31">
        <v>1217</v>
      </c>
      <c r="B31" t="s">
        <v>8</v>
      </c>
      <c r="C31" t="s">
        <v>137</v>
      </c>
      <c r="D31" s="9">
        <v>40340.487326388888</v>
      </c>
      <c r="F31">
        <f t="shared" ca="1" si="0"/>
        <v>4.6333333333333337</v>
      </c>
      <c r="G31">
        <f t="shared" ca="1" si="1"/>
        <v>0</v>
      </c>
    </row>
    <row r="32" spans="1:7">
      <c r="A32">
        <v>1285</v>
      </c>
      <c r="B32" t="s">
        <v>34</v>
      </c>
      <c r="C32" t="s">
        <v>137</v>
      </c>
      <c r="D32" s="9">
        <v>40339.704409722224</v>
      </c>
      <c r="F32">
        <f t="shared" ca="1" si="0"/>
        <v>4.6361111111111111</v>
      </c>
      <c r="G32">
        <f t="shared" ca="1" si="1"/>
        <v>0</v>
      </c>
    </row>
    <row r="33" spans="1:7">
      <c r="A33">
        <v>1298</v>
      </c>
      <c r="B33" t="s">
        <v>8</v>
      </c>
      <c r="C33" t="s">
        <v>132</v>
      </c>
      <c r="D33" s="9">
        <v>40659.467048611114</v>
      </c>
      <c r="E33" t="s">
        <v>19</v>
      </c>
      <c r="F33">
        <f t="shared" ca="1" si="0"/>
        <v>3.7583333333333333</v>
      </c>
      <c r="G33">
        <f t="shared" ca="1" si="1"/>
        <v>0</v>
      </c>
    </row>
    <row r="34" spans="1:7">
      <c r="A34">
        <v>1310</v>
      </c>
      <c r="B34" t="s">
        <v>8</v>
      </c>
      <c r="C34" t="s">
        <v>137</v>
      </c>
      <c r="D34" s="9">
        <v>40343.666712962964</v>
      </c>
      <c r="F34">
        <f t="shared" ca="1" si="0"/>
        <v>4.625</v>
      </c>
      <c r="G34">
        <f t="shared" ca="1" si="1"/>
        <v>0</v>
      </c>
    </row>
    <row r="35" spans="1:7">
      <c r="A35">
        <v>1332</v>
      </c>
      <c r="B35" t="s">
        <v>8</v>
      </c>
      <c r="C35" t="s">
        <v>128</v>
      </c>
      <c r="D35" s="9">
        <v>40917.602627314816</v>
      </c>
      <c r="E35" t="s">
        <v>19</v>
      </c>
      <c r="F35">
        <f t="shared" ca="1" si="0"/>
        <v>3.0555555555555554</v>
      </c>
      <c r="G35">
        <f t="shared" ca="1" si="1"/>
        <v>0</v>
      </c>
    </row>
    <row r="36" spans="1:7">
      <c r="A36">
        <v>1354</v>
      </c>
      <c r="B36" t="s">
        <v>101</v>
      </c>
      <c r="C36" t="s">
        <v>136</v>
      </c>
      <c r="D36" s="9">
        <v>40416.762233796297</v>
      </c>
      <c r="E36" t="s">
        <v>20</v>
      </c>
      <c r="F36">
        <f t="shared" ca="1" si="0"/>
        <v>4.4249999999999998</v>
      </c>
      <c r="G36">
        <f t="shared" ca="1" si="1"/>
        <v>0</v>
      </c>
    </row>
    <row r="37" spans="1:7">
      <c r="A37">
        <v>1356</v>
      </c>
      <c r="B37" t="s">
        <v>11</v>
      </c>
      <c r="C37" t="s">
        <v>136</v>
      </c>
      <c r="D37" s="9">
        <v>40414.429409722223</v>
      </c>
      <c r="E37" t="s">
        <v>8</v>
      </c>
      <c r="F37">
        <f t="shared" ca="1" si="0"/>
        <v>4.4305555555555554</v>
      </c>
      <c r="G37">
        <f t="shared" ca="1" si="1"/>
        <v>0</v>
      </c>
    </row>
    <row r="38" spans="1:7">
      <c r="A38">
        <v>1422</v>
      </c>
      <c r="B38" t="s">
        <v>34</v>
      </c>
      <c r="C38" t="s">
        <v>136</v>
      </c>
      <c r="D38" s="9">
        <v>40414.547337962962</v>
      </c>
      <c r="E38" t="s">
        <v>8</v>
      </c>
      <c r="F38">
        <f t="shared" ca="1" si="0"/>
        <v>4.4305555555555554</v>
      </c>
      <c r="G38">
        <f t="shared" ca="1" si="1"/>
        <v>0</v>
      </c>
    </row>
    <row r="39" spans="1:7">
      <c r="A39">
        <v>1533</v>
      </c>
      <c r="B39" t="s">
        <v>8</v>
      </c>
      <c r="C39" t="s">
        <v>136</v>
      </c>
      <c r="D39" s="9">
        <v>40415.780856481484</v>
      </c>
      <c r="E39" t="s">
        <v>27</v>
      </c>
      <c r="F39">
        <f t="shared" ca="1" si="0"/>
        <v>4.427777777777778</v>
      </c>
      <c r="G39">
        <f t="shared" ca="1" si="1"/>
        <v>0</v>
      </c>
    </row>
    <row r="40" spans="1:7">
      <c r="A40">
        <v>1534</v>
      </c>
      <c r="B40" t="s">
        <v>8</v>
      </c>
      <c r="C40" t="s">
        <v>136</v>
      </c>
      <c r="D40" s="9">
        <v>40415.786168981482</v>
      </c>
      <c r="E40" t="s">
        <v>27</v>
      </c>
      <c r="F40">
        <f t="shared" ca="1" si="0"/>
        <v>4.427777777777778</v>
      </c>
      <c r="G40">
        <f t="shared" ca="1" si="1"/>
        <v>0</v>
      </c>
    </row>
    <row r="41" spans="1:7">
      <c r="A41">
        <v>1536</v>
      </c>
      <c r="B41" t="s">
        <v>34</v>
      </c>
      <c r="C41" t="s">
        <v>136</v>
      </c>
      <c r="D41" s="9">
        <v>40417.603472222225</v>
      </c>
      <c r="E41" t="s">
        <v>131</v>
      </c>
      <c r="F41">
        <f t="shared" ca="1" si="0"/>
        <v>4.4222222222222225</v>
      </c>
      <c r="G41">
        <f t="shared" ca="1" si="1"/>
        <v>0</v>
      </c>
    </row>
    <row r="42" spans="1:7">
      <c r="A42">
        <v>1579</v>
      </c>
      <c r="B42" t="s">
        <v>27</v>
      </c>
      <c r="C42" t="s">
        <v>121</v>
      </c>
      <c r="D42" s="9">
        <v>41477.586840277778</v>
      </c>
      <c r="E42" t="s">
        <v>20</v>
      </c>
      <c r="F42">
        <f t="shared" ca="1" si="0"/>
        <v>1.5194444444444444</v>
      </c>
      <c r="G42">
        <f t="shared" ca="1" si="1"/>
        <v>0</v>
      </c>
    </row>
    <row r="43" spans="1:7">
      <c r="A43">
        <v>1675</v>
      </c>
      <c r="B43" t="s">
        <v>101</v>
      </c>
      <c r="C43" t="s">
        <v>134</v>
      </c>
      <c r="D43" s="9">
        <v>40487.487500000003</v>
      </c>
      <c r="E43" t="s">
        <v>131</v>
      </c>
      <c r="F43">
        <f t="shared" ca="1" si="0"/>
        <v>4.2333333333333334</v>
      </c>
      <c r="G43">
        <f t="shared" ca="1" si="1"/>
        <v>0</v>
      </c>
    </row>
    <row r="44" spans="1:7">
      <c r="A44">
        <v>1691</v>
      </c>
      <c r="B44" t="s">
        <v>131</v>
      </c>
      <c r="C44" t="s">
        <v>134</v>
      </c>
      <c r="D44" s="9">
        <v>40485.793773148151</v>
      </c>
      <c r="E44" t="s">
        <v>11</v>
      </c>
      <c r="F44">
        <f t="shared" ca="1" si="0"/>
        <v>4.2388888888888889</v>
      </c>
      <c r="G44">
        <f t="shared" ca="1" si="1"/>
        <v>0</v>
      </c>
    </row>
    <row r="45" spans="1:7">
      <c r="A45">
        <v>1881</v>
      </c>
      <c r="B45" t="s">
        <v>11</v>
      </c>
      <c r="C45" t="s">
        <v>133</v>
      </c>
      <c r="D45" s="9">
        <v>40588.926435185182</v>
      </c>
      <c r="E45" t="s">
        <v>38</v>
      </c>
      <c r="F45">
        <f t="shared" ca="1" si="0"/>
        <v>3.9583333333333335</v>
      </c>
      <c r="G45">
        <f t="shared" ca="1" si="1"/>
        <v>0</v>
      </c>
    </row>
    <row r="46" spans="1:7">
      <c r="A46">
        <v>1980</v>
      </c>
      <c r="B46" t="s">
        <v>34</v>
      </c>
      <c r="C46" t="s">
        <v>140</v>
      </c>
      <c r="D46" s="9">
        <v>40529.354074074072</v>
      </c>
      <c r="E46" t="s">
        <v>8</v>
      </c>
      <c r="F46">
        <f t="shared" ca="1" si="0"/>
        <v>4.1166666666666663</v>
      </c>
      <c r="G46">
        <f t="shared" ca="1" si="1"/>
        <v>0</v>
      </c>
    </row>
    <row r="47" spans="1:7">
      <c r="A47">
        <v>2048</v>
      </c>
      <c r="B47" t="s">
        <v>38</v>
      </c>
      <c r="C47" t="s">
        <v>140</v>
      </c>
      <c r="D47" s="9">
        <v>40529.805081018516</v>
      </c>
      <c r="E47" t="s">
        <v>36</v>
      </c>
      <c r="F47">
        <f t="shared" ca="1" si="0"/>
        <v>4.1166666666666663</v>
      </c>
      <c r="G47">
        <f t="shared" ca="1" si="1"/>
        <v>0</v>
      </c>
    </row>
    <row r="48" spans="1:7">
      <c r="A48">
        <v>2096</v>
      </c>
      <c r="B48" t="s">
        <v>38</v>
      </c>
      <c r="C48" t="s">
        <v>140</v>
      </c>
      <c r="D48" s="9">
        <v>40529.776539351849</v>
      </c>
      <c r="E48" t="s">
        <v>36</v>
      </c>
      <c r="F48">
        <f t="shared" ca="1" si="0"/>
        <v>4.1166666666666663</v>
      </c>
      <c r="G48">
        <f t="shared" ca="1" si="1"/>
        <v>0</v>
      </c>
    </row>
    <row r="49" spans="1:7">
      <c r="A49">
        <v>2099</v>
      </c>
      <c r="B49" t="s">
        <v>20</v>
      </c>
      <c r="C49" t="s">
        <v>140</v>
      </c>
      <c r="D49" s="9">
        <v>40529.67591435185</v>
      </c>
      <c r="E49" t="s">
        <v>32</v>
      </c>
      <c r="F49">
        <f t="shared" ca="1" si="0"/>
        <v>4.1166666666666663</v>
      </c>
      <c r="G49">
        <f t="shared" ca="1" si="1"/>
        <v>0</v>
      </c>
    </row>
    <row r="50" spans="1:7">
      <c r="A50">
        <v>2100</v>
      </c>
      <c r="B50" t="s">
        <v>38</v>
      </c>
      <c r="C50" t="s">
        <v>140</v>
      </c>
      <c r="D50" s="9">
        <v>40529.776296296295</v>
      </c>
      <c r="E50" t="s">
        <v>36</v>
      </c>
      <c r="F50">
        <f t="shared" ca="1" si="0"/>
        <v>4.1166666666666663</v>
      </c>
      <c r="G50">
        <f t="shared" ca="1" si="1"/>
        <v>0</v>
      </c>
    </row>
    <row r="51" spans="1:7">
      <c r="A51">
        <v>2169</v>
      </c>
      <c r="B51" t="s">
        <v>8</v>
      </c>
      <c r="C51" t="s">
        <v>133</v>
      </c>
      <c r="D51" s="9">
        <v>40589.672592592593</v>
      </c>
      <c r="E51" t="s">
        <v>19</v>
      </c>
      <c r="F51">
        <f t="shared" ca="1" si="0"/>
        <v>3.9555555555555557</v>
      </c>
      <c r="G51">
        <f t="shared" ca="1" si="1"/>
        <v>0</v>
      </c>
    </row>
    <row r="52" spans="1:7">
      <c r="A52">
        <v>2189</v>
      </c>
      <c r="B52" t="s">
        <v>8</v>
      </c>
      <c r="C52" t="s">
        <v>133</v>
      </c>
      <c r="D52" s="9">
        <v>40588.714733796296</v>
      </c>
      <c r="E52" t="s">
        <v>19</v>
      </c>
      <c r="F52">
        <f t="shared" ca="1" si="0"/>
        <v>3.9583333333333335</v>
      </c>
      <c r="G52">
        <f t="shared" ca="1" si="1"/>
        <v>0</v>
      </c>
    </row>
    <row r="53" spans="1:7">
      <c r="A53">
        <v>2224</v>
      </c>
      <c r="B53" t="s">
        <v>20</v>
      </c>
      <c r="C53" t="s">
        <v>133</v>
      </c>
      <c r="D53" s="9">
        <v>40588.596712962964</v>
      </c>
      <c r="E53" t="s">
        <v>19</v>
      </c>
      <c r="F53">
        <f t="shared" ca="1" si="0"/>
        <v>3.9583333333333335</v>
      </c>
      <c r="G53">
        <f t="shared" ca="1" si="1"/>
        <v>0</v>
      </c>
    </row>
    <row r="54" spans="1:7">
      <c r="A54">
        <v>2225</v>
      </c>
      <c r="B54" t="s">
        <v>20</v>
      </c>
      <c r="C54" t="s">
        <v>132</v>
      </c>
      <c r="D54" s="9">
        <v>40667.7887962963</v>
      </c>
      <c r="E54" t="s">
        <v>32</v>
      </c>
      <c r="F54">
        <f t="shared" ca="1" si="0"/>
        <v>3.7361111111111112</v>
      </c>
      <c r="G54">
        <f t="shared" ca="1" si="1"/>
        <v>0</v>
      </c>
    </row>
    <row r="55" spans="1:7">
      <c r="A55">
        <v>2240</v>
      </c>
      <c r="B55" t="s">
        <v>102</v>
      </c>
      <c r="C55" t="s">
        <v>133</v>
      </c>
      <c r="D55" s="9">
        <v>40588.710682870369</v>
      </c>
      <c r="E55" t="s">
        <v>112</v>
      </c>
      <c r="F55">
        <f t="shared" ca="1" si="0"/>
        <v>3.9583333333333335</v>
      </c>
      <c r="G55">
        <f t="shared" ca="1" si="1"/>
        <v>0</v>
      </c>
    </row>
    <row r="56" spans="1:7">
      <c r="A56">
        <v>2278</v>
      </c>
      <c r="B56" t="s">
        <v>38</v>
      </c>
      <c r="C56" t="s">
        <v>133</v>
      </c>
      <c r="D56" s="9">
        <v>40588.701412037037</v>
      </c>
      <c r="E56" t="s">
        <v>36</v>
      </c>
      <c r="F56">
        <f t="shared" ca="1" si="0"/>
        <v>3.9583333333333335</v>
      </c>
      <c r="G56">
        <f t="shared" ca="1" si="1"/>
        <v>0</v>
      </c>
    </row>
    <row r="57" spans="1:7">
      <c r="A57">
        <v>2412</v>
      </c>
      <c r="B57" t="s">
        <v>34</v>
      </c>
      <c r="C57" t="s">
        <v>132</v>
      </c>
      <c r="D57" s="9">
        <v>40666.706111111111</v>
      </c>
      <c r="E57" t="s">
        <v>8</v>
      </c>
      <c r="F57">
        <f t="shared" ca="1" si="0"/>
        <v>3.7388888888888889</v>
      </c>
      <c r="G57">
        <f t="shared" ca="1" si="1"/>
        <v>0</v>
      </c>
    </row>
    <row r="58" spans="1:7">
      <c r="A58">
        <v>2416</v>
      </c>
      <c r="B58" t="s">
        <v>11</v>
      </c>
      <c r="C58" t="s">
        <v>133</v>
      </c>
      <c r="D58" s="9">
        <v>40589.632002314815</v>
      </c>
      <c r="E58" t="s">
        <v>8</v>
      </c>
      <c r="F58">
        <f t="shared" ca="1" si="0"/>
        <v>3.9555555555555557</v>
      </c>
      <c r="G58">
        <f t="shared" ca="1" si="1"/>
        <v>0</v>
      </c>
    </row>
    <row r="59" spans="1:7">
      <c r="A59">
        <v>2458</v>
      </c>
      <c r="B59" t="s">
        <v>8</v>
      </c>
      <c r="C59" t="s">
        <v>133</v>
      </c>
      <c r="D59" s="9">
        <v>40591.466273148151</v>
      </c>
      <c r="E59" t="s">
        <v>19</v>
      </c>
      <c r="F59">
        <f t="shared" ca="1" si="0"/>
        <v>3.95</v>
      </c>
      <c r="G59">
        <f t="shared" ca="1" si="1"/>
        <v>0</v>
      </c>
    </row>
    <row r="60" spans="1:7">
      <c r="A60">
        <v>2462</v>
      </c>
      <c r="B60" t="s">
        <v>8</v>
      </c>
      <c r="C60" t="s">
        <v>133</v>
      </c>
      <c r="D60" s="9">
        <v>40591.713148148148</v>
      </c>
      <c r="E60" t="s">
        <v>19</v>
      </c>
      <c r="F60">
        <f t="shared" ca="1" si="0"/>
        <v>3.95</v>
      </c>
      <c r="G60">
        <f t="shared" ca="1" si="1"/>
        <v>0</v>
      </c>
    </row>
    <row r="61" spans="1:7">
      <c r="A61">
        <v>2580</v>
      </c>
      <c r="B61" t="s">
        <v>38</v>
      </c>
      <c r="C61" t="s">
        <v>132</v>
      </c>
      <c r="D61" s="9">
        <v>40660.790925925925</v>
      </c>
      <c r="E61" t="s">
        <v>36</v>
      </c>
      <c r="F61">
        <f t="shared" ca="1" si="0"/>
        <v>3.7555555555555555</v>
      </c>
      <c r="G61">
        <f t="shared" ca="1" si="1"/>
        <v>0</v>
      </c>
    </row>
    <row r="62" spans="1:7">
      <c r="A62">
        <v>2661</v>
      </c>
      <c r="B62" t="s">
        <v>8</v>
      </c>
      <c r="C62" t="s">
        <v>122</v>
      </c>
      <c r="D62" s="9">
        <v>41369.53334490741</v>
      </c>
      <c r="E62" t="s">
        <v>24</v>
      </c>
      <c r="F62">
        <f t="shared" ca="1" si="0"/>
        <v>1.8166666666666667</v>
      </c>
      <c r="G62">
        <f t="shared" ca="1" si="1"/>
        <v>0</v>
      </c>
    </row>
    <row r="63" spans="1:7">
      <c r="A63">
        <v>2755</v>
      </c>
      <c r="B63" t="s">
        <v>8</v>
      </c>
      <c r="C63" t="s">
        <v>132</v>
      </c>
      <c r="D63" s="9">
        <v>40659.58489583333</v>
      </c>
      <c r="E63" t="s">
        <v>131</v>
      </c>
      <c r="F63">
        <f t="shared" ca="1" si="0"/>
        <v>3.7583333333333333</v>
      </c>
      <c r="G63">
        <f t="shared" ca="1" si="1"/>
        <v>0</v>
      </c>
    </row>
    <row r="64" spans="1:7">
      <c r="A64">
        <v>2829</v>
      </c>
      <c r="B64" t="s">
        <v>99</v>
      </c>
      <c r="C64" t="s">
        <v>132</v>
      </c>
      <c r="D64" s="9">
        <v>40659.445092592592</v>
      </c>
      <c r="E64" t="s">
        <v>19</v>
      </c>
      <c r="F64">
        <f t="shared" ca="1" si="0"/>
        <v>3.7583333333333333</v>
      </c>
      <c r="G64">
        <f t="shared" ca="1" si="1"/>
        <v>0</v>
      </c>
    </row>
    <row r="65" spans="1:7">
      <c r="A65">
        <v>2837</v>
      </c>
      <c r="B65" t="s">
        <v>8</v>
      </c>
      <c r="C65" t="s">
        <v>132</v>
      </c>
      <c r="D65" s="9">
        <v>40659.476550925923</v>
      </c>
      <c r="E65" t="s">
        <v>34</v>
      </c>
      <c r="F65">
        <f t="shared" ca="1" si="0"/>
        <v>3.7583333333333333</v>
      </c>
      <c r="G65">
        <f t="shared" ca="1" si="1"/>
        <v>0</v>
      </c>
    </row>
    <row r="66" spans="1:7">
      <c r="A66">
        <v>2845</v>
      </c>
      <c r="B66" t="s">
        <v>8</v>
      </c>
      <c r="C66" t="s">
        <v>132</v>
      </c>
      <c r="D66" s="9">
        <v>40659.398090277777</v>
      </c>
      <c r="E66" t="s">
        <v>44</v>
      </c>
      <c r="F66">
        <f t="shared" ca="1" si="0"/>
        <v>3.7583333333333333</v>
      </c>
      <c r="G66">
        <f t="shared" ca="1" si="1"/>
        <v>0</v>
      </c>
    </row>
    <row r="67" spans="1:7">
      <c r="A67">
        <v>2850</v>
      </c>
      <c r="B67" t="s">
        <v>8</v>
      </c>
      <c r="C67" t="s">
        <v>132</v>
      </c>
      <c r="D67" s="9">
        <v>40666.893275462964</v>
      </c>
      <c r="E67" t="s">
        <v>27</v>
      </c>
      <c r="F67">
        <f t="shared" ref="F67:F130" ca="1" si="2">YEARFRAC(TODAY(),$D67)</f>
        <v>3.7388888888888889</v>
      </c>
      <c r="G67">
        <f t="shared" ref="G67:G130" ca="1" si="3">IF($F67&lt;1,1,0)</f>
        <v>0</v>
      </c>
    </row>
    <row r="68" spans="1:7">
      <c r="A68">
        <v>2854</v>
      </c>
      <c r="B68" t="s">
        <v>112</v>
      </c>
      <c r="C68" t="s">
        <v>132</v>
      </c>
      <c r="D68" s="9">
        <v>40667.676342592589</v>
      </c>
      <c r="E68" t="s">
        <v>44</v>
      </c>
      <c r="F68">
        <f t="shared" ca="1" si="2"/>
        <v>3.7361111111111112</v>
      </c>
      <c r="G68">
        <f t="shared" ca="1" si="3"/>
        <v>0</v>
      </c>
    </row>
    <row r="69" spans="1:7">
      <c r="A69">
        <v>2861</v>
      </c>
      <c r="B69" t="s">
        <v>34</v>
      </c>
      <c r="C69" t="s">
        <v>132</v>
      </c>
      <c r="D69" s="9">
        <v>40667.815335648149</v>
      </c>
      <c r="E69" t="s">
        <v>101</v>
      </c>
      <c r="F69">
        <f t="shared" ca="1" si="2"/>
        <v>3.7361111111111112</v>
      </c>
      <c r="G69">
        <f t="shared" ca="1" si="3"/>
        <v>0</v>
      </c>
    </row>
    <row r="70" spans="1:7">
      <c r="A70">
        <v>2865</v>
      </c>
      <c r="B70" t="s">
        <v>99</v>
      </c>
      <c r="C70" t="s">
        <v>132</v>
      </c>
      <c r="D70" s="9">
        <v>40666.684224537035</v>
      </c>
      <c r="E70" t="s">
        <v>27</v>
      </c>
      <c r="F70">
        <f t="shared" ca="1" si="2"/>
        <v>3.7388888888888889</v>
      </c>
      <c r="G70">
        <f t="shared" ca="1" si="3"/>
        <v>0</v>
      </c>
    </row>
    <row r="71" spans="1:7">
      <c r="A71">
        <v>2890</v>
      </c>
      <c r="B71" t="s">
        <v>8</v>
      </c>
      <c r="C71" t="s">
        <v>132</v>
      </c>
      <c r="D71" s="9">
        <v>40667.690937500003</v>
      </c>
      <c r="E71" t="s">
        <v>27</v>
      </c>
      <c r="F71">
        <f t="shared" ca="1" si="2"/>
        <v>3.7361111111111112</v>
      </c>
      <c r="G71">
        <f t="shared" ca="1" si="3"/>
        <v>0</v>
      </c>
    </row>
    <row r="72" spans="1:7">
      <c r="A72">
        <v>2895</v>
      </c>
      <c r="B72" t="s">
        <v>38</v>
      </c>
      <c r="C72" t="s">
        <v>132</v>
      </c>
      <c r="D72" s="9">
        <v>40667.934131944443</v>
      </c>
      <c r="E72" t="s">
        <v>27</v>
      </c>
      <c r="F72">
        <f t="shared" ca="1" si="2"/>
        <v>3.7361111111111112</v>
      </c>
      <c r="G72">
        <f t="shared" ca="1" si="3"/>
        <v>0</v>
      </c>
    </row>
    <row r="73" spans="1:7">
      <c r="A73">
        <v>2896</v>
      </c>
      <c r="B73" t="s">
        <v>27</v>
      </c>
      <c r="C73" t="s">
        <v>132</v>
      </c>
      <c r="D73" s="9">
        <v>40667.936157407406</v>
      </c>
      <c r="E73" t="s">
        <v>38</v>
      </c>
      <c r="F73">
        <f t="shared" ca="1" si="2"/>
        <v>3.7361111111111112</v>
      </c>
      <c r="G73">
        <f t="shared" ca="1" si="3"/>
        <v>0</v>
      </c>
    </row>
    <row r="74" spans="1:7">
      <c r="A74">
        <v>2899</v>
      </c>
      <c r="B74" t="s">
        <v>8</v>
      </c>
      <c r="C74" t="s">
        <v>132</v>
      </c>
      <c r="D74" s="9">
        <v>40668.4534375</v>
      </c>
      <c r="E74" t="s">
        <v>34</v>
      </c>
      <c r="F74">
        <f t="shared" ca="1" si="2"/>
        <v>3.7333333333333334</v>
      </c>
      <c r="G74">
        <f t="shared" ca="1" si="3"/>
        <v>0</v>
      </c>
    </row>
    <row r="75" spans="1:7">
      <c r="A75">
        <v>2903</v>
      </c>
      <c r="B75" t="s">
        <v>44</v>
      </c>
      <c r="C75" t="s">
        <v>132</v>
      </c>
      <c r="D75" s="9">
        <v>40668.459027777775</v>
      </c>
      <c r="E75" t="s">
        <v>34</v>
      </c>
      <c r="F75">
        <f t="shared" ca="1" si="2"/>
        <v>3.7333333333333334</v>
      </c>
      <c r="G75">
        <f t="shared" ca="1" si="3"/>
        <v>0</v>
      </c>
    </row>
    <row r="76" spans="1:7">
      <c r="A76">
        <v>2912</v>
      </c>
      <c r="B76" t="s">
        <v>8</v>
      </c>
      <c r="C76" t="s">
        <v>132</v>
      </c>
      <c r="D76" s="9">
        <v>40668.690740740742</v>
      </c>
      <c r="E76" t="s">
        <v>11</v>
      </c>
      <c r="F76">
        <f t="shared" ca="1" si="2"/>
        <v>3.7333333333333334</v>
      </c>
      <c r="G76">
        <f t="shared" ca="1" si="3"/>
        <v>0</v>
      </c>
    </row>
    <row r="77" spans="1:7">
      <c r="A77">
        <v>3003</v>
      </c>
      <c r="B77" t="s">
        <v>99</v>
      </c>
      <c r="C77" t="s">
        <v>130</v>
      </c>
      <c r="D77" s="9">
        <v>40721.585358796299</v>
      </c>
      <c r="E77" t="s">
        <v>8</v>
      </c>
      <c r="F77">
        <f t="shared" ca="1" si="2"/>
        <v>3.588888888888889</v>
      </c>
      <c r="G77">
        <f t="shared" ca="1" si="3"/>
        <v>0</v>
      </c>
    </row>
    <row r="78" spans="1:7">
      <c r="A78">
        <v>3064</v>
      </c>
      <c r="B78" t="s">
        <v>38</v>
      </c>
      <c r="C78" t="s">
        <v>130</v>
      </c>
      <c r="D78" s="9">
        <v>40720.876377314817</v>
      </c>
      <c r="E78" t="s">
        <v>36</v>
      </c>
      <c r="F78">
        <f t="shared" ca="1" si="2"/>
        <v>3.5916666666666668</v>
      </c>
      <c r="G78">
        <f t="shared" ca="1" si="3"/>
        <v>0</v>
      </c>
    </row>
    <row r="79" spans="1:7">
      <c r="A79">
        <v>3094</v>
      </c>
      <c r="B79" t="s">
        <v>112</v>
      </c>
      <c r="C79" t="s">
        <v>130</v>
      </c>
      <c r="D79" s="9">
        <v>40721.198287037034</v>
      </c>
      <c r="E79" t="s">
        <v>38</v>
      </c>
      <c r="F79">
        <f t="shared" ca="1" si="2"/>
        <v>3.588888888888889</v>
      </c>
      <c r="G79">
        <f t="shared" ca="1" si="3"/>
        <v>0</v>
      </c>
    </row>
    <row r="80" spans="1:7">
      <c r="A80">
        <v>3116</v>
      </c>
      <c r="B80" t="s">
        <v>99</v>
      </c>
      <c r="C80" t="s">
        <v>130</v>
      </c>
      <c r="D80" s="9">
        <v>40721.68346064815</v>
      </c>
      <c r="E80" t="s">
        <v>36</v>
      </c>
      <c r="F80">
        <f t="shared" ca="1" si="2"/>
        <v>3.588888888888889</v>
      </c>
      <c r="G80">
        <f t="shared" ca="1" si="3"/>
        <v>0</v>
      </c>
    </row>
    <row r="81" spans="1:7">
      <c r="A81">
        <v>3173</v>
      </c>
      <c r="B81" t="s">
        <v>34</v>
      </c>
      <c r="C81" t="s">
        <v>130</v>
      </c>
      <c r="D81" s="9">
        <v>40723.575312499997</v>
      </c>
      <c r="E81" t="s">
        <v>32</v>
      </c>
      <c r="F81">
        <f t="shared" ca="1" si="2"/>
        <v>3.5833333333333335</v>
      </c>
      <c r="G81">
        <f t="shared" ca="1" si="3"/>
        <v>0</v>
      </c>
    </row>
    <row r="82" spans="1:7">
      <c r="A82">
        <v>3207</v>
      </c>
      <c r="B82" t="s">
        <v>112</v>
      </c>
      <c r="C82" t="s">
        <v>130</v>
      </c>
      <c r="D82" s="9">
        <v>40722.463946759257</v>
      </c>
      <c r="E82" t="s">
        <v>44</v>
      </c>
      <c r="F82">
        <f t="shared" ca="1" si="2"/>
        <v>3.5861111111111112</v>
      </c>
      <c r="G82">
        <f t="shared" ca="1" si="3"/>
        <v>0</v>
      </c>
    </row>
    <row r="83" spans="1:7">
      <c r="A83">
        <v>3211</v>
      </c>
      <c r="B83" t="s">
        <v>99</v>
      </c>
      <c r="C83" t="s">
        <v>130</v>
      </c>
      <c r="D83" s="9">
        <v>40721.358229166668</v>
      </c>
      <c r="E83" t="s">
        <v>19</v>
      </c>
      <c r="F83">
        <f t="shared" ca="1" si="2"/>
        <v>3.588888888888889</v>
      </c>
      <c r="G83">
        <f t="shared" ca="1" si="3"/>
        <v>0</v>
      </c>
    </row>
    <row r="84" spans="1:7">
      <c r="A84">
        <v>3214</v>
      </c>
      <c r="B84" t="s">
        <v>34</v>
      </c>
      <c r="C84" t="s">
        <v>130</v>
      </c>
      <c r="D84" s="9">
        <v>40721.435706018521</v>
      </c>
      <c r="E84" t="s">
        <v>112</v>
      </c>
      <c r="F84">
        <f t="shared" ca="1" si="2"/>
        <v>3.588888888888889</v>
      </c>
      <c r="G84">
        <f t="shared" ca="1" si="3"/>
        <v>0</v>
      </c>
    </row>
    <row r="85" spans="1:7">
      <c r="A85">
        <v>3226</v>
      </c>
      <c r="B85" t="s">
        <v>143</v>
      </c>
      <c r="C85" t="s">
        <v>129</v>
      </c>
      <c r="D85" s="9">
        <v>40808.303298611114</v>
      </c>
      <c r="E85" t="s">
        <v>44</v>
      </c>
      <c r="F85">
        <f t="shared" ca="1" si="2"/>
        <v>3.3527777777777779</v>
      </c>
      <c r="G85">
        <f t="shared" ca="1" si="3"/>
        <v>0</v>
      </c>
    </row>
    <row r="86" spans="1:7">
      <c r="A86">
        <v>3239</v>
      </c>
      <c r="B86" t="s">
        <v>8</v>
      </c>
      <c r="C86" t="s">
        <v>130</v>
      </c>
      <c r="D86" s="9">
        <v>40722.457974537036</v>
      </c>
      <c r="E86" t="s">
        <v>19</v>
      </c>
      <c r="F86">
        <f t="shared" ca="1" si="2"/>
        <v>3.5861111111111112</v>
      </c>
      <c r="G86">
        <f t="shared" ca="1" si="3"/>
        <v>0</v>
      </c>
    </row>
    <row r="87" spans="1:7">
      <c r="A87">
        <v>3281</v>
      </c>
      <c r="B87" t="s">
        <v>36</v>
      </c>
      <c r="C87" t="s">
        <v>130</v>
      </c>
      <c r="D87" s="9">
        <v>40723.813587962963</v>
      </c>
      <c r="E87" t="s">
        <v>32</v>
      </c>
      <c r="F87">
        <f t="shared" ca="1" si="2"/>
        <v>3.5833333333333335</v>
      </c>
      <c r="G87">
        <f t="shared" ca="1" si="3"/>
        <v>0</v>
      </c>
    </row>
    <row r="88" spans="1:7">
      <c r="A88">
        <v>3295</v>
      </c>
      <c r="B88" t="s">
        <v>111</v>
      </c>
      <c r="C88" t="s">
        <v>130</v>
      </c>
      <c r="D88" s="9">
        <v>40724.955636574072</v>
      </c>
      <c r="E88" t="s">
        <v>27</v>
      </c>
      <c r="F88">
        <f t="shared" ca="1" si="2"/>
        <v>3.5805555555555557</v>
      </c>
      <c r="G88">
        <f t="shared" ca="1" si="3"/>
        <v>0</v>
      </c>
    </row>
    <row r="89" spans="1:7">
      <c r="A89">
        <v>3297</v>
      </c>
      <c r="B89" t="s">
        <v>38</v>
      </c>
      <c r="C89" t="s">
        <v>130</v>
      </c>
      <c r="D89" s="9">
        <v>40724.953090277777</v>
      </c>
      <c r="E89" t="s">
        <v>27</v>
      </c>
      <c r="F89">
        <f t="shared" ca="1" si="2"/>
        <v>3.5805555555555557</v>
      </c>
      <c r="G89">
        <f t="shared" ca="1" si="3"/>
        <v>0</v>
      </c>
    </row>
    <row r="90" spans="1:7">
      <c r="A90">
        <v>3314</v>
      </c>
      <c r="B90" t="s">
        <v>19</v>
      </c>
      <c r="C90" t="s">
        <v>129</v>
      </c>
      <c r="D90" s="9">
        <v>40805.642824074072</v>
      </c>
      <c r="E90" t="s">
        <v>37</v>
      </c>
      <c r="F90">
        <f t="shared" ca="1" si="2"/>
        <v>3.3611111111111112</v>
      </c>
      <c r="G90">
        <f t="shared" ca="1" si="3"/>
        <v>0</v>
      </c>
    </row>
    <row r="91" spans="1:7">
      <c r="A91">
        <v>3316</v>
      </c>
      <c r="B91" t="s">
        <v>99</v>
      </c>
      <c r="C91" t="s">
        <v>129</v>
      </c>
      <c r="D91" s="9">
        <v>40805.447013888886</v>
      </c>
      <c r="E91" t="s">
        <v>19</v>
      </c>
      <c r="F91">
        <f t="shared" ca="1" si="2"/>
        <v>3.3611111111111112</v>
      </c>
      <c r="G91">
        <f t="shared" ca="1" si="3"/>
        <v>0</v>
      </c>
    </row>
    <row r="92" spans="1:7">
      <c r="A92">
        <v>3389</v>
      </c>
      <c r="B92" t="s">
        <v>38</v>
      </c>
      <c r="C92" t="s">
        <v>129</v>
      </c>
      <c r="D92" s="9">
        <v>40805.611574074072</v>
      </c>
      <c r="E92" t="s">
        <v>27</v>
      </c>
      <c r="F92">
        <f t="shared" ca="1" si="2"/>
        <v>3.3611111111111112</v>
      </c>
      <c r="G92">
        <f t="shared" ca="1" si="3"/>
        <v>0</v>
      </c>
    </row>
    <row r="93" spans="1:7">
      <c r="A93">
        <v>3392</v>
      </c>
      <c r="B93" t="s">
        <v>99</v>
      </c>
      <c r="C93" t="s">
        <v>129</v>
      </c>
      <c r="D93" s="9">
        <v>40805.443182870367</v>
      </c>
      <c r="E93" t="s">
        <v>19</v>
      </c>
      <c r="F93">
        <f t="shared" ca="1" si="2"/>
        <v>3.3611111111111112</v>
      </c>
      <c r="G93">
        <f t="shared" ca="1" si="3"/>
        <v>0</v>
      </c>
    </row>
    <row r="94" spans="1:7">
      <c r="A94">
        <v>3400</v>
      </c>
      <c r="B94" t="s">
        <v>11</v>
      </c>
      <c r="C94" t="s">
        <v>129</v>
      </c>
      <c r="D94" s="9">
        <v>40805.645567129628</v>
      </c>
      <c r="E94" t="s">
        <v>8</v>
      </c>
      <c r="F94">
        <f t="shared" ca="1" si="2"/>
        <v>3.3611111111111112</v>
      </c>
      <c r="G94">
        <f t="shared" ca="1" si="3"/>
        <v>0</v>
      </c>
    </row>
    <row r="95" spans="1:7">
      <c r="A95">
        <v>3430</v>
      </c>
      <c r="B95" t="s">
        <v>8</v>
      </c>
      <c r="C95" t="s">
        <v>129</v>
      </c>
      <c r="D95" s="9">
        <v>40805.485590277778</v>
      </c>
      <c r="E95" t="s">
        <v>34</v>
      </c>
      <c r="F95">
        <f t="shared" ca="1" si="2"/>
        <v>3.3611111111111112</v>
      </c>
      <c r="G95">
        <f t="shared" ca="1" si="3"/>
        <v>0</v>
      </c>
    </row>
    <row r="96" spans="1:7">
      <c r="A96">
        <v>3432</v>
      </c>
      <c r="B96" t="s">
        <v>44</v>
      </c>
      <c r="C96" t="s">
        <v>128</v>
      </c>
      <c r="D96" s="9">
        <v>40917.450185185182</v>
      </c>
      <c r="E96" t="s">
        <v>8</v>
      </c>
      <c r="F96">
        <f t="shared" ca="1" si="2"/>
        <v>3.0555555555555554</v>
      </c>
      <c r="G96">
        <f t="shared" ca="1" si="3"/>
        <v>0</v>
      </c>
    </row>
    <row r="97" spans="1:7">
      <c r="A97">
        <v>3442</v>
      </c>
      <c r="B97" t="s">
        <v>143</v>
      </c>
      <c r="C97" t="s">
        <v>128</v>
      </c>
      <c r="D97" s="9">
        <v>40917.649155092593</v>
      </c>
      <c r="E97" t="s">
        <v>44</v>
      </c>
      <c r="F97">
        <f t="shared" ca="1" si="2"/>
        <v>3.0555555555555554</v>
      </c>
      <c r="G97">
        <f t="shared" ca="1" si="3"/>
        <v>0</v>
      </c>
    </row>
    <row r="98" spans="1:7">
      <c r="A98">
        <v>3606</v>
      </c>
      <c r="B98" t="s">
        <v>99</v>
      </c>
      <c r="C98" t="s">
        <v>129</v>
      </c>
      <c r="D98" s="9">
        <v>40805.411435185182</v>
      </c>
      <c r="E98" t="s">
        <v>8</v>
      </c>
      <c r="F98">
        <f t="shared" ca="1" si="2"/>
        <v>3.3611111111111112</v>
      </c>
      <c r="G98">
        <f t="shared" ca="1" si="3"/>
        <v>0</v>
      </c>
    </row>
    <row r="99" spans="1:7">
      <c r="A99">
        <v>3660</v>
      </c>
      <c r="B99" t="s">
        <v>20</v>
      </c>
      <c r="C99" t="s">
        <v>129</v>
      </c>
      <c r="D99" s="9">
        <v>40806.583541666667</v>
      </c>
      <c r="E99" t="s">
        <v>11</v>
      </c>
      <c r="F99">
        <f t="shared" ca="1" si="2"/>
        <v>3.3583333333333334</v>
      </c>
      <c r="G99">
        <f t="shared" ca="1" si="3"/>
        <v>0</v>
      </c>
    </row>
    <row r="100" spans="1:7">
      <c r="A100">
        <v>3718</v>
      </c>
      <c r="B100" t="s">
        <v>19</v>
      </c>
      <c r="C100" t="s">
        <v>128</v>
      </c>
      <c r="D100" s="9">
        <v>40917.648125</v>
      </c>
      <c r="E100" t="s">
        <v>112</v>
      </c>
      <c r="F100">
        <f t="shared" ca="1" si="2"/>
        <v>3.0555555555555554</v>
      </c>
      <c r="G100">
        <f t="shared" ca="1" si="3"/>
        <v>0</v>
      </c>
    </row>
    <row r="101" spans="1:7">
      <c r="A101">
        <v>3731</v>
      </c>
      <c r="B101" t="s">
        <v>8</v>
      </c>
      <c r="C101" t="s">
        <v>129</v>
      </c>
      <c r="D101" s="9">
        <v>40805.788993055554</v>
      </c>
      <c r="E101" t="s">
        <v>11</v>
      </c>
      <c r="F101">
        <f t="shared" ca="1" si="2"/>
        <v>3.3611111111111112</v>
      </c>
      <c r="G101">
        <f t="shared" ca="1" si="3"/>
        <v>0</v>
      </c>
    </row>
    <row r="102" spans="1:7">
      <c r="A102">
        <v>3732</v>
      </c>
      <c r="B102" t="s">
        <v>8</v>
      </c>
      <c r="C102" t="s">
        <v>129</v>
      </c>
      <c r="D102" s="9">
        <v>40806.622569444444</v>
      </c>
      <c r="E102" t="s">
        <v>44</v>
      </c>
      <c r="F102">
        <f t="shared" ca="1" si="2"/>
        <v>3.3583333333333334</v>
      </c>
      <c r="G102">
        <f t="shared" ca="1" si="3"/>
        <v>0</v>
      </c>
    </row>
    <row r="103" spans="1:7">
      <c r="A103">
        <v>3782</v>
      </c>
      <c r="B103" t="s">
        <v>34</v>
      </c>
      <c r="C103" t="s">
        <v>129</v>
      </c>
      <c r="D103" s="9">
        <v>40807.767442129632</v>
      </c>
      <c r="E103" t="s">
        <v>11</v>
      </c>
      <c r="F103">
        <f t="shared" ca="1" si="2"/>
        <v>3.3555555555555556</v>
      </c>
      <c r="G103">
        <f t="shared" ca="1" si="3"/>
        <v>0</v>
      </c>
    </row>
    <row r="104" spans="1:7">
      <c r="A104">
        <v>3832</v>
      </c>
      <c r="B104" t="s">
        <v>11</v>
      </c>
      <c r="C104" t="s">
        <v>129</v>
      </c>
      <c r="D104" s="9">
        <v>40808.859386574077</v>
      </c>
      <c r="E104" t="s">
        <v>38</v>
      </c>
      <c r="F104">
        <f t="shared" ca="1" si="2"/>
        <v>3.3527777777777779</v>
      </c>
      <c r="G104">
        <f t="shared" ca="1" si="3"/>
        <v>0</v>
      </c>
    </row>
    <row r="105" spans="1:7">
      <c r="A105">
        <v>3915</v>
      </c>
      <c r="B105" t="s">
        <v>8</v>
      </c>
      <c r="C105" t="s">
        <v>128</v>
      </c>
      <c r="D105" s="9">
        <v>40918.442303240743</v>
      </c>
      <c r="E105" t="s">
        <v>112</v>
      </c>
      <c r="F105">
        <f t="shared" ca="1" si="2"/>
        <v>3.0527777777777776</v>
      </c>
      <c r="G105">
        <f t="shared" ca="1" si="3"/>
        <v>0</v>
      </c>
    </row>
    <row r="106" spans="1:7">
      <c r="A106">
        <v>3947</v>
      </c>
      <c r="B106" t="s">
        <v>20</v>
      </c>
      <c r="C106" t="s">
        <v>128</v>
      </c>
      <c r="D106" s="9">
        <v>40918.788969907408</v>
      </c>
      <c r="E106" t="s">
        <v>21</v>
      </c>
      <c r="F106">
        <f t="shared" ca="1" si="2"/>
        <v>3.0527777777777776</v>
      </c>
      <c r="G106">
        <f t="shared" ca="1" si="3"/>
        <v>0</v>
      </c>
    </row>
    <row r="107" spans="1:7">
      <c r="A107">
        <v>3977</v>
      </c>
      <c r="B107" t="s">
        <v>11</v>
      </c>
      <c r="C107" t="s">
        <v>128</v>
      </c>
      <c r="D107" s="9">
        <v>40917.555486111109</v>
      </c>
      <c r="E107" t="s">
        <v>112</v>
      </c>
      <c r="F107">
        <f t="shared" ca="1" si="2"/>
        <v>3.0555555555555554</v>
      </c>
      <c r="G107">
        <f t="shared" ca="1" si="3"/>
        <v>0</v>
      </c>
    </row>
    <row r="108" spans="1:7">
      <c r="A108">
        <v>4014</v>
      </c>
      <c r="B108" t="s">
        <v>30</v>
      </c>
      <c r="C108" t="s">
        <v>128</v>
      </c>
      <c r="D108" s="9">
        <v>40917.387662037036</v>
      </c>
      <c r="E108" t="s">
        <v>44</v>
      </c>
      <c r="F108">
        <f t="shared" ca="1" si="2"/>
        <v>3.0555555555555554</v>
      </c>
      <c r="G108">
        <f t="shared" ca="1" si="3"/>
        <v>0</v>
      </c>
    </row>
    <row r="109" spans="1:7">
      <c r="A109">
        <v>4079</v>
      </c>
      <c r="B109" t="s">
        <v>34</v>
      </c>
      <c r="C109" t="s">
        <v>128</v>
      </c>
      <c r="D109" s="9">
        <v>40918.493356481478</v>
      </c>
      <c r="E109" t="s">
        <v>37</v>
      </c>
      <c r="F109">
        <f t="shared" ca="1" si="2"/>
        <v>3.0527777777777776</v>
      </c>
      <c r="G109">
        <f t="shared" ca="1" si="3"/>
        <v>0</v>
      </c>
    </row>
    <row r="110" spans="1:7">
      <c r="A110">
        <v>4160</v>
      </c>
      <c r="B110" t="s">
        <v>44</v>
      </c>
      <c r="C110" t="s">
        <v>128</v>
      </c>
      <c r="D110" s="9">
        <v>40918.358576388891</v>
      </c>
      <c r="E110" t="s">
        <v>104</v>
      </c>
      <c r="F110">
        <f t="shared" ca="1" si="2"/>
        <v>3.0527777777777776</v>
      </c>
      <c r="G110">
        <f t="shared" ca="1" si="3"/>
        <v>0</v>
      </c>
    </row>
    <row r="111" spans="1:7">
      <c r="A111">
        <v>4177</v>
      </c>
      <c r="B111" t="s">
        <v>34</v>
      </c>
      <c r="C111" t="s">
        <v>128</v>
      </c>
      <c r="D111" s="9">
        <v>40917.572372685187</v>
      </c>
      <c r="E111" t="s">
        <v>112</v>
      </c>
      <c r="F111">
        <f t="shared" ca="1" si="2"/>
        <v>3.0555555555555554</v>
      </c>
      <c r="G111">
        <f t="shared" ca="1" si="3"/>
        <v>0</v>
      </c>
    </row>
    <row r="112" spans="1:7">
      <c r="A112">
        <v>4200</v>
      </c>
      <c r="B112" t="s">
        <v>8</v>
      </c>
      <c r="C112" t="s">
        <v>128</v>
      </c>
      <c r="D112" s="9">
        <v>40919.498888888891</v>
      </c>
      <c r="E112" t="s">
        <v>112</v>
      </c>
      <c r="F112">
        <f t="shared" ca="1" si="2"/>
        <v>3.05</v>
      </c>
      <c r="G112">
        <f t="shared" ca="1" si="3"/>
        <v>0</v>
      </c>
    </row>
    <row r="113" spans="1:7">
      <c r="A113">
        <v>4201</v>
      </c>
      <c r="B113" t="s">
        <v>23</v>
      </c>
      <c r="C113" t="s">
        <v>128</v>
      </c>
      <c r="D113" s="9">
        <v>40927.700127314813</v>
      </c>
      <c r="E113" t="s">
        <v>36</v>
      </c>
      <c r="F113">
        <f t="shared" ca="1" si="2"/>
        <v>3.0277777777777777</v>
      </c>
      <c r="G113">
        <f t="shared" ca="1" si="3"/>
        <v>0</v>
      </c>
    </row>
    <row r="114" spans="1:7">
      <c r="A114">
        <v>4204</v>
      </c>
      <c r="B114" t="s">
        <v>8</v>
      </c>
      <c r="C114" t="s">
        <v>128</v>
      </c>
      <c r="D114" s="9">
        <v>40919.681909722225</v>
      </c>
      <c r="E114" t="s">
        <v>112</v>
      </c>
      <c r="F114">
        <f t="shared" ca="1" si="2"/>
        <v>3.05</v>
      </c>
      <c r="G114">
        <f t="shared" ca="1" si="3"/>
        <v>0</v>
      </c>
    </row>
    <row r="115" spans="1:7">
      <c r="A115">
        <v>4224</v>
      </c>
      <c r="B115" t="s">
        <v>19</v>
      </c>
      <c r="C115" t="s">
        <v>128</v>
      </c>
      <c r="D115" s="9">
        <v>40917.578344907408</v>
      </c>
      <c r="E115" t="s">
        <v>30</v>
      </c>
      <c r="F115">
        <f t="shared" ca="1" si="2"/>
        <v>3.0555555555555554</v>
      </c>
      <c r="G115">
        <f t="shared" ca="1" si="3"/>
        <v>0</v>
      </c>
    </row>
    <row r="116" spans="1:7">
      <c r="A116">
        <v>4246</v>
      </c>
      <c r="B116" t="s">
        <v>8</v>
      </c>
      <c r="C116" t="s">
        <v>128</v>
      </c>
      <c r="D116" s="9">
        <v>40917.859513888892</v>
      </c>
      <c r="E116" t="s">
        <v>36</v>
      </c>
      <c r="F116">
        <f t="shared" ca="1" si="2"/>
        <v>3.0555555555555554</v>
      </c>
      <c r="G116">
        <f t="shared" ca="1" si="3"/>
        <v>0</v>
      </c>
    </row>
    <row r="117" spans="1:7">
      <c r="A117">
        <v>4249</v>
      </c>
      <c r="B117" t="s">
        <v>8</v>
      </c>
      <c r="C117" t="s">
        <v>128</v>
      </c>
      <c r="D117" s="9">
        <v>40919.417083333334</v>
      </c>
      <c r="E117" t="s">
        <v>112</v>
      </c>
      <c r="F117">
        <f t="shared" ca="1" si="2"/>
        <v>3.05</v>
      </c>
      <c r="G117">
        <f t="shared" ca="1" si="3"/>
        <v>0</v>
      </c>
    </row>
    <row r="118" spans="1:7">
      <c r="A118">
        <v>4287</v>
      </c>
      <c r="B118" t="s">
        <v>38</v>
      </c>
      <c r="C118" t="s">
        <v>128</v>
      </c>
      <c r="D118" s="9">
        <v>40917.66097222222</v>
      </c>
      <c r="E118" t="s">
        <v>36</v>
      </c>
      <c r="F118">
        <f t="shared" ca="1" si="2"/>
        <v>3.0555555555555554</v>
      </c>
      <c r="G118">
        <f t="shared" ca="1" si="3"/>
        <v>0</v>
      </c>
    </row>
    <row r="119" spans="1:7">
      <c r="A119">
        <v>4333</v>
      </c>
      <c r="B119" t="s">
        <v>8</v>
      </c>
      <c r="C119" t="s">
        <v>128</v>
      </c>
      <c r="D119" s="9">
        <v>40921.582615740743</v>
      </c>
      <c r="E119" t="s">
        <v>20</v>
      </c>
      <c r="F119">
        <f t="shared" ca="1" si="2"/>
        <v>3.0444444444444443</v>
      </c>
      <c r="G119">
        <f t="shared" ca="1" si="3"/>
        <v>0</v>
      </c>
    </row>
    <row r="120" spans="1:7">
      <c r="A120">
        <v>4343</v>
      </c>
      <c r="B120" t="s">
        <v>8</v>
      </c>
      <c r="C120" t="s">
        <v>128</v>
      </c>
      <c r="D120" s="9">
        <v>40917.64167824074</v>
      </c>
      <c r="E120" t="s">
        <v>112</v>
      </c>
      <c r="F120">
        <f t="shared" ca="1" si="2"/>
        <v>3.0555555555555554</v>
      </c>
      <c r="G120">
        <f t="shared" ca="1" si="3"/>
        <v>0</v>
      </c>
    </row>
    <row r="121" spans="1:7">
      <c r="A121">
        <v>4417</v>
      </c>
      <c r="B121" t="s">
        <v>8</v>
      </c>
      <c r="C121" t="s">
        <v>127</v>
      </c>
      <c r="D121" s="9">
        <v>41029.450740740744</v>
      </c>
      <c r="E121" t="s">
        <v>30</v>
      </c>
      <c r="F121">
        <f t="shared" ca="1" si="2"/>
        <v>2.7472222222222222</v>
      </c>
      <c r="G121">
        <f t="shared" ca="1" si="3"/>
        <v>0</v>
      </c>
    </row>
    <row r="122" spans="1:7">
      <c r="A122">
        <v>4420</v>
      </c>
      <c r="B122" t="s">
        <v>143</v>
      </c>
      <c r="C122" t="s">
        <v>128</v>
      </c>
      <c r="D122" s="9">
        <v>40918.493946759256</v>
      </c>
      <c r="E122" t="s">
        <v>104</v>
      </c>
      <c r="F122">
        <f t="shared" ca="1" si="2"/>
        <v>3.0527777777777776</v>
      </c>
      <c r="G122">
        <f t="shared" ca="1" si="3"/>
        <v>0</v>
      </c>
    </row>
    <row r="123" spans="1:7">
      <c r="A123">
        <v>4423</v>
      </c>
      <c r="B123" t="s">
        <v>8</v>
      </c>
      <c r="C123" t="s">
        <v>128</v>
      </c>
      <c r="D123" s="9">
        <v>40920.823518518519</v>
      </c>
      <c r="E123" t="s">
        <v>112</v>
      </c>
      <c r="F123">
        <f t="shared" ca="1" si="2"/>
        <v>3.0472222222222221</v>
      </c>
      <c r="G123">
        <f t="shared" ca="1" si="3"/>
        <v>0</v>
      </c>
    </row>
    <row r="124" spans="1:7">
      <c r="A124">
        <v>4431</v>
      </c>
      <c r="B124" t="s">
        <v>34</v>
      </c>
      <c r="C124" t="s">
        <v>128</v>
      </c>
      <c r="D124" s="9">
        <v>40918.755752314813</v>
      </c>
      <c r="E124" t="s">
        <v>11</v>
      </c>
      <c r="F124">
        <f t="shared" ca="1" si="2"/>
        <v>3.0527777777777776</v>
      </c>
      <c r="G124">
        <f t="shared" ca="1" si="3"/>
        <v>0</v>
      </c>
    </row>
    <row r="125" spans="1:7">
      <c r="A125">
        <v>4433</v>
      </c>
      <c r="B125" t="s">
        <v>34</v>
      </c>
      <c r="C125" t="s">
        <v>128</v>
      </c>
      <c r="D125" s="9">
        <v>40920.694328703707</v>
      </c>
      <c r="E125" t="s">
        <v>112</v>
      </c>
      <c r="F125">
        <f t="shared" ca="1" si="2"/>
        <v>3.0472222222222221</v>
      </c>
      <c r="G125">
        <f t="shared" ca="1" si="3"/>
        <v>0</v>
      </c>
    </row>
    <row r="126" spans="1:7">
      <c r="A126">
        <v>4447</v>
      </c>
      <c r="B126" t="s">
        <v>34</v>
      </c>
      <c r="C126" t="s">
        <v>128</v>
      </c>
      <c r="D126" s="9">
        <v>40926.690717592595</v>
      </c>
      <c r="E126" t="s">
        <v>104</v>
      </c>
      <c r="F126">
        <f t="shared" ca="1" si="2"/>
        <v>3.0305555555555554</v>
      </c>
      <c r="G126">
        <f t="shared" ca="1" si="3"/>
        <v>0</v>
      </c>
    </row>
    <row r="127" spans="1:7">
      <c r="A127">
        <v>4460</v>
      </c>
      <c r="B127" t="s">
        <v>99</v>
      </c>
      <c r="C127" t="s">
        <v>128</v>
      </c>
      <c r="D127" s="9">
        <v>40919.946550925924</v>
      </c>
      <c r="E127" t="s">
        <v>21</v>
      </c>
      <c r="F127">
        <f t="shared" ca="1" si="2"/>
        <v>3.05</v>
      </c>
      <c r="G127">
        <f t="shared" ca="1" si="3"/>
        <v>0</v>
      </c>
    </row>
    <row r="128" spans="1:7">
      <c r="A128">
        <v>4467</v>
      </c>
      <c r="B128" t="s">
        <v>20</v>
      </c>
      <c r="C128" t="s">
        <v>128</v>
      </c>
      <c r="D128" s="9">
        <v>40921.661423611113</v>
      </c>
      <c r="E128" t="s">
        <v>32</v>
      </c>
      <c r="F128">
        <f t="shared" ca="1" si="2"/>
        <v>3.0444444444444443</v>
      </c>
      <c r="G128">
        <f t="shared" ca="1" si="3"/>
        <v>0</v>
      </c>
    </row>
    <row r="129" spans="1:7">
      <c r="A129">
        <v>4476</v>
      </c>
      <c r="B129" t="s">
        <v>111</v>
      </c>
      <c r="C129" t="s">
        <v>128</v>
      </c>
      <c r="D129" s="9">
        <v>40921.45212962963</v>
      </c>
      <c r="E129" t="s">
        <v>112</v>
      </c>
      <c r="F129">
        <f t="shared" ca="1" si="2"/>
        <v>3.0444444444444443</v>
      </c>
      <c r="G129">
        <f t="shared" ca="1" si="3"/>
        <v>0</v>
      </c>
    </row>
    <row r="130" spans="1:7">
      <c r="A130">
        <v>4480</v>
      </c>
      <c r="B130" t="s">
        <v>23</v>
      </c>
      <c r="C130" t="s">
        <v>128</v>
      </c>
      <c r="D130" s="9">
        <v>40927.487280092595</v>
      </c>
      <c r="E130" t="s">
        <v>104</v>
      </c>
      <c r="F130">
        <f t="shared" ca="1" si="2"/>
        <v>3.0277777777777777</v>
      </c>
      <c r="G130">
        <f t="shared" ca="1" si="3"/>
        <v>0</v>
      </c>
    </row>
    <row r="131" spans="1:7">
      <c r="A131">
        <v>4501</v>
      </c>
      <c r="B131" t="s">
        <v>34</v>
      </c>
      <c r="C131" t="s">
        <v>128</v>
      </c>
      <c r="D131" s="9">
        <v>40934.809502314813</v>
      </c>
      <c r="E131" t="s">
        <v>99</v>
      </c>
      <c r="F131">
        <f t="shared" ref="F131:F194" ca="1" si="4">YEARFRAC(TODAY(),$D131)</f>
        <v>3.0083333333333333</v>
      </c>
      <c r="G131">
        <f t="shared" ref="G131:G194" ca="1" si="5">IF($F131&lt;1,1,0)</f>
        <v>0</v>
      </c>
    </row>
    <row r="132" spans="1:7">
      <c r="A132">
        <v>4503</v>
      </c>
      <c r="B132" t="s">
        <v>23</v>
      </c>
      <c r="C132" t="s">
        <v>128</v>
      </c>
      <c r="D132" s="9">
        <v>40926.690763888888</v>
      </c>
      <c r="E132" t="s">
        <v>36</v>
      </c>
      <c r="F132">
        <f t="shared" ca="1" si="4"/>
        <v>3.0305555555555554</v>
      </c>
      <c r="G132">
        <f t="shared" ca="1" si="5"/>
        <v>0</v>
      </c>
    </row>
    <row r="133" spans="1:7">
      <c r="A133">
        <v>4520</v>
      </c>
      <c r="B133" t="s">
        <v>37</v>
      </c>
      <c r="C133" t="s">
        <v>128</v>
      </c>
      <c r="D133" s="9">
        <v>40927.571446759262</v>
      </c>
      <c r="E133" t="s">
        <v>143</v>
      </c>
      <c r="F133">
        <f t="shared" ca="1" si="4"/>
        <v>3.0277777777777777</v>
      </c>
      <c r="G133">
        <f t="shared" ca="1" si="5"/>
        <v>0</v>
      </c>
    </row>
    <row r="134" spans="1:7">
      <c r="A134">
        <v>4549</v>
      </c>
      <c r="B134" t="s">
        <v>19</v>
      </c>
      <c r="C134" t="s">
        <v>128</v>
      </c>
      <c r="D134" s="9">
        <v>40942.493796296294</v>
      </c>
      <c r="E134" t="s">
        <v>8</v>
      </c>
      <c r="F134">
        <f t="shared" ca="1" si="4"/>
        <v>2.9888888888888889</v>
      </c>
      <c r="G134">
        <f t="shared" ca="1" si="5"/>
        <v>0</v>
      </c>
    </row>
    <row r="135" spans="1:7">
      <c r="A135">
        <v>4550</v>
      </c>
      <c r="B135" t="s">
        <v>23</v>
      </c>
      <c r="C135" t="s">
        <v>128</v>
      </c>
      <c r="D135" s="9">
        <v>40926.876331018517</v>
      </c>
      <c r="E135" t="s">
        <v>38</v>
      </c>
      <c r="F135">
        <f t="shared" ca="1" si="4"/>
        <v>3.0305555555555554</v>
      </c>
      <c r="G135">
        <f t="shared" ca="1" si="5"/>
        <v>0</v>
      </c>
    </row>
    <row r="136" spans="1:7">
      <c r="A136">
        <v>4557</v>
      </c>
      <c r="B136" t="s">
        <v>23</v>
      </c>
      <c r="C136" t="s">
        <v>128</v>
      </c>
      <c r="D136" s="9">
        <v>40937.867881944447</v>
      </c>
      <c r="E136" t="s">
        <v>36</v>
      </c>
      <c r="F136">
        <f t="shared" ca="1" si="4"/>
        <v>3</v>
      </c>
      <c r="G136">
        <f t="shared" ca="1" si="5"/>
        <v>0</v>
      </c>
    </row>
    <row r="137" spans="1:7">
      <c r="A137">
        <v>4566</v>
      </c>
      <c r="B137" t="s">
        <v>8</v>
      </c>
      <c r="C137" t="s">
        <v>128</v>
      </c>
      <c r="D137" s="9">
        <v>40940.644606481481</v>
      </c>
      <c r="E137" t="s">
        <v>38</v>
      </c>
      <c r="F137">
        <f t="shared" ca="1" si="4"/>
        <v>2.9944444444444445</v>
      </c>
      <c r="G137">
        <f t="shared" ca="1" si="5"/>
        <v>0</v>
      </c>
    </row>
    <row r="138" spans="1:7">
      <c r="A138">
        <v>4572</v>
      </c>
      <c r="B138" t="s">
        <v>23</v>
      </c>
      <c r="C138" t="s">
        <v>128</v>
      </c>
      <c r="D138" s="9">
        <v>40934.812071759261</v>
      </c>
      <c r="E138" t="s">
        <v>99</v>
      </c>
      <c r="F138">
        <f t="shared" ca="1" si="4"/>
        <v>3.0083333333333333</v>
      </c>
      <c r="G138">
        <f t="shared" ca="1" si="5"/>
        <v>0</v>
      </c>
    </row>
    <row r="139" spans="1:7">
      <c r="A139">
        <v>4604</v>
      </c>
      <c r="B139" t="s">
        <v>19</v>
      </c>
      <c r="C139" t="s">
        <v>128</v>
      </c>
      <c r="D139" s="9">
        <v>40931.78392361111</v>
      </c>
      <c r="E139" t="s">
        <v>27</v>
      </c>
      <c r="F139">
        <f t="shared" ca="1" si="4"/>
        <v>3.0166666666666666</v>
      </c>
      <c r="G139">
        <f t="shared" ca="1" si="5"/>
        <v>0</v>
      </c>
    </row>
    <row r="140" spans="1:7">
      <c r="A140">
        <v>4614</v>
      </c>
      <c r="B140" t="s">
        <v>99</v>
      </c>
      <c r="C140" t="s">
        <v>128</v>
      </c>
      <c r="D140" s="9">
        <v>41621.611666666664</v>
      </c>
      <c r="E140" t="s">
        <v>19</v>
      </c>
      <c r="F140">
        <f t="shared" ca="1" si="4"/>
        <v>1.1277777777777778</v>
      </c>
      <c r="G140">
        <f t="shared" ca="1" si="5"/>
        <v>0</v>
      </c>
    </row>
    <row r="141" spans="1:7">
      <c r="A141">
        <v>4651</v>
      </c>
      <c r="B141" t="s">
        <v>38</v>
      </c>
      <c r="C141" t="s">
        <v>128</v>
      </c>
      <c r="D141" s="9">
        <v>40939.846504629626</v>
      </c>
      <c r="E141" t="s">
        <v>27</v>
      </c>
      <c r="F141">
        <f t="shared" ca="1" si="4"/>
        <v>2.9972222222222222</v>
      </c>
      <c r="G141">
        <f t="shared" ca="1" si="5"/>
        <v>0</v>
      </c>
    </row>
    <row r="142" spans="1:7">
      <c r="A142">
        <v>4662</v>
      </c>
      <c r="B142" t="s">
        <v>99</v>
      </c>
      <c r="C142" t="s">
        <v>128</v>
      </c>
      <c r="D142" s="9">
        <v>40938.806701388887</v>
      </c>
      <c r="E142" t="s">
        <v>36</v>
      </c>
      <c r="F142">
        <f t="shared" ca="1" si="4"/>
        <v>2.9972222222222222</v>
      </c>
      <c r="G142">
        <f t="shared" ca="1" si="5"/>
        <v>0</v>
      </c>
    </row>
    <row r="143" spans="1:7">
      <c r="A143">
        <v>4752</v>
      </c>
      <c r="B143" t="s">
        <v>99</v>
      </c>
      <c r="C143" t="s">
        <v>127</v>
      </c>
      <c r="D143" s="9">
        <v>41029.460069444445</v>
      </c>
      <c r="E143" t="s">
        <v>8</v>
      </c>
      <c r="F143">
        <f t="shared" ca="1" si="4"/>
        <v>2.7472222222222222</v>
      </c>
      <c r="G143">
        <f t="shared" ca="1" si="5"/>
        <v>0</v>
      </c>
    </row>
    <row r="144" spans="1:7">
      <c r="A144">
        <v>4754</v>
      </c>
      <c r="B144" t="s">
        <v>8</v>
      </c>
      <c r="C144" t="s">
        <v>127</v>
      </c>
      <c r="D144" s="9">
        <v>41029.801388888889</v>
      </c>
      <c r="E144" t="s">
        <v>38</v>
      </c>
      <c r="F144">
        <f t="shared" ca="1" si="4"/>
        <v>2.7472222222222222</v>
      </c>
      <c r="G144">
        <f t="shared" ca="1" si="5"/>
        <v>0</v>
      </c>
    </row>
    <row r="145" spans="1:7">
      <c r="A145">
        <v>4802</v>
      </c>
      <c r="B145" t="s">
        <v>11</v>
      </c>
      <c r="C145" t="s">
        <v>127</v>
      </c>
      <c r="D145" s="9">
        <v>41029.495358796295</v>
      </c>
      <c r="E145" t="s">
        <v>8</v>
      </c>
      <c r="F145">
        <f t="shared" ca="1" si="4"/>
        <v>2.7472222222222222</v>
      </c>
      <c r="G145">
        <f t="shared" ca="1" si="5"/>
        <v>0</v>
      </c>
    </row>
    <row r="146" spans="1:7">
      <c r="A146">
        <v>4874</v>
      </c>
      <c r="B146" t="s">
        <v>38</v>
      </c>
      <c r="C146" t="s">
        <v>127</v>
      </c>
      <c r="D146" s="9">
        <v>41029.458182870374</v>
      </c>
      <c r="E146" t="s">
        <v>8</v>
      </c>
      <c r="F146">
        <f t="shared" ca="1" si="4"/>
        <v>2.7472222222222222</v>
      </c>
      <c r="G146">
        <f t="shared" ca="1" si="5"/>
        <v>0</v>
      </c>
    </row>
    <row r="147" spans="1:7">
      <c r="A147">
        <v>4877</v>
      </c>
      <c r="B147" t="s">
        <v>51</v>
      </c>
      <c r="C147" t="s">
        <v>122</v>
      </c>
      <c r="D147" s="9">
        <v>41416.490057870367</v>
      </c>
      <c r="E147" t="s">
        <v>34</v>
      </c>
      <c r="F147">
        <f t="shared" ca="1" si="4"/>
        <v>1.6861111111111111</v>
      </c>
      <c r="G147">
        <f t="shared" ca="1" si="5"/>
        <v>0</v>
      </c>
    </row>
    <row r="148" spans="1:7">
      <c r="A148">
        <v>4914</v>
      </c>
      <c r="B148" t="s">
        <v>8</v>
      </c>
      <c r="C148" t="s">
        <v>127</v>
      </c>
      <c r="D148" s="9">
        <v>41029.462280092594</v>
      </c>
      <c r="E148" t="s">
        <v>34</v>
      </c>
      <c r="F148">
        <f t="shared" ca="1" si="4"/>
        <v>2.7472222222222222</v>
      </c>
      <c r="G148">
        <f t="shared" ca="1" si="5"/>
        <v>0</v>
      </c>
    </row>
    <row r="149" spans="1:7">
      <c r="A149">
        <v>4922</v>
      </c>
      <c r="B149" t="s">
        <v>44</v>
      </c>
      <c r="C149" t="s">
        <v>127</v>
      </c>
      <c r="D149" s="9">
        <v>41029.605520833335</v>
      </c>
      <c r="E149" t="s">
        <v>8</v>
      </c>
      <c r="F149">
        <f t="shared" ca="1" si="4"/>
        <v>2.7472222222222222</v>
      </c>
      <c r="G149">
        <f t="shared" ca="1" si="5"/>
        <v>0</v>
      </c>
    </row>
    <row r="150" spans="1:7">
      <c r="A150">
        <v>4940</v>
      </c>
      <c r="B150" t="s">
        <v>44</v>
      </c>
      <c r="C150" t="s">
        <v>127</v>
      </c>
      <c r="D150" s="9">
        <v>41033.703217592592</v>
      </c>
      <c r="E150" t="s">
        <v>8</v>
      </c>
      <c r="F150">
        <f t="shared" ca="1" si="4"/>
        <v>2.7361111111111112</v>
      </c>
      <c r="G150">
        <f t="shared" ca="1" si="5"/>
        <v>0</v>
      </c>
    </row>
    <row r="151" spans="1:7">
      <c r="A151">
        <v>4951</v>
      </c>
      <c r="B151" t="s">
        <v>8</v>
      </c>
      <c r="C151" t="s">
        <v>168</v>
      </c>
      <c r="D151" s="9">
        <v>40982.341944444444</v>
      </c>
      <c r="E151" t="s">
        <v>34</v>
      </c>
      <c r="F151">
        <f t="shared" ca="1" si="4"/>
        <v>2.875</v>
      </c>
      <c r="G151">
        <f t="shared" ca="1" si="5"/>
        <v>0</v>
      </c>
    </row>
    <row r="152" spans="1:7">
      <c r="A152">
        <v>4975</v>
      </c>
      <c r="B152" t="s">
        <v>8</v>
      </c>
      <c r="C152" t="s">
        <v>127</v>
      </c>
      <c r="D152" s="9">
        <v>41029.552546296298</v>
      </c>
      <c r="E152" t="s">
        <v>112</v>
      </c>
      <c r="F152">
        <f t="shared" ca="1" si="4"/>
        <v>2.7472222222222222</v>
      </c>
      <c r="G152">
        <f t="shared" ca="1" si="5"/>
        <v>0</v>
      </c>
    </row>
    <row r="153" spans="1:7">
      <c r="A153">
        <v>4982</v>
      </c>
      <c r="B153" t="s">
        <v>99</v>
      </c>
      <c r="C153" t="s">
        <v>127</v>
      </c>
      <c r="D153" s="9">
        <v>41029.605752314812</v>
      </c>
      <c r="E153" t="s">
        <v>19</v>
      </c>
      <c r="F153">
        <f t="shared" ca="1" si="4"/>
        <v>2.7472222222222222</v>
      </c>
      <c r="G153">
        <f t="shared" ca="1" si="5"/>
        <v>0</v>
      </c>
    </row>
    <row r="154" spans="1:7">
      <c r="A154">
        <v>5026</v>
      </c>
      <c r="B154" t="s">
        <v>44</v>
      </c>
      <c r="C154" t="s">
        <v>127</v>
      </c>
      <c r="D154" s="9">
        <v>41033.501770833333</v>
      </c>
      <c r="E154" t="s">
        <v>8</v>
      </c>
      <c r="F154">
        <f t="shared" ca="1" si="4"/>
        <v>2.7361111111111112</v>
      </c>
      <c r="G154">
        <f t="shared" ca="1" si="5"/>
        <v>0</v>
      </c>
    </row>
    <row r="155" spans="1:7">
      <c r="A155">
        <v>5094</v>
      </c>
      <c r="B155" t="s">
        <v>8</v>
      </c>
      <c r="C155" t="s">
        <v>127</v>
      </c>
      <c r="D155" s="9">
        <v>41033.703206018516</v>
      </c>
      <c r="E155" t="s">
        <v>11</v>
      </c>
      <c r="F155">
        <f t="shared" ca="1" si="4"/>
        <v>2.7361111111111112</v>
      </c>
      <c r="G155">
        <f t="shared" ca="1" si="5"/>
        <v>0</v>
      </c>
    </row>
    <row r="156" spans="1:7">
      <c r="A156">
        <v>5102</v>
      </c>
      <c r="B156" t="s">
        <v>23</v>
      </c>
      <c r="C156" t="s">
        <v>121</v>
      </c>
      <c r="D156" s="9">
        <v>41411.646261574075</v>
      </c>
      <c r="E156" t="s">
        <v>19</v>
      </c>
      <c r="F156">
        <f t="shared" ca="1" si="4"/>
        <v>1.7</v>
      </c>
      <c r="G156">
        <f t="shared" ca="1" si="5"/>
        <v>0</v>
      </c>
    </row>
    <row r="157" spans="1:7">
      <c r="A157">
        <v>5106</v>
      </c>
      <c r="B157" t="s">
        <v>8</v>
      </c>
      <c r="C157" t="s">
        <v>127</v>
      </c>
      <c r="D157" s="9">
        <v>41029.464803240742</v>
      </c>
      <c r="E157" t="s">
        <v>34</v>
      </c>
      <c r="F157">
        <f t="shared" ca="1" si="4"/>
        <v>2.7472222222222222</v>
      </c>
      <c r="G157">
        <f t="shared" ca="1" si="5"/>
        <v>0</v>
      </c>
    </row>
    <row r="158" spans="1:7">
      <c r="A158">
        <v>5111</v>
      </c>
      <c r="B158" t="s">
        <v>8</v>
      </c>
      <c r="C158" t="s">
        <v>127</v>
      </c>
      <c r="D158" s="9">
        <v>41029.716608796298</v>
      </c>
      <c r="E158" t="s">
        <v>23</v>
      </c>
      <c r="F158">
        <f t="shared" ca="1" si="4"/>
        <v>2.7472222222222222</v>
      </c>
      <c r="G158">
        <f t="shared" ca="1" si="5"/>
        <v>0</v>
      </c>
    </row>
    <row r="159" spans="1:7">
      <c r="A159">
        <v>5113</v>
      </c>
      <c r="B159" t="s">
        <v>8</v>
      </c>
      <c r="C159" t="s">
        <v>127</v>
      </c>
      <c r="D159" s="9">
        <v>41029.455752314818</v>
      </c>
      <c r="E159" t="s">
        <v>30</v>
      </c>
      <c r="F159">
        <f t="shared" ca="1" si="4"/>
        <v>2.7472222222222222</v>
      </c>
      <c r="G159">
        <f t="shared" ca="1" si="5"/>
        <v>0</v>
      </c>
    </row>
    <row r="160" spans="1:7">
      <c r="A160">
        <v>5131</v>
      </c>
      <c r="B160" t="s">
        <v>8</v>
      </c>
      <c r="C160" t="s">
        <v>127</v>
      </c>
      <c r="D160" s="9">
        <v>41029.470219907409</v>
      </c>
      <c r="E160" t="s">
        <v>34</v>
      </c>
      <c r="F160">
        <f t="shared" ca="1" si="4"/>
        <v>2.7472222222222222</v>
      </c>
      <c r="G160">
        <f t="shared" ca="1" si="5"/>
        <v>0</v>
      </c>
    </row>
    <row r="161" spans="1:7">
      <c r="A161">
        <v>5153</v>
      </c>
      <c r="B161" t="s">
        <v>8</v>
      </c>
      <c r="C161" t="s">
        <v>127</v>
      </c>
      <c r="D161" s="9">
        <v>41029.466874999998</v>
      </c>
      <c r="E161" t="s">
        <v>34</v>
      </c>
      <c r="F161">
        <f t="shared" ca="1" si="4"/>
        <v>2.7472222222222222</v>
      </c>
      <c r="G161">
        <f t="shared" ca="1" si="5"/>
        <v>0</v>
      </c>
    </row>
    <row r="162" spans="1:7">
      <c r="A162">
        <v>5155</v>
      </c>
      <c r="B162" t="s">
        <v>8</v>
      </c>
      <c r="C162" t="s">
        <v>127</v>
      </c>
      <c r="D162" s="9">
        <v>41029.45884259259</v>
      </c>
      <c r="E162" t="s">
        <v>30</v>
      </c>
      <c r="F162">
        <f t="shared" ca="1" si="4"/>
        <v>2.7472222222222222</v>
      </c>
      <c r="G162">
        <f t="shared" ca="1" si="5"/>
        <v>0</v>
      </c>
    </row>
    <row r="163" spans="1:7">
      <c r="A163">
        <v>5157</v>
      </c>
      <c r="B163" t="s">
        <v>8</v>
      </c>
      <c r="C163" t="s">
        <v>118</v>
      </c>
      <c r="D163" s="9">
        <v>41736.335659722223</v>
      </c>
      <c r="E163" t="s">
        <v>44</v>
      </c>
      <c r="F163">
        <f t="shared" ca="1" si="4"/>
        <v>0.81111111111111112</v>
      </c>
      <c r="G163">
        <f t="shared" ca="1" si="5"/>
        <v>1</v>
      </c>
    </row>
    <row r="164" spans="1:7">
      <c r="A164">
        <v>5172</v>
      </c>
      <c r="B164" t="s">
        <v>37</v>
      </c>
      <c r="C164" t="s">
        <v>127</v>
      </c>
      <c r="D164" s="9">
        <v>41033.703703703701</v>
      </c>
      <c r="E164" t="s">
        <v>8</v>
      </c>
      <c r="F164">
        <f t="shared" ca="1" si="4"/>
        <v>2.7361111111111112</v>
      </c>
      <c r="G164">
        <f t="shared" ca="1" si="5"/>
        <v>0</v>
      </c>
    </row>
    <row r="165" spans="1:7">
      <c r="A165">
        <v>5175</v>
      </c>
      <c r="B165" t="s">
        <v>37</v>
      </c>
      <c r="C165" t="s">
        <v>127</v>
      </c>
      <c r="D165" s="9">
        <v>41033.703287037039</v>
      </c>
      <c r="E165" t="s">
        <v>143</v>
      </c>
      <c r="F165">
        <f t="shared" ca="1" si="4"/>
        <v>2.7361111111111112</v>
      </c>
      <c r="G165">
        <f t="shared" ca="1" si="5"/>
        <v>0</v>
      </c>
    </row>
    <row r="166" spans="1:7">
      <c r="A166">
        <v>5176</v>
      </c>
      <c r="B166" t="s">
        <v>8</v>
      </c>
      <c r="C166" t="s">
        <v>127</v>
      </c>
      <c r="D166" s="9">
        <v>41033.703229166669</v>
      </c>
      <c r="E166" t="s">
        <v>38</v>
      </c>
      <c r="F166">
        <f t="shared" ca="1" si="4"/>
        <v>2.7361111111111112</v>
      </c>
      <c r="G166">
        <f t="shared" ca="1" si="5"/>
        <v>0</v>
      </c>
    </row>
    <row r="167" spans="1:7">
      <c r="A167">
        <v>5179</v>
      </c>
      <c r="B167" t="s">
        <v>8</v>
      </c>
      <c r="C167" t="s">
        <v>127</v>
      </c>
      <c r="D167" s="9">
        <v>41033.703275462962</v>
      </c>
      <c r="E167" t="s">
        <v>11</v>
      </c>
      <c r="F167">
        <f t="shared" ca="1" si="4"/>
        <v>2.7361111111111112</v>
      </c>
      <c r="G167">
        <f t="shared" ca="1" si="5"/>
        <v>0</v>
      </c>
    </row>
    <row r="168" spans="1:7">
      <c r="A168">
        <v>5182</v>
      </c>
      <c r="B168" t="s">
        <v>34</v>
      </c>
      <c r="C168" t="s">
        <v>127</v>
      </c>
      <c r="D168" s="9">
        <v>41033.7033912037</v>
      </c>
      <c r="E168" t="s">
        <v>99</v>
      </c>
      <c r="F168">
        <f t="shared" ca="1" si="4"/>
        <v>2.7361111111111112</v>
      </c>
      <c r="G168">
        <f t="shared" ca="1" si="5"/>
        <v>0</v>
      </c>
    </row>
    <row r="169" spans="1:7">
      <c r="A169">
        <v>5202</v>
      </c>
      <c r="B169" t="s">
        <v>32</v>
      </c>
      <c r="C169" t="s">
        <v>127</v>
      </c>
      <c r="D169" s="9">
        <v>41033.703900462962</v>
      </c>
      <c r="E169" t="s">
        <v>20</v>
      </c>
      <c r="F169">
        <f t="shared" ca="1" si="4"/>
        <v>2.7361111111111112</v>
      </c>
      <c r="G169">
        <f t="shared" ca="1" si="5"/>
        <v>0</v>
      </c>
    </row>
    <row r="170" spans="1:7">
      <c r="A170">
        <v>5203</v>
      </c>
      <c r="B170" t="s">
        <v>8</v>
      </c>
      <c r="C170" t="s">
        <v>127</v>
      </c>
      <c r="D170" s="9">
        <v>41033.703981481478</v>
      </c>
      <c r="E170" t="s">
        <v>34</v>
      </c>
      <c r="F170">
        <f t="shared" ca="1" si="4"/>
        <v>2.7361111111111112</v>
      </c>
      <c r="G170">
        <f t="shared" ca="1" si="5"/>
        <v>0</v>
      </c>
    </row>
    <row r="171" spans="1:7">
      <c r="A171">
        <v>5215</v>
      </c>
      <c r="B171" t="s">
        <v>8</v>
      </c>
      <c r="C171" t="s">
        <v>127</v>
      </c>
      <c r="D171" s="9">
        <v>41033.703668981485</v>
      </c>
      <c r="E171" t="s">
        <v>99</v>
      </c>
      <c r="F171">
        <f t="shared" ca="1" si="4"/>
        <v>2.7361111111111112</v>
      </c>
      <c r="G171">
        <f t="shared" ca="1" si="5"/>
        <v>0</v>
      </c>
    </row>
    <row r="172" spans="1:7">
      <c r="A172">
        <v>5217</v>
      </c>
      <c r="B172" t="s">
        <v>8</v>
      </c>
      <c r="C172" t="s">
        <v>127</v>
      </c>
      <c r="D172" s="9">
        <v>41033.703668981485</v>
      </c>
      <c r="E172" t="s">
        <v>99</v>
      </c>
      <c r="F172">
        <f t="shared" ca="1" si="4"/>
        <v>2.7361111111111112</v>
      </c>
      <c r="G172">
        <f t="shared" ca="1" si="5"/>
        <v>0</v>
      </c>
    </row>
    <row r="173" spans="1:7">
      <c r="A173">
        <v>5219</v>
      </c>
      <c r="B173" t="s">
        <v>37</v>
      </c>
      <c r="C173" t="s">
        <v>127</v>
      </c>
      <c r="D173" s="9">
        <v>41033.703750000001</v>
      </c>
      <c r="E173" t="s">
        <v>36</v>
      </c>
      <c r="F173">
        <f t="shared" ca="1" si="4"/>
        <v>2.7361111111111112</v>
      </c>
      <c r="G173">
        <f t="shared" ca="1" si="5"/>
        <v>0</v>
      </c>
    </row>
    <row r="174" spans="1:7">
      <c r="A174">
        <v>5224</v>
      </c>
      <c r="B174" t="s">
        <v>27</v>
      </c>
      <c r="C174" t="s">
        <v>127</v>
      </c>
      <c r="D174" s="9">
        <v>41033.703969907408</v>
      </c>
      <c r="E174" t="s">
        <v>8</v>
      </c>
      <c r="F174">
        <f t="shared" ca="1" si="4"/>
        <v>2.7361111111111112</v>
      </c>
      <c r="G174">
        <f t="shared" ca="1" si="5"/>
        <v>0</v>
      </c>
    </row>
    <row r="175" spans="1:7">
      <c r="A175">
        <v>5236</v>
      </c>
      <c r="B175" t="s">
        <v>20</v>
      </c>
      <c r="C175" t="s">
        <v>127</v>
      </c>
      <c r="D175" s="9">
        <v>41033.703935185185</v>
      </c>
      <c r="E175" t="s">
        <v>27</v>
      </c>
      <c r="F175">
        <f t="shared" ca="1" si="4"/>
        <v>2.7361111111111112</v>
      </c>
      <c r="G175">
        <f t="shared" ca="1" si="5"/>
        <v>0</v>
      </c>
    </row>
    <row r="176" spans="1:7">
      <c r="A176">
        <v>5239</v>
      </c>
      <c r="B176" t="s">
        <v>23</v>
      </c>
      <c r="C176" t="s">
        <v>127</v>
      </c>
      <c r="D176" s="9">
        <v>41033.703865740739</v>
      </c>
      <c r="E176" t="s">
        <v>36</v>
      </c>
      <c r="F176">
        <f t="shared" ca="1" si="4"/>
        <v>2.7361111111111112</v>
      </c>
      <c r="G176">
        <f t="shared" ca="1" si="5"/>
        <v>0</v>
      </c>
    </row>
    <row r="177" spans="1:7">
      <c r="A177">
        <v>5318</v>
      </c>
      <c r="B177" t="s">
        <v>23</v>
      </c>
      <c r="C177" t="s">
        <v>126</v>
      </c>
      <c r="D177" s="9">
        <v>41128.767245370371</v>
      </c>
      <c r="E177" t="s">
        <v>36</v>
      </c>
      <c r="F177">
        <f t="shared" ca="1" si="4"/>
        <v>2.4777777777777779</v>
      </c>
      <c r="G177">
        <f t="shared" ca="1" si="5"/>
        <v>0</v>
      </c>
    </row>
    <row r="178" spans="1:7">
      <c r="A178">
        <v>5495</v>
      </c>
      <c r="B178" t="s">
        <v>19</v>
      </c>
      <c r="C178" t="s">
        <v>126</v>
      </c>
      <c r="D178" s="9">
        <v>41127.472696759258</v>
      </c>
      <c r="E178" t="s">
        <v>8</v>
      </c>
      <c r="F178">
        <f t="shared" ca="1" si="4"/>
        <v>2.4805555555555556</v>
      </c>
      <c r="G178">
        <f t="shared" ca="1" si="5"/>
        <v>0</v>
      </c>
    </row>
    <row r="179" spans="1:7">
      <c r="A179">
        <v>5496</v>
      </c>
      <c r="B179" t="s">
        <v>34</v>
      </c>
      <c r="C179" t="s">
        <v>126</v>
      </c>
      <c r="D179" s="9">
        <v>41127.473113425927</v>
      </c>
      <c r="E179" t="s">
        <v>8</v>
      </c>
      <c r="F179">
        <f t="shared" ca="1" si="4"/>
        <v>2.4805555555555556</v>
      </c>
      <c r="G179">
        <f t="shared" ca="1" si="5"/>
        <v>0</v>
      </c>
    </row>
    <row r="180" spans="1:7">
      <c r="A180">
        <v>5498</v>
      </c>
      <c r="B180" t="s">
        <v>34</v>
      </c>
      <c r="C180" t="s">
        <v>126</v>
      </c>
      <c r="D180" s="9">
        <v>41127.473726851851</v>
      </c>
      <c r="E180" t="s">
        <v>8</v>
      </c>
      <c r="F180">
        <f t="shared" ca="1" si="4"/>
        <v>2.4805555555555556</v>
      </c>
      <c r="G180">
        <f t="shared" ca="1" si="5"/>
        <v>0</v>
      </c>
    </row>
    <row r="181" spans="1:7">
      <c r="A181">
        <v>5499</v>
      </c>
      <c r="B181" t="s">
        <v>143</v>
      </c>
      <c r="C181" t="s">
        <v>126</v>
      </c>
      <c r="D181" s="9">
        <v>41127.474722222221</v>
      </c>
      <c r="E181" t="s">
        <v>8</v>
      </c>
      <c r="F181">
        <f t="shared" ca="1" si="4"/>
        <v>2.4805555555555556</v>
      </c>
      <c r="G181">
        <f t="shared" ca="1" si="5"/>
        <v>0</v>
      </c>
    </row>
    <row r="182" spans="1:7">
      <c r="A182">
        <v>5500</v>
      </c>
      <c r="B182" t="s">
        <v>143</v>
      </c>
      <c r="C182" t="s">
        <v>126</v>
      </c>
      <c r="D182" s="9">
        <v>41127.474907407406</v>
      </c>
      <c r="E182" t="s">
        <v>8</v>
      </c>
      <c r="F182">
        <f t="shared" ca="1" si="4"/>
        <v>2.4805555555555556</v>
      </c>
      <c r="G182">
        <f t="shared" ca="1" si="5"/>
        <v>0</v>
      </c>
    </row>
    <row r="183" spans="1:7">
      <c r="A183">
        <v>5501</v>
      </c>
      <c r="B183" t="s">
        <v>143</v>
      </c>
      <c r="C183" t="s">
        <v>126</v>
      </c>
      <c r="D183" s="9">
        <v>41127.475057870368</v>
      </c>
      <c r="E183" t="s">
        <v>8</v>
      </c>
      <c r="F183">
        <f t="shared" ca="1" si="4"/>
        <v>2.4805555555555556</v>
      </c>
      <c r="G183">
        <f t="shared" ca="1" si="5"/>
        <v>0</v>
      </c>
    </row>
    <row r="184" spans="1:7">
      <c r="A184">
        <v>5502</v>
      </c>
      <c r="B184" t="s">
        <v>143</v>
      </c>
      <c r="C184" t="s">
        <v>126</v>
      </c>
      <c r="D184" s="9">
        <v>41127.475659722222</v>
      </c>
      <c r="E184" t="s">
        <v>8</v>
      </c>
      <c r="F184">
        <f t="shared" ca="1" si="4"/>
        <v>2.4805555555555556</v>
      </c>
      <c r="G184">
        <f t="shared" ca="1" si="5"/>
        <v>0</v>
      </c>
    </row>
    <row r="185" spans="1:7">
      <c r="A185">
        <v>5505</v>
      </c>
      <c r="B185" t="s">
        <v>19</v>
      </c>
      <c r="C185" t="s">
        <v>126</v>
      </c>
      <c r="D185" s="9">
        <v>41127.478043981479</v>
      </c>
      <c r="E185" t="s">
        <v>8</v>
      </c>
      <c r="F185">
        <f t="shared" ca="1" si="4"/>
        <v>2.4805555555555556</v>
      </c>
      <c r="G185">
        <f t="shared" ca="1" si="5"/>
        <v>0</v>
      </c>
    </row>
    <row r="186" spans="1:7">
      <c r="A186">
        <v>5507</v>
      </c>
      <c r="B186" t="s">
        <v>37</v>
      </c>
      <c r="C186" t="s">
        <v>126</v>
      </c>
      <c r="D186" s="9">
        <v>41135.82298611111</v>
      </c>
      <c r="E186" t="s">
        <v>8</v>
      </c>
      <c r="F186">
        <f t="shared" ca="1" si="4"/>
        <v>2.4583333333333335</v>
      </c>
      <c r="G186">
        <f t="shared" ca="1" si="5"/>
        <v>0</v>
      </c>
    </row>
    <row r="187" spans="1:7">
      <c r="A187">
        <v>5508</v>
      </c>
      <c r="B187" t="s">
        <v>37</v>
      </c>
      <c r="C187" t="s">
        <v>126</v>
      </c>
      <c r="D187" s="9">
        <v>41135.82298611111</v>
      </c>
      <c r="E187" t="s">
        <v>8</v>
      </c>
      <c r="F187">
        <f t="shared" ca="1" si="4"/>
        <v>2.4583333333333335</v>
      </c>
      <c r="G187">
        <f t="shared" ca="1" si="5"/>
        <v>0</v>
      </c>
    </row>
    <row r="188" spans="1:7">
      <c r="A188">
        <v>5509</v>
      </c>
      <c r="B188" t="s">
        <v>37</v>
      </c>
      <c r="C188" t="s">
        <v>126</v>
      </c>
      <c r="D188" s="9">
        <v>41127.479953703703</v>
      </c>
      <c r="E188" t="s">
        <v>8</v>
      </c>
      <c r="F188">
        <f t="shared" ca="1" si="4"/>
        <v>2.4805555555555556</v>
      </c>
      <c r="G188">
        <f t="shared" ca="1" si="5"/>
        <v>0</v>
      </c>
    </row>
    <row r="189" spans="1:7">
      <c r="A189">
        <v>5510</v>
      </c>
      <c r="B189" t="s">
        <v>8</v>
      </c>
      <c r="C189" t="s">
        <v>126</v>
      </c>
      <c r="D189" s="9">
        <v>41127.577094907407</v>
      </c>
      <c r="E189" t="s">
        <v>19</v>
      </c>
      <c r="F189">
        <f t="shared" ca="1" si="4"/>
        <v>2.4805555555555556</v>
      </c>
      <c r="G189">
        <f t="shared" ca="1" si="5"/>
        <v>0</v>
      </c>
    </row>
    <row r="190" spans="1:7">
      <c r="A190">
        <v>5512</v>
      </c>
      <c r="B190" t="s">
        <v>8</v>
      </c>
      <c r="C190" t="s">
        <v>126</v>
      </c>
      <c r="D190" s="9">
        <v>41127.577361111114</v>
      </c>
      <c r="E190" t="s">
        <v>19</v>
      </c>
      <c r="F190">
        <f t="shared" ca="1" si="4"/>
        <v>2.4805555555555556</v>
      </c>
      <c r="G190">
        <f t="shared" ca="1" si="5"/>
        <v>0</v>
      </c>
    </row>
    <row r="191" spans="1:7">
      <c r="A191">
        <v>5513</v>
      </c>
      <c r="B191" t="s">
        <v>8</v>
      </c>
      <c r="C191" t="s">
        <v>123</v>
      </c>
      <c r="D191" s="9">
        <v>41302.413472222222</v>
      </c>
      <c r="E191" t="s">
        <v>112</v>
      </c>
      <c r="F191">
        <f t="shared" ca="1" si="4"/>
        <v>2.0027777777777778</v>
      </c>
      <c r="G191">
        <f t="shared" ca="1" si="5"/>
        <v>0</v>
      </c>
    </row>
    <row r="192" spans="1:7">
      <c r="A192">
        <v>5514</v>
      </c>
      <c r="B192" t="s">
        <v>8</v>
      </c>
      <c r="C192" t="s">
        <v>126</v>
      </c>
      <c r="D192" s="9">
        <v>41127.578229166669</v>
      </c>
      <c r="E192" t="s">
        <v>19</v>
      </c>
      <c r="F192">
        <f t="shared" ca="1" si="4"/>
        <v>2.4805555555555556</v>
      </c>
      <c r="G192">
        <f t="shared" ca="1" si="5"/>
        <v>0</v>
      </c>
    </row>
    <row r="193" spans="1:7">
      <c r="A193">
        <v>5515</v>
      </c>
      <c r="B193" t="s">
        <v>19</v>
      </c>
      <c r="C193" t="s">
        <v>126</v>
      </c>
      <c r="D193" s="9">
        <v>41127.480590277781</v>
      </c>
      <c r="E193" t="s">
        <v>8</v>
      </c>
      <c r="F193">
        <f t="shared" ca="1" si="4"/>
        <v>2.4805555555555556</v>
      </c>
      <c r="G193">
        <f t="shared" ca="1" si="5"/>
        <v>0</v>
      </c>
    </row>
    <row r="194" spans="1:7">
      <c r="A194">
        <v>5516</v>
      </c>
      <c r="B194" t="s">
        <v>19</v>
      </c>
      <c r="C194" t="s">
        <v>126</v>
      </c>
      <c r="D194" s="9">
        <v>41127.480891203704</v>
      </c>
      <c r="E194" t="s">
        <v>8</v>
      </c>
      <c r="F194">
        <f t="shared" ca="1" si="4"/>
        <v>2.4805555555555556</v>
      </c>
      <c r="G194">
        <f t="shared" ca="1" si="5"/>
        <v>0</v>
      </c>
    </row>
    <row r="195" spans="1:7">
      <c r="A195">
        <v>5517</v>
      </c>
      <c r="B195" t="s">
        <v>19</v>
      </c>
      <c r="C195" t="s">
        <v>126</v>
      </c>
      <c r="D195" s="9">
        <v>41127.481678240743</v>
      </c>
      <c r="E195" t="s">
        <v>8</v>
      </c>
      <c r="F195">
        <f t="shared" ref="F195:F258" ca="1" si="6">YEARFRAC(TODAY(),$D195)</f>
        <v>2.4805555555555556</v>
      </c>
      <c r="G195">
        <f t="shared" ref="G195:G258" ca="1" si="7">IF($F195&lt;1,1,0)</f>
        <v>0</v>
      </c>
    </row>
    <row r="196" spans="1:7">
      <c r="A196">
        <v>5518</v>
      </c>
      <c r="B196" t="s">
        <v>19</v>
      </c>
      <c r="C196" t="s">
        <v>126</v>
      </c>
      <c r="D196" s="9">
        <v>41127.482210648152</v>
      </c>
      <c r="E196" t="s">
        <v>8</v>
      </c>
      <c r="F196">
        <f t="shared" ca="1" si="6"/>
        <v>2.4805555555555556</v>
      </c>
      <c r="G196">
        <f t="shared" ca="1" si="7"/>
        <v>0</v>
      </c>
    </row>
    <row r="197" spans="1:7">
      <c r="A197">
        <v>5519</v>
      </c>
      <c r="B197" t="s">
        <v>19</v>
      </c>
      <c r="C197" t="s">
        <v>126</v>
      </c>
      <c r="D197" s="9">
        <v>41127.488854166666</v>
      </c>
      <c r="E197" t="s">
        <v>8</v>
      </c>
      <c r="F197">
        <f t="shared" ca="1" si="6"/>
        <v>2.4805555555555556</v>
      </c>
      <c r="G197">
        <f t="shared" ca="1" si="7"/>
        <v>0</v>
      </c>
    </row>
    <row r="198" spans="1:7">
      <c r="A198">
        <v>5520</v>
      </c>
      <c r="B198" t="s">
        <v>44</v>
      </c>
      <c r="C198" t="s">
        <v>125</v>
      </c>
      <c r="D198" s="9">
        <v>41211.423437500001</v>
      </c>
      <c r="E198" t="s">
        <v>112</v>
      </c>
      <c r="F198">
        <f t="shared" ca="1" si="6"/>
        <v>2.25</v>
      </c>
      <c r="G198">
        <f t="shared" ca="1" si="7"/>
        <v>0</v>
      </c>
    </row>
    <row r="199" spans="1:7">
      <c r="A199">
        <v>5521</v>
      </c>
      <c r="B199" t="s">
        <v>44</v>
      </c>
      <c r="C199" t="s">
        <v>125</v>
      </c>
      <c r="D199" s="9">
        <v>41211.423761574071</v>
      </c>
      <c r="E199" t="s">
        <v>112</v>
      </c>
      <c r="F199">
        <f t="shared" ca="1" si="6"/>
        <v>2.25</v>
      </c>
      <c r="G199">
        <f t="shared" ca="1" si="7"/>
        <v>0</v>
      </c>
    </row>
    <row r="200" spans="1:7">
      <c r="A200">
        <v>5525</v>
      </c>
      <c r="B200" t="s">
        <v>36</v>
      </c>
      <c r="C200" t="s">
        <v>122</v>
      </c>
      <c r="D200" s="9">
        <v>41334.697974537034</v>
      </c>
      <c r="E200" t="s">
        <v>27</v>
      </c>
      <c r="F200">
        <f t="shared" ca="1" si="6"/>
        <v>1.9111111111111112</v>
      </c>
      <c r="G200">
        <f t="shared" ca="1" si="7"/>
        <v>0</v>
      </c>
    </row>
    <row r="201" spans="1:7">
      <c r="A201">
        <v>5526</v>
      </c>
      <c r="B201" t="s">
        <v>38</v>
      </c>
      <c r="C201" t="s">
        <v>123</v>
      </c>
      <c r="D201" s="9">
        <v>41302.412141203706</v>
      </c>
      <c r="E201" t="s">
        <v>112</v>
      </c>
      <c r="F201">
        <f t="shared" ca="1" si="6"/>
        <v>2.0027777777777778</v>
      </c>
      <c r="G201">
        <f t="shared" ca="1" si="7"/>
        <v>0</v>
      </c>
    </row>
    <row r="202" spans="1:7">
      <c r="A202">
        <v>5530</v>
      </c>
      <c r="B202" t="s">
        <v>111</v>
      </c>
      <c r="C202" t="s">
        <v>126</v>
      </c>
      <c r="D202" s="9">
        <v>41127.489282407405</v>
      </c>
      <c r="E202" t="s">
        <v>8</v>
      </c>
      <c r="F202">
        <f t="shared" ca="1" si="6"/>
        <v>2.4805555555555556</v>
      </c>
      <c r="G202">
        <f t="shared" ca="1" si="7"/>
        <v>0</v>
      </c>
    </row>
    <row r="203" spans="1:7">
      <c r="A203">
        <v>5531</v>
      </c>
      <c r="B203" t="s">
        <v>20</v>
      </c>
      <c r="C203" t="s">
        <v>125</v>
      </c>
      <c r="D203" s="9">
        <v>41211.852511574078</v>
      </c>
      <c r="E203" t="s">
        <v>11</v>
      </c>
      <c r="F203">
        <f t="shared" ca="1" si="6"/>
        <v>2.25</v>
      </c>
      <c r="G203">
        <f t="shared" ca="1" si="7"/>
        <v>0</v>
      </c>
    </row>
    <row r="204" spans="1:7">
      <c r="A204">
        <v>5546</v>
      </c>
      <c r="B204" t="s">
        <v>19</v>
      </c>
      <c r="C204" t="s">
        <v>126</v>
      </c>
      <c r="D204" s="9">
        <v>41127.448831018519</v>
      </c>
      <c r="E204" t="s">
        <v>8</v>
      </c>
      <c r="F204">
        <f t="shared" ca="1" si="6"/>
        <v>2.4805555555555556</v>
      </c>
      <c r="G204">
        <f t="shared" ca="1" si="7"/>
        <v>0</v>
      </c>
    </row>
    <row r="205" spans="1:7">
      <c r="A205">
        <v>5548</v>
      </c>
      <c r="B205" t="s">
        <v>19</v>
      </c>
      <c r="C205" t="s">
        <v>126</v>
      </c>
      <c r="D205" s="9">
        <v>41127.430405092593</v>
      </c>
      <c r="E205" t="s">
        <v>8</v>
      </c>
      <c r="F205">
        <f t="shared" ca="1" si="6"/>
        <v>2.4805555555555556</v>
      </c>
      <c r="G205">
        <f t="shared" ca="1" si="7"/>
        <v>0</v>
      </c>
    </row>
    <row r="206" spans="1:7">
      <c r="A206">
        <v>5637</v>
      </c>
      <c r="B206" t="s">
        <v>8</v>
      </c>
      <c r="C206" t="s">
        <v>126</v>
      </c>
      <c r="D206" s="9">
        <v>41135.822743055556</v>
      </c>
      <c r="E206" t="s">
        <v>19</v>
      </c>
      <c r="F206">
        <f t="shared" ca="1" si="6"/>
        <v>2.4583333333333335</v>
      </c>
      <c r="G206">
        <f t="shared" ca="1" si="7"/>
        <v>0</v>
      </c>
    </row>
    <row r="207" spans="1:7">
      <c r="A207">
        <v>5638</v>
      </c>
      <c r="B207" t="s">
        <v>36</v>
      </c>
      <c r="C207" t="s">
        <v>126</v>
      </c>
      <c r="D207" s="9">
        <v>41127.389467592591</v>
      </c>
      <c r="E207" t="s">
        <v>8</v>
      </c>
      <c r="F207">
        <f t="shared" ca="1" si="6"/>
        <v>2.4805555555555556</v>
      </c>
      <c r="G207">
        <f t="shared" ca="1" si="7"/>
        <v>0</v>
      </c>
    </row>
    <row r="208" spans="1:7">
      <c r="A208">
        <v>5689</v>
      </c>
      <c r="B208" t="s">
        <v>8</v>
      </c>
      <c r="C208" t="s">
        <v>126</v>
      </c>
      <c r="D208" s="9">
        <v>41135.823020833333</v>
      </c>
      <c r="E208" t="s">
        <v>34</v>
      </c>
      <c r="F208">
        <f t="shared" ca="1" si="6"/>
        <v>2.4583333333333335</v>
      </c>
      <c r="G208">
        <f t="shared" ca="1" si="7"/>
        <v>0</v>
      </c>
    </row>
    <row r="209" spans="1:7">
      <c r="A209">
        <v>5700</v>
      </c>
      <c r="B209" t="s">
        <v>8</v>
      </c>
      <c r="C209" t="s">
        <v>126</v>
      </c>
      <c r="D209" s="9">
        <v>41135.823148148149</v>
      </c>
      <c r="E209" t="s">
        <v>27</v>
      </c>
      <c r="F209">
        <f t="shared" ca="1" si="6"/>
        <v>2.4583333333333335</v>
      </c>
      <c r="G209">
        <f t="shared" ca="1" si="7"/>
        <v>0</v>
      </c>
    </row>
    <row r="210" spans="1:7">
      <c r="A210">
        <v>5714</v>
      </c>
      <c r="B210" t="s">
        <v>19</v>
      </c>
      <c r="C210" t="s">
        <v>126</v>
      </c>
      <c r="D210" s="9">
        <v>41135.823206018518</v>
      </c>
      <c r="E210" t="s">
        <v>51</v>
      </c>
      <c r="F210">
        <f t="shared" ca="1" si="6"/>
        <v>2.4583333333333335</v>
      </c>
      <c r="G210">
        <f t="shared" ca="1" si="7"/>
        <v>0</v>
      </c>
    </row>
    <row r="211" spans="1:7">
      <c r="A211">
        <v>5726</v>
      </c>
      <c r="B211" t="s">
        <v>8</v>
      </c>
      <c r="C211" t="s">
        <v>126</v>
      </c>
      <c r="D211" s="9">
        <v>41135.823240740741</v>
      </c>
      <c r="E211" t="s">
        <v>36</v>
      </c>
      <c r="F211">
        <f t="shared" ca="1" si="6"/>
        <v>2.4583333333333335</v>
      </c>
      <c r="G211">
        <f t="shared" ca="1" si="7"/>
        <v>0</v>
      </c>
    </row>
    <row r="212" spans="1:7">
      <c r="A212">
        <v>5760</v>
      </c>
      <c r="B212" t="s">
        <v>8</v>
      </c>
      <c r="C212" t="s">
        <v>125</v>
      </c>
      <c r="D212" s="9">
        <v>41249.882569444446</v>
      </c>
      <c r="E212" t="s">
        <v>36</v>
      </c>
      <c r="F212">
        <f t="shared" ca="1" si="6"/>
        <v>2.1472222222222221</v>
      </c>
      <c r="G212">
        <f t="shared" ca="1" si="7"/>
        <v>0</v>
      </c>
    </row>
    <row r="213" spans="1:7">
      <c r="A213">
        <v>5849</v>
      </c>
      <c r="B213" t="s">
        <v>23</v>
      </c>
      <c r="C213" t="s">
        <v>123</v>
      </c>
      <c r="D213" s="9">
        <v>41320.682245370372</v>
      </c>
      <c r="E213" t="s">
        <v>112</v>
      </c>
      <c r="F213">
        <f t="shared" ca="1" si="6"/>
        <v>1.9555555555555555</v>
      </c>
      <c r="G213">
        <f t="shared" ca="1" si="7"/>
        <v>0</v>
      </c>
    </row>
    <row r="214" spans="1:7">
      <c r="A214">
        <v>5896</v>
      </c>
      <c r="B214" t="s">
        <v>11</v>
      </c>
      <c r="C214" t="s">
        <v>121</v>
      </c>
      <c r="D214" s="9">
        <v>41484.706076388888</v>
      </c>
      <c r="E214" t="s">
        <v>36</v>
      </c>
      <c r="F214">
        <f t="shared" ca="1" si="6"/>
        <v>1.5</v>
      </c>
      <c r="G214">
        <f t="shared" ca="1" si="7"/>
        <v>0</v>
      </c>
    </row>
    <row r="215" spans="1:7">
      <c r="A215">
        <v>5922</v>
      </c>
      <c r="B215" t="s">
        <v>8</v>
      </c>
      <c r="C215" t="s">
        <v>125</v>
      </c>
      <c r="D215" s="9">
        <v>41215.697476851848</v>
      </c>
      <c r="E215" t="s">
        <v>112</v>
      </c>
      <c r="F215">
        <f t="shared" ca="1" si="6"/>
        <v>2.2416666666666667</v>
      </c>
      <c r="G215">
        <f t="shared" ca="1" si="7"/>
        <v>0</v>
      </c>
    </row>
    <row r="216" spans="1:7">
      <c r="A216">
        <v>5942</v>
      </c>
      <c r="B216" t="s">
        <v>24</v>
      </c>
      <c r="C216" t="s">
        <v>122</v>
      </c>
      <c r="D216" s="9">
        <v>41334.600439814814</v>
      </c>
      <c r="E216" t="s">
        <v>8</v>
      </c>
      <c r="F216">
        <f t="shared" ca="1" si="6"/>
        <v>1.9111111111111112</v>
      </c>
      <c r="G216">
        <f t="shared" ca="1" si="7"/>
        <v>0</v>
      </c>
    </row>
    <row r="217" spans="1:7">
      <c r="A217">
        <v>5963</v>
      </c>
      <c r="B217" t="s">
        <v>34</v>
      </c>
      <c r="C217" t="s">
        <v>123</v>
      </c>
      <c r="D217" s="9">
        <v>41302.511064814818</v>
      </c>
      <c r="E217" t="s">
        <v>112</v>
      </c>
      <c r="F217">
        <f t="shared" ca="1" si="6"/>
        <v>2.0027777777777778</v>
      </c>
      <c r="G217">
        <f t="shared" ca="1" si="7"/>
        <v>0</v>
      </c>
    </row>
    <row r="218" spans="1:7">
      <c r="A218">
        <v>5979</v>
      </c>
      <c r="B218" t="s">
        <v>23</v>
      </c>
      <c r="C218" t="s">
        <v>125</v>
      </c>
      <c r="D218" s="9">
        <v>41249.882557870369</v>
      </c>
      <c r="E218" t="s">
        <v>27</v>
      </c>
      <c r="F218">
        <f t="shared" ca="1" si="6"/>
        <v>2.1472222222222221</v>
      </c>
      <c r="G218">
        <f t="shared" ca="1" si="7"/>
        <v>0</v>
      </c>
    </row>
    <row r="219" spans="1:7">
      <c r="A219">
        <v>5984</v>
      </c>
      <c r="B219" t="s">
        <v>34</v>
      </c>
      <c r="C219" t="s">
        <v>125</v>
      </c>
      <c r="D219" s="9">
        <v>41215.698182870372</v>
      </c>
      <c r="E219" t="s">
        <v>112</v>
      </c>
      <c r="F219">
        <f t="shared" ca="1" si="6"/>
        <v>2.2416666666666667</v>
      </c>
      <c r="G219">
        <f t="shared" ca="1" si="7"/>
        <v>0</v>
      </c>
    </row>
    <row r="220" spans="1:7">
      <c r="A220">
        <v>5987</v>
      </c>
      <c r="B220" t="s">
        <v>8</v>
      </c>
      <c r="C220" t="s">
        <v>125</v>
      </c>
      <c r="D220" s="9">
        <v>41249.882523148146</v>
      </c>
      <c r="E220" t="s">
        <v>11</v>
      </c>
      <c r="F220">
        <f t="shared" ca="1" si="6"/>
        <v>2.1472222222222221</v>
      </c>
      <c r="G220">
        <f t="shared" ca="1" si="7"/>
        <v>0</v>
      </c>
    </row>
    <row r="221" spans="1:7">
      <c r="A221">
        <v>5994</v>
      </c>
      <c r="B221" t="s">
        <v>24</v>
      </c>
      <c r="C221" t="s">
        <v>125</v>
      </c>
      <c r="D221" s="9">
        <v>41215.698217592595</v>
      </c>
      <c r="E221" t="s">
        <v>11</v>
      </c>
      <c r="F221">
        <f t="shared" ca="1" si="6"/>
        <v>2.2416666666666667</v>
      </c>
      <c r="G221">
        <f t="shared" ca="1" si="7"/>
        <v>0</v>
      </c>
    </row>
    <row r="222" spans="1:7">
      <c r="A222">
        <v>5995</v>
      </c>
      <c r="B222" t="s">
        <v>8</v>
      </c>
      <c r="C222" t="s">
        <v>125</v>
      </c>
      <c r="D222" s="9">
        <v>41215.698217592595</v>
      </c>
      <c r="E222" t="s">
        <v>112</v>
      </c>
      <c r="F222">
        <f t="shared" ca="1" si="6"/>
        <v>2.2416666666666667</v>
      </c>
      <c r="G222">
        <f t="shared" ca="1" si="7"/>
        <v>0</v>
      </c>
    </row>
    <row r="223" spans="1:7">
      <c r="A223">
        <v>6002</v>
      </c>
      <c r="B223" t="s">
        <v>34</v>
      </c>
      <c r="C223" t="s">
        <v>125</v>
      </c>
      <c r="D223" s="9">
        <v>41215.698506944442</v>
      </c>
      <c r="E223" t="s">
        <v>112</v>
      </c>
      <c r="F223">
        <f t="shared" ca="1" si="6"/>
        <v>2.2416666666666667</v>
      </c>
      <c r="G223">
        <f t="shared" ca="1" si="7"/>
        <v>0</v>
      </c>
    </row>
    <row r="224" spans="1:7">
      <c r="A224">
        <v>6009</v>
      </c>
      <c r="B224" t="s">
        <v>19</v>
      </c>
      <c r="C224" t="s">
        <v>122</v>
      </c>
      <c r="D224" s="9">
        <v>41410.944837962961</v>
      </c>
      <c r="E224" t="s">
        <v>34</v>
      </c>
      <c r="F224">
        <f t="shared" ca="1" si="6"/>
        <v>1.7027777777777777</v>
      </c>
      <c r="G224">
        <f t="shared" ca="1" si="7"/>
        <v>0</v>
      </c>
    </row>
    <row r="225" spans="1:7">
      <c r="A225">
        <v>6023</v>
      </c>
      <c r="B225" t="s">
        <v>51</v>
      </c>
      <c r="C225" t="s">
        <v>125</v>
      </c>
      <c r="D225" s="9">
        <v>41249.882557870369</v>
      </c>
      <c r="E225" t="s">
        <v>36</v>
      </c>
      <c r="F225">
        <f t="shared" ca="1" si="6"/>
        <v>2.1472222222222221</v>
      </c>
      <c r="G225">
        <f t="shared" ca="1" si="7"/>
        <v>0</v>
      </c>
    </row>
    <row r="226" spans="1:7">
      <c r="A226">
        <v>6033</v>
      </c>
      <c r="B226" t="s">
        <v>11</v>
      </c>
      <c r="C226" t="s">
        <v>125</v>
      </c>
      <c r="D226" s="9">
        <v>41249.882581018515</v>
      </c>
      <c r="E226" t="s">
        <v>36</v>
      </c>
      <c r="F226">
        <f t="shared" ca="1" si="6"/>
        <v>2.1472222222222221</v>
      </c>
      <c r="G226">
        <f t="shared" ca="1" si="7"/>
        <v>0</v>
      </c>
    </row>
    <row r="227" spans="1:7">
      <c r="A227">
        <v>6037</v>
      </c>
      <c r="B227" t="s">
        <v>21</v>
      </c>
      <c r="C227" t="s">
        <v>125</v>
      </c>
      <c r="D227" s="9">
        <v>41249.882581018515</v>
      </c>
      <c r="E227" t="s">
        <v>11</v>
      </c>
      <c r="F227">
        <f t="shared" ca="1" si="6"/>
        <v>2.1472222222222221</v>
      </c>
      <c r="G227">
        <f t="shared" ca="1" si="7"/>
        <v>0</v>
      </c>
    </row>
    <row r="228" spans="1:7">
      <c r="A228">
        <v>6039</v>
      </c>
      <c r="B228" t="s">
        <v>34</v>
      </c>
      <c r="C228" t="s">
        <v>125</v>
      </c>
      <c r="D228" s="9">
        <v>41249.882569444446</v>
      </c>
      <c r="E228" t="s">
        <v>23</v>
      </c>
      <c r="F228">
        <f t="shared" ca="1" si="6"/>
        <v>2.1472222222222221</v>
      </c>
      <c r="G228">
        <f t="shared" ca="1" si="7"/>
        <v>0</v>
      </c>
    </row>
    <row r="229" spans="1:7">
      <c r="A229">
        <v>6040</v>
      </c>
      <c r="B229" t="s">
        <v>19</v>
      </c>
      <c r="C229" t="s">
        <v>125</v>
      </c>
      <c r="D229" s="9">
        <v>41249.882557870369</v>
      </c>
      <c r="E229" t="s">
        <v>27</v>
      </c>
      <c r="F229">
        <f t="shared" ca="1" si="6"/>
        <v>2.1472222222222221</v>
      </c>
      <c r="G229">
        <f t="shared" ca="1" si="7"/>
        <v>0</v>
      </c>
    </row>
    <row r="230" spans="1:7">
      <c r="A230">
        <v>6041</v>
      </c>
      <c r="B230" t="s">
        <v>44</v>
      </c>
      <c r="C230" t="s">
        <v>125</v>
      </c>
      <c r="D230" s="9">
        <v>41249.8825462963</v>
      </c>
      <c r="E230" t="s">
        <v>34</v>
      </c>
      <c r="F230">
        <f t="shared" ca="1" si="6"/>
        <v>2.1472222222222221</v>
      </c>
      <c r="G230">
        <f t="shared" ca="1" si="7"/>
        <v>0</v>
      </c>
    </row>
    <row r="231" spans="1:7">
      <c r="A231">
        <v>6092</v>
      </c>
      <c r="B231" t="s">
        <v>8</v>
      </c>
      <c r="C231" t="s">
        <v>166</v>
      </c>
      <c r="D231" s="9">
        <v>41249.882592592592</v>
      </c>
      <c r="E231" t="s">
        <v>20</v>
      </c>
      <c r="F231">
        <f t="shared" ca="1" si="6"/>
        <v>2.1472222222222221</v>
      </c>
      <c r="G231">
        <f t="shared" ca="1" si="7"/>
        <v>0</v>
      </c>
    </row>
    <row r="232" spans="1:7">
      <c r="A232">
        <v>6100</v>
      </c>
      <c r="B232" t="s">
        <v>8</v>
      </c>
      <c r="C232" t="s">
        <v>123</v>
      </c>
      <c r="D232" s="9">
        <v>41302.618449074071</v>
      </c>
      <c r="E232" t="s">
        <v>24</v>
      </c>
      <c r="F232">
        <f t="shared" ca="1" si="6"/>
        <v>2.0027777777777778</v>
      </c>
      <c r="G232">
        <f t="shared" ca="1" si="7"/>
        <v>0</v>
      </c>
    </row>
    <row r="233" spans="1:7">
      <c r="A233">
        <v>6122</v>
      </c>
      <c r="B233" t="s">
        <v>8</v>
      </c>
      <c r="C233" t="s">
        <v>166</v>
      </c>
      <c r="D233" s="9">
        <v>41249.882719907408</v>
      </c>
      <c r="E233" t="s">
        <v>20</v>
      </c>
      <c r="F233">
        <f t="shared" ca="1" si="6"/>
        <v>2.1472222222222221</v>
      </c>
      <c r="G233">
        <f t="shared" ca="1" si="7"/>
        <v>0</v>
      </c>
    </row>
    <row r="234" spans="1:7">
      <c r="A234">
        <v>6125</v>
      </c>
      <c r="B234" t="s">
        <v>8</v>
      </c>
      <c r="C234" t="s">
        <v>166</v>
      </c>
      <c r="D234" s="9">
        <v>41249.882708333331</v>
      </c>
      <c r="E234" t="s">
        <v>20</v>
      </c>
      <c r="F234">
        <f t="shared" ca="1" si="6"/>
        <v>2.1472222222222221</v>
      </c>
      <c r="G234">
        <f t="shared" ca="1" si="7"/>
        <v>0</v>
      </c>
    </row>
    <row r="235" spans="1:7">
      <c r="A235">
        <v>6136</v>
      </c>
      <c r="B235" t="s">
        <v>34</v>
      </c>
      <c r="C235" t="s">
        <v>122</v>
      </c>
      <c r="D235" s="9">
        <v>41393.646863425929</v>
      </c>
      <c r="E235" t="s">
        <v>112</v>
      </c>
      <c r="F235">
        <f t="shared" ca="1" si="6"/>
        <v>1.75</v>
      </c>
      <c r="G235">
        <f t="shared" ca="1" si="7"/>
        <v>0</v>
      </c>
    </row>
    <row r="236" spans="1:7">
      <c r="A236">
        <v>6137</v>
      </c>
      <c r="B236" t="s">
        <v>34</v>
      </c>
      <c r="C236" t="s">
        <v>122</v>
      </c>
      <c r="D236" s="9">
        <v>41369.53334490741</v>
      </c>
      <c r="E236" t="s">
        <v>20</v>
      </c>
      <c r="F236">
        <f t="shared" ca="1" si="6"/>
        <v>1.8166666666666667</v>
      </c>
      <c r="G236">
        <f t="shared" ca="1" si="7"/>
        <v>0</v>
      </c>
    </row>
    <row r="237" spans="1:7">
      <c r="A237">
        <v>6142</v>
      </c>
      <c r="B237" t="s">
        <v>112</v>
      </c>
      <c r="C237" t="s">
        <v>122</v>
      </c>
      <c r="D237" s="9">
        <v>41383.670393518521</v>
      </c>
      <c r="E237" t="s">
        <v>8</v>
      </c>
      <c r="F237">
        <f t="shared" ca="1" si="6"/>
        <v>1.7777777777777777</v>
      </c>
      <c r="G237">
        <f t="shared" ca="1" si="7"/>
        <v>0</v>
      </c>
    </row>
    <row r="238" spans="1:7">
      <c r="A238">
        <v>6146</v>
      </c>
      <c r="B238" t="s">
        <v>19</v>
      </c>
      <c r="C238" t="s">
        <v>122</v>
      </c>
      <c r="D238" s="9">
        <v>41341.651805555557</v>
      </c>
      <c r="E238" t="s">
        <v>112</v>
      </c>
      <c r="F238">
        <f t="shared" ca="1" si="6"/>
        <v>1.8916666666666666</v>
      </c>
      <c r="G238">
        <f t="shared" ca="1" si="7"/>
        <v>0</v>
      </c>
    </row>
    <row r="239" spans="1:7">
      <c r="A239">
        <v>6147</v>
      </c>
      <c r="B239" t="s">
        <v>19</v>
      </c>
      <c r="C239" t="s">
        <v>122</v>
      </c>
      <c r="D239" s="9">
        <v>41369.533391203702</v>
      </c>
      <c r="E239" t="s">
        <v>112</v>
      </c>
      <c r="F239">
        <f t="shared" ca="1" si="6"/>
        <v>1.8166666666666667</v>
      </c>
      <c r="G239">
        <f t="shared" ca="1" si="7"/>
        <v>0</v>
      </c>
    </row>
    <row r="240" spans="1:7">
      <c r="A240">
        <v>6148</v>
      </c>
      <c r="B240" t="s">
        <v>8</v>
      </c>
      <c r="C240" t="s">
        <v>122</v>
      </c>
      <c r="D240" s="9">
        <v>41334.389490740738</v>
      </c>
      <c r="E240" t="s">
        <v>30</v>
      </c>
      <c r="F240">
        <f t="shared" ca="1" si="6"/>
        <v>1.9111111111111112</v>
      </c>
      <c r="G240">
        <f t="shared" ca="1" si="7"/>
        <v>0</v>
      </c>
    </row>
    <row r="241" spans="1:7">
      <c r="A241">
        <v>6155</v>
      </c>
      <c r="B241" t="s">
        <v>44</v>
      </c>
      <c r="C241" t="s">
        <v>121</v>
      </c>
      <c r="D241" s="9">
        <v>41480.414155092592</v>
      </c>
      <c r="E241" t="s">
        <v>111</v>
      </c>
      <c r="F241">
        <f t="shared" ca="1" si="6"/>
        <v>1.5111111111111111</v>
      </c>
      <c r="G241">
        <f t="shared" ca="1" si="7"/>
        <v>0</v>
      </c>
    </row>
    <row r="242" spans="1:7">
      <c r="A242">
        <v>6159</v>
      </c>
      <c r="B242" t="s">
        <v>34</v>
      </c>
      <c r="C242" t="s">
        <v>123</v>
      </c>
      <c r="D242" s="9">
        <v>41302.659895833334</v>
      </c>
      <c r="E242" t="s">
        <v>8</v>
      </c>
      <c r="F242">
        <f t="shared" ca="1" si="6"/>
        <v>2.0027777777777778</v>
      </c>
      <c r="G242">
        <f t="shared" ca="1" si="7"/>
        <v>0</v>
      </c>
    </row>
    <row r="243" spans="1:7">
      <c r="A243">
        <v>6161</v>
      </c>
      <c r="B243" t="s">
        <v>34</v>
      </c>
      <c r="C243" t="s">
        <v>165</v>
      </c>
      <c r="D243" s="9">
        <v>41254.479409722226</v>
      </c>
      <c r="E243" t="s">
        <v>19</v>
      </c>
      <c r="F243">
        <f t="shared" ca="1" si="6"/>
        <v>2.1333333333333333</v>
      </c>
      <c r="G243">
        <f t="shared" ca="1" si="7"/>
        <v>0</v>
      </c>
    </row>
    <row r="244" spans="1:7">
      <c r="A244">
        <v>6162</v>
      </c>
      <c r="B244" t="s">
        <v>34</v>
      </c>
      <c r="C244" t="s">
        <v>123</v>
      </c>
      <c r="D244" s="9">
        <v>41302.484861111108</v>
      </c>
      <c r="E244" t="s">
        <v>19</v>
      </c>
      <c r="F244">
        <f t="shared" ca="1" si="6"/>
        <v>2.0027777777777778</v>
      </c>
      <c r="G244">
        <f t="shared" ca="1" si="7"/>
        <v>0</v>
      </c>
    </row>
    <row r="245" spans="1:7">
      <c r="A245">
        <v>6172</v>
      </c>
      <c r="B245" t="s">
        <v>34</v>
      </c>
      <c r="C245" t="s">
        <v>122</v>
      </c>
      <c r="D245" s="9">
        <v>41334.401597222219</v>
      </c>
      <c r="E245" t="s">
        <v>19</v>
      </c>
      <c r="F245">
        <f t="shared" ca="1" si="6"/>
        <v>1.9111111111111112</v>
      </c>
      <c r="G245">
        <f t="shared" ca="1" si="7"/>
        <v>0</v>
      </c>
    </row>
    <row r="246" spans="1:7">
      <c r="A246">
        <v>6173</v>
      </c>
      <c r="B246" t="s">
        <v>34</v>
      </c>
      <c r="C246" t="s">
        <v>122</v>
      </c>
      <c r="D246" s="9">
        <v>41334.405046296299</v>
      </c>
      <c r="E246" t="s">
        <v>19</v>
      </c>
      <c r="F246">
        <f t="shared" ca="1" si="6"/>
        <v>1.9111111111111112</v>
      </c>
      <c r="G246">
        <f t="shared" ca="1" si="7"/>
        <v>0</v>
      </c>
    </row>
    <row r="247" spans="1:7">
      <c r="A247">
        <v>6174</v>
      </c>
      <c r="B247" t="s">
        <v>24</v>
      </c>
      <c r="C247" t="s">
        <v>122</v>
      </c>
      <c r="D247" s="9">
        <v>41386.443622685183</v>
      </c>
      <c r="E247" t="s">
        <v>23</v>
      </c>
      <c r="F247">
        <f t="shared" ca="1" si="6"/>
        <v>1.7694444444444444</v>
      </c>
      <c r="G247">
        <f t="shared" ca="1" si="7"/>
        <v>0</v>
      </c>
    </row>
    <row r="248" spans="1:7">
      <c r="A248">
        <v>6175</v>
      </c>
      <c r="B248" t="s">
        <v>24</v>
      </c>
      <c r="C248" t="s">
        <v>122</v>
      </c>
      <c r="D248" s="9">
        <v>41410.943032407406</v>
      </c>
      <c r="E248" t="s">
        <v>11</v>
      </c>
      <c r="F248">
        <f t="shared" ca="1" si="6"/>
        <v>1.7027777777777777</v>
      </c>
      <c r="G248">
        <f t="shared" ca="1" si="7"/>
        <v>0</v>
      </c>
    </row>
    <row r="249" spans="1:7">
      <c r="A249">
        <v>6177</v>
      </c>
      <c r="B249" t="s">
        <v>24</v>
      </c>
      <c r="C249" t="s">
        <v>122</v>
      </c>
      <c r="D249" s="9">
        <v>41410.944131944445</v>
      </c>
      <c r="E249" t="s">
        <v>23</v>
      </c>
      <c r="F249">
        <f t="shared" ca="1" si="6"/>
        <v>1.7027777777777777</v>
      </c>
      <c r="G249">
        <f t="shared" ca="1" si="7"/>
        <v>0</v>
      </c>
    </row>
    <row r="250" spans="1:7">
      <c r="A250">
        <v>6179</v>
      </c>
      <c r="B250" t="s">
        <v>112</v>
      </c>
      <c r="C250" t="s">
        <v>122</v>
      </c>
      <c r="D250" s="9">
        <v>41334.402696759258</v>
      </c>
      <c r="E250" t="s">
        <v>44</v>
      </c>
      <c r="F250">
        <f t="shared" ca="1" si="6"/>
        <v>1.9111111111111112</v>
      </c>
      <c r="G250">
        <f t="shared" ca="1" si="7"/>
        <v>0</v>
      </c>
    </row>
    <row r="251" spans="1:7">
      <c r="A251">
        <v>6182</v>
      </c>
      <c r="B251" t="s">
        <v>44</v>
      </c>
      <c r="C251" t="s">
        <v>122</v>
      </c>
      <c r="D251" s="9">
        <v>41334.388726851852</v>
      </c>
      <c r="E251" t="s">
        <v>112</v>
      </c>
      <c r="F251">
        <f t="shared" ca="1" si="6"/>
        <v>1.9111111111111112</v>
      </c>
      <c r="G251">
        <f t="shared" ca="1" si="7"/>
        <v>0</v>
      </c>
    </row>
    <row r="252" spans="1:7">
      <c r="A252">
        <v>6188</v>
      </c>
      <c r="B252" t="s">
        <v>38</v>
      </c>
      <c r="C252" t="s">
        <v>122</v>
      </c>
      <c r="D252" s="9">
        <v>41383.670358796298</v>
      </c>
      <c r="E252" t="s">
        <v>8</v>
      </c>
      <c r="F252">
        <f t="shared" ca="1" si="6"/>
        <v>1.7777777777777777</v>
      </c>
      <c r="G252">
        <f t="shared" ca="1" si="7"/>
        <v>0</v>
      </c>
    </row>
    <row r="253" spans="1:7">
      <c r="A253">
        <v>6192</v>
      </c>
      <c r="B253" t="s">
        <v>11</v>
      </c>
      <c r="C253" t="s">
        <v>122</v>
      </c>
      <c r="D253" s="9">
        <v>41369.533449074072</v>
      </c>
      <c r="E253" t="s">
        <v>8</v>
      </c>
      <c r="F253">
        <f t="shared" ca="1" si="6"/>
        <v>1.8166666666666667</v>
      </c>
      <c r="G253">
        <f t="shared" ca="1" si="7"/>
        <v>0</v>
      </c>
    </row>
    <row r="254" spans="1:7">
      <c r="A254">
        <v>6202</v>
      </c>
      <c r="B254" t="s">
        <v>8</v>
      </c>
      <c r="C254" t="s">
        <v>122</v>
      </c>
      <c r="D254" s="9">
        <v>41416.489965277775</v>
      </c>
      <c r="E254" t="s">
        <v>24</v>
      </c>
      <c r="F254">
        <f t="shared" ca="1" si="6"/>
        <v>1.6861111111111111</v>
      </c>
      <c r="G254">
        <f t="shared" ca="1" si="7"/>
        <v>0</v>
      </c>
    </row>
    <row r="255" spans="1:7">
      <c r="A255">
        <v>6217</v>
      </c>
      <c r="B255" t="s">
        <v>8</v>
      </c>
      <c r="C255" t="s">
        <v>123</v>
      </c>
      <c r="D255" s="9">
        <v>41302.617048611108</v>
      </c>
      <c r="E255" t="s">
        <v>19</v>
      </c>
      <c r="F255">
        <f t="shared" ca="1" si="6"/>
        <v>2.0027777777777778</v>
      </c>
      <c r="G255">
        <f t="shared" ca="1" si="7"/>
        <v>0</v>
      </c>
    </row>
    <row r="256" spans="1:7">
      <c r="A256">
        <v>6234</v>
      </c>
      <c r="B256" t="s">
        <v>20</v>
      </c>
      <c r="C256" t="s">
        <v>165</v>
      </c>
      <c r="D256" s="9">
        <v>41253.83090277778</v>
      </c>
      <c r="E256" t="s">
        <v>27</v>
      </c>
      <c r="F256">
        <f t="shared" ca="1" si="6"/>
        <v>2.1361111111111111</v>
      </c>
      <c r="G256">
        <f t="shared" ca="1" si="7"/>
        <v>0</v>
      </c>
    </row>
    <row r="257" spans="1:7">
      <c r="A257">
        <v>6275</v>
      </c>
      <c r="B257" t="s">
        <v>19</v>
      </c>
      <c r="C257" t="s">
        <v>123</v>
      </c>
      <c r="D257" s="9">
        <v>41309.464131944442</v>
      </c>
      <c r="E257" t="s">
        <v>36</v>
      </c>
      <c r="F257">
        <f t="shared" ca="1" si="6"/>
        <v>1.9861111111111112</v>
      </c>
      <c r="G257">
        <f t="shared" ca="1" si="7"/>
        <v>0</v>
      </c>
    </row>
    <row r="258" spans="1:7">
      <c r="A258">
        <v>6292</v>
      </c>
      <c r="B258" t="s">
        <v>34</v>
      </c>
      <c r="C258" t="s">
        <v>165</v>
      </c>
      <c r="D258" s="9">
        <v>41283.667708333334</v>
      </c>
      <c r="E258" t="s">
        <v>8</v>
      </c>
      <c r="F258">
        <f t="shared" ca="1" si="6"/>
        <v>2.0555555555555554</v>
      </c>
      <c r="G258">
        <f t="shared" ca="1" si="7"/>
        <v>0</v>
      </c>
    </row>
    <row r="259" spans="1:7">
      <c r="A259">
        <v>6296</v>
      </c>
      <c r="B259" t="s">
        <v>27</v>
      </c>
      <c r="C259" t="s">
        <v>165</v>
      </c>
      <c r="D259" s="9">
        <v>41253.644409722219</v>
      </c>
      <c r="E259" t="s">
        <v>20</v>
      </c>
      <c r="F259">
        <f t="shared" ref="F259:F322" ca="1" si="8">YEARFRAC(TODAY(),$D259)</f>
        <v>2.1361111111111111</v>
      </c>
      <c r="G259">
        <f t="shared" ref="G259:G322" ca="1" si="9">IF($F259&lt;1,1,0)</f>
        <v>0</v>
      </c>
    </row>
    <row r="260" spans="1:7">
      <c r="A260">
        <v>6309</v>
      </c>
      <c r="B260" t="s">
        <v>8</v>
      </c>
      <c r="C260" t="s">
        <v>123</v>
      </c>
      <c r="D260" s="9">
        <v>41302.552870370368</v>
      </c>
      <c r="E260" t="s">
        <v>24</v>
      </c>
      <c r="F260">
        <f t="shared" ca="1" si="8"/>
        <v>2.0027777777777778</v>
      </c>
      <c r="G260">
        <f t="shared" ca="1" si="9"/>
        <v>0</v>
      </c>
    </row>
    <row r="261" spans="1:7">
      <c r="A261">
        <v>6310</v>
      </c>
      <c r="B261" t="s">
        <v>44</v>
      </c>
      <c r="C261" t="s">
        <v>123</v>
      </c>
      <c r="D261" s="9">
        <v>41309.464155092595</v>
      </c>
      <c r="E261" t="s">
        <v>112</v>
      </c>
      <c r="F261">
        <f t="shared" ca="1" si="8"/>
        <v>1.9861111111111112</v>
      </c>
      <c r="G261">
        <f t="shared" ca="1" si="9"/>
        <v>0</v>
      </c>
    </row>
    <row r="262" spans="1:7">
      <c r="A262">
        <v>6315</v>
      </c>
      <c r="B262" t="s">
        <v>27</v>
      </c>
      <c r="C262" t="s">
        <v>122</v>
      </c>
      <c r="D262" s="9">
        <v>41410.944872685184</v>
      </c>
      <c r="E262" t="s">
        <v>38</v>
      </c>
      <c r="F262">
        <f t="shared" ca="1" si="8"/>
        <v>1.7027777777777777</v>
      </c>
      <c r="G262">
        <f t="shared" ca="1" si="9"/>
        <v>0</v>
      </c>
    </row>
    <row r="263" spans="1:7">
      <c r="A263">
        <v>6321</v>
      </c>
      <c r="B263" t="s">
        <v>20</v>
      </c>
      <c r="C263" t="s">
        <v>165</v>
      </c>
      <c r="D263" s="9">
        <v>41283.667719907404</v>
      </c>
      <c r="E263" t="s">
        <v>8</v>
      </c>
      <c r="F263">
        <f t="shared" ca="1" si="8"/>
        <v>2.0555555555555554</v>
      </c>
      <c r="G263">
        <f t="shared" ca="1" si="9"/>
        <v>0</v>
      </c>
    </row>
    <row r="264" spans="1:7">
      <c r="A264">
        <v>6342</v>
      </c>
      <c r="B264" t="s">
        <v>27</v>
      </c>
      <c r="C264" t="s">
        <v>122</v>
      </c>
      <c r="D264" s="9">
        <v>41401.599490740744</v>
      </c>
      <c r="E264" t="s">
        <v>38</v>
      </c>
      <c r="F264">
        <f t="shared" ca="1" si="8"/>
        <v>1.7277777777777779</v>
      </c>
      <c r="G264">
        <f t="shared" ca="1" si="9"/>
        <v>0</v>
      </c>
    </row>
    <row r="265" spans="1:7">
      <c r="A265">
        <v>6347</v>
      </c>
      <c r="B265" t="s">
        <v>27</v>
      </c>
      <c r="C265" t="s">
        <v>122</v>
      </c>
      <c r="D265" s="9">
        <v>41401.598229166666</v>
      </c>
      <c r="E265" t="s">
        <v>38</v>
      </c>
      <c r="F265">
        <f t="shared" ca="1" si="8"/>
        <v>1.7277777777777779</v>
      </c>
      <c r="G265">
        <f t="shared" ca="1" si="9"/>
        <v>0</v>
      </c>
    </row>
    <row r="266" spans="1:7">
      <c r="A266">
        <v>6401</v>
      </c>
      <c r="B266" t="s">
        <v>17</v>
      </c>
      <c r="C266" t="s">
        <v>119</v>
      </c>
      <c r="D266" s="9">
        <v>41676.557997685188</v>
      </c>
      <c r="E266" t="s">
        <v>37</v>
      </c>
      <c r="F266">
        <f t="shared" ca="1" si="8"/>
        <v>0.98055555555555551</v>
      </c>
      <c r="G266">
        <f t="shared" ca="1" si="9"/>
        <v>1</v>
      </c>
    </row>
    <row r="267" spans="1:7">
      <c r="A267">
        <v>6408</v>
      </c>
      <c r="B267" t="s">
        <v>124</v>
      </c>
      <c r="C267" t="s">
        <v>121</v>
      </c>
      <c r="D267" s="9">
        <v>41575.485729166663</v>
      </c>
      <c r="F267">
        <f t="shared" ca="1" si="8"/>
        <v>1.2527777777777778</v>
      </c>
      <c r="G267">
        <f t="shared" ca="1" si="9"/>
        <v>0</v>
      </c>
    </row>
    <row r="268" spans="1:7">
      <c r="A268">
        <v>6420</v>
      </c>
      <c r="B268" t="s">
        <v>19</v>
      </c>
      <c r="C268" t="s">
        <v>123</v>
      </c>
      <c r="D268" s="9">
        <v>41302.71334490741</v>
      </c>
      <c r="E268" t="s">
        <v>21</v>
      </c>
      <c r="F268">
        <f t="shared" ca="1" si="8"/>
        <v>2.0027777777777778</v>
      </c>
      <c r="G268">
        <f t="shared" ca="1" si="9"/>
        <v>0</v>
      </c>
    </row>
    <row r="269" spans="1:7">
      <c r="A269">
        <v>6430</v>
      </c>
      <c r="B269" t="s">
        <v>11</v>
      </c>
      <c r="C269" t="s">
        <v>123</v>
      </c>
      <c r="D269" s="9">
        <v>41309.464143518519</v>
      </c>
      <c r="E269" t="s">
        <v>21</v>
      </c>
      <c r="F269">
        <f t="shared" ca="1" si="8"/>
        <v>1.9861111111111112</v>
      </c>
      <c r="G269">
        <f t="shared" ca="1" si="9"/>
        <v>0</v>
      </c>
    </row>
    <row r="270" spans="1:7">
      <c r="A270">
        <v>6434</v>
      </c>
      <c r="B270" t="s">
        <v>23</v>
      </c>
      <c r="C270" t="s">
        <v>123</v>
      </c>
      <c r="D270" s="9">
        <v>41302.835601851853</v>
      </c>
      <c r="E270" t="s">
        <v>20</v>
      </c>
      <c r="F270">
        <f t="shared" ca="1" si="8"/>
        <v>2.0027777777777778</v>
      </c>
      <c r="G270">
        <f t="shared" ca="1" si="9"/>
        <v>0</v>
      </c>
    </row>
    <row r="271" spans="1:7">
      <c r="A271">
        <v>6436</v>
      </c>
      <c r="B271" t="s">
        <v>19</v>
      </c>
      <c r="C271" t="s">
        <v>123</v>
      </c>
      <c r="D271" s="9">
        <v>41302.637083333335</v>
      </c>
      <c r="E271" t="s">
        <v>27</v>
      </c>
      <c r="F271">
        <f t="shared" ca="1" si="8"/>
        <v>2.0027777777777778</v>
      </c>
      <c r="G271">
        <f t="shared" ca="1" si="9"/>
        <v>0</v>
      </c>
    </row>
    <row r="272" spans="1:7">
      <c r="A272">
        <v>6491</v>
      </c>
      <c r="B272" t="s">
        <v>38</v>
      </c>
      <c r="C272" t="s">
        <v>123</v>
      </c>
      <c r="D272" s="9">
        <v>41309.464178240742</v>
      </c>
      <c r="E272" t="s">
        <v>27</v>
      </c>
      <c r="F272">
        <f t="shared" ca="1" si="8"/>
        <v>1.9861111111111112</v>
      </c>
      <c r="G272">
        <f t="shared" ca="1" si="9"/>
        <v>0</v>
      </c>
    </row>
    <row r="273" spans="1:7">
      <c r="A273">
        <v>6492</v>
      </c>
      <c r="B273" t="s">
        <v>8</v>
      </c>
      <c r="C273" t="s">
        <v>123</v>
      </c>
      <c r="D273" s="9">
        <v>41309.464166666665</v>
      </c>
      <c r="E273" t="s">
        <v>23</v>
      </c>
      <c r="F273">
        <f t="shared" ca="1" si="8"/>
        <v>1.9861111111111112</v>
      </c>
      <c r="G273">
        <f t="shared" ca="1" si="9"/>
        <v>0</v>
      </c>
    </row>
    <row r="274" spans="1:7">
      <c r="A274">
        <v>6501</v>
      </c>
      <c r="B274" t="s">
        <v>19</v>
      </c>
      <c r="C274" t="s">
        <v>122</v>
      </c>
      <c r="D274" s="9">
        <v>41410.944606481484</v>
      </c>
      <c r="E274" t="s">
        <v>38</v>
      </c>
      <c r="F274">
        <f t="shared" ca="1" si="8"/>
        <v>1.7027777777777777</v>
      </c>
      <c r="G274">
        <f t="shared" ca="1" si="9"/>
        <v>0</v>
      </c>
    </row>
    <row r="275" spans="1:7">
      <c r="A275">
        <v>6506</v>
      </c>
      <c r="B275" t="s">
        <v>8</v>
      </c>
      <c r="C275" t="s">
        <v>123</v>
      </c>
      <c r="D275" s="9">
        <v>41309.464178240742</v>
      </c>
      <c r="E275" t="s">
        <v>23</v>
      </c>
      <c r="F275">
        <f t="shared" ca="1" si="8"/>
        <v>1.9861111111111112</v>
      </c>
      <c r="G275">
        <f t="shared" ca="1" si="9"/>
        <v>0</v>
      </c>
    </row>
    <row r="276" spans="1:7">
      <c r="A276">
        <v>6520</v>
      </c>
      <c r="B276" t="s">
        <v>8</v>
      </c>
      <c r="C276" t="s">
        <v>123</v>
      </c>
      <c r="D276" s="9">
        <v>41309.464224537034</v>
      </c>
      <c r="E276" t="s">
        <v>19</v>
      </c>
      <c r="F276">
        <f t="shared" ca="1" si="8"/>
        <v>1.9861111111111112</v>
      </c>
      <c r="G276">
        <f t="shared" ca="1" si="9"/>
        <v>0</v>
      </c>
    </row>
    <row r="277" spans="1:7">
      <c r="A277">
        <v>6522</v>
      </c>
      <c r="B277" t="s">
        <v>20</v>
      </c>
      <c r="C277" t="s">
        <v>123</v>
      </c>
      <c r="D277" s="9">
        <v>41309.464224537034</v>
      </c>
      <c r="E277" t="s">
        <v>32</v>
      </c>
      <c r="F277">
        <f t="shared" ca="1" si="8"/>
        <v>1.9861111111111112</v>
      </c>
      <c r="G277">
        <f t="shared" ca="1" si="9"/>
        <v>0</v>
      </c>
    </row>
    <row r="278" spans="1:7">
      <c r="A278">
        <v>6537</v>
      </c>
      <c r="B278" t="s">
        <v>44</v>
      </c>
      <c r="C278" t="s">
        <v>122</v>
      </c>
      <c r="D278" s="9">
        <v>41334.39916666667</v>
      </c>
      <c r="E278" t="s">
        <v>112</v>
      </c>
      <c r="F278">
        <f t="shared" ca="1" si="8"/>
        <v>1.9111111111111112</v>
      </c>
      <c r="G278">
        <f t="shared" ca="1" si="9"/>
        <v>0</v>
      </c>
    </row>
    <row r="279" spans="1:7">
      <c r="A279">
        <v>6540</v>
      </c>
      <c r="B279" t="s">
        <v>27</v>
      </c>
      <c r="C279" t="s">
        <v>122</v>
      </c>
      <c r="D279" s="9">
        <v>41401.691122685188</v>
      </c>
      <c r="E279" t="s">
        <v>38</v>
      </c>
      <c r="F279">
        <f t="shared" ca="1" si="8"/>
        <v>1.7277777777777779</v>
      </c>
      <c r="G279">
        <f t="shared" ca="1" si="9"/>
        <v>0</v>
      </c>
    </row>
    <row r="280" spans="1:7">
      <c r="A280">
        <v>6541</v>
      </c>
      <c r="B280" t="s">
        <v>27</v>
      </c>
      <c r="C280" t="s">
        <v>122</v>
      </c>
      <c r="D280" s="9">
        <v>41401.603587962964</v>
      </c>
      <c r="E280" t="s">
        <v>38</v>
      </c>
      <c r="F280">
        <f t="shared" ca="1" si="8"/>
        <v>1.7277777777777779</v>
      </c>
      <c r="G280">
        <f t="shared" ca="1" si="9"/>
        <v>0</v>
      </c>
    </row>
    <row r="281" spans="1:7">
      <c r="A281">
        <v>6551</v>
      </c>
      <c r="B281" t="s">
        <v>32</v>
      </c>
      <c r="C281" t="s">
        <v>122</v>
      </c>
      <c r="D281" s="9">
        <v>41333.875162037039</v>
      </c>
      <c r="E281" t="s">
        <v>64</v>
      </c>
      <c r="F281">
        <f t="shared" ca="1" si="8"/>
        <v>1.913888888888889</v>
      </c>
      <c r="G281">
        <f t="shared" ca="1" si="9"/>
        <v>0</v>
      </c>
    </row>
    <row r="282" spans="1:7">
      <c r="A282">
        <v>6565</v>
      </c>
      <c r="B282" t="s">
        <v>27</v>
      </c>
      <c r="C282" t="s">
        <v>122</v>
      </c>
      <c r="D282" s="9">
        <v>41401.605671296296</v>
      </c>
      <c r="E282" t="s">
        <v>38</v>
      </c>
      <c r="F282">
        <f t="shared" ca="1" si="8"/>
        <v>1.7277777777777779</v>
      </c>
      <c r="G282">
        <f t="shared" ca="1" si="9"/>
        <v>0</v>
      </c>
    </row>
    <row r="283" spans="1:7">
      <c r="A283">
        <v>6575</v>
      </c>
      <c r="B283" t="s">
        <v>8</v>
      </c>
      <c r="C283" t="s">
        <v>122</v>
      </c>
      <c r="D283" s="9">
        <v>41334.433831018519</v>
      </c>
      <c r="E283" t="s">
        <v>24</v>
      </c>
      <c r="F283">
        <f t="shared" ca="1" si="8"/>
        <v>1.9111111111111112</v>
      </c>
      <c r="G283">
        <f t="shared" ca="1" si="9"/>
        <v>0</v>
      </c>
    </row>
    <row r="284" spans="1:7">
      <c r="A284">
        <v>6576</v>
      </c>
      <c r="B284" t="s">
        <v>19</v>
      </c>
      <c r="C284" t="s">
        <v>121</v>
      </c>
      <c r="D284" s="9">
        <v>41480.414340277777</v>
      </c>
      <c r="E284" t="s">
        <v>112</v>
      </c>
      <c r="F284">
        <f t="shared" ca="1" si="8"/>
        <v>1.5111111111111111</v>
      </c>
      <c r="G284">
        <f t="shared" ca="1" si="9"/>
        <v>0</v>
      </c>
    </row>
    <row r="285" spans="1:7">
      <c r="A285">
        <v>6577</v>
      </c>
      <c r="B285" t="s">
        <v>52</v>
      </c>
      <c r="C285" t="s">
        <v>121</v>
      </c>
      <c r="D285" s="9">
        <v>41485.359537037039</v>
      </c>
      <c r="E285" t="s">
        <v>11</v>
      </c>
      <c r="F285">
        <f t="shared" ca="1" si="8"/>
        <v>1.4972222222222222</v>
      </c>
      <c r="G285">
        <f t="shared" ca="1" si="9"/>
        <v>0</v>
      </c>
    </row>
    <row r="286" spans="1:7">
      <c r="A286">
        <v>6578</v>
      </c>
      <c r="B286" t="s">
        <v>24</v>
      </c>
      <c r="C286" t="s">
        <v>122</v>
      </c>
      <c r="D286" s="9">
        <v>41369.533043981479</v>
      </c>
      <c r="E286" t="s">
        <v>23</v>
      </c>
      <c r="F286">
        <f t="shared" ca="1" si="8"/>
        <v>1.8166666666666667</v>
      </c>
      <c r="G286">
        <f t="shared" ca="1" si="9"/>
        <v>0</v>
      </c>
    </row>
    <row r="287" spans="1:7">
      <c r="A287">
        <v>6585</v>
      </c>
      <c r="B287" t="s">
        <v>44</v>
      </c>
      <c r="C287" t="s">
        <v>122</v>
      </c>
      <c r="D287" s="9">
        <v>41334.436620370368</v>
      </c>
      <c r="E287" t="s">
        <v>34</v>
      </c>
      <c r="F287">
        <f t="shared" ca="1" si="8"/>
        <v>1.9111111111111112</v>
      </c>
      <c r="G287">
        <f t="shared" ca="1" si="9"/>
        <v>0</v>
      </c>
    </row>
    <row r="288" spans="1:7">
      <c r="A288">
        <v>6595</v>
      </c>
      <c r="B288" t="s">
        <v>34</v>
      </c>
      <c r="C288" t="s">
        <v>122</v>
      </c>
      <c r="D288" s="9">
        <v>41334.39403935185</v>
      </c>
      <c r="E288" t="s">
        <v>24</v>
      </c>
      <c r="F288">
        <f t="shared" ca="1" si="8"/>
        <v>1.9111111111111112</v>
      </c>
      <c r="G288">
        <f t="shared" ca="1" si="9"/>
        <v>0</v>
      </c>
    </row>
    <row r="289" spans="1:7">
      <c r="A289">
        <v>6610</v>
      </c>
      <c r="B289" t="s">
        <v>8</v>
      </c>
      <c r="C289" t="s">
        <v>122</v>
      </c>
      <c r="D289" s="9">
        <v>41334.408414351848</v>
      </c>
      <c r="E289" t="s">
        <v>112</v>
      </c>
      <c r="F289">
        <f t="shared" ca="1" si="8"/>
        <v>1.9111111111111112</v>
      </c>
      <c r="G289">
        <f t="shared" ca="1" si="9"/>
        <v>0</v>
      </c>
    </row>
    <row r="290" spans="1:7">
      <c r="A290">
        <v>6611</v>
      </c>
      <c r="B290" t="s">
        <v>8</v>
      </c>
      <c r="C290" t="s">
        <v>122</v>
      </c>
      <c r="D290" s="9">
        <v>41382.643252314818</v>
      </c>
      <c r="E290" t="s">
        <v>19</v>
      </c>
      <c r="F290">
        <f t="shared" ca="1" si="8"/>
        <v>1.7805555555555554</v>
      </c>
      <c r="G290">
        <f t="shared" ca="1" si="9"/>
        <v>0</v>
      </c>
    </row>
    <row r="291" spans="1:7">
      <c r="A291">
        <v>6613</v>
      </c>
      <c r="B291" t="s">
        <v>44</v>
      </c>
      <c r="C291" t="s">
        <v>122</v>
      </c>
      <c r="D291" s="9">
        <v>41369.533229166664</v>
      </c>
      <c r="E291" t="s">
        <v>30</v>
      </c>
      <c r="F291">
        <f t="shared" ca="1" si="8"/>
        <v>1.8166666666666667</v>
      </c>
      <c r="G291">
        <f t="shared" ca="1" si="9"/>
        <v>0</v>
      </c>
    </row>
    <row r="292" spans="1:7">
      <c r="A292">
        <v>6629</v>
      </c>
      <c r="B292" t="s">
        <v>8</v>
      </c>
      <c r="C292" t="s">
        <v>122</v>
      </c>
      <c r="D292" s="9">
        <v>41334.414641203701</v>
      </c>
      <c r="E292" t="s">
        <v>19</v>
      </c>
      <c r="F292">
        <f t="shared" ca="1" si="8"/>
        <v>1.9111111111111112</v>
      </c>
      <c r="G292">
        <f t="shared" ca="1" si="9"/>
        <v>0</v>
      </c>
    </row>
    <row r="293" spans="1:7">
      <c r="A293">
        <v>6639</v>
      </c>
      <c r="B293" t="s">
        <v>8</v>
      </c>
      <c r="C293" t="s">
        <v>122</v>
      </c>
      <c r="D293" s="9">
        <v>41382.643252314818</v>
      </c>
      <c r="E293" t="s">
        <v>27</v>
      </c>
      <c r="F293">
        <f t="shared" ca="1" si="8"/>
        <v>1.7805555555555554</v>
      </c>
      <c r="G293">
        <f t="shared" ca="1" si="9"/>
        <v>0</v>
      </c>
    </row>
    <row r="294" spans="1:7">
      <c r="A294">
        <v>6658</v>
      </c>
      <c r="B294" t="s">
        <v>27</v>
      </c>
      <c r="C294" t="s">
        <v>122</v>
      </c>
      <c r="D294" s="9">
        <v>41401.59878472222</v>
      </c>
      <c r="E294" t="s">
        <v>38</v>
      </c>
      <c r="F294">
        <f t="shared" ca="1" si="8"/>
        <v>1.7277777777777779</v>
      </c>
      <c r="G294">
        <f t="shared" ca="1" si="9"/>
        <v>0</v>
      </c>
    </row>
    <row r="295" spans="1:7">
      <c r="A295">
        <v>6677</v>
      </c>
      <c r="B295" t="s">
        <v>8</v>
      </c>
      <c r="C295" t="s">
        <v>122</v>
      </c>
      <c r="D295" s="9">
        <v>41369.533483796295</v>
      </c>
      <c r="E295" t="s">
        <v>19</v>
      </c>
      <c r="F295">
        <f t="shared" ca="1" si="8"/>
        <v>1.8166666666666667</v>
      </c>
      <c r="G295">
        <f t="shared" ca="1" si="9"/>
        <v>0</v>
      </c>
    </row>
    <row r="296" spans="1:7">
      <c r="A296">
        <v>6679</v>
      </c>
      <c r="B296" t="s">
        <v>21</v>
      </c>
      <c r="C296" t="s">
        <v>122</v>
      </c>
      <c r="D296" s="9">
        <v>41382.643240740741</v>
      </c>
      <c r="E296" t="s">
        <v>11</v>
      </c>
      <c r="F296">
        <f t="shared" ca="1" si="8"/>
        <v>1.7805555555555554</v>
      </c>
      <c r="G296">
        <f t="shared" ca="1" si="9"/>
        <v>0</v>
      </c>
    </row>
    <row r="297" spans="1:7">
      <c r="A297">
        <v>6690</v>
      </c>
      <c r="B297" t="s">
        <v>19</v>
      </c>
      <c r="C297" t="s">
        <v>122</v>
      </c>
      <c r="D297" s="9">
        <v>41390.606932870367</v>
      </c>
      <c r="E297" t="s">
        <v>112</v>
      </c>
      <c r="F297">
        <f t="shared" ca="1" si="8"/>
        <v>1.7583333333333333</v>
      </c>
      <c r="G297">
        <f t="shared" ca="1" si="9"/>
        <v>0</v>
      </c>
    </row>
    <row r="298" spans="1:7">
      <c r="A298">
        <v>6697</v>
      </c>
      <c r="B298" t="s">
        <v>27</v>
      </c>
      <c r="C298" t="s">
        <v>122</v>
      </c>
      <c r="D298" s="9">
        <v>41410.944594907407</v>
      </c>
      <c r="E298" t="s">
        <v>38</v>
      </c>
      <c r="F298">
        <f t="shared" ca="1" si="8"/>
        <v>1.7027777777777777</v>
      </c>
      <c r="G298">
        <f t="shared" ca="1" si="9"/>
        <v>0</v>
      </c>
    </row>
    <row r="299" spans="1:7">
      <c r="A299">
        <v>6700</v>
      </c>
      <c r="B299" t="s">
        <v>27</v>
      </c>
      <c r="C299" t="s">
        <v>122</v>
      </c>
      <c r="D299" s="9">
        <v>41401.603784722225</v>
      </c>
      <c r="E299" t="s">
        <v>38</v>
      </c>
      <c r="F299">
        <f t="shared" ca="1" si="8"/>
        <v>1.7277777777777779</v>
      </c>
      <c r="G299">
        <f t="shared" ca="1" si="9"/>
        <v>0</v>
      </c>
    </row>
    <row r="300" spans="1:7">
      <c r="A300">
        <v>6709</v>
      </c>
      <c r="B300" t="s">
        <v>19</v>
      </c>
      <c r="C300" t="s">
        <v>122</v>
      </c>
      <c r="D300" s="9">
        <v>41383.670254629629</v>
      </c>
      <c r="E300" t="s">
        <v>8</v>
      </c>
      <c r="F300">
        <f t="shared" ca="1" si="8"/>
        <v>1.7777777777777777</v>
      </c>
      <c r="G300">
        <f t="shared" ca="1" si="9"/>
        <v>0</v>
      </c>
    </row>
    <row r="301" spans="1:7">
      <c r="A301">
        <v>6710</v>
      </c>
      <c r="B301" t="s">
        <v>8</v>
      </c>
      <c r="C301" t="s">
        <v>122</v>
      </c>
      <c r="D301" s="9">
        <v>41369.533437500002</v>
      </c>
      <c r="E301" t="s">
        <v>19</v>
      </c>
      <c r="F301">
        <f t="shared" ca="1" si="8"/>
        <v>1.8166666666666667</v>
      </c>
      <c r="G301">
        <f t="shared" ca="1" si="9"/>
        <v>0</v>
      </c>
    </row>
    <row r="302" spans="1:7">
      <c r="A302">
        <v>6724</v>
      </c>
      <c r="B302" t="s">
        <v>44</v>
      </c>
      <c r="C302" t="s">
        <v>122</v>
      </c>
      <c r="D302" s="9">
        <v>41383.670208333337</v>
      </c>
      <c r="E302" t="s">
        <v>8</v>
      </c>
      <c r="F302">
        <f t="shared" ca="1" si="8"/>
        <v>1.7777777777777777</v>
      </c>
      <c r="G302">
        <f t="shared" ca="1" si="9"/>
        <v>0</v>
      </c>
    </row>
    <row r="303" spans="1:7">
      <c r="A303">
        <v>6760</v>
      </c>
      <c r="B303" t="s">
        <v>38</v>
      </c>
      <c r="C303" t="s">
        <v>122</v>
      </c>
      <c r="D303" s="9">
        <v>41383.670405092591</v>
      </c>
      <c r="E303" t="s">
        <v>36</v>
      </c>
      <c r="F303">
        <f t="shared" ca="1" si="8"/>
        <v>1.7777777777777777</v>
      </c>
      <c r="G303">
        <f t="shared" ca="1" si="9"/>
        <v>0</v>
      </c>
    </row>
    <row r="304" spans="1:7">
      <c r="A304">
        <v>6777</v>
      </c>
      <c r="B304" t="s">
        <v>27</v>
      </c>
      <c r="C304" t="s">
        <v>122</v>
      </c>
      <c r="D304" s="9">
        <v>41410.943229166667</v>
      </c>
      <c r="E304" t="s">
        <v>38</v>
      </c>
      <c r="F304">
        <f t="shared" ca="1" si="8"/>
        <v>1.7027777777777777</v>
      </c>
      <c r="G304">
        <f t="shared" ca="1" si="9"/>
        <v>0</v>
      </c>
    </row>
    <row r="305" spans="1:7">
      <c r="A305">
        <v>6780</v>
      </c>
      <c r="B305" t="s">
        <v>44</v>
      </c>
      <c r="C305" t="s">
        <v>122</v>
      </c>
      <c r="D305" s="9">
        <v>41383.67046296296</v>
      </c>
      <c r="E305" t="s">
        <v>24</v>
      </c>
      <c r="F305">
        <f t="shared" ca="1" si="8"/>
        <v>1.7777777777777777</v>
      </c>
      <c r="G305">
        <f t="shared" ca="1" si="9"/>
        <v>0</v>
      </c>
    </row>
    <row r="306" spans="1:7">
      <c r="A306">
        <v>6788</v>
      </c>
      <c r="B306" t="s">
        <v>8</v>
      </c>
      <c r="C306" t="s">
        <v>122</v>
      </c>
      <c r="D306" s="9">
        <v>41410.944548611114</v>
      </c>
      <c r="E306" t="s">
        <v>34</v>
      </c>
      <c r="F306">
        <f t="shared" ca="1" si="8"/>
        <v>1.7027777777777777</v>
      </c>
      <c r="G306">
        <f t="shared" ca="1" si="9"/>
        <v>0</v>
      </c>
    </row>
    <row r="307" spans="1:7">
      <c r="A307">
        <v>6791</v>
      </c>
      <c r="B307" t="s">
        <v>8</v>
      </c>
      <c r="C307" t="s">
        <v>121</v>
      </c>
      <c r="D307" s="9">
        <v>41484.383506944447</v>
      </c>
      <c r="E307" t="s">
        <v>17</v>
      </c>
      <c r="F307">
        <f t="shared" ca="1" si="8"/>
        <v>1.5</v>
      </c>
      <c r="G307">
        <f t="shared" ca="1" si="9"/>
        <v>0</v>
      </c>
    </row>
    <row r="308" spans="1:7">
      <c r="A308">
        <v>6794</v>
      </c>
      <c r="B308" t="s">
        <v>27</v>
      </c>
      <c r="C308" t="s">
        <v>122</v>
      </c>
      <c r="D308" s="9">
        <v>41401.611631944441</v>
      </c>
      <c r="E308" t="s">
        <v>38</v>
      </c>
      <c r="F308">
        <f t="shared" ca="1" si="8"/>
        <v>1.7277777777777779</v>
      </c>
      <c r="G308">
        <f t="shared" ca="1" si="9"/>
        <v>0</v>
      </c>
    </row>
    <row r="309" spans="1:7">
      <c r="A309">
        <v>6796</v>
      </c>
      <c r="B309" t="s">
        <v>27</v>
      </c>
      <c r="C309" t="s">
        <v>122</v>
      </c>
      <c r="D309" s="9">
        <v>41401.601342592592</v>
      </c>
      <c r="E309" t="s">
        <v>20</v>
      </c>
      <c r="F309">
        <f t="shared" ca="1" si="8"/>
        <v>1.7277777777777779</v>
      </c>
      <c r="G309">
        <f t="shared" ca="1" si="9"/>
        <v>0</v>
      </c>
    </row>
    <row r="310" spans="1:7">
      <c r="A310">
        <v>6812</v>
      </c>
      <c r="B310" t="s">
        <v>8</v>
      </c>
      <c r="C310" t="s">
        <v>122</v>
      </c>
      <c r="D310" s="9">
        <v>41383.670555555553</v>
      </c>
      <c r="E310" t="s">
        <v>11</v>
      </c>
      <c r="F310">
        <f t="shared" ca="1" si="8"/>
        <v>1.7777777777777777</v>
      </c>
      <c r="G310">
        <f t="shared" ca="1" si="9"/>
        <v>0</v>
      </c>
    </row>
    <row r="311" spans="1:7">
      <c r="A311">
        <v>6816</v>
      </c>
      <c r="B311" t="s">
        <v>32</v>
      </c>
      <c r="C311" t="s">
        <v>122</v>
      </c>
      <c r="D311" s="9">
        <v>41416.489976851852</v>
      </c>
      <c r="E311" t="s">
        <v>21</v>
      </c>
      <c r="F311">
        <f t="shared" ca="1" si="8"/>
        <v>1.6861111111111111</v>
      </c>
      <c r="G311">
        <f t="shared" ca="1" si="9"/>
        <v>0</v>
      </c>
    </row>
    <row r="312" spans="1:7">
      <c r="A312">
        <v>6818</v>
      </c>
      <c r="B312" t="s">
        <v>27</v>
      </c>
      <c r="C312" t="s">
        <v>122</v>
      </c>
      <c r="D312" s="9">
        <v>41410.942997685182</v>
      </c>
      <c r="E312" t="s">
        <v>20</v>
      </c>
      <c r="F312">
        <f t="shared" ca="1" si="8"/>
        <v>1.7027777777777777</v>
      </c>
      <c r="G312">
        <f t="shared" ca="1" si="9"/>
        <v>0</v>
      </c>
    </row>
    <row r="313" spans="1:7">
      <c r="A313">
        <v>6825</v>
      </c>
      <c r="B313" t="s">
        <v>44</v>
      </c>
      <c r="C313" t="s">
        <v>122</v>
      </c>
      <c r="D313" s="9">
        <v>41410.944444444445</v>
      </c>
      <c r="E313" t="s">
        <v>34</v>
      </c>
      <c r="F313">
        <f t="shared" ca="1" si="8"/>
        <v>1.7027777777777777</v>
      </c>
      <c r="G313">
        <f t="shared" ca="1" si="9"/>
        <v>0</v>
      </c>
    </row>
    <row r="314" spans="1:7">
      <c r="A314">
        <v>6836</v>
      </c>
      <c r="B314" t="s">
        <v>36</v>
      </c>
      <c r="C314" t="s">
        <v>122</v>
      </c>
      <c r="D314" s="9">
        <v>41402.613993055558</v>
      </c>
      <c r="E314" t="s">
        <v>112</v>
      </c>
      <c r="F314">
        <f t="shared" ca="1" si="8"/>
        <v>1.7250000000000001</v>
      </c>
      <c r="G314">
        <f t="shared" ca="1" si="9"/>
        <v>0</v>
      </c>
    </row>
    <row r="315" spans="1:7">
      <c r="A315">
        <v>6839</v>
      </c>
      <c r="B315" t="s">
        <v>24</v>
      </c>
      <c r="C315" t="s">
        <v>122</v>
      </c>
      <c r="D315" s="9">
        <v>41450.396458333336</v>
      </c>
      <c r="E315" t="s">
        <v>44</v>
      </c>
      <c r="F315">
        <f t="shared" ca="1" si="8"/>
        <v>1.5944444444444446</v>
      </c>
      <c r="G315">
        <f t="shared" ca="1" si="9"/>
        <v>0</v>
      </c>
    </row>
    <row r="316" spans="1:7">
      <c r="A316">
        <v>6842</v>
      </c>
      <c r="B316" t="s">
        <v>27</v>
      </c>
      <c r="C316" t="s">
        <v>122</v>
      </c>
      <c r="D316" s="9">
        <v>41410.94321759259</v>
      </c>
      <c r="E316" t="s">
        <v>38</v>
      </c>
      <c r="F316">
        <f t="shared" ca="1" si="8"/>
        <v>1.7027777777777777</v>
      </c>
      <c r="G316">
        <f t="shared" ca="1" si="9"/>
        <v>0</v>
      </c>
    </row>
    <row r="317" spans="1:7">
      <c r="A317">
        <v>6845</v>
      </c>
      <c r="B317" t="s">
        <v>21</v>
      </c>
      <c r="C317" t="s">
        <v>122</v>
      </c>
      <c r="D317" s="9">
        <v>41410.943796296298</v>
      </c>
      <c r="E317" t="s">
        <v>32</v>
      </c>
      <c r="F317">
        <f t="shared" ca="1" si="8"/>
        <v>1.7027777777777777</v>
      </c>
      <c r="G317">
        <f t="shared" ca="1" si="9"/>
        <v>0</v>
      </c>
    </row>
    <row r="318" spans="1:7">
      <c r="A318">
        <v>6855</v>
      </c>
      <c r="B318" t="s">
        <v>23</v>
      </c>
      <c r="C318" t="s">
        <v>122</v>
      </c>
      <c r="D318" s="9">
        <v>41416.490023148152</v>
      </c>
      <c r="E318" t="s">
        <v>36</v>
      </c>
      <c r="F318">
        <f t="shared" ca="1" si="8"/>
        <v>1.6861111111111111</v>
      </c>
      <c r="G318">
        <f t="shared" ca="1" si="9"/>
        <v>0</v>
      </c>
    </row>
    <row r="319" spans="1:7">
      <c r="A319">
        <v>6868</v>
      </c>
      <c r="B319" t="s">
        <v>19</v>
      </c>
      <c r="C319" t="s">
        <v>122</v>
      </c>
      <c r="D319" s="9">
        <v>41386.779548611114</v>
      </c>
      <c r="E319" t="s">
        <v>27</v>
      </c>
      <c r="F319">
        <f t="shared" ca="1" si="8"/>
        <v>1.7694444444444444</v>
      </c>
      <c r="G319">
        <f t="shared" ca="1" si="9"/>
        <v>0</v>
      </c>
    </row>
    <row r="320" spans="1:7">
      <c r="A320">
        <v>6874</v>
      </c>
      <c r="B320" t="s">
        <v>8</v>
      </c>
      <c r="C320" t="s">
        <v>120</v>
      </c>
      <c r="D320" s="9">
        <v>41540.95416666667</v>
      </c>
      <c r="E320" t="s">
        <v>11</v>
      </c>
      <c r="F320">
        <f t="shared" ca="1" si="8"/>
        <v>1.35</v>
      </c>
      <c r="G320">
        <f t="shared" ca="1" si="9"/>
        <v>0</v>
      </c>
    </row>
    <row r="321" spans="1:7">
      <c r="A321">
        <v>6875</v>
      </c>
      <c r="B321" t="s">
        <v>8</v>
      </c>
      <c r="C321" t="s">
        <v>120</v>
      </c>
      <c r="D321" s="9">
        <v>41541.660763888889</v>
      </c>
      <c r="E321" t="s">
        <v>11</v>
      </c>
      <c r="F321">
        <f t="shared" ca="1" si="8"/>
        <v>1.3472222222222223</v>
      </c>
      <c r="G321">
        <f t="shared" ca="1" si="9"/>
        <v>0</v>
      </c>
    </row>
    <row r="322" spans="1:7">
      <c r="A322">
        <v>6877</v>
      </c>
      <c r="B322" t="s">
        <v>27</v>
      </c>
      <c r="C322" t="s">
        <v>122</v>
      </c>
      <c r="D322" s="9">
        <v>41410.944849537038</v>
      </c>
      <c r="E322" t="s">
        <v>20</v>
      </c>
      <c r="F322">
        <f t="shared" ca="1" si="8"/>
        <v>1.7027777777777777</v>
      </c>
      <c r="G322">
        <f t="shared" ca="1" si="9"/>
        <v>0</v>
      </c>
    </row>
    <row r="323" spans="1:7">
      <c r="A323">
        <v>6894</v>
      </c>
      <c r="B323" t="s">
        <v>24</v>
      </c>
      <c r="C323" t="s">
        <v>122</v>
      </c>
      <c r="D323" s="9">
        <v>41410.944664351853</v>
      </c>
      <c r="E323" t="s">
        <v>112</v>
      </c>
      <c r="F323">
        <f t="shared" ref="F323:F386" ca="1" si="10">YEARFRAC(TODAY(),$D323)</f>
        <v>1.7027777777777777</v>
      </c>
      <c r="G323">
        <f t="shared" ref="G323:G386" ca="1" si="11">IF($F323&lt;1,1,0)</f>
        <v>0</v>
      </c>
    </row>
    <row r="324" spans="1:7">
      <c r="A324">
        <v>6897</v>
      </c>
      <c r="B324" t="s">
        <v>20</v>
      </c>
      <c r="C324" t="s">
        <v>122</v>
      </c>
      <c r="D324" s="9">
        <v>41410.944803240738</v>
      </c>
      <c r="E324" t="s">
        <v>36</v>
      </c>
      <c r="F324">
        <f t="shared" ca="1" si="10"/>
        <v>1.7027777777777777</v>
      </c>
      <c r="G324">
        <f t="shared" ca="1" si="11"/>
        <v>0</v>
      </c>
    </row>
    <row r="325" spans="1:7">
      <c r="A325">
        <v>6905</v>
      </c>
      <c r="B325" t="s">
        <v>24</v>
      </c>
      <c r="C325" t="s">
        <v>122</v>
      </c>
      <c r="D325" s="9">
        <v>41410.944444444445</v>
      </c>
      <c r="E325" t="s">
        <v>8</v>
      </c>
      <c r="F325">
        <f t="shared" ca="1" si="10"/>
        <v>1.7027777777777777</v>
      </c>
      <c r="G325">
        <f t="shared" ca="1" si="11"/>
        <v>0</v>
      </c>
    </row>
    <row r="326" spans="1:7">
      <c r="A326">
        <v>6907</v>
      </c>
      <c r="B326" t="s">
        <v>20</v>
      </c>
      <c r="C326" t="s">
        <v>122</v>
      </c>
      <c r="D326" s="9">
        <v>41410.944849537038</v>
      </c>
      <c r="E326" t="s">
        <v>27</v>
      </c>
      <c r="F326">
        <f t="shared" ca="1" si="10"/>
        <v>1.7027777777777777</v>
      </c>
      <c r="G326">
        <f t="shared" ca="1" si="11"/>
        <v>0</v>
      </c>
    </row>
    <row r="327" spans="1:7">
      <c r="A327">
        <v>6913</v>
      </c>
      <c r="B327" t="s">
        <v>38</v>
      </c>
      <c r="C327" t="s">
        <v>122</v>
      </c>
      <c r="D327" s="9">
        <v>41410.944675925923</v>
      </c>
      <c r="E327" t="s">
        <v>27</v>
      </c>
      <c r="F327">
        <f t="shared" ca="1" si="10"/>
        <v>1.7027777777777777</v>
      </c>
      <c r="G327">
        <f t="shared" ca="1" si="11"/>
        <v>0</v>
      </c>
    </row>
    <row r="328" spans="1:7">
      <c r="A328">
        <v>6914</v>
      </c>
      <c r="B328" t="s">
        <v>27</v>
      </c>
      <c r="C328" t="s">
        <v>122</v>
      </c>
      <c r="D328" s="9">
        <v>41401.595000000001</v>
      </c>
      <c r="E328" t="s">
        <v>8</v>
      </c>
      <c r="F328">
        <f t="shared" ca="1" si="10"/>
        <v>1.7277777777777779</v>
      </c>
      <c r="G328">
        <f t="shared" ca="1" si="11"/>
        <v>0</v>
      </c>
    </row>
    <row r="329" spans="1:7">
      <c r="A329">
        <v>6915</v>
      </c>
      <c r="B329" t="s">
        <v>27</v>
      </c>
      <c r="C329" t="s">
        <v>122</v>
      </c>
      <c r="D329" s="9">
        <v>41401.595000000001</v>
      </c>
      <c r="E329" t="s">
        <v>8</v>
      </c>
      <c r="F329">
        <f t="shared" ca="1" si="10"/>
        <v>1.7277777777777779</v>
      </c>
      <c r="G329">
        <f t="shared" ca="1" si="11"/>
        <v>0</v>
      </c>
    </row>
    <row r="330" spans="1:7">
      <c r="A330">
        <v>6917</v>
      </c>
      <c r="B330" t="s">
        <v>38</v>
      </c>
      <c r="C330" t="s">
        <v>122</v>
      </c>
      <c r="D330" s="9">
        <v>41393.948182870372</v>
      </c>
      <c r="E330" t="s">
        <v>27</v>
      </c>
      <c r="F330">
        <f t="shared" ca="1" si="10"/>
        <v>1.75</v>
      </c>
      <c r="G330">
        <f t="shared" ca="1" si="11"/>
        <v>0</v>
      </c>
    </row>
    <row r="331" spans="1:7">
      <c r="A331">
        <v>6927</v>
      </c>
      <c r="B331" t="s">
        <v>27</v>
      </c>
      <c r="C331" t="s">
        <v>122</v>
      </c>
      <c r="D331" s="9">
        <v>41410.944606481484</v>
      </c>
      <c r="E331" t="s">
        <v>38</v>
      </c>
      <c r="F331">
        <f t="shared" ca="1" si="10"/>
        <v>1.7027777777777777</v>
      </c>
      <c r="G331">
        <f t="shared" ca="1" si="11"/>
        <v>0</v>
      </c>
    </row>
    <row r="332" spans="1:7">
      <c r="A332">
        <v>6953</v>
      </c>
      <c r="B332" t="s">
        <v>24</v>
      </c>
      <c r="C332" t="s">
        <v>122</v>
      </c>
      <c r="D332" s="9">
        <v>41410.944826388892</v>
      </c>
      <c r="E332" t="s">
        <v>30</v>
      </c>
      <c r="F332">
        <f t="shared" ca="1" si="10"/>
        <v>1.7027777777777777</v>
      </c>
      <c r="G332">
        <f t="shared" ca="1" si="11"/>
        <v>0</v>
      </c>
    </row>
    <row r="333" spans="1:7">
      <c r="A333">
        <v>6955</v>
      </c>
      <c r="B333" t="s">
        <v>8</v>
      </c>
      <c r="C333" t="s">
        <v>122</v>
      </c>
      <c r="D333" s="9">
        <v>41410.944733796299</v>
      </c>
      <c r="E333" t="s">
        <v>11</v>
      </c>
      <c r="F333">
        <f t="shared" ca="1" si="10"/>
        <v>1.7027777777777777</v>
      </c>
      <c r="G333">
        <f t="shared" ca="1" si="11"/>
        <v>0</v>
      </c>
    </row>
    <row r="334" spans="1:7">
      <c r="A334">
        <v>6957</v>
      </c>
      <c r="B334" t="s">
        <v>32</v>
      </c>
      <c r="C334" t="s">
        <v>122</v>
      </c>
      <c r="D334" s="9">
        <v>41410.944733796299</v>
      </c>
      <c r="E334" t="s">
        <v>20</v>
      </c>
      <c r="F334">
        <f t="shared" ca="1" si="10"/>
        <v>1.7027777777777777</v>
      </c>
      <c r="G334">
        <f t="shared" ca="1" si="11"/>
        <v>0</v>
      </c>
    </row>
    <row r="335" spans="1:7">
      <c r="A335">
        <v>6961</v>
      </c>
      <c r="B335" t="s">
        <v>24</v>
      </c>
      <c r="C335" t="s">
        <v>122</v>
      </c>
      <c r="D335" s="9">
        <v>41410.944745370369</v>
      </c>
      <c r="E335" t="s">
        <v>44</v>
      </c>
      <c r="F335">
        <f t="shared" ca="1" si="10"/>
        <v>1.7027777777777777</v>
      </c>
      <c r="G335">
        <f t="shared" ca="1" si="11"/>
        <v>0</v>
      </c>
    </row>
    <row r="336" spans="1:7">
      <c r="A336">
        <v>6965</v>
      </c>
      <c r="B336" t="s">
        <v>36</v>
      </c>
      <c r="C336" t="s">
        <v>122</v>
      </c>
      <c r="D336" s="9">
        <v>41410.944872685184</v>
      </c>
      <c r="E336" t="s">
        <v>20</v>
      </c>
      <c r="F336">
        <f t="shared" ca="1" si="10"/>
        <v>1.7027777777777777</v>
      </c>
      <c r="G336">
        <f t="shared" ca="1" si="11"/>
        <v>0</v>
      </c>
    </row>
    <row r="337" spans="1:7">
      <c r="A337">
        <v>6966</v>
      </c>
      <c r="B337" t="s">
        <v>20</v>
      </c>
      <c r="C337" t="s">
        <v>122</v>
      </c>
      <c r="D337" s="9">
        <v>41416.490115740744</v>
      </c>
      <c r="E337" t="s">
        <v>38</v>
      </c>
      <c r="F337">
        <f t="shared" ca="1" si="10"/>
        <v>1.6861111111111111</v>
      </c>
      <c r="G337">
        <f t="shared" ca="1" si="11"/>
        <v>0</v>
      </c>
    </row>
    <row r="338" spans="1:7">
      <c r="A338">
        <v>6973</v>
      </c>
      <c r="B338" t="s">
        <v>38</v>
      </c>
      <c r="C338" t="s">
        <v>122</v>
      </c>
      <c r="D338" s="9">
        <v>41410.944826388892</v>
      </c>
      <c r="E338" t="s">
        <v>27</v>
      </c>
      <c r="F338">
        <f t="shared" ca="1" si="10"/>
        <v>1.7027777777777777</v>
      </c>
      <c r="G338">
        <f t="shared" ca="1" si="11"/>
        <v>0</v>
      </c>
    </row>
    <row r="339" spans="1:7">
      <c r="A339">
        <v>6978</v>
      </c>
      <c r="B339" t="s">
        <v>44</v>
      </c>
      <c r="C339" t="s">
        <v>122</v>
      </c>
      <c r="D339" s="9">
        <v>41410.944837962961</v>
      </c>
      <c r="E339" t="s">
        <v>24</v>
      </c>
      <c r="F339">
        <f t="shared" ca="1" si="10"/>
        <v>1.7027777777777777</v>
      </c>
      <c r="G339">
        <f t="shared" ca="1" si="11"/>
        <v>0</v>
      </c>
    </row>
    <row r="340" spans="1:7">
      <c r="A340">
        <v>6981</v>
      </c>
      <c r="B340" t="s">
        <v>24</v>
      </c>
      <c r="C340" t="s">
        <v>121</v>
      </c>
      <c r="D340" s="9">
        <v>41480.415254629632</v>
      </c>
      <c r="E340" t="s">
        <v>111</v>
      </c>
      <c r="F340">
        <f t="shared" ca="1" si="10"/>
        <v>1.5111111111111111</v>
      </c>
      <c r="G340">
        <f t="shared" ca="1" si="11"/>
        <v>0</v>
      </c>
    </row>
    <row r="341" spans="1:7">
      <c r="A341">
        <v>6986</v>
      </c>
      <c r="B341" t="s">
        <v>24</v>
      </c>
      <c r="C341" t="s">
        <v>122</v>
      </c>
      <c r="D341" s="9">
        <v>41477.578206018516</v>
      </c>
      <c r="E341" t="s">
        <v>51</v>
      </c>
      <c r="F341">
        <f t="shared" ca="1" si="10"/>
        <v>1.5194444444444444</v>
      </c>
      <c r="G341">
        <f t="shared" ca="1" si="11"/>
        <v>0</v>
      </c>
    </row>
    <row r="342" spans="1:7">
      <c r="A342">
        <v>6998</v>
      </c>
      <c r="B342" t="s">
        <v>8</v>
      </c>
      <c r="C342" t="s">
        <v>122</v>
      </c>
      <c r="D342" s="9">
        <v>41410.944976851853</v>
      </c>
      <c r="E342" t="s">
        <v>112</v>
      </c>
      <c r="F342">
        <f t="shared" ca="1" si="10"/>
        <v>1.7027777777777777</v>
      </c>
      <c r="G342">
        <f t="shared" ca="1" si="11"/>
        <v>0</v>
      </c>
    </row>
    <row r="343" spans="1:7">
      <c r="A343">
        <v>7000</v>
      </c>
      <c r="B343" t="s">
        <v>8</v>
      </c>
      <c r="C343" t="s">
        <v>122</v>
      </c>
      <c r="D343" s="9">
        <v>41410.944861111115</v>
      </c>
      <c r="E343" t="s">
        <v>24</v>
      </c>
      <c r="F343">
        <f t="shared" ca="1" si="10"/>
        <v>1.7027777777777777</v>
      </c>
      <c r="G343">
        <f t="shared" ca="1" si="11"/>
        <v>0</v>
      </c>
    </row>
    <row r="344" spans="1:7">
      <c r="A344">
        <v>7004</v>
      </c>
      <c r="B344" t="s">
        <v>8</v>
      </c>
      <c r="C344" t="s">
        <v>122</v>
      </c>
      <c r="D344" s="9">
        <v>41410.944861111115</v>
      </c>
      <c r="E344" t="s">
        <v>24</v>
      </c>
      <c r="F344">
        <f t="shared" ca="1" si="10"/>
        <v>1.7027777777777777</v>
      </c>
      <c r="G344">
        <f t="shared" ca="1" si="11"/>
        <v>0</v>
      </c>
    </row>
    <row r="345" spans="1:7">
      <c r="A345">
        <v>7011</v>
      </c>
      <c r="B345" t="s">
        <v>49</v>
      </c>
      <c r="C345" t="s">
        <v>122</v>
      </c>
      <c r="D345" s="9">
        <v>41410.944884259261</v>
      </c>
      <c r="E345" t="s">
        <v>36</v>
      </c>
      <c r="F345">
        <f t="shared" ca="1" si="10"/>
        <v>1.7027777777777777</v>
      </c>
      <c r="G345">
        <f t="shared" ca="1" si="11"/>
        <v>0</v>
      </c>
    </row>
    <row r="346" spans="1:7">
      <c r="A346">
        <v>7016</v>
      </c>
      <c r="B346" t="s">
        <v>111</v>
      </c>
      <c r="C346" t="s">
        <v>122</v>
      </c>
      <c r="D346" s="9">
        <v>41416.490115740744</v>
      </c>
      <c r="E346" t="s">
        <v>36</v>
      </c>
      <c r="F346">
        <f t="shared" ca="1" si="10"/>
        <v>1.6861111111111111</v>
      </c>
      <c r="G346">
        <f t="shared" ca="1" si="11"/>
        <v>0</v>
      </c>
    </row>
    <row r="347" spans="1:7">
      <c r="A347">
        <v>7017</v>
      </c>
      <c r="B347" t="s">
        <v>27</v>
      </c>
      <c r="C347" t="s">
        <v>122</v>
      </c>
      <c r="D347" s="9">
        <v>41410.944907407407</v>
      </c>
      <c r="E347" t="s">
        <v>38</v>
      </c>
      <c r="F347">
        <f t="shared" ca="1" si="10"/>
        <v>1.7027777777777777</v>
      </c>
      <c r="G347">
        <f t="shared" ca="1" si="11"/>
        <v>0</v>
      </c>
    </row>
    <row r="348" spans="1:7">
      <c r="A348">
        <v>7024</v>
      </c>
      <c r="B348" t="s">
        <v>20</v>
      </c>
      <c r="C348" t="s">
        <v>122</v>
      </c>
      <c r="D348" s="9">
        <v>41410.94494212963</v>
      </c>
      <c r="E348" t="s">
        <v>27</v>
      </c>
      <c r="F348">
        <f t="shared" ca="1" si="10"/>
        <v>1.7027777777777777</v>
      </c>
      <c r="G348">
        <f t="shared" ca="1" si="11"/>
        <v>0</v>
      </c>
    </row>
    <row r="349" spans="1:7">
      <c r="A349">
        <v>7027</v>
      </c>
      <c r="B349" t="s">
        <v>20</v>
      </c>
      <c r="C349" t="s">
        <v>122</v>
      </c>
      <c r="D349" s="9">
        <v>41416.490127314813</v>
      </c>
      <c r="E349" t="s">
        <v>11</v>
      </c>
      <c r="F349">
        <f t="shared" ca="1" si="10"/>
        <v>1.6861111111111111</v>
      </c>
      <c r="G349">
        <f t="shared" ca="1" si="11"/>
        <v>0</v>
      </c>
    </row>
    <row r="350" spans="1:7">
      <c r="A350">
        <v>7028</v>
      </c>
      <c r="B350" t="s">
        <v>36</v>
      </c>
      <c r="C350" t="s">
        <v>122</v>
      </c>
      <c r="D350" s="9">
        <v>41410.944953703707</v>
      </c>
      <c r="E350" t="s">
        <v>27</v>
      </c>
      <c r="F350">
        <f t="shared" ca="1" si="10"/>
        <v>1.7027777777777777</v>
      </c>
      <c r="G350">
        <f t="shared" ca="1" si="11"/>
        <v>0</v>
      </c>
    </row>
    <row r="351" spans="1:7">
      <c r="A351">
        <v>7029</v>
      </c>
      <c r="B351" t="s">
        <v>24</v>
      </c>
      <c r="C351" t="s">
        <v>122</v>
      </c>
      <c r="D351" s="9">
        <v>41402.633703703701</v>
      </c>
      <c r="E351" t="s">
        <v>112</v>
      </c>
      <c r="F351">
        <f t="shared" ca="1" si="10"/>
        <v>1.7250000000000001</v>
      </c>
      <c r="G351">
        <f t="shared" ca="1" si="11"/>
        <v>0</v>
      </c>
    </row>
    <row r="352" spans="1:7">
      <c r="A352">
        <v>7032</v>
      </c>
      <c r="B352" t="s">
        <v>112</v>
      </c>
      <c r="C352" t="s">
        <v>122</v>
      </c>
      <c r="D352" s="9">
        <v>41404.633263888885</v>
      </c>
      <c r="E352" t="s">
        <v>19</v>
      </c>
      <c r="F352">
        <f t="shared" ca="1" si="10"/>
        <v>1.7194444444444446</v>
      </c>
      <c r="G352">
        <f t="shared" ca="1" si="11"/>
        <v>0</v>
      </c>
    </row>
    <row r="353" spans="1:7">
      <c r="A353">
        <v>7051</v>
      </c>
      <c r="B353" t="s">
        <v>38</v>
      </c>
      <c r="C353" t="s">
        <v>122</v>
      </c>
      <c r="D353" s="9">
        <v>41410.945023148146</v>
      </c>
      <c r="E353" t="s">
        <v>8</v>
      </c>
      <c r="F353">
        <f t="shared" ca="1" si="10"/>
        <v>1.7027777777777777</v>
      </c>
      <c r="G353">
        <f t="shared" ca="1" si="11"/>
        <v>0</v>
      </c>
    </row>
    <row r="354" spans="1:7">
      <c r="A354">
        <v>7054</v>
      </c>
      <c r="B354" t="s">
        <v>24</v>
      </c>
      <c r="C354" t="s">
        <v>122</v>
      </c>
      <c r="D354" s="9">
        <v>41404.641446759262</v>
      </c>
      <c r="E354" t="s">
        <v>19</v>
      </c>
      <c r="F354">
        <f t="shared" ca="1" si="10"/>
        <v>1.7194444444444446</v>
      </c>
      <c r="G354">
        <f t="shared" ca="1" si="11"/>
        <v>0</v>
      </c>
    </row>
    <row r="355" spans="1:7">
      <c r="A355">
        <v>7060</v>
      </c>
      <c r="B355" t="s">
        <v>19</v>
      </c>
      <c r="C355" t="s">
        <v>122</v>
      </c>
      <c r="D355" s="9">
        <v>41410.945023148146</v>
      </c>
      <c r="E355" t="s">
        <v>8</v>
      </c>
      <c r="F355">
        <f t="shared" ca="1" si="10"/>
        <v>1.7027777777777777</v>
      </c>
      <c r="G355">
        <f t="shared" ca="1" si="11"/>
        <v>0</v>
      </c>
    </row>
    <row r="356" spans="1:7">
      <c r="A356">
        <v>7088</v>
      </c>
      <c r="B356" t="s">
        <v>8</v>
      </c>
      <c r="C356" t="s">
        <v>121</v>
      </c>
      <c r="D356" s="9">
        <v>41480.415416666663</v>
      </c>
      <c r="E356" t="s">
        <v>30</v>
      </c>
      <c r="F356">
        <f t="shared" ca="1" si="10"/>
        <v>1.5111111111111111</v>
      </c>
      <c r="G356">
        <f t="shared" ca="1" si="11"/>
        <v>0</v>
      </c>
    </row>
    <row r="357" spans="1:7">
      <c r="A357">
        <v>7101</v>
      </c>
      <c r="B357" t="s">
        <v>8</v>
      </c>
      <c r="C357" t="s">
        <v>142</v>
      </c>
      <c r="D357" s="9">
        <v>41423.377638888887</v>
      </c>
      <c r="E357" t="s">
        <v>19</v>
      </c>
      <c r="F357">
        <f t="shared" ca="1" si="10"/>
        <v>1.6666666666666667</v>
      </c>
      <c r="G357">
        <f t="shared" ca="1" si="11"/>
        <v>0</v>
      </c>
    </row>
    <row r="358" spans="1:7">
      <c r="A358">
        <v>7154</v>
      </c>
      <c r="B358" t="s">
        <v>30</v>
      </c>
      <c r="C358" t="s">
        <v>121</v>
      </c>
      <c r="D358" s="9">
        <v>41460.631331018521</v>
      </c>
      <c r="E358" t="s">
        <v>23</v>
      </c>
      <c r="F358">
        <f t="shared" ca="1" si="10"/>
        <v>1.5666666666666667</v>
      </c>
      <c r="G358">
        <f t="shared" ca="1" si="11"/>
        <v>0</v>
      </c>
    </row>
    <row r="359" spans="1:7">
      <c r="A359">
        <v>7212</v>
      </c>
      <c r="B359" t="s">
        <v>27</v>
      </c>
      <c r="C359" t="s">
        <v>142</v>
      </c>
      <c r="D359" s="9">
        <v>41425.595069444447</v>
      </c>
      <c r="E359" t="s">
        <v>19</v>
      </c>
      <c r="F359">
        <f t="shared" ca="1" si="10"/>
        <v>1.663888888888889</v>
      </c>
      <c r="G359">
        <f t="shared" ca="1" si="11"/>
        <v>0</v>
      </c>
    </row>
    <row r="360" spans="1:7">
      <c r="A360">
        <v>7359</v>
      </c>
      <c r="B360" t="s">
        <v>20</v>
      </c>
      <c r="C360" t="s">
        <v>121</v>
      </c>
      <c r="D360" s="9">
        <v>41452.894293981481</v>
      </c>
      <c r="E360" t="s">
        <v>27</v>
      </c>
      <c r="F360">
        <f t="shared" ca="1" si="10"/>
        <v>1.5888888888888888</v>
      </c>
      <c r="G360">
        <f t="shared" ca="1" si="11"/>
        <v>0</v>
      </c>
    </row>
    <row r="361" spans="1:7">
      <c r="A361">
        <v>7404</v>
      </c>
      <c r="B361" t="s">
        <v>52</v>
      </c>
      <c r="C361" t="s">
        <v>120</v>
      </c>
      <c r="D361" s="9">
        <v>41513.827118055553</v>
      </c>
      <c r="E361" t="s">
        <v>111</v>
      </c>
      <c r="F361">
        <f t="shared" ca="1" si="10"/>
        <v>1.4222222222222223</v>
      </c>
      <c r="G361">
        <f t="shared" ca="1" si="11"/>
        <v>0</v>
      </c>
    </row>
    <row r="362" spans="1:7">
      <c r="A362">
        <v>7406</v>
      </c>
      <c r="B362" t="s">
        <v>8</v>
      </c>
      <c r="C362" t="s">
        <v>121</v>
      </c>
      <c r="D362" s="9">
        <v>41464.372743055559</v>
      </c>
      <c r="E362" t="s">
        <v>24</v>
      </c>
      <c r="F362">
        <f t="shared" ca="1" si="10"/>
        <v>1.5555555555555556</v>
      </c>
      <c r="G362">
        <f t="shared" ca="1" si="11"/>
        <v>0</v>
      </c>
    </row>
    <row r="363" spans="1:7">
      <c r="A363">
        <v>7419</v>
      </c>
      <c r="B363" t="s">
        <v>8</v>
      </c>
      <c r="C363" t="s">
        <v>121</v>
      </c>
      <c r="D363" s="9">
        <v>41467.790868055556</v>
      </c>
      <c r="E363" t="s">
        <v>36</v>
      </c>
      <c r="F363">
        <f t="shared" ca="1" si="10"/>
        <v>1.5472222222222223</v>
      </c>
      <c r="G363">
        <f t="shared" ca="1" si="11"/>
        <v>0</v>
      </c>
    </row>
    <row r="364" spans="1:7">
      <c r="A364">
        <v>7460</v>
      </c>
      <c r="B364" t="s">
        <v>8</v>
      </c>
      <c r="C364" t="s">
        <v>121</v>
      </c>
      <c r="D364" s="9">
        <v>41473.709398148145</v>
      </c>
      <c r="E364" t="s">
        <v>111</v>
      </c>
      <c r="F364">
        <f t="shared" ca="1" si="10"/>
        <v>1.5305555555555554</v>
      </c>
      <c r="G364">
        <f t="shared" ca="1" si="11"/>
        <v>0</v>
      </c>
    </row>
    <row r="365" spans="1:7">
      <c r="A365">
        <v>7466</v>
      </c>
      <c r="B365" t="s">
        <v>112</v>
      </c>
      <c r="C365" t="s">
        <v>121</v>
      </c>
      <c r="D365" s="9">
        <v>41479.572476851848</v>
      </c>
      <c r="E365" t="s">
        <v>19</v>
      </c>
      <c r="F365">
        <f t="shared" ca="1" si="10"/>
        <v>1.5138888888888888</v>
      </c>
      <c r="G365">
        <f t="shared" ca="1" si="11"/>
        <v>0</v>
      </c>
    </row>
    <row r="366" spans="1:7">
      <c r="A366">
        <v>7468</v>
      </c>
      <c r="B366" t="s">
        <v>8</v>
      </c>
      <c r="C366" t="s">
        <v>121</v>
      </c>
      <c r="D366" s="9">
        <v>41479.663171296299</v>
      </c>
      <c r="E366" t="s">
        <v>111</v>
      </c>
      <c r="F366">
        <f t="shared" ca="1" si="10"/>
        <v>1.5138888888888888</v>
      </c>
      <c r="G366">
        <f t="shared" ca="1" si="11"/>
        <v>0</v>
      </c>
    </row>
    <row r="367" spans="1:7">
      <c r="A367">
        <v>7487</v>
      </c>
      <c r="B367" t="s">
        <v>8</v>
      </c>
      <c r="C367" t="s">
        <v>121</v>
      </c>
      <c r="D367" s="9">
        <v>41479.907962962963</v>
      </c>
      <c r="E367" t="s">
        <v>11</v>
      </c>
      <c r="F367">
        <f t="shared" ca="1" si="10"/>
        <v>1.5138888888888888</v>
      </c>
      <c r="G367">
        <f t="shared" ca="1" si="11"/>
        <v>0</v>
      </c>
    </row>
    <row r="368" spans="1:7">
      <c r="A368">
        <v>7492</v>
      </c>
      <c r="B368" t="s">
        <v>8</v>
      </c>
      <c r="C368" t="s">
        <v>120</v>
      </c>
      <c r="D368" s="9">
        <v>41568.462453703702</v>
      </c>
      <c r="E368" t="s">
        <v>24</v>
      </c>
      <c r="F368">
        <f t="shared" ca="1" si="10"/>
        <v>1.2722222222222221</v>
      </c>
      <c r="G368">
        <f t="shared" ca="1" si="11"/>
        <v>0</v>
      </c>
    </row>
    <row r="369" spans="1:7">
      <c r="A369">
        <v>7506</v>
      </c>
      <c r="B369" t="s">
        <v>21</v>
      </c>
      <c r="C369" t="s">
        <v>121</v>
      </c>
      <c r="D369" s="9">
        <v>41485.675150462965</v>
      </c>
      <c r="E369" t="s">
        <v>11</v>
      </c>
      <c r="F369">
        <f t="shared" ca="1" si="10"/>
        <v>1.4972222222222222</v>
      </c>
      <c r="G369">
        <f t="shared" ca="1" si="11"/>
        <v>0</v>
      </c>
    </row>
    <row r="370" spans="1:7">
      <c r="A370">
        <v>7514</v>
      </c>
      <c r="B370" t="s">
        <v>8</v>
      </c>
      <c r="C370" t="s">
        <v>121</v>
      </c>
      <c r="D370" s="9">
        <v>41480.799131944441</v>
      </c>
      <c r="E370" t="s">
        <v>111</v>
      </c>
      <c r="F370">
        <f t="shared" ca="1" si="10"/>
        <v>1.5111111111111111</v>
      </c>
      <c r="G370">
        <f t="shared" ca="1" si="11"/>
        <v>0</v>
      </c>
    </row>
    <row r="371" spans="1:7">
      <c r="A371">
        <v>7522</v>
      </c>
      <c r="B371" t="s">
        <v>8</v>
      </c>
      <c r="C371" t="s">
        <v>121</v>
      </c>
      <c r="D371" s="9">
        <v>41484.389675925922</v>
      </c>
      <c r="E371" t="s">
        <v>14</v>
      </c>
      <c r="F371">
        <f t="shared" ca="1" si="10"/>
        <v>1.5</v>
      </c>
      <c r="G371">
        <f t="shared" ca="1" si="11"/>
        <v>0</v>
      </c>
    </row>
    <row r="372" spans="1:7">
      <c r="A372">
        <v>7524</v>
      </c>
      <c r="B372" t="s">
        <v>11</v>
      </c>
      <c r="C372" t="s">
        <v>121</v>
      </c>
      <c r="D372" s="9">
        <v>41481.936469907407</v>
      </c>
      <c r="E372" t="s">
        <v>36</v>
      </c>
      <c r="F372">
        <f t="shared" ca="1" si="10"/>
        <v>1.5083333333333333</v>
      </c>
      <c r="G372">
        <f t="shared" ca="1" si="11"/>
        <v>0</v>
      </c>
    </row>
    <row r="373" spans="1:7">
      <c r="A373">
        <v>7533</v>
      </c>
      <c r="B373" t="s">
        <v>8</v>
      </c>
      <c r="C373" t="s">
        <v>121</v>
      </c>
      <c r="D373" s="9">
        <v>41481.683680555558</v>
      </c>
      <c r="E373" t="s">
        <v>112</v>
      </c>
      <c r="F373">
        <f t="shared" ca="1" si="10"/>
        <v>1.5083333333333333</v>
      </c>
      <c r="G373">
        <f t="shared" ca="1" si="11"/>
        <v>0</v>
      </c>
    </row>
    <row r="374" spans="1:7">
      <c r="A374">
        <v>7545</v>
      </c>
      <c r="B374" t="s">
        <v>8</v>
      </c>
      <c r="C374" t="s">
        <v>121</v>
      </c>
      <c r="D374" s="9">
        <v>41484.56695601852</v>
      </c>
      <c r="E374" t="s">
        <v>18</v>
      </c>
      <c r="F374">
        <f t="shared" ca="1" si="10"/>
        <v>1.5</v>
      </c>
      <c r="G374">
        <f t="shared" ca="1" si="11"/>
        <v>0</v>
      </c>
    </row>
    <row r="375" spans="1:7">
      <c r="A375">
        <v>7558</v>
      </c>
      <c r="B375" t="s">
        <v>112</v>
      </c>
      <c r="C375" t="s">
        <v>121</v>
      </c>
      <c r="D375" s="9">
        <v>41484.701157407406</v>
      </c>
      <c r="E375" t="s">
        <v>19</v>
      </c>
      <c r="F375">
        <f t="shared" ca="1" si="10"/>
        <v>1.5</v>
      </c>
      <c r="G375">
        <f t="shared" ca="1" si="11"/>
        <v>0</v>
      </c>
    </row>
    <row r="376" spans="1:7">
      <c r="A376">
        <v>7561</v>
      </c>
      <c r="B376" t="s">
        <v>23</v>
      </c>
      <c r="C376" t="s">
        <v>121</v>
      </c>
      <c r="D376" s="9">
        <v>41486.854849537034</v>
      </c>
      <c r="E376" t="s">
        <v>8</v>
      </c>
      <c r="F376">
        <f t="shared" ca="1" si="10"/>
        <v>1.4972222222222222</v>
      </c>
      <c r="G376">
        <f t="shared" ca="1" si="11"/>
        <v>0</v>
      </c>
    </row>
    <row r="377" spans="1:7">
      <c r="A377">
        <v>7571</v>
      </c>
      <c r="B377" t="s">
        <v>24</v>
      </c>
      <c r="C377" t="s">
        <v>121</v>
      </c>
      <c r="D377" s="9">
        <v>41485.476377314815</v>
      </c>
      <c r="E377" t="s">
        <v>14</v>
      </c>
      <c r="F377">
        <f t="shared" ca="1" si="10"/>
        <v>1.4972222222222222</v>
      </c>
      <c r="G377">
        <f t="shared" ca="1" si="11"/>
        <v>0</v>
      </c>
    </row>
    <row r="378" spans="1:7">
      <c r="A378">
        <v>7578</v>
      </c>
      <c r="B378" t="s">
        <v>19</v>
      </c>
      <c r="C378" t="s">
        <v>121</v>
      </c>
      <c r="D378" s="9">
        <v>41485.542372685188</v>
      </c>
      <c r="E378" t="s">
        <v>14</v>
      </c>
      <c r="F378">
        <f t="shared" ca="1" si="10"/>
        <v>1.4972222222222222</v>
      </c>
      <c r="G378">
        <f t="shared" ca="1" si="11"/>
        <v>0</v>
      </c>
    </row>
    <row r="379" spans="1:7">
      <c r="A379">
        <v>7583</v>
      </c>
      <c r="B379" t="s">
        <v>8</v>
      </c>
      <c r="C379" t="s">
        <v>121</v>
      </c>
      <c r="D379" s="9">
        <v>41485.965243055558</v>
      </c>
      <c r="E379" t="s">
        <v>11</v>
      </c>
      <c r="F379">
        <f t="shared" ca="1" si="10"/>
        <v>1.4972222222222222</v>
      </c>
      <c r="G379">
        <f t="shared" ca="1" si="11"/>
        <v>0</v>
      </c>
    </row>
    <row r="380" spans="1:7">
      <c r="A380">
        <v>7598</v>
      </c>
      <c r="B380" t="s">
        <v>14</v>
      </c>
      <c r="C380" t="s">
        <v>121</v>
      </c>
      <c r="D380" s="9">
        <v>41487.442685185182</v>
      </c>
      <c r="E380" t="s">
        <v>8</v>
      </c>
      <c r="F380">
        <f t="shared" ca="1" si="10"/>
        <v>1.4944444444444445</v>
      </c>
      <c r="G380">
        <f t="shared" ca="1" si="11"/>
        <v>0</v>
      </c>
    </row>
    <row r="381" spans="1:7">
      <c r="A381">
        <v>7600</v>
      </c>
      <c r="B381" t="s">
        <v>24</v>
      </c>
      <c r="C381" t="s">
        <v>120</v>
      </c>
      <c r="D381" s="9">
        <v>41498.845219907409</v>
      </c>
      <c r="E381" t="s">
        <v>14</v>
      </c>
      <c r="F381">
        <f t="shared" ca="1" si="10"/>
        <v>1.4638888888888888</v>
      </c>
      <c r="G381">
        <f t="shared" ca="1" si="11"/>
        <v>0</v>
      </c>
    </row>
    <row r="382" spans="1:7">
      <c r="A382">
        <v>7605</v>
      </c>
      <c r="B382" t="s">
        <v>8</v>
      </c>
      <c r="C382" t="s">
        <v>121</v>
      </c>
      <c r="D382" s="9">
        <v>41487.43677083333</v>
      </c>
      <c r="E382" t="s">
        <v>24</v>
      </c>
      <c r="F382">
        <f t="shared" ca="1" si="10"/>
        <v>1.4944444444444445</v>
      </c>
      <c r="G382">
        <f t="shared" ca="1" si="11"/>
        <v>0</v>
      </c>
    </row>
    <row r="383" spans="1:7">
      <c r="A383">
        <v>7607</v>
      </c>
      <c r="B383" t="s">
        <v>8</v>
      </c>
      <c r="C383" t="s">
        <v>120</v>
      </c>
      <c r="D383" s="9">
        <v>41537.633634259262</v>
      </c>
      <c r="E383" t="s">
        <v>20</v>
      </c>
      <c r="F383">
        <f t="shared" ca="1" si="10"/>
        <v>1.3583333333333334</v>
      </c>
      <c r="G383">
        <f t="shared" ca="1" si="11"/>
        <v>0</v>
      </c>
    </row>
    <row r="384" spans="1:7">
      <c r="A384">
        <v>7615</v>
      </c>
      <c r="B384" t="s">
        <v>8</v>
      </c>
      <c r="C384" t="s">
        <v>120</v>
      </c>
      <c r="D384" s="9">
        <v>41534.848356481481</v>
      </c>
      <c r="E384" t="s">
        <v>36</v>
      </c>
      <c r="F384">
        <f t="shared" ca="1" si="10"/>
        <v>1.3666666666666667</v>
      </c>
      <c r="G384">
        <f t="shared" ca="1" si="11"/>
        <v>0</v>
      </c>
    </row>
    <row r="385" spans="1:7">
      <c r="A385">
        <v>7627</v>
      </c>
      <c r="B385" t="s">
        <v>21</v>
      </c>
      <c r="C385" t="s">
        <v>121</v>
      </c>
      <c r="D385" s="9">
        <v>41487.795081018521</v>
      </c>
      <c r="E385" t="s">
        <v>36</v>
      </c>
      <c r="F385">
        <f t="shared" ca="1" si="10"/>
        <v>1.4944444444444445</v>
      </c>
      <c r="G385">
        <f t="shared" ca="1" si="11"/>
        <v>0</v>
      </c>
    </row>
    <row r="386" spans="1:7">
      <c r="A386">
        <v>7634</v>
      </c>
      <c r="B386" t="s">
        <v>8</v>
      </c>
      <c r="C386" t="s">
        <v>121</v>
      </c>
      <c r="D386" s="9">
        <v>41488.375231481485</v>
      </c>
      <c r="E386" t="s">
        <v>112</v>
      </c>
      <c r="F386">
        <f t="shared" ca="1" si="10"/>
        <v>1.4916666666666667</v>
      </c>
      <c r="G386">
        <f t="shared" ca="1" si="11"/>
        <v>0</v>
      </c>
    </row>
    <row r="387" spans="1:7">
      <c r="A387">
        <v>7642</v>
      </c>
      <c r="B387" t="s">
        <v>112</v>
      </c>
      <c r="C387" t="s">
        <v>120</v>
      </c>
      <c r="D387" s="9">
        <v>41565.681180555555</v>
      </c>
      <c r="E387" t="s">
        <v>112</v>
      </c>
      <c r="F387">
        <f t="shared" ref="F387:F450" ca="1" si="12">YEARFRAC(TODAY(),$D387)</f>
        <v>1.2805555555555554</v>
      </c>
      <c r="G387">
        <f t="shared" ref="G387:G450" ca="1" si="13">IF($F387&lt;1,1,0)</f>
        <v>0</v>
      </c>
    </row>
    <row r="388" spans="1:7">
      <c r="A388">
        <v>7644</v>
      </c>
      <c r="B388" t="s">
        <v>30</v>
      </c>
      <c r="C388" t="s">
        <v>120</v>
      </c>
      <c r="D388" s="9">
        <v>41495.600729166668</v>
      </c>
      <c r="E388" t="s">
        <v>11</v>
      </c>
      <c r="F388">
        <f t="shared" ca="1" si="12"/>
        <v>1.4722222222222223</v>
      </c>
      <c r="G388">
        <f t="shared" ca="1" si="13"/>
        <v>0</v>
      </c>
    </row>
    <row r="389" spans="1:7">
      <c r="A389">
        <v>7677</v>
      </c>
      <c r="B389" t="s">
        <v>8</v>
      </c>
      <c r="C389" t="s">
        <v>170</v>
      </c>
      <c r="D389" s="9">
        <v>41500.654814814814</v>
      </c>
      <c r="E389" t="s">
        <v>21</v>
      </c>
      <c r="F389">
        <f t="shared" ca="1" si="12"/>
        <v>1.4583333333333333</v>
      </c>
      <c r="G389">
        <f t="shared" ca="1" si="13"/>
        <v>0</v>
      </c>
    </row>
    <row r="390" spans="1:7">
      <c r="A390">
        <v>7733</v>
      </c>
      <c r="B390" t="s">
        <v>24</v>
      </c>
      <c r="C390" t="s">
        <v>120</v>
      </c>
      <c r="D390" s="9">
        <v>41507.672256944446</v>
      </c>
      <c r="E390" t="s">
        <v>44</v>
      </c>
      <c r="F390">
        <f t="shared" ca="1" si="12"/>
        <v>1.4388888888888889</v>
      </c>
      <c r="G390">
        <f t="shared" ca="1" si="13"/>
        <v>0</v>
      </c>
    </row>
    <row r="391" spans="1:7">
      <c r="A391">
        <v>7734</v>
      </c>
      <c r="B391" t="s">
        <v>24</v>
      </c>
      <c r="C391" t="s">
        <v>120</v>
      </c>
      <c r="D391" s="9">
        <v>41570.451932870368</v>
      </c>
      <c r="E391" t="s">
        <v>17</v>
      </c>
      <c r="F391">
        <f t="shared" ca="1" si="12"/>
        <v>1.2666666666666666</v>
      </c>
      <c r="G391">
        <f t="shared" ca="1" si="13"/>
        <v>0</v>
      </c>
    </row>
    <row r="392" spans="1:7">
      <c r="A392">
        <v>7766</v>
      </c>
      <c r="B392" t="s">
        <v>20</v>
      </c>
      <c r="C392" t="s">
        <v>170</v>
      </c>
      <c r="D392" s="9">
        <v>41502.814143518517</v>
      </c>
      <c r="E392" t="s">
        <v>111</v>
      </c>
      <c r="F392">
        <f t="shared" ca="1" si="12"/>
        <v>1.4527777777777777</v>
      </c>
      <c r="G392">
        <f t="shared" ca="1" si="13"/>
        <v>0</v>
      </c>
    </row>
    <row r="393" spans="1:7">
      <c r="A393">
        <v>7773</v>
      </c>
      <c r="B393" t="s">
        <v>8</v>
      </c>
      <c r="D393" s="9">
        <v>41530.66028935185</v>
      </c>
      <c r="E393" t="s">
        <v>23</v>
      </c>
      <c r="F393">
        <f t="shared" ca="1" si="12"/>
        <v>1.3777777777777778</v>
      </c>
      <c r="G393">
        <f t="shared" ca="1" si="13"/>
        <v>0</v>
      </c>
    </row>
    <row r="394" spans="1:7">
      <c r="A394">
        <v>7833</v>
      </c>
      <c r="B394" t="s">
        <v>20</v>
      </c>
      <c r="C394" t="s">
        <v>120</v>
      </c>
      <c r="D394" s="9">
        <v>41514.861504629633</v>
      </c>
      <c r="E394" t="s">
        <v>32</v>
      </c>
      <c r="F394">
        <f t="shared" ca="1" si="12"/>
        <v>1.4194444444444445</v>
      </c>
      <c r="G394">
        <f t="shared" ca="1" si="13"/>
        <v>0</v>
      </c>
    </row>
    <row r="395" spans="1:7">
      <c r="A395">
        <v>7855</v>
      </c>
      <c r="B395" t="s">
        <v>111</v>
      </c>
      <c r="C395" t="s">
        <v>120</v>
      </c>
      <c r="D395" s="9">
        <v>41570.479733796295</v>
      </c>
      <c r="E395" t="s">
        <v>27</v>
      </c>
      <c r="F395">
        <f t="shared" ca="1" si="12"/>
        <v>1.2666666666666666</v>
      </c>
      <c r="G395">
        <f t="shared" ca="1" si="13"/>
        <v>0</v>
      </c>
    </row>
    <row r="396" spans="1:7">
      <c r="A396">
        <v>7867</v>
      </c>
      <c r="B396" t="s">
        <v>8</v>
      </c>
      <c r="C396" t="s">
        <v>120</v>
      </c>
      <c r="D396" s="9">
        <v>41556.428854166668</v>
      </c>
      <c r="E396" t="s">
        <v>18</v>
      </c>
      <c r="F396">
        <f t="shared" ca="1" si="12"/>
        <v>1.3055555555555556</v>
      </c>
      <c r="G396">
        <f t="shared" ca="1" si="13"/>
        <v>0</v>
      </c>
    </row>
    <row r="397" spans="1:7">
      <c r="A397">
        <v>7873</v>
      </c>
      <c r="B397" t="s">
        <v>19</v>
      </c>
      <c r="C397" t="s">
        <v>120</v>
      </c>
      <c r="D397" s="9">
        <v>41543.837118055555</v>
      </c>
      <c r="E397" t="s">
        <v>20</v>
      </c>
      <c r="F397">
        <f t="shared" ca="1" si="12"/>
        <v>1.3416666666666666</v>
      </c>
      <c r="G397">
        <f t="shared" ca="1" si="13"/>
        <v>0</v>
      </c>
    </row>
    <row r="398" spans="1:7">
      <c r="A398">
        <v>7925</v>
      </c>
      <c r="B398" t="s">
        <v>14</v>
      </c>
      <c r="C398" t="s">
        <v>120</v>
      </c>
      <c r="D398" s="9">
        <v>41572.45453703704</v>
      </c>
      <c r="E398" t="s">
        <v>112</v>
      </c>
      <c r="F398">
        <f t="shared" ca="1" si="12"/>
        <v>1.2611111111111111</v>
      </c>
      <c r="G398">
        <f t="shared" ca="1" si="13"/>
        <v>0</v>
      </c>
    </row>
    <row r="399" spans="1:7">
      <c r="A399">
        <v>7950</v>
      </c>
      <c r="B399" t="s">
        <v>11</v>
      </c>
      <c r="C399" t="s">
        <v>120</v>
      </c>
      <c r="D399" s="9">
        <v>41561.640567129631</v>
      </c>
      <c r="E399" t="s">
        <v>27</v>
      </c>
      <c r="F399">
        <f t="shared" ca="1" si="12"/>
        <v>1.2916666666666667</v>
      </c>
      <c r="G399">
        <f t="shared" ca="1" si="13"/>
        <v>0</v>
      </c>
    </row>
    <row r="400" spans="1:7">
      <c r="A400">
        <v>7981</v>
      </c>
      <c r="B400" t="s">
        <v>8</v>
      </c>
      <c r="C400" t="s">
        <v>120</v>
      </c>
      <c r="D400" s="9">
        <v>41582.470648148148</v>
      </c>
      <c r="E400" t="s">
        <v>18</v>
      </c>
      <c r="F400">
        <f t="shared" ca="1" si="12"/>
        <v>1.2361111111111112</v>
      </c>
      <c r="G400">
        <f t="shared" ca="1" si="13"/>
        <v>0</v>
      </c>
    </row>
    <row r="401" spans="1:7">
      <c r="A401">
        <v>8039</v>
      </c>
      <c r="B401" t="s">
        <v>8</v>
      </c>
      <c r="C401" t="s">
        <v>120</v>
      </c>
      <c r="D401" s="9">
        <v>41570.485578703701</v>
      </c>
      <c r="E401" t="s">
        <v>19</v>
      </c>
      <c r="F401">
        <f t="shared" ca="1" si="12"/>
        <v>1.2666666666666666</v>
      </c>
      <c r="G401">
        <f t="shared" ca="1" si="13"/>
        <v>0</v>
      </c>
    </row>
    <row r="402" spans="1:7">
      <c r="A402">
        <v>8080</v>
      </c>
      <c r="B402" t="s">
        <v>8</v>
      </c>
      <c r="C402" t="s">
        <v>120</v>
      </c>
      <c r="D402" s="9">
        <v>41551.717777777776</v>
      </c>
      <c r="E402" t="s">
        <v>23</v>
      </c>
      <c r="F402">
        <f t="shared" ca="1" si="12"/>
        <v>1.3194444444444444</v>
      </c>
      <c r="G402">
        <f t="shared" ca="1" si="13"/>
        <v>0</v>
      </c>
    </row>
    <row r="403" spans="1:7">
      <c r="A403">
        <v>8081</v>
      </c>
      <c r="B403" t="s">
        <v>18</v>
      </c>
      <c r="C403" t="s">
        <v>120</v>
      </c>
      <c r="D403" s="9">
        <v>41557.919131944444</v>
      </c>
      <c r="E403" t="s">
        <v>27</v>
      </c>
      <c r="F403">
        <f t="shared" ca="1" si="12"/>
        <v>1.3027777777777778</v>
      </c>
      <c r="G403">
        <f t="shared" ca="1" si="13"/>
        <v>0</v>
      </c>
    </row>
    <row r="404" spans="1:7">
      <c r="A404">
        <v>8097</v>
      </c>
      <c r="B404" t="s">
        <v>8</v>
      </c>
      <c r="C404" t="s">
        <v>120</v>
      </c>
      <c r="D404" s="9">
        <v>41558.552476851852</v>
      </c>
      <c r="E404" t="s">
        <v>20</v>
      </c>
      <c r="F404">
        <f t="shared" ca="1" si="12"/>
        <v>1.3</v>
      </c>
      <c r="G404">
        <f t="shared" ca="1" si="13"/>
        <v>0</v>
      </c>
    </row>
    <row r="405" spans="1:7">
      <c r="A405">
        <v>8104</v>
      </c>
      <c r="B405" t="s">
        <v>19</v>
      </c>
      <c r="C405" t="s">
        <v>120</v>
      </c>
      <c r="D405" s="9">
        <v>41558.627569444441</v>
      </c>
      <c r="E405" t="s">
        <v>27</v>
      </c>
      <c r="F405">
        <f t="shared" ca="1" si="12"/>
        <v>1.3</v>
      </c>
      <c r="G405">
        <f t="shared" ca="1" si="13"/>
        <v>0</v>
      </c>
    </row>
    <row r="406" spans="1:7">
      <c r="A406">
        <v>8122</v>
      </c>
      <c r="B406" t="s">
        <v>14</v>
      </c>
      <c r="C406" t="s">
        <v>120</v>
      </c>
      <c r="D406" s="9">
        <v>41561.409212962964</v>
      </c>
      <c r="E406" t="s">
        <v>8</v>
      </c>
      <c r="F406">
        <f t="shared" ca="1" si="12"/>
        <v>1.2916666666666667</v>
      </c>
      <c r="G406">
        <f t="shared" ca="1" si="13"/>
        <v>0</v>
      </c>
    </row>
    <row r="407" spans="1:7">
      <c r="A407">
        <v>8126</v>
      </c>
      <c r="B407" t="s">
        <v>17</v>
      </c>
      <c r="C407" t="s">
        <v>120</v>
      </c>
      <c r="D407" s="9">
        <v>41575.657581018517</v>
      </c>
      <c r="E407" t="s">
        <v>19</v>
      </c>
      <c r="F407">
        <f t="shared" ca="1" si="12"/>
        <v>1.2527777777777778</v>
      </c>
      <c r="G407">
        <f t="shared" ca="1" si="13"/>
        <v>0</v>
      </c>
    </row>
    <row r="408" spans="1:7">
      <c r="A408">
        <v>8133</v>
      </c>
      <c r="B408" t="s">
        <v>24</v>
      </c>
      <c r="C408" t="s">
        <v>120</v>
      </c>
      <c r="D408" s="9">
        <v>41562.648865740739</v>
      </c>
      <c r="E408" t="s">
        <v>44</v>
      </c>
      <c r="F408">
        <f t="shared" ca="1" si="12"/>
        <v>1.288888888888889</v>
      </c>
      <c r="G408">
        <f t="shared" ca="1" si="13"/>
        <v>0</v>
      </c>
    </row>
    <row r="409" spans="1:7">
      <c r="A409">
        <v>8138</v>
      </c>
      <c r="B409" t="s">
        <v>8</v>
      </c>
      <c r="C409" t="s">
        <v>120</v>
      </c>
      <c r="D409" s="9">
        <v>41565.676319444443</v>
      </c>
      <c r="E409" t="s">
        <v>19</v>
      </c>
      <c r="F409">
        <f t="shared" ca="1" si="12"/>
        <v>1.2805555555555554</v>
      </c>
      <c r="G409">
        <f t="shared" ca="1" si="13"/>
        <v>0</v>
      </c>
    </row>
    <row r="410" spans="1:7">
      <c r="A410">
        <v>8156</v>
      </c>
      <c r="B410" t="s">
        <v>24</v>
      </c>
      <c r="C410" t="s">
        <v>120</v>
      </c>
      <c r="D410" s="9">
        <v>41572.46738425926</v>
      </c>
      <c r="E410" t="s">
        <v>112</v>
      </c>
      <c r="F410">
        <f t="shared" ca="1" si="12"/>
        <v>1.2611111111111111</v>
      </c>
      <c r="G410">
        <f t="shared" ca="1" si="13"/>
        <v>0</v>
      </c>
    </row>
    <row r="411" spans="1:7">
      <c r="A411">
        <v>8179</v>
      </c>
      <c r="B411" t="s">
        <v>8</v>
      </c>
      <c r="C411" t="s">
        <v>120</v>
      </c>
      <c r="D411" s="9">
        <v>41570.383530092593</v>
      </c>
      <c r="E411" t="s">
        <v>29</v>
      </c>
      <c r="F411">
        <f t="shared" ca="1" si="12"/>
        <v>1.2666666666666666</v>
      </c>
      <c r="G411">
        <f t="shared" ca="1" si="13"/>
        <v>0</v>
      </c>
    </row>
    <row r="412" spans="1:7">
      <c r="A412">
        <v>8180</v>
      </c>
      <c r="B412" t="s">
        <v>8</v>
      </c>
      <c r="C412" t="s">
        <v>120</v>
      </c>
      <c r="D412" s="9">
        <v>41571.615937499999</v>
      </c>
      <c r="E412" t="s">
        <v>112</v>
      </c>
      <c r="F412">
        <f t="shared" ca="1" si="12"/>
        <v>1.2638888888888888</v>
      </c>
      <c r="G412">
        <f t="shared" ca="1" si="13"/>
        <v>0</v>
      </c>
    </row>
    <row r="413" spans="1:7">
      <c r="A413">
        <v>8193</v>
      </c>
      <c r="B413" t="s">
        <v>32</v>
      </c>
      <c r="C413" t="s">
        <v>120</v>
      </c>
      <c r="D413" s="9">
        <v>41576.658564814818</v>
      </c>
      <c r="E413" t="s">
        <v>20</v>
      </c>
      <c r="F413">
        <f t="shared" ca="1" si="12"/>
        <v>1.25</v>
      </c>
      <c r="G413">
        <f t="shared" ca="1" si="13"/>
        <v>0</v>
      </c>
    </row>
    <row r="414" spans="1:7">
      <c r="A414">
        <v>8221</v>
      </c>
      <c r="B414" t="s">
        <v>38</v>
      </c>
      <c r="C414" t="s">
        <v>120</v>
      </c>
      <c r="D414" s="9">
        <v>41577.585949074077</v>
      </c>
      <c r="E414" t="s">
        <v>20</v>
      </c>
      <c r="F414">
        <f t="shared" ca="1" si="12"/>
        <v>1.2472222222222222</v>
      </c>
      <c r="G414">
        <f t="shared" ca="1" si="13"/>
        <v>0</v>
      </c>
    </row>
    <row r="415" spans="1:7">
      <c r="A415">
        <v>8245</v>
      </c>
      <c r="B415" t="s">
        <v>24</v>
      </c>
      <c r="C415" t="s">
        <v>120</v>
      </c>
      <c r="D415" s="9">
        <v>41579.368275462963</v>
      </c>
      <c r="E415" t="s">
        <v>34</v>
      </c>
      <c r="F415">
        <f t="shared" ca="1" si="12"/>
        <v>1.2444444444444445</v>
      </c>
      <c r="G415">
        <f t="shared" ca="1" si="13"/>
        <v>0</v>
      </c>
    </row>
    <row r="416" spans="1:7">
      <c r="A416">
        <v>8257</v>
      </c>
      <c r="B416" t="s">
        <v>27</v>
      </c>
      <c r="C416" t="s">
        <v>120</v>
      </c>
      <c r="D416" s="9">
        <v>41577.830254629633</v>
      </c>
      <c r="E416" t="s">
        <v>36</v>
      </c>
      <c r="F416">
        <f t="shared" ca="1" si="12"/>
        <v>1.2472222222222222</v>
      </c>
      <c r="G416">
        <f t="shared" ca="1" si="13"/>
        <v>0</v>
      </c>
    </row>
    <row r="417" spans="1:7">
      <c r="A417">
        <v>8288</v>
      </c>
      <c r="B417" t="s">
        <v>19</v>
      </c>
      <c r="C417" t="s">
        <v>120</v>
      </c>
      <c r="D417" s="9">
        <v>41591.627152777779</v>
      </c>
      <c r="E417" t="s">
        <v>8</v>
      </c>
      <c r="F417">
        <f t="shared" ca="1" si="12"/>
        <v>1.211111111111111</v>
      </c>
      <c r="G417">
        <f t="shared" ca="1" si="13"/>
        <v>0</v>
      </c>
    </row>
    <row r="418" spans="1:7">
      <c r="A418">
        <v>8294</v>
      </c>
      <c r="B418" t="s">
        <v>24</v>
      </c>
      <c r="C418" t="s">
        <v>120</v>
      </c>
      <c r="D418" s="9">
        <v>41578.39702546296</v>
      </c>
      <c r="E418" t="s">
        <v>30</v>
      </c>
      <c r="F418">
        <f t="shared" ca="1" si="12"/>
        <v>1.2472222222222222</v>
      </c>
      <c r="G418">
        <f t="shared" ca="1" si="13"/>
        <v>0</v>
      </c>
    </row>
    <row r="419" spans="1:7">
      <c r="A419">
        <v>8301</v>
      </c>
      <c r="B419" t="s">
        <v>21</v>
      </c>
      <c r="C419" t="s">
        <v>119</v>
      </c>
      <c r="D419" s="9">
        <v>41688.378506944442</v>
      </c>
      <c r="E419" t="s">
        <v>29</v>
      </c>
      <c r="F419">
        <f t="shared" ca="1" si="12"/>
        <v>0.94722222222222219</v>
      </c>
      <c r="G419">
        <f t="shared" ca="1" si="13"/>
        <v>1</v>
      </c>
    </row>
    <row r="420" spans="1:7">
      <c r="A420">
        <v>8323</v>
      </c>
      <c r="B420" t="s">
        <v>8</v>
      </c>
      <c r="C420" t="s">
        <v>120</v>
      </c>
      <c r="D420" s="9">
        <v>41578.68472222222</v>
      </c>
      <c r="E420" t="s">
        <v>112</v>
      </c>
      <c r="F420">
        <f t="shared" ca="1" si="12"/>
        <v>1.2472222222222222</v>
      </c>
      <c r="G420">
        <f t="shared" ca="1" si="13"/>
        <v>0</v>
      </c>
    </row>
    <row r="421" spans="1:7">
      <c r="A421">
        <v>8325</v>
      </c>
      <c r="B421" t="s">
        <v>14</v>
      </c>
      <c r="C421" t="s">
        <v>120</v>
      </c>
      <c r="D421" s="9">
        <v>41579.592430555553</v>
      </c>
      <c r="E421" t="s">
        <v>112</v>
      </c>
      <c r="F421">
        <f t="shared" ca="1" si="12"/>
        <v>1.2444444444444445</v>
      </c>
      <c r="G421">
        <f t="shared" ca="1" si="13"/>
        <v>0</v>
      </c>
    </row>
    <row r="422" spans="1:7">
      <c r="A422">
        <v>8327</v>
      </c>
      <c r="B422" t="s">
        <v>34</v>
      </c>
      <c r="C422" t="s">
        <v>119</v>
      </c>
      <c r="D422" s="9">
        <v>41602.795208333337</v>
      </c>
      <c r="E422" t="s">
        <v>19</v>
      </c>
      <c r="F422">
        <f t="shared" ca="1" si="12"/>
        <v>1.1805555555555556</v>
      </c>
      <c r="G422">
        <f t="shared" ca="1" si="13"/>
        <v>0</v>
      </c>
    </row>
    <row r="423" spans="1:7">
      <c r="A423">
        <v>8330</v>
      </c>
      <c r="B423" t="s">
        <v>19</v>
      </c>
      <c r="C423" t="s">
        <v>120</v>
      </c>
      <c r="D423" s="9">
        <v>41579.635763888888</v>
      </c>
      <c r="E423" t="s">
        <v>112</v>
      </c>
      <c r="F423">
        <f t="shared" ca="1" si="12"/>
        <v>1.2444444444444445</v>
      </c>
      <c r="G423">
        <f t="shared" ca="1" si="13"/>
        <v>0</v>
      </c>
    </row>
    <row r="424" spans="1:7">
      <c r="A424">
        <v>8350</v>
      </c>
      <c r="B424" t="s">
        <v>8</v>
      </c>
      <c r="C424" t="s">
        <v>120</v>
      </c>
      <c r="D424" s="9">
        <v>41593.642141203702</v>
      </c>
      <c r="E424" t="s">
        <v>11</v>
      </c>
      <c r="F424">
        <f t="shared" ca="1" si="12"/>
        <v>1.2055555555555555</v>
      </c>
      <c r="G424">
        <f t="shared" ca="1" si="13"/>
        <v>0</v>
      </c>
    </row>
    <row r="425" spans="1:7">
      <c r="A425">
        <v>8371</v>
      </c>
      <c r="B425" t="s">
        <v>19</v>
      </c>
      <c r="C425" t="s">
        <v>119</v>
      </c>
      <c r="D425" s="9">
        <v>41619.345486111109</v>
      </c>
      <c r="E425" t="s">
        <v>37</v>
      </c>
      <c r="F425">
        <f t="shared" ca="1" si="12"/>
        <v>1.1333333333333333</v>
      </c>
      <c r="G425">
        <f t="shared" ca="1" si="13"/>
        <v>0</v>
      </c>
    </row>
    <row r="426" spans="1:7">
      <c r="A426">
        <v>8378</v>
      </c>
      <c r="B426" t="s">
        <v>8</v>
      </c>
      <c r="C426" t="s">
        <v>119</v>
      </c>
      <c r="D426" s="9">
        <v>41670.575127314813</v>
      </c>
      <c r="E426" t="s">
        <v>34</v>
      </c>
      <c r="F426">
        <f t="shared" ca="1" si="12"/>
        <v>0.99722222222222223</v>
      </c>
      <c r="G426">
        <f t="shared" ca="1" si="13"/>
        <v>1</v>
      </c>
    </row>
    <row r="427" spans="1:7">
      <c r="A427">
        <v>8416</v>
      </c>
      <c r="B427" t="s">
        <v>8</v>
      </c>
      <c r="C427" t="s">
        <v>119</v>
      </c>
      <c r="D427" s="9">
        <v>41670.575324074074</v>
      </c>
      <c r="E427" t="s">
        <v>34</v>
      </c>
      <c r="F427">
        <f t="shared" ca="1" si="12"/>
        <v>0.99722222222222223</v>
      </c>
      <c r="G427">
        <f t="shared" ca="1" si="13"/>
        <v>1</v>
      </c>
    </row>
    <row r="428" spans="1:7">
      <c r="A428">
        <v>8509</v>
      </c>
      <c r="B428" t="s">
        <v>29</v>
      </c>
      <c r="C428" t="s">
        <v>119</v>
      </c>
      <c r="D428" s="9">
        <v>41603.71670138889</v>
      </c>
      <c r="E428" t="s">
        <v>8</v>
      </c>
      <c r="F428">
        <f t="shared" ca="1" si="12"/>
        <v>1.1777777777777778</v>
      </c>
      <c r="G428">
        <f t="shared" ca="1" si="13"/>
        <v>0</v>
      </c>
    </row>
    <row r="429" spans="1:7">
      <c r="A429">
        <v>8527</v>
      </c>
      <c r="B429" t="s">
        <v>19</v>
      </c>
      <c r="C429" t="s">
        <v>119</v>
      </c>
      <c r="D429" s="9">
        <v>41669.690208333333</v>
      </c>
      <c r="F429">
        <f t="shared" ca="1" si="12"/>
        <v>0.99722222222222223</v>
      </c>
      <c r="G429">
        <f t="shared" ca="1" si="13"/>
        <v>1</v>
      </c>
    </row>
    <row r="430" spans="1:7">
      <c r="A430">
        <v>8560</v>
      </c>
      <c r="B430" t="s">
        <v>29</v>
      </c>
      <c r="C430" t="s">
        <v>119</v>
      </c>
      <c r="D430" s="9">
        <v>41670.575370370374</v>
      </c>
      <c r="E430" t="s">
        <v>14</v>
      </c>
      <c r="F430">
        <f t="shared" ca="1" si="12"/>
        <v>0.99722222222222223</v>
      </c>
      <c r="G430">
        <f t="shared" ca="1" si="13"/>
        <v>1</v>
      </c>
    </row>
    <row r="431" spans="1:7">
      <c r="A431">
        <v>8679</v>
      </c>
      <c r="B431" t="s">
        <v>8</v>
      </c>
      <c r="C431" t="s">
        <v>119</v>
      </c>
      <c r="D431" s="9">
        <v>41656.621041666665</v>
      </c>
      <c r="E431" t="s">
        <v>14</v>
      </c>
      <c r="F431">
        <f t="shared" ca="1" si="12"/>
        <v>1.0333333333333334</v>
      </c>
      <c r="G431">
        <f t="shared" ca="1" si="13"/>
        <v>0</v>
      </c>
    </row>
    <row r="432" spans="1:7">
      <c r="A432">
        <v>8693</v>
      </c>
      <c r="B432" t="s">
        <v>29</v>
      </c>
      <c r="C432" t="s">
        <v>119</v>
      </c>
      <c r="D432" s="9">
        <v>41665.873923611114</v>
      </c>
      <c r="E432" t="s">
        <v>19</v>
      </c>
      <c r="F432">
        <f t="shared" ca="1" si="12"/>
        <v>1.0083333333333333</v>
      </c>
      <c r="G432">
        <f t="shared" ca="1" si="13"/>
        <v>0</v>
      </c>
    </row>
    <row r="433" spans="1:7">
      <c r="A433">
        <v>8712</v>
      </c>
      <c r="B433" t="s">
        <v>17</v>
      </c>
      <c r="C433" t="s">
        <v>119</v>
      </c>
      <c r="D433" s="9">
        <v>41656.651134259257</v>
      </c>
      <c r="E433" t="s">
        <v>14</v>
      </c>
      <c r="F433">
        <f t="shared" ca="1" si="12"/>
        <v>1.0333333333333334</v>
      </c>
      <c r="G433">
        <f t="shared" ca="1" si="13"/>
        <v>0</v>
      </c>
    </row>
    <row r="434" spans="1:7">
      <c r="A434">
        <v>8714</v>
      </c>
      <c r="B434" t="s">
        <v>17</v>
      </c>
      <c r="C434" t="s">
        <v>119</v>
      </c>
      <c r="D434" s="9">
        <v>41656.548379629632</v>
      </c>
      <c r="E434" t="s">
        <v>18</v>
      </c>
      <c r="F434">
        <f t="shared" ca="1" si="12"/>
        <v>1.0333333333333334</v>
      </c>
      <c r="G434">
        <f t="shared" ca="1" si="13"/>
        <v>0</v>
      </c>
    </row>
    <row r="435" spans="1:7">
      <c r="A435">
        <v>8737</v>
      </c>
      <c r="B435" t="s">
        <v>8</v>
      </c>
      <c r="C435" t="s">
        <v>119</v>
      </c>
      <c r="D435" s="9">
        <v>41673.619502314818</v>
      </c>
      <c r="E435" t="s">
        <v>44</v>
      </c>
      <c r="F435">
        <f t="shared" ca="1" si="12"/>
        <v>0.98888888888888893</v>
      </c>
      <c r="G435">
        <f t="shared" ca="1" si="13"/>
        <v>1</v>
      </c>
    </row>
    <row r="436" spans="1:7">
      <c r="A436">
        <v>8758</v>
      </c>
      <c r="B436" t="s">
        <v>29</v>
      </c>
      <c r="C436" t="s">
        <v>119</v>
      </c>
      <c r="D436" s="9">
        <v>41667.592372685183</v>
      </c>
      <c r="E436" t="s">
        <v>19</v>
      </c>
      <c r="F436">
        <f t="shared" ca="1" si="12"/>
        <v>1.0027777777777778</v>
      </c>
      <c r="G436">
        <f t="shared" ca="1" si="13"/>
        <v>0</v>
      </c>
    </row>
    <row r="437" spans="1:7">
      <c r="A437">
        <v>8788</v>
      </c>
      <c r="B437" t="s">
        <v>29</v>
      </c>
      <c r="C437" t="s">
        <v>119</v>
      </c>
      <c r="D437" s="9">
        <v>41673.541273148148</v>
      </c>
      <c r="E437" t="s">
        <v>19</v>
      </c>
      <c r="F437">
        <f t="shared" ca="1" si="12"/>
        <v>0.98888888888888893</v>
      </c>
      <c r="G437">
        <f t="shared" ca="1" si="13"/>
        <v>1</v>
      </c>
    </row>
    <row r="438" spans="1:7">
      <c r="A438">
        <v>8789</v>
      </c>
      <c r="B438" t="s">
        <v>19</v>
      </c>
      <c r="C438" t="s">
        <v>119</v>
      </c>
      <c r="D438" s="9">
        <v>41670.684502314813</v>
      </c>
      <c r="E438" t="s">
        <v>30</v>
      </c>
      <c r="F438">
        <f t="shared" ca="1" si="12"/>
        <v>0.99722222222222223</v>
      </c>
      <c r="G438">
        <f t="shared" ca="1" si="13"/>
        <v>1</v>
      </c>
    </row>
    <row r="439" spans="1:7">
      <c r="A439">
        <v>8796</v>
      </c>
      <c r="B439" t="s">
        <v>38</v>
      </c>
      <c r="C439" t="s">
        <v>119</v>
      </c>
      <c r="D439" s="9">
        <v>41673.862129629626</v>
      </c>
      <c r="E439" t="s">
        <v>27</v>
      </c>
      <c r="F439">
        <f t="shared" ca="1" si="12"/>
        <v>0.98888888888888893</v>
      </c>
      <c r="G439">
        <f t="shared" ca="1" si="13"/>
        <v>1</v>
      </c>
    </row>
    <row r="440" spans="1:7">
      <c r="A440">
        <v>8811</v>
      </c>
      <c r="B440" t="s">
        <v>64</v>
      </c>
      <c r="C440" t="s">
        <v>119</v>
      </c>
      <c r="D440" s="9">
        <v>41891.661215277774</v>
      </c>
      <c r="E440" t="s">
        <v>20</v>
      </c>
      <c r="F440">
        <f t="shared" ca="1" si="12"/>
        <v>0.3888888888888889</v>
      </c>
      <c r="G440">
        <f t="shared" ca="1" si="13"/>
        <v>1</v>
      </c>
    </row>
    <row r="441" spans="1:7">
      <c r="A441">
        <v>8813</v>
      </c>
      <c r="B441" t="s">
        <v>14</v>
      </c>
      <c r="C441" t="s">
        <v>119</v>
      </c>
      <c r="D441" s="9">
        <v>41674.679236111115</v>
      </c>
      <c r="E441" t="s">
        <v>34</v>
      </c>
      <c r="F441">
        <f t="shared" ca="1" si="12"/>
        <v>0.98611111111111116</v>
      </c>
      <c r="G441">
        <f t="shared" ca="1" si="13"/>
        <v>1</v>
      </c>
    </row>
    <row r="442" spans="1:7">
      <c r="A442">
        <v>8853</v>
      </c>
      <c r="B442" t="s">
        <v>38</v>
      </c>
      <c r="C442" t="s">
        <v>119</v>
      </c>
      <c r="D442" s="9">
        <v>41674.608715277776</v>
      </c>
      <c r="E442" t="s">
        <v>20</v>
      </c>
      <c r="F442">
        <f t="shared" ca="1" si="12"/>
        <v>0.98611111111111116</v>
      </c>
      <c r="G442">
        <f t="shared" ca="1" si="13"/>
        <v>1</v>
      </c>
    </row>
    <row r="443" spans="1:7">
      <c r="A443">
        <v>8857</v>
      </c>
      <c r="B443" t="s">
        <v>27</v>
      </c>
      <c r="C443" t="s">
        <v>119</v>
      </c>
      <c r="D443" s="9">
        <v>41674.619108796294</v>
      </c>
      <c r="E443" t="s">
        <v>38</v>
      </c>
      <c r="F443">
        <f t="shared" ca="1" si="12"/>
        <v>0.98611111111111116</v>
      </c>
      <c r="G443">
        <f t="shared" ca="1" si="13"/>
        <v>1</v>
      </c>
    </row>
    <row r="444" spans="1:7">
      <c r="A444">
        <v>8861</v>
      </c>
      <c r="B444" t="s">
        <v>24</v>
      </c>
      <c r="C444" t="s">
        <v>119</v>
      </c>
      <c r="D444" s="9">
        <v>41674.631701388891</v>
      </c>
      <c r="E444" t="s">
        <v>14</v>
      </c>
      <c r="F444">
        <f t="shared" ca="1" si="12"/>
        <v>0.98611111111111116</v>
      </c>
      <c r="G444">
        <f t="shared" ca="1" si="13"/>
        <v>1</v>
      </c>
    </row>
    <row r="445" spans="1:7">
      <c r="A445">
        <v>8882</v>
      </c>
      <c r="B445" t="s">
        <v>11</v>
      </c>
      <c r="C445" t="s">
        <v>118</v>
      </c>
      <c r="D445" s="9">
        <v>41739.634687500002</v>
      </c>
      <c r="E445" t="s">
        <v>8</v>
      </c>
      <c r="F445">
        <f t="shared" ca="1" si="12"/>
        <v>0.80277777777777781</v>
      </c>
      <c r="G445">
        <f t="shared" ca="1" si="13"/>
        <v>1</v>
      </c>
    </row>
    <row r="446" spans="1:7">
      <c r="A446">
        <v>8886</v>
      </c>
      <c r="B446" t="s">
        <v>23</v>
      </c>
      <c r="C446" t="s">
        <v>119</v>
      </c>
      <c r="D446" s="9">
        <v>41676.442824074074</v>
      </c>
      <c r="E446" t="s">
        <v>8</v>
      </c>
      <c r="F446">
        <f t="shared" ca="1" si="12"/>
        <v>0.98055555555555551</v>
      </c>
      <c r="G446">
        <f t="shared" ca="1" si="13"/>
        <v>1</v>
      </c>
    </row>
    <row r="447" spans="1:7">
      <c r="A447">
        <v>8887</v>
      </c>
      <c r="B447" t="s">
        <v>29</v>
      </c>
      <c r="C447" t="s">
        <v>119</v>
      </c>
      <c r="D447" s="9">
        <v>41676.417488425926</v>
      </c>
      <c r="E447" t="s">
        <v>19</v>
      </c>
      <c r="F447">
        <f t="shared" ca="1" si="12"/>
        <v>0.98055555555555551</v>
      </c>
      <c r="G447">
        <f t="shared" ca="1" si="13"/>
        <v>1</v>
      </c>
    </row>
    <row r="448" spans="1:7">
      <c r="A448">
        <v>8888</v>
      </c>
      <c r="B448" t="s">
        <v>19</v>
      </c>
      <c r="C448" t="s">
        <v>119</v>
      </c>
      <c r="D448" s="9">
        <v>41676.439375000002</v>
      </c>
      <c r="E448" t="s">
        <v>8</v>
      </c>
      <c r="F448">
        <f t="shared" ca="1" si="12"/>
        <v>0.98055555555555551</v>
      </c>
      <c r="G448">
        <f t="shared" ca="1" si="13"/>
        <v>1</v>
      </c>
    </row>
    <row r="449" spans="1:7">
      <c r="A449">
        <v>8895</v>
      </c>
      <c r="B449" t="s">
        <v>20</v>
      </c>
      <c r="C449" t="s">
        <v>119</v>
      </c>
      <c r="D449" s="9">
        <v>41676.772581018522</v>
      </c>
      <c r="E449" t="s">
        <v>27</v>
      </c>
      <c r="F449">
        <f t="shared" ca="1" si="12"/>
        <v>0.98055555555555551</v>
      </c>
      <c r="G449">
        <f t="shared" ca="1" si="13"/>
        <v>1</v>
      </c>
    </row>
    <row r="450" spans="1:7">
      <c r="A450">
        <v>8944</v>
      </c>
      <c r="B450" t="s">
        <v>19</v>
      </c>
      <c r="C450" t="s">
        <v>118</v>
      </c>
      <c r="D450" s="9">
        <v>41810.5471875</v>
      </c>
      <c r="E450" t="s">
        <v>8</v>
      </c>
      <c r="F450">
        <f t="shared" ca="1" si="12"/>
        <v>0.60833333333333328</v>
      </c>
      <c r="G450">
        <f t="shared" ca="1" si="13"/>
        <v>1</v>
      </c>
    </row>
    <row r="451" spans="1:7">
      <c r="A451">
        <v>8992</v>
      </c>
      <c r="B451" t="s">
        <v>19</v>
      </c>
      <c r="C451" t="s">
        <v>164</v>
      </c>
      <c r="D451" s="9">
        <v>41696.66609953704</v>
      </c>
      <c r="E451" t="s">
        <v>30</v>
      </c>
      <c r="F451">
        <f t="shared" ref="F451:F514" ca="1" si="14">YEARFRAC(TODAY(),$D451)</f>
        <v>0.92500000000000004</v>
      </c>
      <c r="G451">
        <f t="shared" ref="G451:G514" ca="1" si="15">IF($F451&lt;1,1,0)</f>
        <v>1</v>
      </c>
    </row>
    <row r="452" spans="1:7">
      <c r="A452">
        <v>9037</v>
      </c>
      <c r="B452" t="s">
        <v>29</v>
      </c>
      <c r="C452" t="s">
        <v>164</v>
      </c>
      <c r="D452" s="9">
        <v>41695.894293981481</v>
      </c>
      <c r="E452" t="s">
        <v>19</v>
      </c>
      <c r="F452">
        <f t="shared" ca="1" si="14"/>
        <v>0.92777777777777781</v>
      </c>
      <c r="G452">
        <f t="shared" ca="1" si="15"/>
        <v>1</v>
      </c>
    </row>
    <row r="453" spans="1:7">
      <c r="A453">
        <v>9045</v>
      </c>
      <c r="B453" t="s">
        <v>8</v>
      </c>
      <c r="C453" t="s">
        <v>164</v>
      </c>
      <c r="D453" s="9">
        <v>41695.773009259261</v>
      </c>
      <c r="E453" t="s">
        <v>19</v>
      </c>
      <c r="F453">
        <f t="shared" ca="1" si="14"/>
        <v>0.92777777777777781</v>
      </c>
      <c r="G453">
        <f t="shared" ca="1" si="15"/>
        <v>1</v>
      </c>
    </row>
    <row r="454" spans="1:7">
      <c r="A454">
        <v>9050</v>
      </c>
      <c r="B454" t="s">
        <v>11</v>
      </c>
      <c r="C454" t="s">
        <v>118</v>
      </c>
      <c r="D454" s="9">
        <v>41689.760462962964</v>
      </c>
      <c r="E454" t="s">
        <v>21</v>
      </c>
      <c r="F454">
        <f t="shared" ca="1" si="14"/>
        <v>0.94444444444444442</v>
      </c>
      <c r="G454">
        <f t="shared" ca="1" si="15"/>
        <v>1</v>
      </c>
    </row>
    <row r="455" spans="1:7">
      <c r="A455">
        <v>9077</v>
      </c>
      <c r="B455" t="s">
        <v>29</v>
      </c>
      <c r="C455" t="s">
        <v>164</v>
      </c>
      <c r="D455" s="9">
        <v>41695.905034722222</v>
      </c>
      <c r="E455" t="s">
        <v>19</v>
      </c>
      <c r="F455">
        <f t="shared" ca="1" si="14"/>
        <v>0.92777777777777781</v>
      </c>
      <c r="G455">
        <f t="shared" ca="1" si="15"/>
        <v>1</v>
      </c>
    </row>
    <row r="456" spans="1:7">
      <c r="A456">
        <v>9176</v>
      </c>
      <c r="B456" t="s">
        <v>20</v>
      </c>
      <c r="C456" t="s">
        <v>118</v>
      </c>
      <c r="D456" s="9">
        <v>41712.478425925925</v>
      </c>
      <c r="E456" t="s">
        <v>18</v>
      </c>
      <c r="F456">
        <f t="shared" ca="1" si="14"/>
        <v>0.875</v>
      </c>
      <c r="G456">
        <f t="shared" ca="1" si="15"/>
        <v>1</v>
      </c>
    </row>
    <row r="457" spans="1:7">
      <c r="A457">
        <v>9203</v>
      </c>
      <c r="B457" t="s">
        <v>8</v>
      </c>
      <c r="C457" t="s">
        <v>118</v>
      </c>
      <c r="D457" s="9">
        <v>41719.825995370367</v>
      </c>
      <c r="E457" t="s">
        <v>27</v>
      </c>
      <c r="F457">
        <f t="shared" ca="1" si="14"/>
        <v>0.85555555555555551</v>
      </c>
      <c r="G457">
        <f t="shared" ca="1" si="15"/>
        <v>1</v>
      </c>
    </row>
    <row r="458" spans="1:7">
      <c r="A458">
        <v>9210</v>
      </c>
      <c r="B458" t="s">
        <v>29</v>
      </c>
      <c r="C458" t="s">
        <v>118</v>
      </c>
      <c r="D458" s="9">
        <v>41816.685833333337</v>
      </c>
      <c r="E458" t="s">
        <v>112</v>
      </c>
      <c r="F458">
        <f t="shared" ca="1" si="14"/>
        <v>0.59166666666666667</v>
      </c>
      <c r="G458">
        <f t="shared" ca="1" si="15"/>
        <v>1</v>
      </c>
    </row>
    <row r="459" spans="1:7">
      <c r="A459">
        <v>9240</v>
      </c>
      <c r="B459" t="s">
        <v>44</v>
      </c>
      <c r="C459" t="s">
        <v>118</v>
      </c>
      <c r="D459" s="9">
        <v>41733.532696759263</v>
      </c>
      <c r="E459" t="s">
        <v>8</v>
      </c>
      <c r="F459">
        <f t="shared" ca="1" si="14"/>
        <v>0.81944444444444442</v>
      </c>
      <c r="G459">
        <f t="shared" ca="1" si="15"/>
        <v>1</v>
      </c>
    </row>
    <row r="460" spans="1:7">
      <c r="A460">
        <v>9263</v>
      </c>
      <c r="B460" t="s">
        <v>19</v>
      </c>
      <c r="C460" t="s">
        <v>118</v>
      </c>
      <c r="D460" s="9">
        <v>41733.617094907408</v>
      </c>
      <c r="E460" t="s">
        <v>8</v>
      </c>
      <c r="F460">
        <f t="shared" ca="1" si="14"/>
        <v>0.81944444444444442</v>
      </c>
      <c r="G460">
        <f t="shared" ca="1" si="15"/>
        <v>1</v>
      </c>
    </row>
    <row r="461" spans="1:7">
      <c r="A461">
        <v>9271</v>
      </c>
      <c r="B461" t="s">
        <v>19</v>
      </c>
      <c r="C461" t="s">
        <v>118</v>
      </c>
      <c r="D461" s="9">
        <v>41757.652129629627</v>
      </c>
      <c r="E461" t="s">
        <v>27</v>
      </c>
      <c r="F461">
        <f t="shared" ca="1" si="14"/>
        <v>0.75277777777777777</v>
      </c>
      <c r="G461">
        <f t="shared" ca="1" si="15"/>
        <v>1</v>
      </c>
    </row>
    <row r="462" spans="1:7">
      <c r="A462">
        <v>9352</v>
      </c>
      <c r="B462" t="s">
        <v>8</v>
      </c>
      <c r="C462" t="s">
        <v>118</v>
      </c>
      <c r="D462" s="9">
        <v>41752.783483796295</v>
      </c>
      <c r="E462" t="s">
        <v>20</v>
      </c>
      <c r="F462">
        <f t="shared" ca="1" si="14"/>
        <v>0.76666666666666672</v>
      </c>
      <c r="G462">
        <f t="shared" ca="1" si="15"/>
        <v>1</v>
      </c>
    </row>
    <row r="463" spans="1:7">
      <c r="A463">
        <v>9378</v>
      </c>
      <c r="B463" t="s">
        <v>21</v>
      </c>
      <c r="C463" t="s">
        <v>118</v>
      </c>
      <c r="D463" s="9">
        <v>41823.712037037039</v>
      </c>
      <c r="E463" t="s">
        <v>32</v>
      </c>
      <c r="F463">
        <f t="shared" ca="1" si="14"/>
        <v>0.57222222222222219</v>
      </c>
      <c r="G463">
        <f t="shared" ca="1" si="15"/>
        <v>1</v>
      </c>
    </row>
    <row r="464" spans="1:7">
      <c r="A464">
        <v>9385</v>
      </c>
      <c r="B464" t="s">
        <v>19</v>
      </c>
      <c r="C464" t="s">
        <v>118</v>
      </c>
      <c r="D464" s="9">
        <v>41810.550173611111</v>
      </c>
      <c r="E464" t="s">
        <v>8</v>
      </c>
      <c r="F464">
        <f t="shared" ca="1" si="14"/>
        <v>0.60833333333333328</v>
      </c>
      <c r="G464">
        <f t="shared" ca="1" si="15"/>
        <v>1</v>
      </c>
    </row>
    <row r="465" spans="1:7">
      <c r="A465">
        <v>9397</v>
      </c>
      <c r="B465" t="s">
        <v>45</v>
      </c>
      <c r="C465" t="s">
        <v>118</v>
      </c>
      <c r="D465" s="9">
        <v>41761.819733796299</v>
      </c>
      <c r="E465" t="s">
        <v>11</v>
      </c>
      <c r="F465">
        <f t="shared" ca="1" si="14"/>
        <v>0.7416666666666667</v>
      </c>
      <c r="G465">
        <f t="shared" ca="1" si="15"/>
        <v>1</v>
      </c>
    </row>
    <row r="466" spans="1:7">
      <c r="A466">
        <v>9401</v>
      </c>
      <c r="B466" t="s">
        <v>19</v>
      </c>
      <c r="C466" t="s">
        <v>118</v>
      </c>
      <c r="D466" s="9">
        <v>41775.609699074077</v>
      </c>
      <c r="E466" t="s">
        <v>44</v>
      </c>
      <c r="F466">
        <f t="shared" ca="1" si="14"/>
        <v>0.70277777777777772</v>
      </c>
      <c r="G466">
        <f t="shared" ca="1" si="15"/>
        <v>1</v>
      </c>
    </row>
    <row r="467" spans="1:7">
      <c r="A467">
        <v>9403</v>
      </c>
      <c r="B467" t="s">
        <v>29</v>
      </c>
      <c r="C467" t="s">
        <v>118</v>
      </c>
      <c r="D467" s="9">
        <v>41799.585243055553</v>
      </c>
      <c r="E467" t="s">
        <v>23</v>
      </c>
      <c r="F467">
        <f t="shared" ca="1" si="14"/>
        <v>0.63888888888888884</v>
      </c>
      <c r="G467">
        <f t="shared" ca="1" si="15"/>
        <v>1</v>
      </c>
    </row>
    <row r="468" spans="1:7">
      <c r="A468">
        <v>9405</v>
      </c>
      <c r="B468" t="s">
        <v>44</v>
      </c>
      <c r="C468" t="s">
        <v>118</v>
      </c>
      <c r="D468" s="9">
        <v>41761.441944444443</v>
      </c>
      <c r="E468" t="s">
        <v>8</v>
      </c>
      <c r="F468">
        <f t="shared" ca="1" si="14"/>
        <v>0.7416666666666667</v>
      </c>
      <c r="G468">
        <f t="shared" ca="1" si="15"/>
        <v>1</v>
      </c>
    </row>
    <row r="469" spans="1:7">
      <c r="A469">
        <v>9457</v>
      </c>
      <c r="B469" t="s">
        <v>37</v>
      </c>
      <c r="C469" t="s">
        <v>118</v>
      </c>
      <c r="D469" s="9">
        <v>41774.389421296299</v>
      </c>
      <c r="E469" t="s">
        <v>44</v>
      </c>
      <c r="F469">
        <f t="shared" ca="1" si="14"/>
        <v>0.7055555555555556</v>
      </c>
      <c r="G469">
        <f t="shared" ca="1" si="15"/>
        <v>1</v>
      </c>
    </row>
    <row r="470" spans="1:7">
      <c r="A470">
        <v>9540</v>
      </c>
      <c r="B470" t="s">
        <v>11</v>
      </c>
      <c r="C470" t="s">
        <v>118</v>
      </c>
      <c r="D470" s="9">
        <v>41810.635636574072</v>
      </c>
      <c r="E470" t="s">
        <v>112</v>
      </c>
      <c r="F470">
        <f t="shared" ca="1" si="14"/>
        <v>0.60833333333333328</v>
      </c>
      <c r="G470">
        <f t="shared" ca="1" si="15"/>
        <v>1</v>
      </c>
    </row>
    <row r="471" spans="1:7">
      <c r="A471">
        <v>9562</v>
      </c>
      <c r="B471" t="s">
        <v>8</v>
      </c>
      <c r="C471" t="s">
        <v>118</v>
      </c>
      <c r="D471" s="9">
        <v>41794.341539351852</v>
      </c>
      <c r="F471">
        <f t="shared" ca="1" si="14"/>
        <v>0.65277777777777779</v>
      </c>
      <c r="G471">
        <f t="shared" ca="1" si="15"/>
        <v>1</v>
      </c>
    </row>
    <row r="472" spans="1:7">
      <c r="A472">
        <v>9593</v>
      </c>
      <c r="B472" t="s">
        <v>8</v>
      </c>
      <c r="C472" t="s">
        <v>118</v>
      </c>
      <c r="D472" s="9">
        <v>41794.506342592591</v>
      </c>
      <c r="F472">
        <f t="shared" ca="1" si="14"/>
        <v>0.65277777777777779</v>
      </c>
      <c r="G472">
        <f t="shared" ca="1" si="15"/>
        <v>1</v>
      </c>
    </row>
    <row r="473" spans="1:7">
      <c r="A473">
        <v>9594</v>
      </c>
      <c r="B473" t="s">
        <v>17</v>
      </c>
      <c r="C473" t="s">
        <v>118</v>
      </c>
      <c r="D473" s="9">
        <v>41795.710057870368</v>
      </c>
      <c r="E473" t="s">
        <v>29</v>
      </c>
      <c r="F473">
        <f t="shared" ca="1" si="14"/>
        <v>0.65</v>
      </c>
      <c r="G473">
        <f t="shared" ca="1" si="15"/>
        <v>1</v>
      </c>
    </row>
    <row r="474" spans="1:7">
      <c r="A474">
        <v>9595</v>
      </c>
      <c r="B474" t="s">
        <v>8</v>
      </c>
      <c r="C474" t="s">
        <v>118</v>
      </c>
      <c r="D474" s="9">
        <v>41794.649594907409</v>
      </c>
      <c r="E474" t="s">
        <v>19</v>
      </c>
      <c r="F474">
        <f t="shared" ca="1" si="14"/>
        <v>0.65277777777777779</v>
      </c>
      <c r="G474">
        <f t="shared" ca="1" si="15"/>
        <v>1</v>
      </c>
    </row>
    <row r="475" spans="1:7">
      <c r="A475">
        <v>9611</v>
      </c>
      <c r="B475" t="s">
        <v>8</v>
      </c>
      <c r="C475" t="s">
        <v>118</v>
      </c>
      <c r="D475" s="9">
        <v>41800.778726851851</v>
      </c>
      <c r="E475" t="s">
        <v>20</v>
      </c>
      <c r="F475">
        <f t="shared" ca="1" si="14"/>
        <v>0.63611111111111107</v>
      </c>
      <c r="G475">
        <f t="shared" ca="1" si="15"/>
        <v>1</v>
      </c>
    </row>
    <row r="476" spans="1:7">
      <c r="A476">
        <v>9613</v>
      </c>
      <c r="B476" t="s">
        <v>8</v>
      </c>
      <c r="C476" t="s">
        <v>118</v>
      </c>
      <c r="D476" s="9">
        <v>41800.472766203704</v>
      </c>
      <c r="E476" t="s">
        <v>112</v>
      </c>
      <c r="F476">
        <f t="shared" ca="1" si="14"/>
        <v>0.63611111111111107</v>
      </c>
      <c r="G476">
        <f t="shared" ca="1" si="15"/>
        <v>1</v>
      </c>
    </row>
    <row r="477" spans="1:7">
      <c r="A477">
        <v>9618</v>
      </c>
      <c r="B477" t="s">
        <v>34</v>
      </c>
      <c r="C477" t="s">
        <v>118</v>
      </c>
      <c r="D477" s="9">
        <v>41807.581782407404</v>
      </c>
      <c r="E477" t="s">
        <v>8</v>
      </c>
      <c r="F477">
        <f t="shared" ca="1" si="14"/>
        <v>0.6166666666666667</v>
      </c>
      <c r="G477">
        <f t="shared" ca="1" si="15"/>
        <v>1</v>
      </c>
    </row>
    <row r="478" spans="1:7">
      <c r="A478">
        <v>9624</v>
      </c>
      <c r="B478" t="s">
        <v>8</v>
      </c>
      <c r="C478" t="s">
        <v>118</v>
      </c>
      <c r="D478" s="9">
        <v>41802.776921296296</v>
      </c>
      <c r="E478" t="s">
        <v>20</v>
      </c>
      <c r="F478">
        <f t="shared" ca="1" si="14"/>
        <v>0.63055555555555554</v>
      </c>
      <c r="G478">
        <f t="shared" ca="1" si="15"/>
        <v>1</v>
      </c>
    </row>
    <row r="479" spans="1:7">
      <c r="A479">
        <v>9627</v>
      </c>
      <c r="B479" t="s">
        <v>112</v>
      </c>
      <c r="C479" t="s">
        <v>118</v>
      </c>
      <c r="D479" s="9">
        <v>41803.656886574077</v>
      </c>
      <c r="E479" t="s">
        <v>19</v>
      </c>
      <c r="F479">
        <f t="shared" ca="1" si="14"/>
        <v>0.62777777777777777</v>
      </c>
      <c r="G479">
        <f t="shared" ca="1" si="15"/>
        <v>1</v>
      </c>
    </row>
    <row r="480" spans="1:7">
      <c r="A480">
        <v>9629</v>
      </c>
      <c r="B480" t="s">
        <v>8</v>
      </c>
      <c r="C480" t="s">
        <v>118</v>
      </c>
      <c r="D480" s="9">
        <v>41823.712048611109</v>
      </c>
      <c r="E480" t="s">
        <v>20</v>
      </c>
      <c r="F480">
        <f t="shared" ca="1" si="14"/>
        <v>0.57222222222222219</v>
      </c>
      <c r="G480">
        <f t="shared" ca="1" si="15"/>
        <v>1</v>
      </c>
    </row>
    <row r="481" spans="1:7">
      <c r="A481">
        <v>9632</v>
      </c>
      <c r="B481" t="s">
        <v>30</v>
      </c>
      <c r="C481" t="s">
        <v>118</v>
      </c>
      <c r="D481" s="9">
        <v>41815.395925925928</v>
      </c>
      <c r="E481" t="s">
        <v>34</v>
      </c>
      <c r="F481">
        <f t="shared" ca="1" si="14"/>
        <v>0.59444444444444444</v>
      </c>
      <c r="G481">
        <f t="shared" ca="1" si="15"/>
        <v>1</v>
      </c>
    </row>
    <row r="482" spans="1:7">
      <c r="A482">
        <v>9651</v>
      </c>
      <c r="B482" t="s">
        <v>34</v>
      </c>
      <c r="C482" t="s">
        <v>118</v>
      </c>
      <c r="D482" s="9">
        <v>41810.372013888889</v>
      </c>
      <c r="E482" t="s">
        <v>19</v>
      </c>
      <c r="F482">
        <f t="shared" ca="1" si="14"/>
        <v>0.60833333333333328</v>
      </c>
      <c r="G482">
        <f t="shared" ca="1" si="15"/>
        <v>1</v>
      </c>
    </row>
    <row r="483" spans="1:7">
      <c r="A483">
        <v>9656</v>
      </c>
      <c r="B483" t="s">
        <v>112</v>
      </c>
      <c r="C483" t="s">
        <v>118</v>
      </c>
      <c r="D483" s="9">
        <v>41803.720138888886</v>
      </c>
      <c r="E483" t="s">
        <v>30</v>
      </c>
      <c r="F483">
        <f t="shared" ca="1" si="14"/>
        <v>0.62777777777777777</v>
      </c>
      <c r="G483">
        <f t="shared" ca="1" si="15"/>
        <v>1</v>
      </c>
    </row>
    <row r="484" spans="1:7">
      <c r="A484">
        <v>9664</v>
      </c>
      <c r="B484" t="s">
        <v>8</v>
      </c>
      <c r="C484" t="s">
        <v>118</v>
      </c>
      <c r="D484" s="9">
        <v>41808.456365740742</v>
      </c>
      <c r="E484" t="s">
        <v>14</v>
      </c>
      <c r="F484">
        <f t="shared" ca="1" si="14"/>
        <v>0.61388888888888893</v>
      </c>
      <c r="G484">
        <f t="shared" ca="1" si="15"/>
        <v>1</v>
      </c>
    </row>
    <row r="485" spans="1:7">
      <c r="A485">
        <v>9675</v>
      </c>
      <c r="B485" t="s">
        <v>8</v>
      </c>
      <c r="C485" t="s">
        <v>118</v>
      </c>
      <c r="D485" s="9">
        <v>41816.456435185188</v>
      </c>
      <c r="E485" t="s">
        <v>14</v>
      </c>
      <c r="F485">
        <f t="shared" ca="1" si="14"/>
        <v>0.59166666666666667</v>
      </c>
      <c r="G485">
        <f t="shared" ca="1" si="15"/>
        <v>1</v>
      </c>
    </row>
    <row r="486" spans="1:7">
      <c r="A486">
        <v>9678</v>
      </c>
      <c r="B486" t="s">
        <v>8</v>
      </c>
      <c r="C486" t="s">
        <v>118</v>
      </c>
      <c r="D486" s="9">
        <v>41810.618194444447</v>
      </c>
      <c r="E486" t="s">
        <v>20</v>
      </c>
      <c r="F486">
        <f t="shared" ca="1" si="14"/>
        <v>0.60833333333333328</v>
      </c>
      <c r="G486">
        <f t="shared" ca="1" si="15"/>
        <v>1</v>
      </c>
    </row>
    <row r="487" spans="1:7">
      <c r="A487">
        <v>9683</v>
      </c>
      <c r="B487" t="s">
        <v>34</v>
      </c>
      <c r="C487" t="s">
        <v>118</v>
      </c>
      <c r="D487" s="9">
        <v>41810.559930555559</v>
      </c>
      <c r="E487" t="s">
        <v>8</v>
      </c>
      <c r="F487">
        <f t="shared" ca="1" si="14"/>
        <v>0.60833333333333328</v>
      </c>
      <c r="G487">
        <f t="shared" ca="1" si="15"/>
        <v>1</v>
      </c>
    </row>
    <row r="488" spans="1:7">
      <c r="A488">
        <v>9721</v>
      </c>
      <c r="B488" t="s">
        <v>37</v>
      </c>
      <c r="C488" t="s">
        <v>118</v>
      </c>
      <c r="D488" s="9">
        <v>41813.365115740744</v>
      </c>
      <c r="E488" t="s">
        <v>8</v>
      </c>
      <c r="F488">
        <f t="shared" ca="1" si="14"/>
        <v>0.6</v>
      </c>
      <c r="G488">
        <f t="shared" ca="1" si="15"/>
        <v>1</v>
      </c>
    </row>
    <row r="489" spans="1:7">
      <c r="A489">
        <v>9729</v>
      </c>
      <c r="B489" t="s">
        <v>37</v>
      </c>
      <c r="C489" t="s">
        <v>118</v>
      </c>
      <c r="D489" s="9">
        <v>41816.45721064815</v>
      </c>
      <c r="E489" t="s">
        <v>34</v>
      </c>
      <c r="F489">
        <f t="shared" ca="1" si="14"/>
        <v>0.59166666666666667</v>
      </c>
      <c r="G489">
        <f t="shared" ca="1" si="15"/>
        <v>1</v>
      </c>
    </row>
    <row r="490" spans="1:7">
      <c r="A490">
        <v>9731</v>
      </c>
      <c r="B490" t="s">
        <v>34</v>
      </c>
      <c r="C490" t="s">
        <v>209</v>
      </c>
      <c r="D490" s="9">
        <v>41870.457488425927</v>
      </c>
      <c r="E490" t="s">
        <v>8</v>
      </c>
      <c r="F490">
        <f t="shared" ca="1" si="14"/>
        <v>0.44444444444444442</v>
      </c>
      <c r="G490">
        <f t="shared" ca="1" si="15"/>
        <v>1</v>
      </c>
    </row>
    <row r="491" spans="1:7">
      <c r="A491">
        <v>9743</v>
      </c>
      <c r="B491" t="s">
        <v>37</v>
      </c>
      <c r="C491" t="s">
        <v>118</v>
      </c>
      <c r="D491" s="9">
        <v>41815.413171296299</v>
      </c>
      <c r="E491" t="s">
        <v>34</v>
      </c>
      <c r="F491">
        <f t="shared" ca="1" si="14"/>
        <v>0.59444444444444444</v>
      </c>
      <c r="G491">
        <f t="shared" ca="1" si="15"/>
        <v>1</v>
      </c>
    </row>
    <row r="492" spans="1:7">
      <c r="A492">
        <v>9750</v>
      </c>
      <c r="B492" t="s">
        <v>37</v>
      </c>
      <c r="C492" t="s">
        <v>118</v>
      </c>
      <c r="D492" s="9">
        <v>41815.675775462965</v>
      </c>
      <c r="E492" t="s">
        <v>8</v>
      </c>
      <c r="F492">
        <f t="shared" ca="1" si="14"/>
        <v>0.59444444444444444</v>
      </c>
      <c r="G492">
        <f t="shared" ca="1" si="15"/>
        <v>1</v>
      </c>
    </row>
    <row r="493" spans="1:7">
      <c r="A493">
        <v>9758</v>
      </c>
      <c r="B493" t="s">
        <v>8</v>
      </c>
      <c r="C493" t="s">
        <v>118</v>
      </c>
      <c r="D493" s="9">
        <v>41817.389351851853</v>
      </c>
      <c r="E493" t="s">
        <v>34</v>
      </c>
      <c r="F493">
        <f t="shared" ca="1" si="14"/>
        <v>0.58888888888888891</v>
      </c>
      <c r="G493">
        <f t="shared" ca="1" si="15"/>
        <v>1</v>
      </c>
    </row>
    <row r="494" spans="1:7">
      <c r="A494">
        <v>9764</v>
      </c>
      <c r="B494" t="s">
        <v>20</v>
      </c>
      <c r="C494" t="s">
        <v>118</v>
      </c>
      <c r="D494" s="9">
        <v>41816.676203703704</v>
      </c>
      <c r="E494" t="s">
        <v>21</v>
      </c>
      <c r="F494">
        <f t="shared" ca="1" si="14"/>
        <v>0.59166666666666667</v>
      </c>
      <c r="G494">
        <f t="shared" ca="1" si="15"/>
        <v>1</v>
      </c>
    </row>
    <row r="495" spans="1:7">
      <c r="A495">
        <v>9771</v>
      </c>
      <c r="B495" t="s">
        <v>44</v>
      </c>
      <c r="C495" t="s">
        <v>118</v>
      </c>
      <c r="D495" s="9">
        <v>41821.595613425925</v>
      </c>
      <c r="E495" t="s">
        <v>112</v>
      </c>
      <c r="F495">
        <f t="shared" ca="1" si="14"/>
        <v>0.57777777777777772</v>
      </c>
      <c r="G495">
        <f t="shared" ca="1" si="15"/>
        <v>1</v>
      </c>
    </row>
    <row r="496" spans="1:7">
      <c r="A496">
        <v>9781</v>
      </c>
      <c r="B496" t="s">
        <v>8</v>
      </c>
      <c r="C496" t="s">
        <v>118</v>
      </c>
      <c r="D496" s="9">
        <v>41821.608310185184</v>
      </c>
      <c r="E496" t="s">
        <v>27</v>
      </c>
      <c r="F496">
        <f t="shared" ca="1" si="14"/>
        <v>0.57777777777777772</v>
      </c>
      <c r="G496">
        <f t="shared" ca="1" si="15"/>
        <v>1</v>
      </c>
    </row>
    <row r="497" spans="1:7">
      <c r="A497">
        <v>9798</v>
      </c>
      <c r="B497" t="s">
        <v>27</v>
      </c>
      <c r="C497" t="s">
        <v>210</v>
      </c>
      <c r="D497" s="9">
        <v>41869.528807870367</v>
      </c>
      <c r="E497" t="s">
        <v>23</v>
      </c>
      <c r="F497">
        <f t="shared" ca="1" si="14"/>
        <v>0.44722222222222224</v>
      </c>
      <c r="G497">
        <f t="shared" ca="1" si="15"/>
        <v>1</v>
      </c>
    </row>
    <row r="498" spans="1:7">
      <c r="A498">
        <v>9955</v>
      </c>
      <c r="B498" t="s">
        <v>19</v>
      </c>
      <c r="C498" t="s">
        <v>210</v>
      </c>
      <c r="D498" s="9">
        <v>41872.347662037035</v>
      </c>
      <c r="E498" t="s">
        <v>44</v>
      </c>
      <c r="F498">
        <f t="shared" ca="1" si="14"/>
        <v>0.43888888888888888</v>
      </c>
      <c r="G498">
        <f t="shared" ca="1" si="15"/>
        <v>1</v>
      </c>
    </row>
    <row r="499" spans="1:7">
      <c r="A499">
        <v>9956</v>
      </c>
      <c r="B499" t="s">
        <v>19</v>
      </c>
      <c r="C499" t="s">
        <v>210</v>
      </c>
      <c r="D499" s="9">
        <v>41870.49015046296</v>
      </c>
      <c r="E499" t="s">
        <v>112</v>
      </c>
      <c r="F499">
        <f t="shared" ca="1" si="14"/>
        <v>0.44444444444444442</v>
      </c>
      <c r="G499">
        <f t="shared" ca="1" si="15"/>
        <v>1</v>
      </c>
    </row>
    <row r="500" spans="1:7">
      <c r="A500">
        <v>9979</v>
      </c>
      <c r="B500" t="s">
        <v>14</v>
      </c>
      <c r="C500" t="s">
        <v>209</v>
      </c>
      <c r="D500" s="9">
        <v>41852.58666666667</v>
      </c>
      <c r="E500" t="s">
        <v>211</v>
      </c>
      <c r="F500">
        <f t="shared" ca="1" si="14"/>
        <v>0.49444444444444446</v>
      </c>
      <c r="G500">
        <f t="shared" ca="1" si="15"/>
        <v>1</v>
      </c>
    </row>
    <row r="501" spans="1:7">
      <c r="A501">
        <v>10002</v>
      </c>
      <c r="B501" t="s">
        <v>8</v>
      </c>
      <c r="C501" t="s">
        <v>209</v>
      </c>
      <c r="D501" s="9">
        <v>41858.484884259262</v>
      </c>
      <c r="E501" t="s">
        <v>19</v>
      </c>
      <c r="F501">
        <f t="shared" ca="1" si="14"/>
        <v>0.4777777777777778</v>
      </c>
      <c r="G501">
        <f t="shared" ca="1" si="15"/>
        <v>1</v>
      </c>
    </row>
    <row r="502" spans="1:7">
      <c r="A502">
        <v>10095</v>
      </c>
      <c r="B502" t="s">
        <v>112</v>
      </c>
      <c r="C502" t="s">
        <v>210</v>
      </c>
      <c r="D502" s="9">
        <v>41870.49015046296</v>
      </c>
      <c r="E502" t="s">
        <v>34</v>
      </c>
      <c r="F502">
        <f t="shared" ca="1" si="14"/>
        <v>0.44444444444444442</v>
      </c>
      <c r="G502">
        <f t="shared" ca="1" si="15"/>
        <v>1</v>
      </c>
    </row>
    <row r="503" spans="1:7">
      <c r="A503">
        <v>10104</v>
      </c>
      <c r="B503" t="s">
        <v>21</v>
      </c>
      <c r="C503" t="s">
        <v>210</v>
      </c>
      <c r="D503" s="9">
        <v>41872.398414351854</v>
      </c>
      <c r="E503" t="s">
        <v>20</v>
      </c>
      <c r="F503">
        <f t="shared" ca="1" si="14"/>
        <v>0.43888888888888888</v>
      </c>
      <c r="G503">
        <f t="shared" ca="1" si="15"/>
        <v>1</v>
      </c>
    </row>
    <row r="504" spans="1:7">
      <c r="A504">
        <v>10111</v>
      </c>
      <c r="B504" t="s">
        <v>8</v>
      </c>
      <c r="C504" t="s">
        <v>209</v>
      </c>
      <c r="D504" s="9">
        <v>41877.669895833336</v>
      </c>
      <c r="E504" t="s">
        <v>20</v>
      </c>
      <c r="F504">
        <f t="shared" ca="1" si="14"/>
        <v>0.42499999999999999</v>
      </c>
      <c r="G504">
        <f t="shared" ca="1" si="15"/>
        <v>1</v>
      </c>
    </row>
    <row r="505" spans="1:7">
      <c r="A505">
        <v>10225</v>
      </c>
      <c r="B505" t="s">
        <v>21</v>
      </c>
      <c r="C505" t="s">
        <v>209</v>
      </c>
      <c r="D505" s="9">
        <v>41918.629525462966</v>
      </c>
      <c r="E505" t="s">
        <v>32</v>
      </c>
      <c r="F505">
        <f t="shared" ca="1" si="14"/>
        <v>0.31388888888888888</v>
      </c>
      <c r="G505">
        <f t="shared" ca="1" si="15"/>
        <v>1</v>
      </c>
    </row>
    <row r="506" spans="1:7">
      <c r="A506">
        <v>10268</v>
      </c>
      <c r="B506" t="s">
        <v>212</v>
      </c>
      <c r="C506" t="s">
        <v>209</v>
      </c>
      <c r="D506" s="9">
        <v>41908.574143518519</v>
      </c>
      <c r="E506" t="s">
        <v>44</v>
      </c>
      <c r="F506">
        <f t="shared" ca="1" si="14"/>
        <v>0.34166666666666667</v>
      </c>
      <c r="G506">
        <f t="shared" ca="1" si="15"/>
        <v>1</v>
      </c>
    </row>
    <row r="507" spans="1:7">
      <c r="A507">
        <v>10351</v>
      </c>
      <c r="B507" t="s">
        <v>23</v>
      </c>
      <c r="C507" t="s">
        <v>209</v>
      </c>
      <c r="D507" s="9">
        <v>41934.737523148149</v>
      </c>
      <c r="E507" t="s">
        <v>213</v>
      </c>
      <c r="F507">
        <f t="shared" ca="1" si="14"/>
        <v>0.26944444444444443</v>
      </c>
      <c r="G507">
        <f t="shared" ca="1" si="15"/>
        <v>1</v>
      </c>
    </row>
    <row r="508" spans="1:7">
      <c r="A508">
        <v>10365</v>
      </c>
      <c r="B508" t="s">
        <v>19</v>
      </c>
      <c r="C508" t="s">
        <v>209</v>
      </c>
      <c r="D508" s="9">
        <v>41932.714247685188</v>
      </c>
      <c r="E508" t="s">
        <v>213</v>
      </c>
      <c r="F508">
        <f t="shared" ca="1" si="14"/>
        <v>0.27500000000000002</v>
      </c>
      <c r="G508">
        <f t="shared" ca="1" si="15"/>
        <v>1</v>
      </c>
    </row>
    <row r="509" spans="1:7">
      <c r="A509">
        <v>10371</v>
      </c>
      <c r="B509" t="s">
        <v>19</v>
      </c>
      <c r="C509" t="s">
        <v>209</v>
      </c>
      <c r="D509" s="9">
        <v>41947.6799537037</v>
      </c>
      <c r="E509" t="s">
        <v>8</v>
      </c>
      <c r="F509">
        <f t="shared" ca="1" si="14"/>
        <v>0.2361111111111111</v>
      </c>
      <c r="G509">
        <f t="shared" ca="1" si="15"/>
        <v>1</v>
      </c>
    </row>
    <row r="510" spans="1:7">
      <c r="A510">
        <v>10375</v>
      </c>
      <c r="B510" t="s">
        <v>8</v>
      </c>
      <c r="C510" t="s">
        <v>209</v>
      </c>
      <c r="D510" s="9">
        <v>41928.581458333334</v>
      </c>
      <c r="E510" t="s">
        <v>59</v>
      </c>
      <c r="F510">
        <f t="shared" ca="1" si="14"/>
        <v>0.28611111111111109</v>
      </c>
      <c r="G510">
        <f t="shared" ca="1" si="15"/>
        <v>1</v>
      </c>
    </row>
    <row r="511" spans="1:7">
      <c r="A511">
        <v>10390</v>
      </c>
      <c r="B511" t="s">
        <v>34</v>
      </c>
      <c r="C511" t="s">
        <v>209</v>
      </c>
      <c r="D511" s="9">
        <v>41936.519884259258</v>
      </c>
      <c r="E511" t="s">
        <v>213</v>
      </c>
      <c r="F511">
        <f t="shared" ca="1" si="14"/>
        <v>0.2638888888888889</v>
      </c>
      <c r="G511">
        <f t="shared" ca="1" si="15"/>
        <v>1</v>
      </c>
    </row>
    <row r="512" spans="1:7">
      <c r="A512">
        <v>10557</v>
      </c>
      <c r="B512" t="s">
        <v>8</v>
      </c>
      <c r="C512" t="s">
        <v>209</v>
      </c>
      <c r="D512" s="9">
        <v>41960.60596064815</v>
      </c>
      <c r="E512" t="s">
        <v>214</v>
      </c>
      <c r="F512">
        <f t="shared" ca="1" si="14"/>
        <v>0.2</v>
      </c>
      <c r="G512">
        <f t="shared" ca="1" si="15"/>
        <v>1</v>
      </c>
    </row>
    <row r="513" spans="1:7">
      <c r="A513">
        <v>10562</v>
      </c>
      <c r="B513" t="s">
        <v>211</v>
      </c>
      <c r="C513" t="s">
        <v>209</v>
      </c>
      <c r="D513" s="9">
        <v>41962.498182870368</v>
      </c>
      <c r="E513" t="s">
        <v>213</v>
      </c>
      <c r="F513">
        <f t="shared" ca="1" si="14"/>
        <v>0.19444444444444445</v>
      </c>
      <c r="G513">
        <f t="shared" ca="1" si="15"/>
        <v>1</v>
      </c>
    </row>
    <row r="514" spans="1:7">
      <c r="A514">
        <v>10570</v>
      </c>
      <c r="B514" t="s">
        <v>215</v>
      </c>
      <c r="C514" t="s">
        <v>209</v>
      </c>
      <c r="D514" s="9">
        <v>41962.587141203701</v>
      </c>
      <c r="E514" t="s">
        <v>19</v>
      </c>
      <c r="F514">
        <f t="shared" ca="1" si="14"/>
        <v>0.19444444444444445</v>
      </c>
      <c r="G514">
        <f t="shared" ca="1" si="15"/>
        <v>1</v>
      </c>
    </row>
    <row r="515" spans="1:7">
      <c r="A515">
        <v>52</v>
      </c>
      <c r="B515" t="s">
        <v>77</v>
      </c>
      <c r="C515" t="s">
        <v>169</v>
      </c>
      <c r="D515" s="9">
        <v>39419.622372685182</v>
      </c>
      <c r="F515">
        <f t="shared" ref="F515:F578" ca="1" si="16">YEARFRAC(TODAY(),$D515)</f>
        <v>7.1555555555555559</v>
      </c>
      <c r="G515">
        <f t="shared" ref="G515:G578" ca="1" si="17">IF($F515&lt;1,1,0)</f>
        <v>0</v>
      </c>
    </row>
    <row r="516" spans="1:7">
      <c r="A516">
        <v>59</v>
      </c>
      <c r="B516" t="s">
        <v>98</v>
      </c>
      <c r="C516" t="s">
        <v>141</v>
      </c>
      <c r="D516" s="9">
        <v>39456.47457175926</v>
      </c>
      <c r="F516">
        <f t="shared" ca="1" si="16"/>
        <v>7.0555555555555554</v>
      </c>
      <c r="G516">
        <f t="shared" ca="1" si="17"/>
        <v>0</v>
      </c>
    </row>
    <row r="517" spans="1:7">
      <c r="A517">
        <v>84</v>
      </c>
      <c r="B517" t="s">
        <v>11</v>
      </c>
      <c r="C517" t="s">
        <v>160</v>
      </c>
      <c r="D517" s="9">
        <v>39465.69636574074</v>
      </c>
      <c r="F517">
        <f t="shared" ca="1" si="16"/>
        <v>7.0305555555555559</v>
      </c>
      <c r="G517">
        <f t="shared" ca="1" si="17"/>
        <v>0</v>
      </c>
    </row>
    <row r="518" spans="1:7">
      <c r="A518">
        <v>116</v>
      </c>
      <c r="B518" t="s">
        <v>95</v>
      </c>
      <c r="C518" t="s">
        <v>156</v>
      </c>
      <c r="D518" s="9">
        <v>39624.384189814817</v>
      </c>
      <c r="F518">
        <f t="shared" ca="1" si="16"/>
        <v>6.5944444444444441</v>
      </c>
      <c r="G518">
        <f t="shared" ca="1" si="17"/>
        <v>0</v>
      </c>
    </row>
    <row r="519" spans="1:7">
      <c r="A519">
        <v>127</v>
      </c>
      <c r="B519" t="s">
        <v>112</v>
      </c>
      <c r="C519" t="s">
        <v>154</v>
      </c>
      <c r="D519" s="9">
        <v>39654.381168981483</v>
      </c>
      <c r="F519">
        <f t="shared" ca="1" si="16"/>
        <v>6.5111111111111111</v>
      </c>
      <c r="G519">
        <f t="shared" ca="1" si="17"/>
        <v>0</v>
      </c>
    </row>
    <row r="520" spans="1:7">
      <c r="A520">
        <v>136</v>
      </c>
      <c r="B520" t="s">
        <v>34</v>
      </c>
      <c r="C520" t="s">
        <v>153</v>
      </c>
      <c r="D520" s="9">
        <v>39696.371608796297</v>
      </c>
      <c r="F520">
        <f t="shared" ca="1" si="16"/>
        <v>6.4</v>
      </c>
      <c r="G520">
        <f t="shared" ca="1" si="17"/>
        <v>0</v>
      </c>
    </row>
    <row r="521" spans="1:7">
      <c r="A521">
        <v>140</v>
      </c>
      <c r="B521" t="s">
        <v>34</v>
      </c>
      <c r="C521" t="s">
        <v>154</v>
      </c>
      <c r="D521" s="9">
        <v>39654.381307870368</v>
      </c>
      <c r="F521">
        <f t="shared" ca="1" si="16"/>
        <v>6.5111111111111111</v>
      </c>
      <c r="G521">
        <f t="shared" ca="1" si="17"/>
        <v>0</v>
      </c>
    </row>
    <row r="522" spans="1:7">
      <c r="A522">
        <v>141</v>
      </c>
      <c r="B522" t="s">
        <v>11</v>
      </c>
      <c r="C522" t="s">
        <v>156</v>
      </c>
      <c r="D522" s="9">
        <v>39626.460081018522</v>
      </c>
      <c r="F522">
        <f t="shared" ca="1" si="16"/>
        <v>6.5888888888888886</v>
      </c>
      <c r="G522">
        <f t="shared" ca="1" si="17"/>
        <v>0</v>
      </c>
    </row>
    <row r="523" spans="1:7">
      <c r="A523">
        <v>157</v>
      </c>
      <c r="B523" t="s">
        <v>44</v>
      </c>
      <c r="C523" t="s">
        <v>156</v>
      </c>
      <c r="D523" s="9">
        <v>39610.627650462964</v>
      </c>
      <c r="F523">
        <f t="shared" ca="1" si="16"/>
        <v>6.6333333333333337</v>
      </c>
      <c r="G523">
        <f t="shared" ca="1" si="17"/>
        <v>0</v>
      </c>
    </row>
    <row r="524" spans="1:7">
      <c r="A524">
        <v>158</v>
      </c>
      <c r="B524" t="s">
        <v>93</v>
      </c>
      <c r="C524" t="s">
        <v>156</v>
      </c>
      <c r="D524" s="9">
        <v>39619.385196759256</v>
      </c>
      <c r="F524">
        <f t="shared" ca="1" si="16"/>
        <v>6.6083333333333334</v>
      </c>
      <c r="G524">
        <f t="shared" ca="1" si="17"/>
        <v>0</v>
      </c>
    </row>
    <row r="525" spans="1:7">
      <c r="A525">
        <v>194</v>
      </c>
      <c r="B525" t="s">
        <v>44</v>
      </c>
      <c r="C525" t="s">
        <v>155</v>
      </c>
      <c r="D525" s="9">
        <v>39724.560856481483</v>
      </c>
      <c r="F525">
        <f t="shared" ca="1" si="16"/>
        <v>6.322222222222222</v>
      </c>
      <c r="G525">
        <f t="shared" ca="1" si="17"/>
        <v>0</v>
      </c>
    </row>
    <row r="526" spans="1:7">
      <c r="A526">
        <v>208</v>
      </c>
      <c r="B526" t="s">
        <v>44</v>
      </c>
      <c r="C526" t="s">
        <v>149</v>
      </c>
      <c r="D526" s="9">
        <v>39884.587638888886</v>
      </c>
      <c r="F526">
        <f t="shared" ca="1" si="16"/>
        <v>5.8805555555555555</v>
      </c>
      <c r="G526">
        <f t="shared" ca="1" si="17"/>
        <v>0</v>
      </c>
    </row>
    <row r="527" spans="1:7">
      <c r="A527">
        <v>254</v>
      </c>
      <c r="B527" t="s">
        <v>34</v>
      </c>
      <c r="C527" t="s">
        <v>140</v>
      </c>
      <c r="D527" s="9">
        <v>40528.470069444447</v>
      </c>
      <c r="E527" t="s">
        <v>131</v>
      </c>
      <c r="F527">
        <f t="shared" ca="1" si="16"/>
        <v>4.1194444444444445</v>
      </c>
      <c r="G527">
        <f t="shared" ca="1" si="17"/>
        <v>0</v>
      </c>
    </row>
    <row r="528" spans="1:7">
      <c r="A528">
        <v>327</v>
      </c>
      <c r="B528" t="s">
        <v>8</v>
      </c>
      <c r="C528" t="s">
        <v>151</v>
      </c>
      <c r="D528" s="9">
        <v>39820.633113425924</v>
      </c>
      <c r="F528">
        <f t="shared" ca="1" si="16"/>
        <v>6.0611111111111109</v>
      </c>
      <c r="G528">
        <f t="shared" ca="1" si="17"/>
        <v>0</v>
      </c>
    </row>
    <row r="529" spans="1:7">
      <c r="A529">
        <v>330</v>
      </c>
      <c r="B529" t="s">
        <v>44</v>
      </c>
      <c r="C529" t="s">
        <v>138</v>
      </c>
      <c r="D529" s="9">
        <v>40087.628553240742</v>
      </c>
      <c r="F529">
        <f t="shared" ca="1" si="16"/>
        <v>5.3277777777777775</v>
      </c>
      <c r="G529">
        <f t="shared" ca="1" si="17"/>
        <v>0</v>
      </c>
    </row>
    <row r="530" spans="1:7">
      <c r="A530">
        <v>359</v>
      </c>
      <c r="B530" t="s">
        <v>8</v>
      </c>
      <c r="C530" t="s">
        <v>150</v>
      </c>
      <c r="D530" s="9">
        <v>39860.556875000002</v>
      </c>
      <c r="F530">
        <f t="shared" ca="1" si="16"/>
        <v>5.9527777777777775</v>
      </c>
      <c r="G530">
        <f t="shared" ca="1" si="17"/>
        <v>0</v>
      </c>
    </row>
    <row r="531" spans="1:7">
      <c r="A531">
        <v>366</v>
      </c>
      <c r="B531" t="s">
        <v>34</v>
      </c>
      <c r="C531" t="s">
        <v>150</v>
      </c>
      <c r="D531" s="9">
        <v>39855.429444444446</v>
      </c>
      <c r="F531">
        <f t="shared" ca="1" si="16"/>
        <v>5.9666666666666668</v>
      </c>
      <c r="G531">
        <f t="shared" ca="1" si="17"/>
        <v>0</v>
      </c>
    </row>
    <row r="532" spans="1:7">
      <c r="A532">
        <v>372</v>
      </c>
      <c r="B532" t="s">
        <v>34</v>
      </c>
      <c r="C532" t="s">
        <v>150</v>
      </c>
      <c r="D532" s="9">
        <v>39840.72246527778</v>
      </c>
      <c r="F532">
        <f t="shared" ca="1" si="16"/>
        <v>6.0055555555555555</v>
      </c>
      <c r="G532">
        <f t="shared" ca="1" si="17"/>
        <v>0</v>
      </c>
    </row>
    <row r="533" spans="1:7">
      <c r="A533">
        <v>438</v>
      </c>
      <c r="B533" t="s">
        <v>11</v>
      </c>
      <c r="C533" t="s">
        <v>145</v>
      </c>
      <c r="D533" s="9">
        <v>40214.406423611108</v>
      </c>
      <c r="F533">
        <f t="shared" ca="1" si="16"/>
        <v>4.9833333333333334</v>
      </c>
      <c r="G533">
        <f t="shared" ca="1" si="17"/>
        <v>0</v>
      </c>
    </row>
    <row r="534" spans="1:7">
      <c r="A534">
        <v>439</v>
      </c>
      <c r="B534" t="s">
        <v>11</v>
      </c>
      <c r="C534" t="s">
        <v>148</v>
      </c>
      <c r="D534" s="9">
        <v>39955.447071759256</v>
      </c>
      <c r="F534">
        <f t="shared" ca="1" si="16"/>
        <v>5.6861111111111109</v>
      </c>
      <c r="G534">
        <f t="shared" ca="1" si="17"/>
        <v>0</v>
      </c>
    </row>
    <row r="535" spans="1:7">
      <c r="A535">
        <v>441</v>
      </c>
      <c r="B535" t="s">
        <v>8</v>
      </c>
      <c r="C535" t="s">
        <v>149</v>
      </c>
      <c r="D535" s="9">
        <v>39898.461527777778</v>
      </c>
      <c r="F535">
        <f t="shared" ca="1" si="16"/>
        <v>5.8416666666666668</v>
      </c>
      <c r="G535">
        <f t="shared" ca="1" si="17"/>
        <v>0</v>
      </c>
    </row>
    <row r="536" spans="1:7">
      <c r="A536">
        <v>442</v>
      </c>
      <c r="B536" t="s">
        <v>34</v>
      </c>
      <c r="C536" t="s">
        <v>149</v>
      </c>
      <c r="D536" s="9">
        <v>39919.544120370374</v>
      </c>
      <c r="F536">
        <f t="shared" ca="1" si="16"/>
        <v>5.7861111111111114</v>
      </c>
      <c r="G536">
        <f t="shared" ca="1" si="17"/>
        <v>0</v>
      </c>
    </row>
    <row r="537" spans="1:7">
      <c r="A537">
        <v>452</v>
      </c>
      <c r="B537" t="s">
        <v>104</v>
      </c>
      <c r="C537" t="s">
        <v>148</v>
      </c>
      <c r="D537" s="9">
        <v>39994.699062500003</v>
      </c>
      <c r="F537">
        <f t="shared" ca="1" si="16"/>
        <v>5.5805555555555557</v>
      </c>
      <c r="G537">
        <f t="shared" ca="1" si="17"/>
        <v>0</v>
      </c>
    </row>
    <row r="538" spans="1:7">
      <c r="A538">
        <v>455</v>
      </c>
      <c r="B538" t="s">
        <v>36</v>
      </c>
      <c r="C538" t="s">
        <v>130</v>
      </c>
      <c r="D538" s="9">
        <v>40721.658935185187</v>
      </c>
      <c r="E538" t="s">
        <v>20</v>
      </c>
      <c r="F538">
        <f t="shared" ca="1" si="16"/>
        <v>3.588888888888889</v>
      </c>
      <c r="G538">
        <f t="shared" ca="1" si="17"/>
        <v>0</v>
      </c>
    </row>
    <row r="539" spans="1:7">
      <c r="A539">
        <v>461</v>
      </c>
      <c r="B539" t="s">
        <v>11</v>
      </c>
      <c r="C539" t="s">
        <v>147</v>
      </c>
      <c r="D539" s="9">
        <v>39990.41542824074</v>
      </c>
      <c r="F539">
        <f t="shared" ca="1" si="16"/>
        <v>5.5916666666666668</v>
      </c>
      <c r="G539">
        <f t="shared" ca="1" si="17"/>
        <v>0</v>
      </c>
    </row>
    <row r="540" spans="1:7">
      <c r="A540">
        <v>493</v>
      </c>
      <c r="B540" t="s">
        <v>44</v>
      </c>
      <c r="C540" t="s">
        <v>149</v>
      </c>
      <c r="D540" s="9">
        <v>39897.452592592592</v>
      </c>
      <c r="F540">
        <f t="shared" ca="1" si="16"/>
        <v>5.8444444444444441</v>
      </c>
      <c r="G540">
        <f t="shared" ca="1" si="17"/>
        <v>0</v>
      </c>
    </row>
    <row r="541" spans="1:7">
      <c r="A541">
        <v>497</v>
      </c>
      <c r="B541" t="s">
        <v>34</v>
      </c>
      <c r="C541" t="s">
        <v>147</v>
      </c>
      <c r="D541" s="9">
        <v>39968.692141203705</v>
      </c>
      <c r="F541">
        <f t="shared" ca="1" si="16"/>
        <v>5.6527777777777777</v>
      </c>
      <c r="G541">
        <f t="shared" ca="1" si="17"/>
        <v>0</v>
      </c>
    </row>
    <row r="542" spans="1:7">
      <c r="A542">
        <v>499</v>
      </c>
      <c r="B542" t="s">
        <v>11</v>
      </c>
      <c r="C542" t="s">
        <v>149</v>
      </c>
      <c r="D542" s="9">
        <v>39899.470960648148</v>
      </c>
      <c r="F542">
        <f t="shared" ca="1" si="16"/>
        <v>5.8388888888888886</v>
      </c>
      <c r="G542">
        <f t="shared" ca="1" si="17"/>
        <v>0</v>
      </c>
    </row>
    <row r="543" spans="1:7">
      <c r="A543">
        <v>509</v>
      </c>
      <c r="B543" t="s">
        <v>11</v>
      </c>
      <c r="C543" t="s">
        <v>149</v>
      </c>
      <c r="D543" s="9">
        <v>39897.711030092592</v>
      </c>
      <c r="F543">
        <f t="shared" ca="1" si="16"/>
        <v>5.8444444444444441</v>
      </c>
      <c r="G543">
        <f t="shared" ca="1" si="17"/>
        <v>0</v>
      </c>
    </row>
    <row r="544" spans="1:7">
      <c r="A544">
        <v>537</v>
      </c>
      <c r="B544" t="s">
        <v>34</v>
      </c>
      <c r="C544" t="s">
        <v>148</v>
      </c>
      <c r="D544" s="9">
        <v>39955.447280092594</v>
      </c>
      <c r="F544">
        <f t="shared" ca="1" si="16"/>
        <v>5.6861111111111109</v>
      </c>
      <c r="G544">
        <f t="shared" ca="1" si="17"/>
        <v>0</v>
      </c>
    </row>
    <row r="545" spans="1:7">
      <c r="A545">
        <v>542</v>
      </c>
      <c r="B545" t="s">
        <v>34</v>
      </c>
      <c r="C545" t="s">
        <v>148</v>
      </c>
      <c r="D545" s="9">
        <v>39955.365879629629</v>
      </c>
      <c r="F545">
        <f t="shared" ca="1" si="16"/>
        <v>5.6861111111111109</v>
      </c>
      <c r="G545">
        <f t="shared" ca="1" si="17"/>
        <v>0</v>
      </c>
    </row>
    <row r="546" spans="1:7">
      <c r="A546">
        <v>550</v>
      </c>
      <c r="B546" t="s">
        <v>34</v>
      </c>
      <c r="C546" t="s">
        <v>148</v>
      </c>
      <c r="D546" s="9">
        <v>39932.439201388886</v>
      </c>
      <c r="F546">
        <f t="shared" ca="1" si="16"/>
        <v>5.75</v>
      </c>
      <c r="G546">
        <f t="shared" ca="1" si="17"/>
        <v>0</v>
      </c>
    </row>
    <row r="547" spans="1:7">
      <c r="A547">
        <v>589</v>
      </c>
      <c r="B547" t="s">
        <v>102</v>
      </c>
      <c r="C547" t="s">
        <v>147</v>
      </c>
      <c r="D547" s="9">
        <v>39987.376006944447</v>
      </c>
      <c r="F547">
        <f t="shared" ca="1" si="16"/>
        <v>5.6</v>
      </c>
      <c r="G547">
        <f t="shared" ca="1" si="17"/>
        <v>0</v>
      </c>
    </row>
    <row r="548" spans="1:7">
      <c r="A548">
        <v>597</v>
      </c>
      <c r="B548" t="s">
        <v>101</v>
      </c>
      <c r="C548" t="s">
        <v>147</v>
      </c>
      <c r="D548" s="9">
        <v>39980.451435185183</v>
      </c>
      <c r="F548">
        <f t="shared" ca="1" si="16"/>
        <v>5.6194444444444445</v>
      </c>
      <c r="G548">
        <f t="shared" ca="1" si="17"/>
        <v>0</v>
      </c>
    </row>
    <row r="549" spans="1:7">
      <c r="A549">
        <v>616</v>
      </c>
      <c r="B549" t="s">
        <v>34</v>
      </c>
      <c r="C549" t="s">
        <v>147</v>
      </c>
      <c r="D549" s="9">
        <v>39976.650972222225</v>
      </c>
      <c r="F549">
        <f t="shared" ca="1" si="16"/>
        <v>5.6305555555555555</v>
      </c>
      <c r="G549">
        <f t="shared" ca="1" si="17"/>
        <v>0</v>
      </c>
    </row>
    <row r="550" spans="1:7">
      <c r="A550">
        <v>617</v>
      </c>
      <c r="B550" t="s">
        <v>34</v>
      </c>
      <c r="C550" t="s">
        <v>147</v>
      </c>
      <c r="D550" s="9">
        <v>39976.651250000003</v>
      </c>
      <c r="F550">
        <f t="shared" ca="1" si="16"/>
        <v>5.6305555555555555</v>
      </c>
      <c r="G550">
        <f t="shared" ca="1" si="17"/>
        <v>0</v>
      </c>
    </row>
    <row r="551" spans="1:7">
      <c r="A551">
        <v>644</v>
      </c>
      <c r="B551" t="s">
        <v>11</v>
      </c>
      <c r="C551" t="s">
        <v>147</v>
      </c>
      <c r="D551" s="9">
        <v>39994.681701388887</v>
      </c>
      <c r="F551">
        <f t="shared" ca="1" si="16"/>
        <v>5.5805555555555557</v>
      </c>
      <c r="G551">
        <f t="shared" ca="1" si="17"/>
        <v>0</v>
      </c>
    </row>
    <row r="552" spans="1:7">
      <c r="A552">
        <v>645</v>
      </c>
      <c r="B552" t="s">
        <v>8</v>
      </c>
      <c r="C552" t="s">
        <v>147</v>
      </c>
      <c r="D552" s="9">
        <v>39987.631331018521</v>
      </c>
      <c r="F552">
        <f t="shared" ca="1" si="16"/>
        <v>5.6</v>
      </c>
      <c r="G552">
        <f t="shared" ca="1" si="17"/>
        <v>0</v>
      </c>
    </row>
    <row r="553" spans="1:7">
      <c r="A553">
        <v>679</v>
      </c>
      <c r="B553" t="s">
        <v>102</v>
      </c>
      <c r="C553" t="s">
        <v>145</v>
      </c>
      <c r="D553" s="9">
        <v>40214.466990740744</v>
      </c>
      <c r="F553">
        <f t="shared" ca="1" si="16"/>
        <v>4.9833333333333334</v>
      </c>
      <c r="G553">
        <f t="shared" ca="1" si="17"/>
        <v>0</v>
      </c>
    </row>
    <row r="554" spans="1:7">
      <c r="A554">
        <v>680</v>
      </c>
      <c r="B554" t="s">
        <v>11</v>
      </c>
      <c r="C554" t="s">
        <v>146</v>
      </c>
      <c r="D554" s="9">
        <v>40049.522824074076</v>
      </c>
      <c r="F554">
        <f t="shared" ca="1" si="16"/>
        <v>5.4305555555555554</v>
      </c>
      <c r="G554">
        <f t="shared" ca="1" si="17"/>
        <v>0</v>
      </c>
    </row>
    <row r="555" spans="1:7">
      <c r="A555">
        <v>702</v>
      </c>
      <c r="B555" t="s">
        <v>11</v>
      </c>
      <c r="C555" t="s">
        <v>147</v>
      </c>
      <c r="D555" s="9">
        <v>39990.694444444445</v>
      </c>
      <c r="F555">
        <f t="shared" ca="1" si="16"/>
        <v>5.5916666666666668</v>
      </c>
      <c r="G555">
        <f t="shared" ca="1" si="17"/>
        <v>0</v>
      </c>
    </row>
    <row r="556" spans="1:7">
      <c r="A556">
        <v>713</v>
      </c>
      <c r="B556" t="s">
        <v>8</v>
      </c>
      <c r="C556" t="s">
        <v>135</v>
      </c>
      <c r="D556" s="9">
        <v>40269.556875000002</v>
      </c>
      <c r="F556">
        <f t="shared" ca="1" si="16"/>
        <v>4.8277777777777775</v>
      </c>
      <c r="G556">
        <f t="shared" ca="1" si="17"/>
        <v>0</v>
      </c>
    </row>
    <row r="557" spans="1:7">
      <c r="A557">
        <v>728</v>
      </c>
      <c r="B557" t="s">
        <v>8</v>
      </c>
      <c r="C557" t="s">
        <v>147</v>
      </c>
      <c r="D557" s="9">
        <v>40004.61109953704</v>
      </c>
      <c r="F557">
        <f t="shared" ca="1" si="16"/>
        <v>5.552777777777778</v>
      </c>
      <c r="G557">
        <f t="shared" ca="1" si="17"/>
        <v>0</v>
      </c>
    </row>
    <row r="558" spans="1:7">
      <c r="A558">
        <v>732</v>
      </c>
      <c r="B558" t="s">
        <v>34</v>
      </c>
      <c r="C558" t="s">
        <v>147</v>
      </c>
      <c r="D558" s="9">
        <v>40023.421238425923</v>
      </c>
      <c r="F558">
        <f t="shared" ca="1" si="16"/>
        <v>5.5</v>
      </c>
      <c r="G558">
        <f t="shared" ca="1" si="17"/>
        <v>0</v>
      </c>
    </row>
    <row r="559" spans="1:7">
      <c r="A559">
        <v>736</v>
      </c>
      <c r="B559" t="s">
        <v>11</v>
      </c>
      <c r="C559" t="s">
        <v>147</v>
      </c>
      <c r="D559" s="9">
        <v>40003.567777777775</v>
      </c>
      <c r="F559">
        <f t="shared" ca="1" si="16"/>
        <v>5.5555555555555554</v>
      </c>
      <c r="G559">
        <f t="shared" ca="1" si="17"/>
        <v>0</v>
      </c>
    </row>
    <row r="560" spans="1:7">
      <c r="A560">
        <v>748</v>
      </c>
      <c r="B560" t="s">
        <v>34</v>
      </c>
      <c r="C560" t="s">
        <v>147</v>
      </c>
      <c r="D560" s="9">
        <v>40023.572858796295</v>
      </c>
      <c r="F560">
        <f t="shared" ca="1" si="16"/>
        <v>5.5</v>
      </c>
      <c r="G560">
        <f t="shared" ca="1" si="17"/>
        <v>0</v>
      </c>
    </row>
    <row r="561" spans="1:7">
      <c r="A561">
        <v>759</v>
      </c>
      <c r="B561" t="s">
        <v>11</v>
      </c>
      <c r="C561" t="s">
        <v>147</v>
      </c>
      <c r="D561" s="9">
        <v>40014.583831018521</v>
      </c>
      <c r="F561">
        <f t="shared" ca="1" si="16"/>
        <v>5.5250000000000004</v>
      </c>
      <c r="G561">
        <f t="shared" ca="1" si="17"/>
        <v>0</v>
      </c>
    </row>
    <row r="562" spans="1:7">
      <c r="A562">
        <v>760</v>
      </c>
      <c r="B562" t="s">
        <v>34</v>
      </c>
      <c r="C562" t="s">
        <v>147</v>
      </c>
      <c r="D562" s="9">
        <v>40023.420937499999</v>
      </c>
      <c r="F562">
        <f t="shared" ca="1" si="16"/>
        <v>5.5</v>
      </c>
      <c r="G562">
        <f t="shared" ca="1" si="17"/>
        <v>0</v>
      </c>
    </row>
    <row r="563" spans="1:7">
      <c r="A563">
        <v>774</v>
      </c>
      <c r="B563" t="s">
        <v>102</v>
      </c>
      <c r="C563" t="s">
        <v>147</v>
      </c>
      <c r="D563" s="9">
        <v>40024.461226851854</v>
      </c>
      <c r="F563">
        <f t="shared" ca="1" si="16"/>
        <v>5.4972222222222218</v>
      </c>
      <c r="G563">
        <f t="shared" ca="1" si="17"/>
        <v>0</v>
      </c>
    </row>
    <row r="564" spans="1:7">
      <c r="A564">
        <v>784</v>
      </c>
      <c r="B564" t="s">
        <v>8</v>
      </c>
      <c r="C564" t="s">
        <v>136</v>
      </c>
      <c r="D564" s="9">
        <v>40415.460405092592</v>
      </c>
      <c r="E564" t="s">
        <v>34</v>
      </c>
      <c r="F564">
        <f t="shared" ca="1" si="16"/>
        <v>4.427777777777778</v>
      </c>
      <c r="G564">
        <f t="shared" ca="1" si="17"/>
        <v>0</v>
      </c>
    </row>
    <row r="565" spans="1:7">
      <c r="A565">
        <v>787</v>
      </c>
      <c r="B565" t="s">
        <v>8</v>
      </c>
      <c r="C565" t="s">
        <v>146</v>
      </c>
      <c r="D565" s="9">
        <v>40031.53396990741</v>
      </c>
      <c r="F565">
        <f t="shared" ca="1" si="16"/>
        <v>5.4805555555555552</v>
      </c>
      <c r="G565">
        <f t="shared" ca="1" si="17"/>
        <v>0</v>
      </c>
    </row>
    <row r="566" spans="1:7">
      <c r="A566">
        <v>793</v>
      </c>
      <c r="B566" t="s">
        <v>11</v>
      </c>
      <c r="C566" t="s">
        <v>138</v>
      </c>
      <c r="D566" s="9">
        <v>40142.581226851849</v>
      </c>
      <c r="F566">
        <f t="shared" ca="1" si="16"/>
        <v>5.177777777777778</v>
      </c>
      <c r="G566">
        <f t="shared" ca="1" si="17"/>
        <v>0</v>
      </c>
    </row>
    <row r="567" spans="1:7">
      <c r="A567">
        <v>795</v>
      </c>
      <c r="B567" t="s">
        <v>11</v>
      </c>
      <c r="C567" t="s">
        <v>146</v>
      </c>
      <c r="D567" s="9">
        <v>40084.415567129632</v>
      </c>
      <c r="F567">
        <f t="shared" ca="1" si="16"/>
        <v>5.3361111111111112</v>
      </c>
      <c r="G567">
        <f t="shared" ca="1" si="17"/>
        <v>0</v>
      </c>
    </row>
    <row r="568" spans="1:7">
      <c r="A568">
        <v>799</v>
      </c>
      <c r="B568" t="s">
        <v>102</v>
      </c>
      <c r="C568" t="s">
        <v>146</v>
      </c>
      <c r="D568" s="9">
        <v>40039.471863425926</v>
      </c>
      <c r="F568">
        <f t="shared" ca="1" si="16"/>
        <v>5.458333333333333</v>
      </c>
      <c r="G568">
        <f t="shared" ca="1" si="17"/>
        <v>0</v>
      </c>
    </row>
    <row r="569" spans="1:7">
      <c r="A569">
        <v>805</v>
      </c>
      <c r="B569" t="s">
        <v>8</v>
      </c>
      <c r="C569" t="s">
        <v>138</v>
      </c>
      <c r="D569" s="9">
        <v>40142.550474537034</v>
      </c>
      <c r="F569">
        <f t="shared" ca="1" si="16"/>
        <v>5.177777777777778</v>
      </c>
      <c r="G569">
        <f t="shared" ca="1" si="17"/>
        <v>0</v>
      </c>
    </row>
    <row r="570" spans="1:7">
      <c r="A570">
        <v>807</v>
      </c>
      <c r="B570" t="s">
        <v>11</v>
      </c>
      <c r="C570" t="s">
        <v>146</v>
      </c>
      <c r="D570" s="9">
        <v>40037.893877314818</v>
      </c>
      <c r="F570">
        <f t="shared" ca="1" si="16"/>
        <v>5.4638888888888886</v>
      </c>
      <c r="G570">
        <f t="shared" ca="1" si="17"/>
        <v>0</v>
      </c>
    </row>
    <row r="571" spans="1:7">
      <c r="A571">
        <v>813</v>
      </c>
      <c r="B571" t="s">
        <v>11</v>
      </c>
      <c r="C571" t="s">
        <v>135</v>
      </c>
      <c r="D571" s="9">
        <v>40274.391562500001</v>
      </c>
      <c r="F571">
        <f t="shared" ca="1" si="16"/>
        <v>4.8138888888888891</v>
      </c>
      <c r="G571">
        <f t="shared" ca="1" si="17"/>
        <v>0</v>
      </c>
    </row>
    <row r="572" spans="1:7">
      <c r="A572">
        <v>839</v>
      </c>
      <c r="B572" t="s">
        <v>99</v>
      </c>
      <c r="C572" t="s">
        <v>129</v>
      </c>
      <c r="D572" s="9">
        <v>40805.702256944445</v>
      </c>
      <c r="E572" t="s">
        <v>11</v>
      </c>
      <c r="F572">
        <f t="shared" ca="1" si="16"/>
        <v>3.3611111111111112</v>
      </c>
      <c r="G572">
        <f t="shared" ca="1" si="17"/>
        <v>0</v>
      </c>
    </row>
    <row r="573" spans="1:7">
      <c r="A573">
        <v>848</v>
      </c>
      <c r="B573" t="s">
        <v>102</v>
      </c>
      <c r="C573" t="s">
        <v>138</v>
      </c>
      <c r="D573" s="9">
        <v>40086.672129629631</v>
      </c>
      <c r="F573">
        <f t="shared" ca="1" si="16"/>
        <v>5.3305555555555557</v>
      </c>
      <c r="G573">
        <f t="shared" ca="1" si="17"/>
        <v>0</v>
      </c>
    </row>
    <row r="574" spans="1:7">
      <c r="A574">
        <v>862</v>
      </c>
      <c r="B574" t="s">
        <v>11</v>
      </c>
      <c r="C574" t="s">
        <v>135</v>
      </c>
      <c r="D574" s="9">
        <v>40266.68236111111</v>
      </c>
      <c r="F574">
        <f t="shared" ca="1" si="16"/>
        <v>4.833333333333333</v>
      </c>
      <c r="G574">
        <f t="shared" ca="1" si="17"/>
        <v>0</v>
      </c>
    </row>
    <row r="575" spans="1:7">
      <c r="A575">
        <v>863</v>
      </c>
      <c r="B575" t="s">
        <v>34</v>
      </c>
      <c r="C575" t="s">
        <v>120</v>
      </c>
      <c r="D575" s="9">
        <v>41572.912962962961</v>
      </c>
      <c r="E575" t="s">
        <v>27</v>
      </c>
      <c r="F575">
        <f t="shared" ca="1" si="16"/>
        <v>1.2611111111111111</v>
      </c>
      <c r="G575">
        <f t="shared" ca="1" si="17"/>
        <v>0</v>
      </c>
    </row>
    <row r="576" spans="1:7">
      <c r="A576">
        <v>866</v>
      </c>
      <c r="B576" t="s">
        <v>8</v>
      </c>
      <c r="C576" t="s">
        <v>135</v>
      </c>
      <c r="D576" s="9">
        <v>40269.601793981485</v>
      </c>
      <c r="F576">
        <f t="shared" ca="1" si="16"/>
        <v>4.8277777777777775</v>
      </c>
      <c r="G576">
        <f t="shared" ca="1" si="17"/>
        <v>0</v>
      </c>
    </row>
    <row r="577" spans="1:7">
      <c r="A577">
        <v>867</v>
      </c>
      <c r="B577" t="s">
        <v>102</v>
      </c>
      <c r="C577" t="s">
        <v>138</v>
      </c>
      <c r="D577" s="9">
        <v>40086.671863425923</v>
      </c>
      <c r="F577">
        <f t="shared" ca="1" si="16"/>
        <v>5.3305555555555557</v>
      </c>
      <c r="G577">
        <f t="shared" ca="1" si="17"/>
        <v>0</v>
      </c>
    </row>
    <row r="578" spans="1:7">
      <c r="A578">
        <v>928</v>
      </c>
      <c r="B578" t="s">
        <v>102</v>
      </c>
      <c r="C578" t="s">
        <v>138</v>
      </c>
      <c r="D578" s="9">
        <v>40142.546122685184</v>
      </c>
      <c r="F578">
        <f t="shared" ca="1" si="16"/>
        <v>5.177777777777778</v>
      </c>
      <c r="G578">
        <f t="shared" ca="1" si="17"/>
        <v>0</v>
      </c>
    </row>
    <row r="579" spans="1:7">
      <c r="A579">
        <v>944</v>
      </c>
      <c r="B579" t="s">
        <v>102</v>
      </c>
      <c r="C579" t="s">
        <v>145</v>
      </c>
      <c r="D579" s="9">
        <v>40214.486655092594</v>
      </c>
      <c r="F579">
        <f t="shared" ref="F579:F642" ca="1" si="18">YEARFRAC(TODAY(),$D579)</f>
        <v>4.9833333333333334</v>
      </c>
      <c r="G579">
        <f t="shared" ref="G579:G642" ca="1" si="19">IF($F579&lt;1,1,0)</f>
        <v>0</v>
      </c>
    </row>
    <row r="580" spans="1:7">
      <c r="A580">
        <v>946</v>
      </c>
      <c r="B580" t="s">
        <v>8</v>
      </c>
      <c r="C580" t="s">
        <v>138</v>
      </c>
      <c r="D580" s="9">
        <v>40142.641168981485</v>
      </c>
      <c r="F580">
        <f t="shared" ca="1" si="18"/>
        <v>5.177777777777778</v>
      </c>
      <c r="G580">
        <f t="shared" ca="1" si="19"/>
        <v>0</v>
      </c>
    </row>
    <row r="581" spans="1:7">
      <c r="A581">
        <v>947</v>
      </c>
      <c r="B581" t="s">
        <v>8</v>
      </c>
      <c r="C581" t="s">
        <v>145</v>
      </c>
      <c r="D581" s="9">
        <v>40214.691747685189</v>
      </c>
      <c r="F581">
        <f t="shared" ca="1" si="18"/>
        <v>4.9833333333333334</v>
      </c>
      <c r="G581">
        <f t="shared" ca="1" si="19"/>
        <v>0</v>
      </c>
    </row>
    <row r="582" spans="1:7">
      <c r="A582">
        <v>950</v>
      </c>
      <c r="B582" t="s">
        <v>11</v>
      </c>
      <c r="C582" t="s">
        <v>138</v>
      </c>
      <c r="D582" s="9">
        <v>40143.612291666665</v>
      </c>
      <c r="F582">
        <f t="shared" ca="1" si="18"/>
        <v>5.1749999999999998</v>
      </c>
      <c r="G582">
        <f t="shared" ca="1" si="19"/>
        <v>0</v>
      </c>
    </row>
    <row r="583" spans="1:7">
      <c r="A583">
        <v>951</v>
      </c>
      <c r="B583" t="s">
        <v>8</v>
      </c>
      <c r="C583" t="s">
        <v>145</v>
      </c>
      <c r="D583" s="9">
        <v>40217.554282407407</v>
      </c>
      <c r="F583">
        <f t="shared" ca="1" si="18"/>
        <v>4.9749999999999996</v>
      </c>
      <c r="G583">
        <f t="shared" ca="1" si="19"/>
        <v>0</v>
      </c>
    </row>
    <row r="584" spans="1:7">
      <c r="A584">
        <v>952</v>
      </c>
      <c r="B584" t="s">
        <v>8</v>
      </c>
      <c r="C584" t="s">
        <v>145</v>
      </c>
      <c r="D584" s="9">
        <v>40218.659918981481</v>
      </c>
      <c r="F584">
        <f t="shared" ca="1" si="18"/>
        <v>4.9722222222222223</v>
      </c>
      <c r="G584">
        <f t="shared" ca="1" si="19"/>
        <v>0</v>
      </c>
    </row>
    <row r="585" spans="1:7">
      <c r="A585">
        <v>961</v>
      </c>
      <c r="B585" t="s">
        <v>44</v>
      </c>
      <c r="C585" t="s">
        <v>145</v>
      </c>
      <c r="D585" s="9">
        <v>40217.630590277775</v>
      </c>
      <c r="F585">
        <f t="shared" ca="1" si="18"/>
        <v>4.9749999999999996</v>
      </c>
      <c r="G585">
        <f t="shared" ca="1" si="19"/>
        <v>0</v>
      </c>
    </row>
    <row r="586" spans="1:7">
      <c r="A586">
        <v>965</v>
      </c>
      <c r="B586" t="s">
        <v>34</v>
      </c>
      <c r="C586" t="s">
        <v>145</v>
      </c>
      <c r="D586" s="9">
        <v>40217.63082175926</v>
      </c>
      <c r="F586">
        <f t="shared" ca="1" si="18"/>
        <v>4.9749999999999996</v>
      </c>
      <c r="G586">
        <f t="shared" ca="1" si="19"/>
        <v>0</v>
      </c>
    </row>
    <row r="587" spans="1:7">
      <c r="A587">
        <v>967</v>
      </c>
      <c r="B587" t="s">
        <v>44</v>
      </c>
      <c r="C587" t="s">
        <v>135</v>
      </c>
      <c r="D587" s="9">
        <v>40269.47347222222</v>
      </c>
      <c r="F587">
        <f t="shared" ca="1" si="18"/>
        <v>4.8277777777777775</v>
      </c>
      <c r="G587">
        <f t="shared" ca="1" si="19"/>
        <v>0</v>
      </c>
    </row>
    <row r="588" spans="1:7">
      <c r="A588">
        <v>974</v>
      </c>
      <c r="B588" t="s">
        <v>34</v>
      </c>
      <c r="C588" t="s">
        <v>136</v>
      </c>
      <c r="D588" s="9">
        <v>40415.427337962959</v>
      </c>
      <c r="E588" t="s">
        <v>44</v>
      </c>
      <c r="F588">
        <f t="shared" ca="1" si="18"/>
        <v>4.427777777777778</v>
      </c>
      <c r="G588">
        <f t="shared" ca="1" si="19"/>
        <v>0</v>
      </c>
    </row>
    <row r="589" spans="1:7">
      <c r="A589">
        <v>978</v>
      </c>
      <c r="B589" t="s">
        <v>8</v>
      </c>
      <c r="C589" t="s">
        <v>138</v>
      </c>
      <c r="D589" s="9">
        <v>40133.682384259257</v>
      </c>
      <c r="F589">
        <f t="shared" ca="1" si="18"/>
        <v>5.2027777777777775</v>
      </c>
      <c r="G589">
        <f t="shared" ca="1" si="19"/>
        <v>0</v>
      </c>
    </row>
    <row r="590" spans="1:7">
      <c r="A590">
        <v>982</v>
      </c>
      <c r="B590" t="s">
        <v>8</v>
      </c>
      <c r="C590" t="s">
        <v>138</v>
      </c>
      <c r="D590" s="9">
        <v>40133.68136574074</v>
      </c>
      <c r="F590">
        <f t="shared" ca="1" si="18"/>
        <v>5.2027777777777775</v>
      </c>
      <c r="G590">
        <f t="shared" ca="1" si="19"/>
        <v>0</v>
      </c>
    </row>
    <row r="591" spans="1:7">
      <c r="A591">
        <v>990</v>
      </c>
      <c r="B591" t="s">
        <v>11</v>
      </c>
      <c r="C591" t="s">
        <v>138</v>
      </c>
      <c r="D591" s="9">
        <v>40142.576678240737</v>
      </c>
      <c r="F591">
        <f t="shared" ca="1" si="18"/>
        <v>5.177777777777778</v>
      </c>
      <c r="G591">
        <f t="shared" ca="1" si="19"/>
        <v>0</v>
      </c>
    </row>
    <row r="592" spans="1:7">
      <c r="A592">
        <v>1002</v>
      </c>
      <c r="B592" t="s">
        <v>102</v>
      </c>
      <c r="C592" t="s">
        <v>145</v>
      </c>
      <c r="D592" s="9">
        <v>40214.540694444448</v>
      </c>
      <c r="F592">
        <f t="shared" ca="1" si="18"/>
        <v>4.9833333333333334</v>
      </c>
      <c r="G592">
        <f t="shared" ca="1" si="19"/>
        <v>0</v>
      </c>
    </row>
    <row r="593" spans="1:7">
      <c r="A593">
        <v>1004</v>
      </c>
      <c r="B593" t="s">
        <v>8</v>
      </c>
      <c r="C593" t="s">
        <v>145</v>
      </c>
      <c r="D593" s="9">
        <v>40218.404444444444</v>
      </c>
      <c r="F593">
        <f t="shared" ca="1" si="18"/>
        <v>4.9722222222222223</v>
      </c>
      <c r="G593">
        <f t="shared" ca="1" si="19"/>
        <v>0</v>
      </c>
    </row>
    <row r="594" spans="1:7">
      <c r="A594">
        <v>1034</v>
      </c>
      <c r="B594" t="s">
        <v>11</v>
      </c>
      <c r="C594" t="s">
        <v>145</v>
      </c>
      <c r="D594" s="9">
        <v>40214.431261574071</v>
      </c>
      <c r="F594">
        <f t="shared" ca="1" si="18"/>
        <v>4.9833333333333334</v>
      </c>
      <c r="G594">
        <f t="shared" ca="1" si="19"/>
        <v>0</v>
      </c>
    </row>
    <row r="595" spans="1:7">
      <c r="A595">
        <v>1045</v>
      </c>
      <c r="B595" t="s">
        <v>8</v>
      </c>
      <c r="C595" t="s">
        <v>136</v>
      </c>
      <c r="D595" s="9">
        <v>40415.463854166665</v>
      </c>
      <c r="E595" t="s">
        <v>34</v>
      </c>
      <c r="F595">
        <f t="shared" ca="1" si="18"/>
        <v>4.427777777777778</v>
      </c>
      <c r="G595">
        <f t="shared" ca="1" si="19"/>
        <v>0</v>
      </c>
    </row>
    <row r="596" spans="1:7">
      <c r="A596">
        <v>1047</v>
      </c>
      <c r="B596" t="s">
        <v>11</v>
      </c>
      <c r="C596" t="s">
        <v>145</v>
      </c>
      <c r="D596" s="9">
        <v>40214.432696759257</v>
      </c>
      <c r="F596">
        <f t="shared" ca="1" si="18"/>
        <v>4.9833333333333334</v>
      </c>
      <c r="G596">
        <f t="shared" ca="1" si="19"/>
        <v>0</v>
      </c>
    </row>
    <row r="597" spans="1:7">
      <c r="A597">
        <v>1060</v>
      </c>
      <c r="B597" t="s">
        <v>8</v>
      </c>
      <c r="C597" t="s">
        <v>145</v>
      </c>
      <c r="D597" s="9">
        <v>40217.692442129628</v>
      </c>
      <c r="F597">
        <f t="shared" ca="1" si="18"/>
        <v>4.9749999999999996</v>
      </c>
      <c r="G597">
        <f t="shared" ca="1" si="19"/>
        <v>0</v>
      </c>
    </row>
    <row r="598" spans="1:7">
      <c r="A598">
        <v>1061</v>
      </c>
      <c r="B598" t="s">
        <v>102</v>
      </c>
      <c r="C598" t="s">
        <v>134</v>
      </c>
      <c r="D598" s="9">
        <v>40486.566736111112</v>
      </c>
      <c r="E598" t="s">
        <v>131</v>
      </c>
      <c r="F598">
        <f t="shared" ca="1" si="18"/>
        <v>4.2361111111111107</v>
      </c>
      <c r="G598">
        <f t="shared" ca="1" si="19"/>
        <v>0</v>
      </c>
    </row>
    <row r="599" spans="1:7">
      <c r="A599">
        <v>1070</v>
      </c>
      <c r="B599" t="s">
        <v>11</v>
      </c>
      <c r="C599" t="s">
        <v>145</v>
      </c>
      <c r="D599" s="9">
        <v>40214.54515046296</v>
      </c>
      <c r="F599">
        <f t="shared" ca="1" si="18"/>
        <v>4.9833333333333334</v>
      </c>
      <c r="G599">
        <f t="shared" ca="1" si="19"/>
        <v>0</v>
      </c>
    </row>
    <row r="600" spans="1:7">
      <c r="A600">
        <v>1071</v>
      </c>
      <c r="B600" t="s">
        <v>101</v>
      </c>
      <c r="C600" t="s">
        <v>145</v>
      </c>
      <c r="D600" s="9">
        <v>40214.65761574074</v>
      </c>
      <c r="F600">
        <f t="shared" ca="1" si="18"/>
        <v>4.9833333333333334</v>
      </c>
      <c r="G600">
        <f t="shared" ca="1" si="19"/>
        <v>0</v>
      </c>
    </row>
    <row r="601" spans="1:7">
      <c r="A601">
        <v>1074</v>
      </c>
      <c r="B601" t="s">
        <v>34</v>
      </c>
      <c r="C601" t="s">
        <v>145</v>
      </c>
      <c r="D601" s="9">
        <v>40214.459108796298</v>
      </c>
      <c r="F601">
        <f t="shared" ca="1" si="18"/>
        <v>4.9833333333333334</v>
      </c>
      <c r="G601">
        <f t="shared" ca="1" si="19"/>
        <v>0</v>
      </c>
    </row>
    <row r="602" spans="1:7">
      <c r="A602">
        <v>1085</v>
      </c>
      <c r="B602" t="s">
        <v>11</v>
      </c>
      <c r="C602" t="s">
        <v>145</v>
      </c>
      <c r="D602" s="9">
        <v>40218.415451388886</v>
      </c>
      <c r="F602">
        <f t="shared" ca="1" si="18"/>
        <v>4.9722222222222223</v>
      </c>
      <c r="G602">
        <f t="shared" ca="1" si="19"/>
        <v>0</v>
      </c>
    </row>
    <row r="603" spans="1:7">
      <c r="A603">
        <v>1093</v>
      </c>
      <c r="B603" t="s">
        <v>11</v>
      </c>
      <c r="C603" t="s">
        <v>145</v>
      </c>
      <c r="D603" s="9">
        <v>40214.590208333335</v>
      </c>
      <c r="F603">
        <f t="shared" ca="1" si="18"/>
        <v>4.9833333333333334</v>
      </c>
      <c r="G603">
        <f t="shared" ca="1" si="19"/>
        <v>0</v>
      </c>
    </row>
    <row r="604" spans="1:7">
      <c r="A604">
        <v>1099</v>
      </c>
      <c r="B604" t="s">
        <v>102</v>
      </c>
      <c r="C604" t="s">
        <v>135</v>
      </c>
      <c r="D604" s="9">
        <v>41883.365740740737</v>
      </c>
      <c r="F604">
        <f t="shared" ca="1" si="18"/>
        <v>0.41111111111111109</v>
      </c>
      <c r="G604">
        <f t="shared" ca="1" si="19"/>
        <v>1</v>
      </c>
    </row>
    <row r="605" spans="1:7">
      <c r="A605">
        <v>1100</v>
      </c>
      <c r="B605" t="s">
        <v>34</v>
      </c>
      <c r="C605" t="s">
        <v>145</v>
      </c>
      <c r="D605" s="9">
        <v>40218.400578703702</v>
      </c>
      <c r="F605">
        <f t="shared" ca="1" si="18"/>
        <v>4.9722222222222223</v>
      </c>
      <c r="G605">
        <f t="shared" ca="1" si="19"/>
        <v>0</v>
      </c>
    </row>
    <row r="606" spans="1:7">
      <c r="A606">
        <v>1102</v>
      </c>
      <c r="B606" t="s">
        <v>8</v>
      </c>
      <c r="C606" t="s">
        <v>135</v>
      </c>
      <c r="D606" s="9">
        <v>40274.594571759262</v>
      </c>
      <c r="F606">
        <f t="shared" ca="1" si="18"/>
        <v>4.8138888888888891</v>
      </c>
      <c r="G606">
        <f t="shared" ca="1" si="19"/>
        <v>0</v>
      </c>
    </row>
    <row r="607" spans="1:7">
      <c r="A607">
        <v>1122</v>
      </c>
      <c r="B607" t="s">
        <v>102</v>
      </c>
      <c r="C607" t="s">
        <v>137</v>
      </c>
      <c r="D607" s="9">
        <v>40337.608090277776</v>
      </c>
      <c r="F607">
        <f t="shared" ca="1" si="18"/>
        <v>4.6416666666666666</v>
      </c>
      <c r="G607">
        <f t="shared" ca="1" si="19"/>
        <v>0</v>
      </c>
    </row>
    <row r="608" spans="1:7">
      <c r="A608">
        <v>1123</v>
      </c>
      <c r="B608" t="s">
        <v>11</v>
      </c>
      <c r="C608" t="s">
        <v>135</v>
      </c>
      <c r="D608" s="9">
        <v>40274.59479166667</v>
      </c>
      <c r="F608">
        <f t="shared" ca="1" si="18"/>
        <v>4.8138888888888891</v>
      </c>
      <c r="G608">
        <f t="shared" ca="1" si="19"/>
        <v>0</v>
      </c>
    </row>
    <row r="609" spans="1:7">
      <c r="A609">
        <v>1133</v>
      </c>
      <c r="B609" t="s">
        <v>11</v>
      </c>
      <c r="C609" t="s">
        <v>132</v>
      </c>
      <c r="D609" s="9">
        <v>40661.82917824074</v>
      </c>
      <c r="E609" t="s">
        <v>99</v>
      </c>
      <c r="F609">
        <f t="shared" ca="1" si="18"/>
        <v>3.7527777777777778</v>
      </c>
      <c r="G609">
        <f t="shared" ca="1" si="19"/>
        <v>0</v>
      </c>
    </row>
    <row r="610" spans="1:7">
      <c r="A610">
        <v>1146</v>
      </c>
      <c r="B610" t="s">
        <v>8</v>
      </c>
      <c r="C610" t="s">
        <v>135</v>
      </c>
      <c r="D610" s="9">
        <v>40269.552337962959</v>
      </c>
      <c r="F610">
        <f t="shared" ca="1" si="18"/>
        <v>4.8277777777777775</v>
      </c>
      <c r="G610">
        <f t="shared" ca="1" si="19"/>
        <v>0</v>
      </c>
    </row>
    <row r="611" spans="1:7">
      <c r="A611">
        <v>1154</v>
      </c>
      <c r="B611" t="s">
        <v>11</v>
      </c>
      <c r="C611" t="s">
        <v>135</v>
      </c>
      <c r="D611" s="9">
        <v>40266.612337962964</v>
      </c>
      <c r="F611">
        <f t="shared" ca="1" si="18"/>
        <v>4.833333333333333</v>
      </c>
      <c r="G611">
        <f t="shared" ca="1" si="19"/>
        <v>0</v>
      </c>
    </row>
    <row r="612" spans="1:7">
      <c r="A612">
        <v>1172</v>
      </c>
      <c r="B612" t="s">
        <v>11</v>
      </c>
      <c r="C612" t="s">
        <v>135</v>
      </c>
      <c r="D612" s="9">
        <v>40269.572118055556</v>
      </c>
      <c r="F612">
        <f t="shared" ca="1" si="18"/>
        <v>4.8277777777777775</v>
      </c>
      <c r="G612">
        <f t="shared" ca="1" si="19"/>
        <v>0</v>
      </c>
    </row>
    <row r="613" spans="1:7">
      <c r="A613">
        <v>1192</v>
      </c>
      <c r="B613" t="s">
        <v>34</v>
      </c>
      <c r="C613" t="s">
        <v>137</v>
      </c>
      <c r="D613" s="9">
        <v>40337.502187500002</v>
      </c>
      <c r="F613">
        <f t="shared" ca="1" si="18"/>
        <v>4.6416666666666666</v>
      </c>
      <c r="G613">
        <f t="shared" ca="1" si="19"/>
        <v>0</v>
      </c>
    </row>
    <row r="614" spans="1:7">
      <c r="A614">
        <v>1212</v>
      </c>
      <c r="B614" t="s">
        <v>8</v>
      </c>
      <c r="C614" t="s">
        <v>140</v>
      </c>
      <c r="D614" s="9">
        <v>40529.940775462965</v>
      </c>
      <c r="E614" t="s">
        <v>11</v>
      </c>
      <c r="F614">
        <f t="shared" ca="1" si="18"/>
        <v>4.1166666666666663</v>
      </c>
      <c r="G614">
        <f t="shared" ca="1" si="19"/>
        <v>0</v>
      </c>
    </row>
    <row r="615" spans="1:7">
      <c r="A615">
        <v>1214</v>
      </c>
      <c r="B615" t="s">
        <v>8</v>
      </c>
      <c r="C615" t="s">
        <v>137</v>
      </c>
      <c r="D615" s="9">
        <v>40337.520254629628</v>
      </c>
      <c r="F615">
        <f t="shared" ca="1" si="18"/>
        <v>4.6416666666666666</v>
      </c>
      <c r="G615">
        <f t="shared" ca="1" si="19"/>
        <v>0</v>
      </c>
    </row>
    <row r="616" spans="1:7">
      <c r="A616">
        <v>1225</v>
      </c>
      <c r="B616" t="s">
        <v>101</v>
      </c>
      <c r="C616" t="s">
        <v>137</v>
      </c>
      <c r="D616" s="9">
        <v>40340.788252314815</v>
      </c>
      <c r="F616">
        <f t="shared" ca="1" si="18"/>
        <v>4.6333333333333337</v>
      </c>
      <c r="G616">
        <f t="shared" ca="1" si="19"/>
        <v>0</v>
      </c>
    </row>
    <row r="617" spans="1:7">
      <c r="A617">
        <v>1261</v>
      </c>
      <c r="B617" t="s">
        <v>101</v>
      </c>
      <c r="C617" t="s">
        <v>136</v>
      </c>
      <c r="D617" s="9">
        <v>40415.621701388889</v>
      </c>
      <c r="E617" t="s">
        <v>34</v>
      </c>
      <c r="F617">
        <f t="shared" ca="1" si="18"/>
        <v>4.427777777777778</v>
      </c>
      <c r="G617">
        <f t="shared" ca="1" si="19"/>
        <v>0</v>
      </c>
    </row>
    <row r="618" spans="1:7">
      <c r="A618">
        <v>1264</v>
      </c>
      <c r="B618" t="s">
        <v>101</v>
      </c>
      <c r="C618" t="s">
        <v>136</v>
      </c>
      <c r="D618" s="9">
        <v>40414.486875000002</v>
      </c>
      <c r="E618" t="s">
        <v>102</v>
      </c>
      <c r="F618">
        <f t="shared" ca="1" si="18"/>
        <v>4.4305555555555554</v>
      </c>
      <c r="G618">
        <f t="shared" ca="1" si="19"/>
        <v>0</v>
      </c>
    </row>
    <row r="619" spans="1:7">
      <c r="A619">
        <v>1270</v>
      </c>
      <c r="B619" t="s">
        <v>8</v>
      </c>
      <c r="C619" t="s">
        <v>136</v>
      </c>
      <c r="D619" s="9">
        <v>40414.46974537037</v>
      </c>
      <c r="E619" t="s">
        <v>131</v>
      </c>
      <c r="F619">
        <f t="shared" ca="1" si="18"/>
        <v>4.4305555555555554</v>
      </c>
      <c r="G619">
        <f t="shared" ca="1" si="19"/>
        <v>0</v>
      </c>
    </row>
    <row r="620" spans="1:7">
      <c r="A620">
        <v>1278</v>
      </c>
      <c r="B620" t="s">
        <v>34</v>
      </c>
      <c r="C620" t="s">
        <v>137</v>
      </c>
      <c r="D620" s="9">
        <v>40337.472083333334</v>
      </c>
      <c r="F620">
        <f t="shared" ca="1" si="18"/>
        <v>4.6416666666666666</v>
      </c>
      <c r="G620">
        <f t="shared" ca="1" si="19"/>
        <v>0</v>
      </c>
    </row>
    <row r="621" spans="1:7">
      <c r="A621">
        <v>1295</v>
      </c>
      <c r="B621" t="s">
        <v>34</v>
      </c>
      <c r="C621" t="s">
        <v>137</v>
      </c>
      <c r="D621" s="9">
        <v>40337.412488425929</v>
      </c>
      <c r="F621">
        <f t="shared" ca="1" si="18"/>
        <v>4.6416666666666666</v>
      </c>
      <c r="G621">
        <f t="shared" ca="1" si="19"/>
        <v>0</v>
      </c>
    </row>
    <row r="622" spans="1:7">
      <c r="A622">
        <v>1306</v>
      </c>
      <c r="B622" t="s">
        <v>11</v>
      </c>
      <c r="C622" t="s">
        <v>137</v>
      </c>
      <c r="D622" s="9">
        <v>40340.362557870372</v>
      </c>
      <c r="F622">
        <f t="shared" ca="1" si="18"/>
        <v>4.6333333333333337</v>
      </c>
      <c r="G622">
        <f t="shared" ca="1" si="19"/>
        <v>0</v>
      </c>
    </row>
    <row r="623" spans="1:7">
      <c r="A623">
        <v>1308</v>
      </c>
      <c r="B623" t="s">
        <v>44</v>
      </c>
      <c r="C623" t="s">
        <v>136</v>
      </c>
      <c r="D623" s="9">
        <v>40416.490486111114</v>
      </c>
      <c r="E623" t="s">
        <v>8</v>
      </c>
      <c r="F623">
        <f t="shared" ca="1" si="18"/>
        <v>4.4249999999999998</v>
      </c>
      <c r="G623">
        <f t="shared" ca="1" si="19"/>
        <v>0</v>
      </c>
    </row>
    <row r="624" spans="1:7">
      <c r="A624">
        <v>1312</v>
      </c>
      <c r="B624" t="s">
        <v>8</v>
      </c>
      <c r="C624" t="s">
        <v>137</v>
      </c>
      <c r="D624" s="9">
        <v>40340.545995370368</v>
      </c>
      <c r="F624">
        <f t="shared" ca="1" si="18"/>
        <v>4.6333333333333337</v>
      </c>
      <c r="G624">
        <f t="shared" ca="1" si="19"/>
        <v>0</v>
      </c>
    </row>
    <row r="625" spans="1:7">
      <c r="A625">
        <v>1329</v>
      </c>
      <c r="B625" t="s">
        <v>99</v>
      </c>
      <c r="C625" t="s">
        <v>129</v>
      </c>
      <c r="D625" s="9">
        <v>40805.608148148145</v>
      </c>
      <c r="E625" t="s">
        <v>34</v>
      </c>
      <c r="F625">
        <f t="shared" ca="1" si="18"/>
        <v>3.3611111111111112</v>
      </c>
      <c r="G625">
        <f t="shared" ca="1" si="19"/>
        <v>0</v>
      </c>
    </row>
    <row r="626" spans="1:7">
      <c r="A626">
        <v>1330</v>
      </c>
      <c r="B626" t="s">
        <v>8</v>
      </c>
      <c r="C626" t="s">
        <v>136</v>
      </c>
      <c r="D626" s="9">
        <v>40417.415173611109</v>
      </c>
      <c r="E626" t="s">
        <v>101</v>
      </c>
      <c r="F626">
        <f t="shared" ca="1" si="18"/>
        <v>4.4222222222222225</v>
      </c>
      <c r="G626">
        <f t="shared" ca="1" si="19"/>
        <v>0</v>
      </c>
    </row>
    <row r="627" spans="1:7">
      <c r="A627">
        <v>1348</v>
      </c>
      <c r="B627" t="s">
        <v>20</v>
      </c>
      <c r="C627" t="s">
        <v>136</v>
      </c>
      <c r="D627" s="9">
        <v>40414.406331018516</v>
      </c>
      <c r="E627" t="s">
        <v>8</v>
      </c>
      <c r="F627">
        <f t="shared" ca="1" si="18"/>
        <v>4.4305555555555554</v>
      </c>
      <c r="G627">
        <f t="shared" ca="1" si="19"/>
        <v>0</v>
      </c>
    </row>
    <row r="628" spans="1:7">
      <c r="A628">
        <v>1352</v>
      </c>
      <c r="B628" t="s">
        <v>101</v>
      </c>
      <c r="C628" t="s">
        <v>136</v>
      </c>
      <c r="D628" s="9">
        <v>40415.444641203707</v>
      </c>
      <c r="E628" t="s">
        <v>8</v>
      </c>
      <c r="F628">
        <f t="shared" ca="1" si="18"/>
        <v>4.427777777777778</v>
      </c>
      <c r="G628">
        <f t="shared" ca="1" si="19"/>
        <v>0</v>
      </c>
    </row>
    <row r="629" spans="1:7">
      <c r="A629">
        <v>1419</v>
      </c>
      <c r="B629" t="s">
        <v>37</v>
      </c>
      <c r="C629" t="s">
        <v>127</v>
      </c>
      <c r="D629" s="9">
        <v>41030.796550925923</v>
      </c>
      <c r="E629" t="s">
        <v>23</v>
      </c>
      <c r="F629">
        <f t="shared" ca="1" si="18"/>
        <v>2.7444444444444445</v>
      </c>
      <c r="G629">
        <f t="shared" ca="1" si="19"/>
        <v>0</v>
      </c>
    </row>
    <row r="630" spans="1:7">
      <c r="A630">
        <v>1429</v>
      </c>
      <c r="B630" t="s">
        <v>38</v>
      </c>
      <c r="C630" t="s">
        <v>140</v>
      </c>
      <c r="D630" s="9">
        <v>40527.864571759259</v>
      </c>
      <c r="E630" t="s">
        <v>20</v>
      </c>
      <c r="F630">
        <f t="shared" ca="1" si="18"/>
        <v>4.1222222222222218</v>
      </c>
      <c r="G630">
        <f t="shared" ca="1" si="19"/>
        <v>0</v>
      </c>
    </row>
    <row r="631" spans="1:7">
      <c r="A631">
        <v>1443</v>
      </c>
      <c r="B631" t="s">
        <v>8</v>
      </c>
      <c r="C631" t="s">
        <v>136</v>
      </c>
      <c r="D631" s="9">
        <v>40414.469166666669</v>
      </c>
      <c r="E631" t="s">
        <v>131</v>
      </c>
      <c r="F631">
        <f t="shared" ca="1" si="18"/>
        <v>4.4305555555555554</v>
      </c>
      <c r="G631">
        <f t="shared" ca="1" si="19"/>
        <v>0</v>
      </c>
    </row>
    <row r="632" spans="1:7">
      <c r="A632">
        <v>1446</v>
      </c>
      <c r="B632" t="s">
        <v>99</v>
      </c>
      <c r="C632" t="s">
        <v>136</v>
      </c>
      <c r="D632" s="9">
        <v>40415.664143518516</v>
      </c>
      <c r="E632" t="s">
        <v>27</v>
      </c>
      <c r="F632">
        <f t="shared" ca="1" si="18"/>
        <v>4.427777777777778</v>
      </c>
      <c r="G632">
        <f t="shared" ca="1" si="19"/>
        <v>0</v>
      </c>
    </row>
    <row r="633" spans="1:7">
      <c r="A633">
        <v>1458</v>
      </c>
      <c r="B633" t="s">
        <v>8</v>
      </c>
      <c r="C633" t="s">
        <v>136</v>
      </c>
      <c r="D633" s="9">
        <v>40415.487905092596</v>
      </c>
      <c r="E633" t="s">
        <v>34</v>
      </c>
      <c r="F633">
        <f t="shared" ca="1" si="18"/>
        <v>4.427777777777778</v>
      </c>
      <c r="G633">
        <f t="shared" ca="1" si="19"/>
        <v>0</v>
      </c>
    </row>
    <row r="634" spans="1:7">
      <c r="A634">
        <v>1492</v>
      </c>
      <c r="B634" t="s">
        <v>11</v>
      </c>
      <c r="C634" t="s">
        <v>136</v>
      </c>
      <c r="D634" s="9">
        <v>40415.46671296296</v>
      </c>
      <c r="E634" t="s">
        <v>8</v>
      </c>
      <c r="F634">
        <f t="shared" ca="1" si="18"/>
        <v>4.427777777777778</v>
      </c>
      <c r="G634">
        <f t="shared" ca="1" si="19"/>
        <v>0</v>
      </c>
    </row>
    <row r="635" spans="1:7">
      <c r="A635">
        <v>1493</v>
      </c>
      <c r="B635" t="s">
        <v>8</v>
      </c>
      <c r="C635" t="s">
        <v>134</v>
      </c>
      <c r="D635" s="9">
        <v>40484.489537037036</v>
      </c>
      <c r="E635" t="s">
        <v>101</v>
      </c>
      <c r="F635">
        <f t="shared" ca="1" si="18"/>
        <v>4.2416666666666663</v>
      </c>
      <c r="G635">
        <f t="shared" ca="1" si="19"/>
        <v>0</v>
      </c>
    </row>
    <row r="636" spans="1:7">
      <c r="A636">
        <v>1497</v>
      </c>
      <c r="B636" t="s">
        <v>99</v>
      </c>
      <c r="C636" t="s">
        <v>136</v>
      </c>
      <c r="D636" s="9">
        <v>40415.454016203701</v>
      </c>
      <c r="E636" t="s">
        <v>8</v>
      </c>
      <c r="F636">
        <f t="shared" ca="1" si="18"/>
        <v>4.427777777777778</v>
      </c>
      <c r="G636">
        <f t="shared" ca="1" si="19"/>
        <v>0</v>
      </c>
    </row>
    <row r="637" spans="1:7">
      <c r="A637">
        <v>1510</v>
      </c>
      <c r="B637" t="s">
        <v>8</v>
      </c>
      <c r="C637" t="s">
        <v>136</v>
      </c>
      <c r="D637" s="9">
        <v>40415.595347222225</v>
      </c>
      <c r="E637" t="s">
        <v>99</v>
      </c>
      <c r="F637">
        <f t="shared" ca="1" si="18"/>
        <v>4.427777777777778</v>
      </c>
      <c r="G637">
        <f t="shared" ca="1" si="19"/>
        <v>0</v>
      </c>
    </row>
    <row r="638" spans="1:7">
      <c r="A638">
        <v>1531</v>
      </c>
      <c r="B638" t="s">
        <v>8</v>
      </c>
      <c r="C638" t="s">
        <v>134</v>
      </c>
      <c r="D638" s="9">
        <v>40484.604027777779</v>
      </c>
      <c r="E638" t="s">
        <v>131</v>
      </c>
      <c r="F638">
        <f t="shared" ca="1" si="18"/>
        <v>4.2416666666666663</v>
      </c>
      <c r="G638">
        <f t="shared" ca="1" si="19"/>
        <v>0</v>
      </c>
    </row>
    <row r="639" spans="1:7">
      <c r="A639">
        <v>1556</v>
      </c>
      <c r="B639" t="s">
        <v>8</v>
      </c>
      <c r="C639" t="s">
        <v>134</v>
      </c>
      <c r="D639" s="9">
        <v>40484.427245370367</v>
      </c>
      <c r="E639" t="s">
        <v>44</v>
      </c>
      <c r="F639">
        <f t="shared" ca="1" si="18"/>
        <v>4.2416666666666663</v>
      </c>
      <c r="G639">
        <f t="shared" ca="1" si="19"/>
        <v>0</v>
      </c>
    </row>
    <row r="640" spans="1:7">
      <c r="A640">
        <v>1591</v>
      </c>
      <c r="B640" t="s">
        <v>8</v>
      </c>
      <c r="C640" t="s">
        <v>130</v>
      </c>
      <c r="D640" s="9">
        <v>40721.410474537035</v>
      </c>
      <c r="E640" t="s">
        <v>34</v>
      </c>
      <c r="F640">
        <f t="shared" ca="1" si="18"/>
        <v>3.588888888888889</v>
      </c>
      <c r="G640">
        <f t="shared" ca="1" si="19"/>
        <v>0</v>
      </c>
    </row>
    <row r="641" spans="1:7">
      <c r="A641">
        <v>1592</v>
      </c>
      <c r="B641" t="s">
        <v>8</v>
      </c>
      <c r="C641" t="s">
        <v>121</v>
      </c>
      <c r="D641" s="9">
        <v>41480.418946759259</v>
      </c>
      <c r="E641" t="s">
        <v>34</v>
      </c>
      <c r="F641">
        <f t="shared" ca="1" si="18"/>
        <v>1.5111111111111111</v>
      </c>
      <c r="G641">
        <f t="shared" ca="1" si="19"/>
        <v>0</v>
      </c>
    </row>
    <row r="642" spans="1:7">
      <c r="A642">
        <v>1613</v>
      </c>
      <c r="B642" t="s">
        <v>34</v>
      </c>
      <c r="C642" t="s">
        <v>134</v>
      </c>
      <c r="D642" s="9">
        <v>40485.649016203701</v>
      </c>
      <c r="E642" t="s">
        <v>8</v>
      </c>
      <c r="F642">
        <f t="shared" ca="1" si="18"/>
        <v>4.2388888888888889</v>
      </c>
      <c r="G642">
        <f t="shared" ca="1" si="19"/>
        <v>0</v>
      </c>
    </row>
    <row r="643" spans="1:7">
      <c r="A643">
        <v>1624</v>
      </c>
      <c r="B643" t="s">
        <v>19</v>
      </c>
      <c r="C643" t="s">
        <v>130</v>
      </c>
      <c r="D643" s="9">
        <v>40721.685960648145</v>
      </c>
      <c r="E643" t="s">
        <v>99</v>
      </c>
      <c r="F643">
        <f t="shared" ref="F643:F706" ca="1" si="20">YEARFRAC(TODAY(),$D643)</f>
        <v>3.588888888888889</v>
      </c>
      <c r="G643">
        <f t="shared" ref="G643:G706" ca="1" si="21">IF($F643&lt;1,1,0)</f>
        <v>0</v>
      </c>
    </row>
    <row r="644" spans="1:7">
      <c r="A644">
        <v>1630</v>
      </c>
      <c r="B644" t="s">
        <v>19</v>
      </c>
      <c r="C644" t="s">
        <v>132</v>
      </c>
      <c r="D644" s="9">
        <v>40666.66988425926</v>
      </c>
      <c r="E644" t="s">
        <v>104</v>
      </c>
      <c r="F644">
        <f t="shared" ca="1" si="20"/>
        <v>3.7388888888888889</v>
      </c>
      <c r="G644">
        <f t="shared" ca="1" si="21"/>
        <v>0</v>
      </c>
    </row>
    <row r="645" spans="1:7">
      <c r="A645">
        <v>1637</v>
      </c>
      <c r="B645" t="s">
        <v>23</v>
      </c>
      <c r="C645" t="s">
        <v>133</v>
      </c>
      <c r="D645" s="9">
        <v>40589.388923611114</v>
      </c>
      <c r="E645" t="s">
        <v>19</v>
      </c>
      <c r="F645">
        <f t="shared" ca="1" si="20"/>
        <v>3.9555555555555557</v>
      </c>
      <c r="G645">
        <f t="shared" ca="1" si="21"/>
        <v>0</v>
      </c>
    </row>
    <row r="646" spans="1:7">
      <c r="A646">
        <v>1647</v>
      </c>
      <c r="B646" t="s">
        <v>38</v>
      </c>
      <c r="C646" t="s">
        <v>140</v>
      </c>
      <c r="D646" s="9">
        <v>40528.808946759258</v>
      </c>
      <c r="E646" t="s">
        <v>36</v>
      </c>
      <c r="F646">
        <f t="shared" ca="1" si="20"/>
        <v>4.1194444444444445</v>
      </c>
      <c r="G646">
        <f t="shared" ca="1" si="21"/>
        <v>0</v>
      </c>
    </row>
    <row r="647" spans="1:7">
      <c r="A647">
        <v>1651</v>
      </c>
      <c r="B647" t="s">
        <v>38</v>
      </c>
      <c r="C647" t="s">
        <v>140</v>
      </c>
      <c r="D647" s="9">
        <v>40527.715752314813</v>
      </c>
      <c r="E647" t="s">
        <v>99</v>
      </c>
      <c r="F647">
        <f t="shared" ca="1" si="20"/>
        <v>4.1222222222222218</v>
      </c>
      <c r="G647">
        <f t="shared" ca="1" si="21"/>
        <v>0</v>
      </c>
    </row>
    <row r="648" spans="1:7">
      <c r="A648">
        <v>1682</v>
      </c>
      <c r="B648" t="s">
        <v>36</v>
      </c>
      <c r="C648" t="s">
        <v>134</v>
      </c>
      <c r="D648" s="9">
        <v>40484.62290509259</v>
      </c>
      <c r="E648" t="s">
        <v>8</v>
      </c>
      <c r="F648">
        <f t="shared" ca="1" si="20"/>
        <v>4.2416666666666663</v>
      </c>
      <c r="G648">
        <f t="shared" ca="1" si="21"/>
        <v>0</v>
      </c>
    </row>
    <row r="649" spans="1:7">
      <c r="A649">
        <v>1683</v>
      </c>
      <c r="B649" t="s">
        <v>8</v>
      </c>
      <c r="C649" t="s">
        <v>140</v>
      </c>
      <c r="D649" s="9">
        <v>40527.476631944446</v>
      </c>
      <c r="E649" t="s">
        <v>131</v>
      </c>
      <c r="F649">
        <f t="shared" ca="1" si="20"/>
        <v>4.1222222222222218</v>
      </c>
      <c r="G649">
        <f t="shared" ca="1" si="21"/>
        <v>0</v>
      </c>
    </row>
    <row r="650" spans="1:7">
      <c r="A650">
        <v>1688</v>
      </c>
      <c r="B650" t="s">
        <v>11</v>
      </c>
      <c r="C650" t="s">
        <v>134</v>
      </c>
      <c r="D650" s="9">
        <v>40486.399004629631</v>
      </c>
      <c r="E650" t="s">
        <v>8</v>
      </c>
      <c r="F650">
        <f t="shared" ca="1" si="20"/>
        <v>4.2361111111111107</v>
      </c>
      <c r="G650">
        <f t="shared" ca="1" si="21"/>
        <v>0</v>
      </c>
    </row>
    <row r="651" spans="1:7">
      <c r="A651">
        <v>1689</v>
      </c>
      <c r="B651" t="s">
        <v>38</v>
      </c>
      <c r="C651" t="s">
        <v>134</v>
      </c>
      <c r="D651" s="9">
        <v>40484.507847222223</v>
      </c>
      <c r="E651" t="s">
        <v>8</v>
      </c>
      <c r="F651">
        <f t="shared" ca="1" si="20"/>
        <v>4.2416666666666663</v>
      </c>
      <c r="G651">
        <f t="shared" ca="1" si="21"/>
        <v>0</v>
      </c>
    </row>
    <row r="652" spans="1:7">
      <c r="A652">
        <v>1738</v>
      </c>
      <c r="B652" t="s">
        <v>55</v>
      </c>
      <c r="C652" t="s">
        <v>120</v>
      </c>
      <c r="D652" s="9">
        <v>41509.602349537039</v>
      </c>
      <c r="E652" t="s">
        <v>24</v>
      </c>
      <c r="F652">
        <f t="shared" ca="1" si="20"/>
        <v>1.4333333333333333</v>
      </c>
      <c r="G652">
        <f t="shared" ca="1" si="21"/>
        <v>0</v>
      </c>
    </row>
    <row r="653" spans="1:7">
      <c r="A653">
        <v>1750</v>
      </c>
      <c r="B653" t="s">
        <v>101</v>
      </c>
      <c r="C653" t="s">
        <v>134</v>
      </c>
      <c r="D653" s="9">
        <v>40484.622488425928</v>
      </c>
      <c r="E653" t="s">
        <v>8</v>
      </c>
      <c r="F653">
        <f t="shared" ca="1" si="20"/>
        <v>4.2416666666666663</v>
      </c>
      <c r="G653">
        <f t="shared" ca="1" si="21"/>
        <v>0</v>
      </c>
    </row>
    <row r="654" spans="1:7">
      <c r="A654">
        <v>1785</v>
      </c>
      <c r="B654" t="s">
        <v>8</v>
      </c>
      <c r="C654" t="s">
        <v>134</v>
      </c>
      <c r="D654" s="9">
        <v>40484.743796296294</v>
      </c>
      <c r="E654" t="s">
        <v>112</v>
      </c>
      <c r="F654">
        <f t="shared" ca="1" si="20"/>
        <v>4.2416666666666663</v>
      </c>
      <c r="G654">
        <f t="shared" ca="1" si="21"/>
        <v>0</v>
      </c>
    </row>
    <row r="655" spans="1:7">
      <c r="A655">
        <v>1811</v>
      </c>
      <c r="B655" t="s">
        <v>101</v>
      </c>
      <c r="C655" t="s">
        <v>130</v>
      </c>
      <c r="D655" s="9">
        <v>40722.721979166665</v>
      </c>
      <c r="E655" t="s">
        <v>27</v>
      </c>
      <c r="F655">
        <f t="shared" ca="1" si="20"/>
        <v>3.5861111111111112</v>
      </c>
      <c r="G655">
        <f t="shared" ca="1" si="21"/>
        <v>0</v>
      </c>
    </row>
    <row r="656" spans="1:7">
      <c r="A656">
        <v>1819</v>
      </c>
      <c r="B656" t="s">
        <v>102</v>
      </c>
      <c r="C656" t="s">
        <v>134</v>
      </c>
      <c r="D656" s="9">
        <v>40486.661550925928</v>
      </c>
      <c r="E656" t="s">
        <v>131</v>
      </c>
      <c r="F656">
        <f t="shared" ca="1" si="20"/>
        <v>4.2361111111111107</v>
      </c>
      <c r="G656">
        <f t="shared" ca="1" si="21"/>
        <v>0</v>
      </c>
    </row>
    <row r="657" spans="1:7">
      <c r="A657">
        <v>1861</v>
      </c>
      <c r="B657" t="s">
        <v>38</v>
      </c>
      <c r="C657" t="s">
        <v>140</v>
      </c>
      <c r="D657" s="9">
        <v>40528.807974537034</v>
      </c>
      <c r="E657" t="s">
        <v>36</v>
      </c>
      <c r="F657">
        <f t="shared" ca="1" si="20"/>
        <v>4.1194444444444445</v>
      </c>
      <c r="G657">
        <f t="shared" ca="1" si="21"/>
        <v>0</v>
      </c>
    </row>
    <row r="658" spans="1:7">
      <c r="A658">
        <v>1862</v>
      </c>
      <c r="B658" t="s">
        <v>38</v>
      </c>
      <c r="C658" t="s">
        <v>140</v>
      </c>
      <c r="D658" s="9">
        <v>40527.811365740738</v>
      </c>
      <c r="E658" t="s">
        <v>99</v>
      </c>
      <c r="F658">
        <f t="shared" ca="1" si="20"/>
        <v>4.1222222222222218</v>
      </c>
      <c r="G658">
        <f t="shared" ca="1" si="21"/>
        <v>0</v>
      </c>
    </row>
    <row r="659" spans="1:7">
      <c r="A659">
        <v>1867</v>
      </c>
      <c r="B659" t="s">
        <v>38</v>
      </c>
      <c r="C659" t="s">
        <v>140</v>
      </c>
      <c r="D659" s="9">
        <v>40527.508287037039</v>
      </c>
      <c r="E659" t="s">
        <v>131</v>
      </c>
      <c r="F659">
        <f t="shared" ca="1" si="20"/>
        <v>4.1222222222222218</v>
      </c>
      <c r="G659">
        <f t="shared" ca="1" si="21"/>
        <v>0</v>
      </c>
    </row>
    <row r="660" spans="1:7">
      <c r="A660">
        <v>1880</v>
      </c>
      <c r="B660" t="s">
        <v>38</v>
      </c>
      <c r="C660" t="s">
        <v>140</v>
      </c>
      <c r="D660" s="9">
        <v>40528.697314814817</v>
      </c>
      <c r="E660" t="s">
        <v>131</v>
      </c>
      <c r="F660">
        <f t="shared" ca="1" si="20"/>
        <v>4.1194444444444445</v>
      </c>
      <c r="G660">
        <f t="shared" ca="1" si="21"/>
        <v>0</v>
      </c>
    </row>
    <row r="661" spans="1:7">
      <c r="A661">
        <v>1899</v>
      </c>
      <c r="B661" t="s">
        <v>99</v>
      </c>
      <c r="C661" t="s">
        <v>140</v>
      </c>
      <c r="D661" s="9">
        <v>40527.636990740742</v>
      </c>
      <c r="E661" t="s">
        <v>11</v>
      </c>
      <c r="F661">
        <f t="shared" ca="1" si="20"/>
        <v>4.1222222222222218</v>
      </c>
      <c r="G661">
        <f t="shared" ca="1" si="21"/>
        <v>0</v>
      </c>
    </row>
    <row r="662" spans="1:7">
      <c r="A662">
        <v>1901</v>
      </c>
      <c r="B662" t="s">
        <v>8</v>
      </c>
      <c r="C662" t="s">
        <v>140</v>
      </c>
      <c r="D662" s="9">
        <v>40527.503287037034</v>
      </c>
      <c r="E662" t="s">
        <v>131</v>
      </c>
      <c r="F662">
        <f t="shared" ca="1" si="20"/>
        <v>4.1222222222222218</v>
      </c>
      <c r="G662">
        <f t="shared" ca="1" si="21"/>
        <v>0</v>
      </c>
    </row>
    <row r="663" spans="1:7">
      <c r="A663">
        <v>1902</v>
      </c>
      <c r="B663" t="s">
        <v>8</v>
      </c>
      <c r="C663" t="s">
        <v>140</v>
      </c>
      <c r="D663" s="9">
        <v>40527.4296875</v>
      </c>
      <c r="E663" t="s">
        <v>131</v>
      </c>
      <c r="F663">
        <f t="shared" ca="1" si="20"/>
        <v>4.1222222222222218</v>
      </c>
      <c r="G663">
        <f t="shared" ca="1" si="21"/>
        <v>0</v>
      </c>
    </row>
    <row r="664" spans="1:7">
      <c r="A664">
        <v>1903</v>
      </c>
      <c r="B664" t="s">
        <v>8</v>
      </c>
      <c r="C664" t="s">
        <v>140</v>
      </c>
      <c r="D664" s="9">
        <v>40527.582418981481</v>
      </c>
      <c r="E664" t="s">
        <v>131</v>
      </c>
      <c r="F664">
        <f t="shared" ca="1" si="20"/>
        <v>4.1222222222222218</v>
      </c>
      <c r="G664">
        <f t="shared" ca="1" si="21"/>
        <v>0</v>
      </c>
    </row>
    <row r="665" spans="1:7">
      <c r="A665">
        <v>1904</v>
      </c>
      <c r="B665" t="s">
        <v>8</v>
      </c>
      <c r="C665" t="s">
        <v>140</v>
      </c>
      <c r="D665" s="9">
        <v>41073.695844907408</v>
      </c>
      <c r="E665" t="s">
        <v>131</v>
      </c>
      <c r="F665">
        <f t="shared" ca="1" si="20"/>
        <v>2.6277777777777778</v>
      </c>
      <c r="G665">
        <f t="shared" ca="1" si="21"/>
        <v>0</v>
      </c>
    </row>
    <row r="666" spans="1:7">
      <c r="A666">
        <v>1905</v>
      </c>
      <c r="B666" t="s">
        <v>8</v>
      </c>
      <c r="C666" t="s">
        <v>140</v>
      </c>
      <c r="D666" s="9">
        <v>40528.619641203702</v>
      </c>
      <c r="E666" t="s">
        <v>131</v>
      </c>
      <c r="F666">
        <f t="shared" ca="1" si="20"/>
        <v>4.1194444444444445</v>
      </c>
      <c r="G666">
        <f t="shared" ca="1" si="21"/>
        <v>0</v>
      </c>
    </row>
    <row r="667" spans="1:7">
      <c r="A667">
        <v>1918</v>
      </c>
      <c r="B667" t="s">
        <v>30</v>
      </c>
      <c r="C667" t="s">
        <v>128</v>
      </c>
      <c r="D667" s="9">
        <v>40917.437962962962</v>
      </c>
      <c r="E667" t="s">
        <v>112</v>
      </c>
      <c r="F667">
        <f t="shared" ca="1" si="20"/>
        <v>3.0555555555555554</v>
      </c>
      <c r="G667">
        <f t="shared" ca="1" si="21"/>
        <v>0</v>
      </c>
    </row>
    <row r="668" spans="1:7">
      <c r="A668">
        <v>1922</v>
      </c>
      <c r="B668" t="s">
        <v>8</v>
      </c>
      <c r="C668" t="s">
        <v>140</v>
      </c>
      <c r="D668" s="9">
        <v>40527.912870370368</v>
      </c>
      <c r="E668" t="s">
        <v>36</v>
      </c>
      <c r="F668">
        <f t="shared" ca="1" si="20"/>
        <v>4.1222222222222218</v>
      </c>
      <c r="G668">
        <f t="shared" ca="1" si="21"/>
        <v>0</v>
      </c>
    </row>
    <row r="669" spans="1:7">
      <c r="A669">
        <v>1934</v>
      </c>
      <c r="B669" t="s">
        <v>8</v>
      </c>
      <c r="C669" t="s">
        <v>140</v>
      </c>
      <c r="D669" s="9">
        <v>40527.653877314813</v>
      </c>
      <c r="E669" t="s">
        <v>99</v>
      </c>
      <c r="F669">
        <f t="shared" ca="1" si="20"/>
        <v>4.1222222222222218</v>
      </c>
      <c r="G669">
        <f t="shared" ca="1" si="21"/>
        <v>0</v>
      </c>
    </row>
    <row r="670" spans="1:7">
      <c r="A670">
        <v>1938</v>
      </c>
      <c r="B670" t="s">
        <v>38</v>
      </c>
      <c r="C670" t="s">
        <v>140</v>
      </c>
      <c r="D670" s="9">
        <v>40527.47996527778</v>
      </c>
      <c r="E670" t="s">
        <v>131</v>
      </c>
      <c r="F670">
        <f t="shared" ca="1" si="20"/>
        <v>4.1222222222222218</v>
      </c>
      <c r="G670">
        <f t="shared" ca="1" si="21"/>
        <v>0</v>
      </c>
    </row>
    <row r="671" spans="1:7">
      <c r="A671">
        <v>1958</v>
      </c>
      <c r="B671" t="s">
        <v>34</v>
      </c>
      <c r="C671" t="s">
        <v>132</v>
      </c>
      <c r="D671" s="9">
        <v>40660.781597222223</v>
      </c>
      <c r="E671" t="s">
        <v>36</v>
      </c>
      <c r="F671">
        <f t="shared" ca="1" si="20"/>
        <v>3.7555555555555555</v>
      </c>
      <c r="G671">
        <f t="shared" ca="1" si="21"/>
        <v>0</v>
      </c>
    </row>
    <row r="672" spans="1:7">
      <c r="A672">
        <v>1987</v>
      </c>
      <c r="B672" t="s">
        <v>44</v>
      </c>
      <c r="C672" t="s">
        <v>128</v>
      </c>
      <c r="D672" s="9">
        <v>40917.476574074077</v>
      </c>
      <c r="E672" t="s">
        <v>30</v>
      </c>
      <c r="F672">
        <f t="shared" ca="1" si="20"/>
        <v>3.0555555555555554</v>
      </c>
      <c r="G672">
        <f t="shared" ca="1" si="21"/>
        <v>0</v>
      </c>
    </row>
    <row r="673" spans="1:7">
      <c r="A673">
        <v>2006</v>
      </c>
      <c r="B673" t="s">
        <v>99</v>
      </c>
      <c r="C673" t="s">
        <v>140</v>
      </c>
      <c r="D673" s="9">
        <v>40515.441979166666</v>
      </c>
      <c r="E673" t="s">
        <v>101</v>
      </c>
      <c r="F673">
        <f t="shared" ca="1" si="20"/>
        <v>4.1555555555555559</v>
      </c>
      <c r="G673">
        <f t="shared" ca="1" si="21"/>
        <v>0</v>
      </c>
    </row>
    <row r="674" spans="1:7">
      <c r="A674">
        <v>2010</v>
      </c>
      <c r="B674" t="s">
        <v>131</v>
      </c>
      <c r="C674" t="s">
        <v>140</v>
      </c>
      <c r="D674" s="9">
        <v>40527.850011574075</v>
      </c>
      <c r="E674" t="s">
        <v>99</v>
      </c>
      <c r="F674">
        <f t="shared" ca="1" si="20"/>
        <v>4.1222222222222218</v>
      </c>
      <c r="G674">
        <f t="shared" ca="1" si="21"/>
        <v>0</v>
      </c>
    </row>
    <row r="675" spans="1:7">
      <c r="A675">
        <v>2012</v>
      </c>
      <c r="B675" t="s">
        <v>99</v>
      </c>
      <c r="C675" t="s">
        <v>132</v>
      </c>
      <c r="D675" s="9">
        <v>40668.360590277778</v>
      </c>
      <c r="E675" t="s">
        <v>34</v>
      </c>
      <c r="F675">
        <f t="shared" ca="1" si="20"/>
        <v>3.7333333333333334</v>
      </c>
      <c r="G675">
        <f t="shared" ca="1" si="21"/>
        <v>0</v>
      </c>
    </row>
    <row r="676" spans="1:7">
      <c r="A676">
        <v>2016</v>
      </c>
      <c r="B676" t="s">
        <v>99</v>
      </c>
      <c r="C676" t="s">
        <v>132</v>
      </c>
      <c r="D676" s="9">
        <v>40659.593877314815</v>
      </c>
      <c r="E676" t="s">
        <v>34</v>
      </c>
      <c r="F676">
        <f t="shared" ca="1" si="20"/>
        <v>3.7583333333333333</v>
      </c>
      <c r="G676">
        <f t="shared" ca="1" si="21"/>
        <v>0</v>
      </c>
    </row>
    <row r="677" spans="1:7">
      <c r="A677">
        <v>2018</v>
      </c>
      <c r="B677" t="s">
        <v>99</v>
      </c>
      <c r="C677" t="s">
        <v>140</v>
      </c>
      <c r="D677" s="9">
        <v>40527.679965277777</v>
      </c>
      <c r="E677" t="s">
        <v>32</v>
      </c>
      <c r="F677">
        <f t="shared" ca="1" si="20"/>
        <v>4.1222222222222218</v>
      </c>
      <c r="G677">
        <f t="shared" ca="1" si="21"/>
        <v>0</v>
      </c>
    </row>
    <row r="678" spans="1:7">
      <c r="A678">
        <v>2026</v>
      </c>
      <c r="B678" t="s">
        <v>34</v>
      </c>
      <c r="C678" t="s">
        <v>140</v>
      </c>
      <c r="D678" s="9">
        <v>40528.779085648152</v>
      </c>
      <c r="E678" t="s">
        <v>27</v>
      </c>
      <c r="F678">
        <f t="shared" ca="1" si="20"/>
        <v>4.1194444444444445</v>
      </c>
      <c r="G678">
        <f t="shared" ca="1" si="21"/>
        <v>0</v>
      </c>
    </row>
    <row r="679" spans="1:7">
      <c r="A679">
        <v>2028</v>
      </c>
      <c r="B679" t="s">
        <v>131</v>
      </c>
      <c r="C679" t="s">
        <v>140</v>
      </c>
      <c r="D679" s="9">
        <v>40528.563518518517</v>
      </c>
      <c r="E679" t="s">
        <v>44</v>
      </c>
      <c r="F679">
        <f t="shared" ca="1" si="20"/>
        <v>4.1194444444444445</v>
      </c>
      <c r="G679">
        <f t="shared" ca="1" si="21"/>
        <v>0</v>
      </c>
    </row>
    <row r="680" spans="1:7">
      <c r="A680">
        <v>2029</v>
      </c>
      <c r="B680" t="s">
        <v>131</v>
      </c>
      <c r="C680" t="s">
        <v>133</v>
      </c>
      <c r="D680" s="9">
        <v>40589.527303240742</v>
      </c>
      <c r="E680" t="s">
        <v>112</v>
      </c>
      <c r="F680">
        <f t="shared" ca="1" si="20"/>
        <v>3.9555555555555557</v>
      </c>
      <c r="G680">
        <f t="shared" ca="1" si="21"/>
        <v>0</v>
      </c>
    </row>
    <row r="681" spans="1:7">
      <c r="A681">
        <v>2037</v>
      </c>
      <c r="B681" t="s">
        <v>38</v>
      </c>
      <c r="C681" t="s">
        <v>140</v>
      </c>
      <c r="D681" s="9">
        <v>40527.932106481479</v>
      </c>
      <c r="E681" t="s">
        <v>99</v>
      </c>
      <c r="F681">
        <f t="shared" ca="1" si="20"/>
        <v>4.1222222222222218</v>
      </c>
      <c r="G681">
        <f t="shared" ca="1" si="21"/>
        <v>0</v>
      </c>
    </row>
    <row r="682" spans="1:7">
      <c r="A682">
        <v>2040</v>
      </c>
      <c r="B682" t="s">
        <v>34</v>
      </c>
      <c r="C682" t="s">
        <v>140</v>
      </c>
      <c r="D682" s="9">
        <v>40526.658449074072</v>
      </c>
      <c r="E682" t="s">
        <v>131</v>
      </c>
      <c r="F682">
        <f t="shared" ca="1" si="20"/>
        <v>4.125</v>
      </c>
      <c r="G682">
        <f t="shared" ca="1" si="21"/>
        <v>0</v>
      </c>
    </row>
    <row r="683" spans="1:7">
      <c r="A683">
        <v>2044</v>
      </c>
      <c r="B683" t="s">
        <v>38</v>
      </c>
      <c r="C683" t="s">
        <v>140</v>
      </c>
      <c r="D683" s="9">
        <v>40527.439166666663</v>
      </c>
      <c r="E683" t="s">
        <v>131</v>
      </c>
      <c r="F683">
        <f t="shared" ca="1" si="20"/>
        <v>4.1222222222222218</v>
      </c>
      <c r="G683">
        <f t="shared" ca="1" si="21"/>
        <v>0</v>
      </c>
    </row>
    <row r="684" spans="1:7">
      <c r="A684">
        <v>2057</v>
      </c>
      <c r="B684" t="s">
        <v>29</v>
      </c>
      <c r="C684" t="s">
        <v>120</v>
      </c>
      <c r="D684" s="9">
        <v>41507.570717592593</v>
      </c>
      <c r="E684" t="s">
        <v>44</v>
      </c>
      <c r="F684">
        <f t="shared" ca="1" si="20"/>
        <v>1.4388888888888889</v>
      </c>
      <c r="G684">
        <f t="shared" ca="1" si="21"/>
        <v>0</v>
      </c>
    </row>
    <row r="685" spans="1:7">
      <c r="A685">
        <v>2061</v>
      </c>
      <c r="B685" t="s">
        <v>131</v>
      </c>
      <c r="C685" t="s">
        <v>133</v>
      </c>
      <c r="D685" s="9">
        <v>40589.512164351851</v>
      </c>
      <c r="E685" t="s">
        <v>112</v>
      </c>
      <c r="F685">
        <f t="shared" ca="1" si="20"/>
        <v>3.9555555555555557</v>
      </c>
      <c r="G685">
        <f t="shared" ca="1" si="21"/>
        <v>0</v>
      </c>
    </row>
    <row r="686" spans="1:7">
      <c r="A686">
        <v>2062</v>
      </c>
      <c r="B686" t="s">
        <v>131</v>
      </c>
      <c r="C686" t="s">
        <v>132</v>
      </c>
      <c r="D686" s="9">
        <v>40659.606504629628</v>
      </c>
      <c r="E686" t="s">
        <v>34</v>
      </c>
      <c r="F686">
        <f t="shared" ca="1" si="20"/>
        <v>3.7583333333333333</v>
      </c>
      <c r="G686">
        <f t="shared" ca="1" si="21"/>
        <v>0</v>
      </c>
    </row>
    <row r="687" spans="1:7">
      <c r="A687">
        <v>2068</v>
      </c>
      <c r="B687" t="s">
        <v>38</v>
      </c>
      <c r="C687" t="s">
        <v>133</v>
      </c>
      <c r="D687" s="9">
        <v>40589.639236111114</v>
      </c>
      <c r="E687" t="s">
        <v>99</v>
      </c>
      <c r="F687">
        <f t="shared" ca="1" si="20"/>
        <v>3.9555555555555557</v>
      </c>
      <c r="G687">
        <f t="shared" ca="1" si="21"/>
        <v>0</v>
      </c>
    </row>
    <row r="688" spans="1:7">
      <c r="A688">
        <v>2070</v>
      </c>
      <c r="B688" t="s">
        <v>34</v>
      </c>
      <c r="C688" t="s">
        <v>140</v>
      </c>
      <c r="D688" s="9">
        <v>40528.802708333336</v>
      </c>
      <c r="E688" t="s">
        <v>36</v>
      </c>
      <c r="F688">
        <f t="shared" ca="1" si="20"/>
        <v>4.1194444444444445</v>
      </c>
      <c r="G688">
        <f t="shared" ca="1" si="21"/>
        <v>0</v>
      </c>
    </row>
    <row r="689" spans="1:7">
      <c r="A689">
        <v>2072</v>
      </c>
      <c r="B689" t="s">
        <v>99</v>
      </c>
      <c r="C689" t="s">
        <v>140</v>
      </c>
      <c r="D689" s="9">
        <v>40527.762962962966</v>
      </c>
      <c r="E689" t="s">
        <v>36</v>
      </c>
      <c r="F689">
        <f t="shared" ca="1" si="20"/>
        <v>4.1222222222222218</v>
      </c>
      <c r="G689">
        <f t="shared" ca="1" si="21"/>
        <v>0</v>
      </c>
    </row>
    <row r="690" spans="1:7">
      <c r="A690">
        <v>2073</v>
      </c>
      <c r="B690" t="s">
        <v>38</v>
      </c>
      <c r="C690" t="s">
        <v>132</v>
      </c>
      <c r="D690" s="9">
        <v>40666.857719907406</v>
      </c>
      <c r="E690" t="s">
        <v>27</v>
      </c>
      <c r="F690">
        <f t="shared" ca="1" si="20"/>
        <v>3.7388888888888889</v>
      </c>
      <c r="G690">
        <f t="shared" ca="1" si="21"/>
        <v>0</v>
      </c>
    </row>
    <row r="691" spans="1:7">
      <c r="A691">
        <v>2079</v>
      </c>
      <c r="B691" t="s">
        <v>34</v>
      </c>
      <c r="C691" t="s">
        <v>132</v>
      </c>
      <c r="D691" s="9">
        <v>40660.469108796293</v>
      </c>
      <c r="E691" t="s">
        <v>44</v>
      </c>
      <c r="F691">
        <f t="shared" ca="1" si="20"/>
        <v>3.7555555555555555</v>
      </c>
      <c r="G691">
        <f t="shared" ca="1" si="21"/>
        <v>0</v>
      </c>
    </row>
    <row r="692" spans="1:7">
      <c r="A692">
        <v>2082</v>
      </c>
      <c r="B692" t="s">
        <v>34</v>
      </c>
      <c r="C692" t="s">
        <v>130</v>
      </c>
      <c r="D692" s="9">
        <v>40721.566967592589</v>
      </c>
      <c r="E692" t="s">
        <v>19</v>
      </c>
      <c r="F692">
        <f t="shared" ca="1" si="20"/>
        <v>3.588888888888889</v>
      </c>
      <c r="G692">
        <f t="shared" ca="1" si="21"/>
        <v>0</v>
      </c>
    </row>
    <row r="693" spans="1:7">
      <c r="A693">
        <v>2085</v>
      </c>
      <c r="B693" t="s">
        <v>101</v>
      </c>
      <c r="C693" t="s">
        <v>140</v>
      </c>
      <c r="D693" s="9">
        <v>40528.707928240743</v>
      </c>
      <c r="E693" t="s">
        <v>36</v>
      </c>
      <c r="F693">
        <f t="shared" ca="1" si="20"/>
        <v>4.1194444444444445</v>
      </c>
      <c r="G693">
        <f t="shared" ca="1" si="21"/>
        <v>0</v>
      </c>
    </row>
    <row r="694" spans="1:7">
      <c r="A694">
        <v>2097</v>
      </c>
      <c r="B694" t="s">
        <v>99</v>
      </c>
      <c r="C694" t="s">
        <v>133</v>
      </c>
      <c r="D694" s="9">
        <v>40588.626481481479</v>
      </c>
      <c r="E694" t="s">
        <v>19</v>
      </c>
      <c r="F694">
        <f t="shared" ca="1" si="20"/>
        <v>3.9583333333333335</v>
      </c>
      <c r="G694">
        <f t="shared" ca="1" si="21"/>
        <v>0</v>
      </c>
    </row>
    <row r="695" spans="1:7">
      <c r="A695">
        <v>2132</v>
      </c>
      <c r="B695" t="s">
        <v>34</v>
      </c>
      <c r="C695" t="s">
        <v>133</v>
      </c>
      <c r="D695" s="9">
        <v>40590.621736111112</v>
      </c>
      <c r="E695" t="s">
        <v>19</v>
      </c>
      <c r="F695">
        <f t="shared" ca="1" si="20"/>
        <v>3.9527777777777779</v>
      </c>
      <c r="G695">
        <f t="shared" ca="1" si="21"/>
        <v>0</v>
      </c>
    </row>
    <row r="696" spans="1:7">
      <c r="A696">
        <v>2133</v>
      </c>
      <c r="B696" t="s">
        <v>34</v>
      </c>
      <c r="C696" t="s">
        <v>133</v>
      </c>
      <c r="D696" s="9">
        <v>40588.587060185186</v>
      </c>
      <c r="E696" t="s">
        <v>19</v>
      </c>
      <c r="F696">
        <f t="shared" ca="1" si="20"/>
        <v>3.9583333333333335</v>
      </c>
      <c r="G696">
        <f t="shared" ca="1" si="21"/>
        <v>0</v>
      </c>
    </row>
    <row r="697" spans="1:7">
      <c r="A697">
        <v>2134</v>
      </c>
      <c r="B697" t="s">
        <v>34</v>
      </c>
      <c r="C697" t="s">
        <v>132</v>
      </c>
      <c r="D697" s="9">
        <v>40661.438842592594</v>
      </c>
      <c r="E697" t="s">
        <v>101</v>
      </c>
      <c r="F697">
        <f t="shared" ca="1" si="20"/>
        <v>3.7527777777777778</v>
      </c>
      <c r="G697">
        <f t="shared" ca="1" si="21"/>
        <v>0</v>
      </c>
    </row>
    <row r="698" spans="1:7">
      <c r="A698">
        <v>2142</v>
      </c>
      <c r="B698" t="s">
        <v>101</v>
      </c>
      <c r="C698" t="s">
        <v>133</v>
      </c>
      <c r="D698" s="9">
        <v>40589.672951388886</v>
      </c>
      <c r="E698" t="s">
        <v>144</v>
      </c>
      <c r="F698">
        <f t="shared" ca="1" si="20"/>
        <v>3.9555555555555557</v>
      </c>
      <c r="G698">
        <f t="shared" ca="1" si="21"/>
        <v>0</v>
      </c>
    </row>
    <row r="699" spans="1:7">
      <c r="A699">
        <v>2143</v>
      </c>
      <c r="B699" t="s">
        <v>101</v>
      </c>
      <c r="C699" t="s">
        <v>133</v>
      </c>
      <c r="D699" s="9">
        <v>40588.72152777778</v>
      </c>
      <c r="E699" t="s">
        <v>144</v>
      </c>
      <c r="F699">
        <f t="shared" ca="1" si="20"/>
        <v>3.9583333333333335</v>
      </c>
      <c r="G699">
        <f t="shared" ca="1" si="21"/>
        <v>0</v>
      </c>
    </row>
    <row r="700" spans="1:7">
      <c r="A700">
        <v>2145</v>
      </c>
      <c r="B700" t="s">
        <v>101</v>
      </c>
      <c r="C700" t="s">
        <v>133</v>
      </c>
      <c r="D700" s="9">
        <v>40591.523263888892</v>
      </c>
      <c r="E700" t="s">
        <v>102</v>
      </c>
      <c r="F700">
        <f t="shared" ca="1" si="20"/>
        <v>3.95</v>
      </c>
      <c r="G700">
        <f t="shared" ca="1" si="21"/>
        <v>0</v>
      </c>
    </row>
    <row r="701" spans="1:7">
      <c r="A701">
        <v>2146</v>
      </c>
      <c r="B701" t="s">
        <v>101</v>
      </c>
      <c r="C701" t="s">
        <v>133</v>
      </c>
      <c r="D701" s="9">
        <v>40591.515428240738</v>
      </c>
      <c r="E701" t="s">
        <v>102</v>
      </c>
      <c r="F701">
        <f t="shared" ca="1" si="20"/>
        <v>3.95</v>
      </c>
      <c r="G701">
        <f t="shared" ca="1" si="21"/>
        <v>0</v>
      </c>
    </row>
    <row r="702" spans="1:7">
      <c r="A702">
        <v>2153</v>
      </c>
      <c r="B702" t="s">
        <v>101</v>
      </c>
      <c r="C702" t="s">
        <v>133</v>
      </c>
      <c r="D702" s="9">
        <v>40589.531759259262</v>
      </c>
      <c r="E702" t="s">
        <v>8</v>
      </c>
      <c r="F702">
        <f t="shared" ca="1" si="20"/>
        <v>3.9555555555555557</v>
      </c>
      <c r="G702">
        <f t="shared" ca="1" si="21"/>
        <v>0</v>
      </c>
    </row>
    <row r="703" spans="1:7">
      <c r="A703">
        <v>2155</v>
      </c>
      <c r="B703" t="s">
        <v>102</v>
      </c>
      <c r="C703" t="s">
        <v>133</v>
      </c>
      <c r="D703" s="9">
        <v>40590.623854166668</v>
      </c>
      <c r="E703" t="s">
        <v>101</v>
      </c>
      <c r="F703">
        <f t="shared" ca="1" si="20"/>
        <v>3.9527777777777779</v>
      </c>
      <c r="G703">
        <f t="shared" ca="1" si="21"/>
        <v>0</v>
      </c>
    </row>
    <row r="704" spans="1:7">
      <c r="A704">
        <v>2157</v>
      </c>
      <c r="B704" t="s">
        <v>102</v>
      </c>
      <c r="C704" t="s">
        <v>133</v>
      </c>
      <c r="D704" s="9">
        <v>40591.708321759259</v>
      </c>
      <c r="E704" t="s">
        <v>101</v>
      </c>
      <c r="F704">
        <f t="shared" ca="1" si="20"/>
        <v>3.95</v>
      </c>
      <c r="G704">
        <f t="shared" ca="1" si="21"/>
        <v>0</v>
      </c>
    </row>
    <row r="705" spans="1:7">
      <c r="A705">
        <v>2159</v>
      </c>
      <c r="B705" t="s">
        <v>44</v>
      </c>
      <c r="C705" t="s">
        <v>126</v>
      </c>
      <c r="D705" s="9">
        <v>41135.82309027778</v>
      </c>
      <c r="E705" t="s">
        <v>8</v>
      </c>
      <c r="F705">
        <f t="shared" ca="1" si="20"/>
        <v>2.4583333333333335</v>
      </c>
      <c r="G705">
        <f t="shared" ca="1" si="21"/>
        <v>0</v>
      </c>
    </row>
    <row r="706" spans="1:7">
      <c r="A706">
        <v>2168</v>
      </c>
      <c r="B706" t="s">
        <v>8</v>
      </c>
      <c r="C706" t="s">
        <v>133</v>
      </c>
      <c r="D706" s="9">
        <v>40588.714039351849</v>
      </c>
      <c r="E706" t="s">
        <v>144</v>
      </c>
      <c r="F706">
        <f t="shared" ca="1" si="20"/>
        <v>3.9583333333333335</v>
      </c>
      <c r="G706">
        <f t="shared" ca="1" si="21"/>
        <v>0</v>
      </c>
    </row>
    <row r="707" spans="1:7">
      <c r="A707">
        <v>2170</v>
      </c>
      <c r="B707" t="s">
        <v>131</v>
      </c>
      <c r="C707" t="s">
        <v>133</v>
      </c>
      <c r="D707" s="9">
        <v>40589.528252314813</v>
      </c>
      <c r="E707" t="s">
        <v>8</v>
      </c>
      <c r="F707">
        <f t="shared" ref="F707:F770" ca="1" si="22">YEARFRAC(TODAY(),$D707)</f>
        <v>3.9555555555555557</v>
      </c>
      <c r="G707">
        <f t="shared" ref="G707:G770" ca="1" si="23">IF($F707&lt;1,1,0)</f>
        <v>0</v>
      </c>
    </row>
    <row r="708" spans="1:7">
      <c r="A708">
        <v>2177</v>
      </c>
      <c r="B708" t="s">
        <v>34</v>
      </c>
      <c r="C708" t="s">
        <v>133</v>
      </c>
      <c r="D708" s="9">
        <v>40588.603437500002</v>
      </c>
      <c r="E708" t="s">
        <v>19</v>
      </c>
      <c r="F708">
        <f t="shared" ca="1" si="22"/>
        <v>3.9583333333333335</v>
      </c>
      <c r="G708">
        <f t="shared" ca="1" si="23"/>
        <v>0</v>
      </c>
    </row>
    <row r="709" spans="1:7">
      <c r="A709">
        <v>2199</v>
      </c>
      <c r="B709" t="s">
        <v>34</v>
      </c>
      <c r="C709" t="s">
        <v>133</v>
      </c>
      <c r="D709" s="9">
        <v>40588.698969907404</v>
      </c>
      <c r="E709" t="s">
        <v>19</v>
      </c>
      <c r="F709">
        <f t="shared" ca="1" si="22"/>
        <v>3.9583333333333335</v>
      </c>
      <c r="G709">
        <f t="shared" ca="1" si="23"/>
        <v>0</v>
      </c>
    </row>
    <row r="710" spans="1:7">
      <c r="A710">
        <v>2209</v>
      </c>
      <c r="B710" t="s">
        <v>101</v>
      </c>
      <c r="C710" t="s">
        <v>133</v>
      </c>
      <c r="D710" s="9">
        <v>40588.714039351849</v>
      </c>
      <c r="E710" t="s">
        <v>144</v>
      </c>
      <c r="F710">
        <f t="shared" ca="1" si="22"/>
        <v>3.9583333333333335</v>
      </c>
      <c r="G710">
        <f t="shared" ca="1" si="23"/>
        <v>0</v>
      </c>
    </row>
    <row r="711" spans="1:7">
      <c r="A711">
        <v>2212</v>
      </c>
      <c r="B711" t="s">
        <v>101</v>
      </c>
      <c r="C711" t="s">
        <v>132</v>
      </c>
      <c r="D711" s="9">
        <v>40666.793263888889</v>
      </c>
      <c r="E711" t="s">
        <v>27</v>
      </c>
      <c r="F711">
        <f t="shared" ca="1" si="22"/>
        <v>3.7388888888888889</v>
      </c>
      <c r="G711">
        <f t="shared" ca="1" si="23"/>
        <v>0</v>
      </c>
    </row>
    <row r="712" spans="1:7">
      <c r="A712">
        <v>2214</v>
      </c>
      <c r="B712" t="s">
        <v>8</v>
      </c>
      <c r="C712" t="s">
        <v>133</v>
      </c>
      <c r="D712" s="9">
        <v>40590.638784722221</v>
      </c>
      <c r="E712" t="s">
        <v>101</v>
      </c>
      <c r="F712">
        <f t="shared" ca="1" si="22"/>
        <v>3.9527777777777779</v>
      </c>
      <c r="G712">
        <f t="shared" ca="1" si="23"/>
        <v>0</v>
      </c>
    </row>
    <row r="713" spans="1:7">
      <c r="A713">
        <v>2215</v>
      </c>
      <c r="B713" t="s">
        <v>8</v>
      </c>
      <c r="C713" t="s">
        <v>133</v>
      </c>
      <c r="D713" s="9">
        <v>40588.725682870368</v>
      </c>
      <c r="E713" t="s">
        <v>19</v>
      </c>
      <c r="F713">
        <f t="shared" ca="1" si="22"/>
        <v>3.9583333333333335</v>
      </c>
      <c r="G713">
        <f t="shared" ca="1" si="23"/>
        <v>0</v>
      </c>
    </row>
    <row r="714" spans="1:7">
      <c r="A714">
        <v>2220</v>
      </c>
      <c r="B714" t="s">
        <v>11</v>
      </c>
      <c r="C714" t="s">
        <v>133</v>
      </c>
      <c r="D714" s="9">
        <v>40589.674560185187</v>
      </c>
      <c r="E714" t="s">
        <v>19</v>
      </c>
      <c r="F714">
        <f t="shared" ca="1" si="22"/>
        <v>3.9555555555555557</v>
      </c>
      <c r="G714">
        <f t="shared" ca="1" si="23"/>
        <v>0</v>
      </c>
    </row>
    <row r="715" spans="1:7">
      <c r="A715">
        <v>2221</v>
      </c>
      <c r="B715" t="s">
        <v>11</v>
      </c>
      <c r="C715" t="s">
        <v>133</v>
      </c>
      <c r="D715" s="9">
        <v>40589.485914351855</v>
      </c>
      <c r="E715" t="s">
        <v>19</v>
      </c>
      <c r="F715">
        <f t="shared" ca="1" si="22"/>
        <v>3.9555555555555557</v>
      </c>
      <c r="G715">
        <f t="shared" ca="1" si="23"/>
        <v>0</v>
      </c>
    </row>
    <row r="716" spans="1:7">
      <c r="A716">
        <v>2245</v>
      </c>
      <c r="B716" t="s">
        <v>99</v>
      </c>
      <c r="C716" t="s">
        <v>133</v>
      </c>
      <c r="D716" s="9">
        <v>40588.699004629627</v>
      </c>
      <c r="E716" t="s">
        <v>144</v>
      </c>
      <c r="F716">
        <f t="shared" ca="1" si="22"/>
        <v>3.9583333333333335</v>
      </c>
      <c r="G716">
        <f t="shared" ca="1" si="23"/>
        <v>0</v>
      </c>
    </row>
    <row r="717" spans="1:7">
      <c r="A717">
        <v>2254</v>
      </c>
      <c r="B717" t="s">
        <v>8</v>
      </c>
      <c r="C717" t="s">
        <v>133</v>
      </c>
      <c r="D717" s="9">
        <v>40590.418923611112</v>
      </c>
      <c r="E717" t="s">
        <v>144</v>
      </c>
      <c r="F717">
        <f t="shared" ca="1" si="22"/>
        <v>3.9527777777777779</v>
      </c>
      <c r="G717">
        <f t="shared" ca="1" si="23"/>
        <v>0</v>
      </c>
    </row>
    <row r="718" spans="1:7">
      <c r="A718">
        <v>2259</v>
      </c>
      <c r="B718" t="s">
        <v>44</v>
      </c>
      <c r="C718" t="s">
        <v>133</v>
      </c>
      <c r="D718" s="9">
        <v>40589.44939814815</v>
      </c>
      <c r="E718" t="s">
        <v>112</v>
      </c>
      <c r="F718">
        <f t="shared" ca="1" si="22"/>
        <v>3.9555555555555557</v>
      </c>
      <c r="G718">
        <f t="shared" ca="1" si="23"/>
        <v>0</v>
      </c>
    </row>
    <row r="719" spans="1:7">
      <c r="A719">
        <v>2262</v>
      </c>
      <c r="B719" t="s">
        <v>99</v>
      </c>
      <c r="C719" t="s">
        <v>133</v>
      </c>
      <c r="D719" s="9">
        <v>40589.414629629631</v>
      </c>
      <c r="E719" t="s">
        <v>19</v>
      </c>
      <c r="F719">
        <f t="shared" ca="1" si="22"/>
        <v>3.9555555555555557</v>
      </c>
      <c r="G719">
        <f t="shared" ca="1" si="23"/>
        <v>0</v>
      </c>
    </row>
    <row r="720" spans="1:7">
      <c r="A720">
        <v>2284</v>
      </c>
      <c r="B720" t="s">
        <v>101</v>
      </c>
      <c r="C720" t="s">
        <v>133</v>
      </c>
      <c r="D720" s="9">
        <v>40591.39466435185</v>
      </c>
      <c r="E720" t="s">
        <v>131</v>
      </c>
      <c r="F720">
        <f t="shared" ca="1" si="22"/>
        <v>3.95</v>
      </c>
      <c r="G720">
        <f t="shared" ca="1" si="23"/>
        <v>0</v>
      </c>
    </row>
    <row r="721" spans="1:7">
      <c r="A721">
        <v>2285</v>
      </c>
      <c r="B721" t="s">
        <v>101</v>
      </c>
      <c r="C721" t="s">
        <v>133</v>
      </c>
      <c r="D721" s="9">
        <v>40591.523460648146</v>
      </c>
      <c r="E721" t="s">
        <v>102</v>
      </c>
      <c r="F721">
        <f t="shared" ca="1" si="22"/>
        <v>3.95</v>
      </c>
      <c r="G721">
        <f t="shared" ca="1" si="23"/>
        <v>0</v>
      </c>
    </row>
    <row r="722" spans="1:7">
      <c r="A722">
        <v>2306</v>
      </c>
      <c r="B722" t="s">
        <v>99</v>
      </c>
      <c r="C722" t="s">
        <v>133</v>
      </c>
      <c r="D722" s="9">
        <v>40588.609340277777</v>
      </c>
      <c r="E722" t="s">
        <v>19</v>
      </c>
      <c r="F722">
        <f t="shared" ca="1" si="22"/>
        <v>3.9583333333333335</v>
      </c>
      <c r="G722">
        <f t="shared" ca="1" si="23"/>
        <v>0</v>
      </c>
    </row>
    <row r="723" spans="1:7">
      <c r="A723">
        <v>2311</v>
      </c>
      <c r="B723" t="s">
        <v>77</v>
      </c>
      <c r="C723" t="s">
        <v>132</v>
      </c>
      <c r="D723" s="9">
        <v>40659.825787037036</v>
      </c>
      <c r="E723" t="s">
        <v>11</v>
      </c>
      <c r="F723">
        <f t="shared" ca="1" si="22"/>
        <v>3.7583333333333333</v>
      </c>
      <c r="G723">
        <f t="shared" ca="1" si="23"/>
        <v>0</v>
      </c>
    </row>
    <row r="724" spans="1:7">
      <c r="A724">
        <v>2312</v>
      </c>
      <c r="B724" t="s">
        <v>77</v>
      </c>
      <c r="C724" t="s">
        <v>133</v>
      </c>
      <c r="D724" s="9">
        <v>40588.714039351849</v>
      </c>
      <c r="E724" t="s">
        <v>144</v>
      </c>
      <c r="F724">
        <f t="shared" ca="1" si="22"/>
        <v>3.9583333333333335</v>
      </c>
      <c r="G724">
        <f t="shared" ca="1" si="23"/>
        <v>0</v>
      </c>
    </row>
    <row r="725" spans="1:7">
      <c r="A725">
        <v>2325</v>
      </c>
      <c r="B725" t="s">
        <v>38</v>
      </c>
      <c r="C725" t="s">
        <v>133</v>
      </c>
      <c r="D725" s="9">
        <v>40589.596064814818</v>
      </c>
      <c r="E725" t="s">
        <v>102</v>
      </c>
      <c r="F725">
        <f t="shared" ca="1" si="22"/>
        <v>3.9555555555555557</v>
      </c>
      <c r="G725">
        <f t="shared" ca="1" si="23"/>
        <v>0</v>
      </c>
    </row>
    <row r="726" spans="1:7">
      <c r="A726">
        <v>2328</v>
      </c>
      <c r="B726" t="s">
        <v>99</v>
      </c>
      <c r="C726" t="s">
        <v>133</v>
      </c>
      <c r="D726" s="9">
        <v>40590.641770833332</v>
      </c>
      <c r="E726" t="s">
        <v>36</v>
      </c>
      <c r="F726">
        <f t="shared" ca="1" si="22"/>
        <v>3.9527777777777779</v>
      </c>
      <c r="G726">
        <f t="shared" ca="1" si="23"/>
        <v>0</v>
      </c>
    </row>
    <row r="727" spans="1:7">
      <c r="A727">
        <v>2329</v>
      </c>
      <c r="B727" t="s">
        <v>8</v>
      </c>
      <c r="C727" t="s">
        <v>133</v>
      </c>
      <c r="D727" s="9">
        <v>40588.714039351849</v>
      </c>
      <c r="E727" t="s">
        <v>144</v>
      </c>
      <c r="F727">
        <f t="shared" ca="1" si="22"/>
        <v>3.9583333333333335</v>
      </c>
      <c r="G727">
        <f t="shared" ca="1" si="23"/>
        <v>0</v>
      </c>
    </row>
    <row r="728" spans="1:7">
      <c r="A728">
        <v>2330</v>
      </c>
      <c r="B728" t="s">
        <v>8</v>
      </c>
      <c r="C728" t="s">
        <v>133</v>
      </c>
      <c r="D728" s="9">
        <v>40589.743425925924</v>
      </c>
      <c r="E728" t="s">
        <v>19</v>
      </c>
      <c r="F728">
        <f t="shared" ca="1" si="22"/>
        <v>3.9555555555555557</v>
      </c>
      <c r="G728">
        <f t="shared" ca="1" si="23"/>
        <v>0</v>
      </c>
    </row>
    <row r="729" spans="1:7">
      <c r="A729">
        <v>2341</v>
      </c>
      <c r="B729" t="s">
        <v>8</v>
      </c>
      <c r="C729" t="s">
        <v>133</v>
      </c>
      <c r="D729" s="9">
        <v>40588.728819444441</v>
      </c>
      <c r="E729" t="s">
        <v>19</v>
      </c>
      <c r="F729">
        <f t="shared" ca="1" si="22"/>
        <v>3.9583333333333335</v>
      </c>
      <c r="G729">
        <f t="shared" ca="1" si="23"/>
        <v>0</v>
      </c>
    </row>
    <row r="730" spans="1:7">
      <c r="A730">
        <v>2357</v>
      </c>
      <c r="B730" t="s">
        <v>101</v>
      </c>
      <c r="C730" t="s">
        <v>133</v>
      </c>
      <c r="D730" s="9">
        <v>40589.477303240739</v>
      </c>
      <c r="E730" t="s">
        <v>144</v>
      </c>
      <c r="F730">
        <f t="shared" ca="1" si="22"/>
        <v>3.9555555555555557</v>
      </c>
      <c r="G730">
        <f t="shared" ca="1" si="23"/>
        <v>0</v>
      </c>
    </row>
    <row r="731" spans="1:7">
      <c r="A731">
        <v>2362</v>
      </c>
      <c r="B731" t="s">
        <v>101</v>
      </c>
      <c r="C731" t="s">
        <v>133</v>
      </c>
      <c r="D731" s="9">
        <v>40589.406238425923</v>
      </c>
      <c r="E731" t="s">
        <v>144</v>
      </c>
      <c r="F731">
        <f t="shared" ca="1" si="22"/>
        <v>3.9555555555555557</v>
      </c>
      <c r="G731">
        <f t="shared" ca="1" si="23"/>
        <v>0</v>
      </c>
    </row>
    <row r="732" spans="1:7">
      <c r="A732">
        <v>2366</v>
      </c>
      <c r="B732" t="s">
        <v>99</v>
      </c>
      <c r="C732" t="s">
        <v>132</v>
      </c>
      <c r="D732" s="9">
        <v>40659.588993055557</v>
      </c>
      <c r="E732" t="s">
        <v>19</v>
      </c>
      <c r="F732">
        <f t="shared" ca="1" si="22"/>
        <v>3.7583333333333333</v>
      </c>
      <c r="G732">
        <f t="shared" ca="1" si="23"/>
        <v>0</v>
      </c>
    </row>
    <row r="733" spans="1:7">
      <c r="A733">
        <v>2367</v>
      </c>
      <c r="B733" t="s">
        <v>102</v>
      </c>
      <c r="C733" t="s">
        <v>133</v>
      </c>
      <c r="D733" s="9">
        <v>40589.514861111114</v>
      </c>
      <c r="E733" t="s">
        <v>112</v>
      </c>
      <c r="F733">
        <f t="shared" ca="1" si="22"/>
        <v>3.9555555555555557</v>
      </c>
      <c r="G733">
        <f t="shared" ca="1" si="23"/>
        <v>0</v>
      </c>
    </row>
    <row r="734" spans="1:7">
      <c r="A734">
        <v>2372</v>
      </c>
      <c r="B734" t="s">
        <v>8</v>
      </c>
      <c r="C734" t="s">
        <v>133</v>
      </c>
      <c r="D734" s="9">
        <v>40588.714039351849</v>
      </c>
      <c r="E734" t="s">
        <v>144</v>
      </c>
      <c r="F734">
        <f t="shared" ca="1" si="22"/>
        <v>3.9583333333333335</v>
      </c>
      <c r="G734">
        <f t="shared" ca="1" si="23"/>
        <v>0</v>
      </c>
    </row>
    <row r="735" spans="1:7">
      <c r="A735">
        <v>2386</v>
      </c>
      <c r="B735" t="s">
        <v>112</v>
      </c>
      <c r="C735" t="s">
        <v>133</v>
      </c>
      <c r="D735" s="9">
        <v>40592.586956018517</v>
      </c>
      <c r="E735" t="s">
        <v>112</v>
      </c>
      <c r="F735">
        <f t="shared" ca="1" si="22"/>
        <v>3.9472222222222224</v>
      </c>
      <c r="G735">
        <f t="shared" ca="1" si="23"/>
        <v>0</v>
      </c>
    </row>
    <row r="736" spans="1:7">
      <c r="A736">
        <v>2392</v>
      </c>
      <c r="B736" t="s">
        <v>34</v>
      </c>
      <c r="C736" t="s">
        <v>132</v>
      </c>
      <c r="D736" s="9">
        <v>40659.472430555557</v>
      </c>
      <c r="E736" t="s">
        <v>131</v>
      </c>
      <c r="F736">
        <f t="shared" ca="1" si="22"/>
        <v>3.7583333333333333</v>
      </c>
      <c r="G736">
        <f t="shared" ca="1" si="23"/>
        <v>0</v>
      </c>
    </row>
    <row r="737" spans="1:7">
      <c r="A737">
        <v>2404</v>
      </c>
      <c r="B737" t="s">
        <v>111</v>
      </c>
      <c r="C737" t="s">
        <v>130</v>
      </c>
      <c r="D737" s="9">
        <v>40721.425381944442</v>
      </c>
      <c r="E737" t="s">
        <v>112</v>
      </c>
      <c r="F737">
        <f t="shared" ca="1" si="22"/>
        <v>3.588888888888889</v>
      </c>
      <c r="G737">
        <f t="shared" ca="1" si="23"/>
        <v>0</v>
      </c>
    </row>
    <row r="738" spans="1:7">
      <c r="A738">
        <v>2409</v>
      </c>
      <c r="B738" t="s">
        <v>38</v>
      </c>
      <c r="C738" t="s">
        <v>133</v>
      </c>
      <c r="D738" s="9">
        <v>40591.918009259258</v>
      </c>
      <c r="E738" t="s">
        <v>36</v>
      </c>
      <c r="F738">
        <f t="shared" ca="1" si="22"/>
        <v>3.95</v>
      </c>
      <c r="G738">
        <f t="shared" ca="1" si="23"/>
        <v>0</v>
      </c>
    </row>
    <row r="739" spans="1:7">
      <c r="A739">
        <v>2420</v>
      </c>
      <c r="B739" t="s">
        <v>112</v>
      </c>
      <c r="C739" t="s">
        <v>130</v>
      </c>
      <c r="D739" s="9">
        <v>40722.508796296293</v>
      </c>
      <c r="E739" t="s">
        <v>101</v>
      </c>
      <c r="F739">
        <f t="shared" ca="1" si="22"/>
        <v>3.5861111111111112</v>
      </c>
      <c r="G739">
        <f t="shared" ca="1" si="23"/>
        <v>0</v>
      </c>
    </row>
    <row r="740" spans="1:7">
      <c r="A740">
        <v>2433</v>
      </c>
      <c r="B740" t="s">
        <v>36</v>
      </c>
      <c r="C740" t="s">
        <v>130</v>
      </c>
      <c r="D740" s="9">
        <v>40721.683171296296</v>
      </c>
      <c r="E740" t="s">
        <v>38</v>
      </c>
      <c r="F740">
        <f t="shared" ca="1" si="22"/>
        <v>3.588888888888889</v>
      </c>
      <c r="G740">
        <f t="shared" ca="1" si="23"/>
        <v>0</v>
      </c>
    </row>
    <row r="741" spans="1:7">
      <c r="A741">
        <v>2436</v>
      </c>
      <c r="B741" t="s">
        <v>11</v>
      </c>
      <c r="C741" t="s">
        <v>133</v>
      </c>
      <c r="D741" s="9">
        <v>40592.383090277777</v>
      </c>
      <c r="E741" t="s">
        <v>8</v>
      </c>
      <c r="F741">
        <f t="shared" ca="1" si="22"/>
        <v>3.9472222222222224</v>
      </c>
      <c r="G741">
        <f t="shared" ca="1" si="23"/>
        <v>0</v>
      </c>
    </row>
    <row r="742" spans="1:7">
      <c r="A742">
        <v>2445</v>
      </c>
      <c r="B742" t="s">
        <v>8</v>
      </c>
      <c r="C742" t="s">
        <v>133</v>
      </c>
      <c r="D742" s="9">
        <v>40591.578506944446</v>
      </c>
      <c r="E742" t="s">
        <v>34</v>
      </c>
      <c r="F742">
        <f t="shared" ca="1" si="22"/>
        <v>3.95</v>
      </c>
      <c r="G742">
        <f t="shared" ca="1" si="23"/>
        <v>0</v>
      </c>
    </row>
    <row r="743" spans="1:7">
      <c r="A743">
        <v>2447</v>
      </c>
      <c r="B743" t="s">
        <v>99</v>
      </c>
      <c r="C743" t="s">
        <v>132</v>
      </c>
      <c r="D743" s="9">
        <v>40659.82372685185</v>
      </c>
      <c r="E743" t="s">
        <v>11</v>
      </c>
      <c r="F743">
        <f t="shared" ca="1" si="22"/>
        <v>3.7583333333333333</v>
      </c>
      <c r="G743">
        <f t="shared" ca="1" si="23"/>
        <v>0</v>
      </c>
    </row>
    <row r="744" spans="1:7">
      <c r="A744">
        <v>2448</v>
      </c>
      <c r="B744" t="s">
        <v>99</v>
      </c>
      <c r="C744" t="s">
        <v>132</v>
      </c>
      <c r="D744" s="9">
        <v>40661.676377314812</v>
      </c>
      <c r="E744" t="s">
        <v>101</v>
      </c>
      <c r="F744">
        <f t="shared" ca="1" si="22"/>
        <v>3.7527777777777778</v>
      </c>
      <c r="G744">
        <f t="shared" ca="1" si="23"/>
        <v>0</v>
      </c>
    </row>
    <row r="745" spans="1:7">
      <c r="A745">
        <v>2465</v>
      </c>
      <c r="B745" t="s">
        <v>8</v>
      </c>
      <c r="C745" t="s">
        <v>132</v>
      </c>
      <c r="D745" s="9">
        <v>40659.411851851852</v>
      </c>
      <c r="E745" t="s">
        <v>131</v>
      </c>
      <c r="F745">
        <f t="shared" ca="1" si="22"/>
        <v>3.7583333333333333</v>
      </c>
      <c r="G745">
        <f t="shared" ca="1" si="23"/>
        <v>0</v>
      </c>
    </row>
    <row r="746" spans="1:7">
      <c r="A746">
        <v>2469</v>
      </c>
      <c r="B746" t="s">
        <v>8</v>
      </c>
      <c r="C746" t="s">
        <v>133</v>
      </c>
      <c r="D746" s="9">
        <v>40591.716331018521</v>
      </c>
      <c r="E746" t="s">
        <v>102</v>
      </c>
      <c r="F746">
        <f t="shared" ca="1" si="22"/>
        <v>3.95</v>
      </c>
      <c r="G746">
        <f t="shared" ca="1" si="23"/>
        <v>0</v>
      </c>
    </row>
    <row r="747" spans="1:7">
      <c r="A747">
        <v>2483</v>
      </c>
      <c r="B747" t="s">
        <v>36</v>
      </c>
      <c r="C747" t="s">
        <v>126</v>
      </c>
      <c r="D747" s="9">
        <v>41127.566168981481</v>
      </c>
      <c r="E747" t="s">
        <v>8</v>
      </c>
      <c r="F747">
        <f t="shared" ca="1" si="22"/>
        <v>2.4805555555555556</v>
      </c>
      <c r="G747">
        <f t="shared" ca="1" si="23"/>
        <v>0</v>
      </c>
    </row>
    <row r="748" spans="1:7">
      <c r="A748">
        <v>2543</v>
      </c>
      <c r="B748" t="s">
        <v>112</v>
      </c>
      <c r="C748" t="s">
        <v>132</v>
      </c>
      <c r="D748" s="9">
        <v>40660.483136574076</v>
      </c>
      <c r="E748" t="s">
        <v>44</v>
      </c>
      <c r="F748">
        <f t="shared" ca="1" si="22"/>
        <v>3.7555555555555555</v>
      </c>
      <c r="G748">
        <f t="shared" ca="1" si="23"/>
        <v>0</v>
      </c>
    </row>
    <row r="749" spans="1:7">
      <c r="A749">
        <v>2562</v>
      </c>
      <c r="B749" t="s">
        <v>8</v>
      </c>
      <c r="C749" t="s">
        <v>132</v>
      </c>
      <c r="D749" s="9">
        <v>40666.507731481484</v>
      </c>
      <c r="E749" t="s">
        <v>19</v>
      </c>
      <c r="F749">
        <f t="shared" ca="1" si="22"/>
        <v>3.7388888888888889</v>
      </c>
      <c r="G749">
        <f t="shared" ca="1" si="23"/>
        <v>0</v>
      </c>
    </row>
    <row r="750" spans="1:7">
      <c r="A750">
        <v>2568</v>
      </c>
      <c r="B750" t="s">
        <v>8</v>
      </c>
      <c r="C750" t="s">
        <v>132</v>
      </c>
      <c r="D750" s="9">
        <v>40659.610497685186</v>
      </c>
      <c r="E750" t="s">
        <v>34</v>
      </c>
      <c r="F750">
        <f t="shared" ca="1" si="22"/>
        <v>3.7583333333333333</v>
      </c>
      <c r="G750">
        <f t="shared" ca="1" si="23"/>
        <v>0</v>
      </c>
    </row>
    <row r="751" spans="1:7">
      <c r="A751">
        <v>2570</v>
      </c>
      <c r="B751" t="s">
        <v>34</v>
      </c>
      <c r="C751" t="s">
        <v>132</v>
      </c>
      <c r="D751" s="9">
        <v>40660.852210648147</v>
      </c>
      <c r="E751" t="s">
        <v>36</v>
      </c>
      <c r="F751">
        <f t="shared" ca="1" si="22"/>
        <v>3.7555555555555555</v>
      </c>
      <c r="G751">
        <f t="shared" ca="1" si="23"/>
        <v>0</v>
      </c>
    </row>
    <row r="752" spans="1:7">
      <c r="A752">
        <v>2578</v>
      </c>
      <c r="B752" t="s">
        <v>44</v>
      </c>
      <c r="C752" t="s">
        <v>132</v>
      </c>
      <c r="D752" s="9">
        <v>40659.635717592595</v>
      </c>
      <c r="E752" t="s">
        <v>34</v>
      </c>
      <c r="F752">
        <f t="shared" ca="1" si="22"/>
        <v>3.7583333333333333</v>
      </c>
      <c r="G752">
        <f t="shared" ca="1" si="23"/>
        <v>0</v>
      </c>
    </row>
    <row r="753" spans="1:7">
      <c r="A753">
        <v>2588</v>
      </c>
      <c r="B753" t="s">
        <v>99</v>
      </c>
      <c r="C753" t="s">
        <v>132</v>
      </c>
      <c r="D753" s="9">
        <v>40665.604421296295</v>
      </c>
      <c r="E753" t="s">
        <v>32</v>
      </c>
      <c r="F753">
        <f t="shared" ca="1" si="22"/>
        <v>3.7416666666666667</v>
      </c>
      <c r="G753">
        <f t="shared" ca="1" si="23"/>
        <v>0</v>
      </c>
    </row>
    <row r="754" spans="1:7">
      <c r="A754">
        <v>2589</v>
      </c>
      <c r="B754" t="s">
        <v>32</v>
      </c>
      <c r="C754" t="s">
        <v>132</v>
      </c>
      <c r="D754" s="9">
        <v>40666.760625000003</v>
      </c>
      <c r="E754" t="s">
        <v>38</v>
      </c>
      <c r="F754">
        <f t="shared" ca="1" si="22"/>
        <v>3.7388888888888889</v>
      </c>
      <c r="G754">
        <f t="shared" ca="1" si="23"/>
        <v>0</v>
      </c>
    </row>
    <row r="755" spans="1:7">
      <c r="A755">
        <v>2597</v>
      </c>
      <c r="B755" t="s">
        <v>101</v>
      </c>
      <c r="C755" t="s">
        <v>132</v>
      </c>
      <c r="D755" s="9">
        <v>40666.786238425928</v>
      </c>
      <c r="E755" t="s">
        <v>27</v>
      </c>
      <c r="F755">
        <f t="shared" ca="1" si="22"/>
        <v>3.7388888888888889</v>
      </c>
      <c r="G755">
        <f t="shared" ca="1" si="23"/>
        <v>0</v>
      </c>
    </row>
    <row r="756" spans="1:7">
      <c r="A756">
        <v>2599</v>
      </c>
      <c r="B756" t="s">
        <v>101</v>
      </c>
      <c r="C756" t="s">
        <v>132</v>
      </c>
      <c r="D756" s="9">
        <v>40666.41138888889</v>
      </c>
      <c r="E756" t="s">
        <v>44</v>
      </c>
      <c r="F756">
        <f t="shared" ca="1" si="22"/>
        <v>3.7388888888888889</v>
      </c>
      <c r="G756">
        <f t="shared" ca="1" si="23"/>
        <v>0</v>
      </c>
    </row>
    <row r="757" spans="1:7">
      <c r="A757">
        <v>2603</v>
      </c>
      <c r="B757" t="s">
        <v>101</v>
      </c>
      <c r="C757" t="s">
        <v>132</v>
      </c>
      <c r="D757" s="9">
        <v>40666.681111111109</v>
      </c>
      <c r="E757" t="s">
        <v>27</v>
      </c>
      <c r="F757">
        <f t="shared" ca="1" si="22"/>
        <v>3.7388888888888889</v>
      </c>
      <c r="G757">
        <f t="shared" ca="1" si="23"/>
        <v>0</v>
      </c>
    </row>
    <row r="758" spans="1:7">
      <c r="A758">
        <v>2604</v>
      </c>
      <c r="B758" t="s">
        <v>101</v>
      </c>
      <c r="C758" t="s">
        <v>132</v>
      </c>
      <c r="D758" s="9">
        <v>40666.758321759262</v>
      </c>
      <c r="E758" t="s">
        <v>27</v>
      </c>
      <c r="F758">
        <f t="shared" ca="1" si="22"/>
        <v>3.7388888888888889</v>
      </c>
      <c r="G758">
        <f t="shared" ca="1" si="23"/>
        <v>0</v>
      </c>
    </row>
    <row r="759" spans="1:7">
      <c r="A759">
        <v>2612</v>
      </c>
      <c r="B759" t="s">
        <v>101</v>
      </c>
      <c r="C759" t="s">
        <v>132</v>
      </c>
      <c r="D759" s="9">
        <v>40666.758449074077</v>
      </c>
      <c r="E759" t="s">
        <v>27</v>
      </c>
      <c r="F759">
        <f t="shared" ca="1" si="22"/>
        <v>3.7388888888888889</v>
      </c>
      <c r="G759">
        <f t="shared" ca="1" si="23"/>
        <v>0</v>
      </c>
    </row>
    <row r="760" spans="1:7">
      <c r="A760">
        <v>2615</v>
      </c>
      <c r="B760" t="s">
        <v>8</v>
      </c>
      <c r="C760" t="s">
        <v>132</v>
      </c>
      <c r="D760" s="9">
        <v>40661.110439814816</v>
      </c>
      <c r="E760" t="s">
        <v>38</v>
      </c>
      <c r="F760">
        <f t="shared" ca="1" si="22"/>
        <v>3.7527777777777778</v>
      </c>
      <c r="G760">
        <f t="shared" ca="1" si="23"/>
        <v>0</v>
      </c>
    </row>
    <row r="761" spans="1:7">
      <c r="A761">
        <v>2616</v>
      </c>
      <c r="B761" t="s">
        <v>112</v>
      </c>
      <c r="C761" t="s">
        <v>120</v>
      </c>
      <c r="D761" s="9">
        <v>41537.734525462962</v>
      </c>
      <c r="E761" t="s">
        <v>112</v>
      </c>
      <c r="F761">
        <f t="shared" ca="1" si="22"/>
        <v>1.3583333333333334</v>
      </c>
      <c r="G761">
        <f t="shared" ca="1" si="23"/>
        <v>0</v>
      </c>
    </row>
    <row r="762" spans="1:7">
      <c r="A762">
        <v>2617</v>
      </c>
      <c r="B762" t="s">
        <v>20</v>
      </c>
      <c r="C762" t="s">
        <v>128</v>
      </c>
      <c r="D762" s="9">
        <v>40857.790069444447</v>
      </c>
      <c r="E762" t="s">
        <v>38</v>
      </c>
      <c r="F762">
        <f t="shared" ca="1" si="22"/>
        <v>3.2194444444444446</v>
      </c>
      <c r="G762">
        <f t="shared" ca="1" si="23"/>
        <v>0</v>
      </c>
    </row>
    <row r="763" spans="1:7">
      <c r="A763">
        <v>2623</v>
      </c>
      <c r="B763" t="s">
        <v>99</v>
      </c>
      <c r="C763" t="s">
        <v>132</v>
      </c>
      <c r="D763" s="9">
        <v>40659.415162037039</v>
      </c>
      <c r="E763" t="s">
        <v>131</v>
      </c>
      <c r="F763">
        <f t="shared" ca="1" si="22"/>
        <v>3.7583333333333333</v>
      </c>
      <c r="G763">
        <f t="shared" ca="1" si="23"/>
        <v>0</v>
      </c>
    </row>
    <row r="764" spans="1:7">
      <c r="A764">
        <v>2635</v>
      </c>
      <c r="B764" t="s">
        <v>8</v>
      </c>
      <c r="C764" t="s">
        <v>132</v>
      </c>
      <c r="D764" s="9">
        <v>40662.814571759256</v>
      </c>
      <c r="E764" t="s">
        <v>99</v>
      </c>
      <c r="F764">
        <f t="shared" ca="1" si="22"/>
        <v>3.75</v>
      </c>
      <c r="G764">
        <f t="shared" ca="1" si="23"/>
        <v>0</v>
      </c>
    </row>
    <row r="765" spans="1:7">
      <c r="A765">
        <v>2636</v>
      </c>
      <c r="B765" t="s">
        <v>99</v>
      </c>
      <c r="C765" t="s">
        <v>127</v>
      </c>
      <c r="D765" s="9">
        <v>41030.816932870373</v>
      </c>
      <c r="E765" t="s">
        <v>20</v>
      </c>
      <c r="F765">
        <f t="shared" ca="1" si="22"/>
        <v>2.7444444444444445</v>
      </c>
      <c r="G765">
        <f t="shared" ca="1" si="23"/>
        <v>0</v>
      </c>
    </row>
    <row r="766" spans="1:7">
      <c r="A766">
        <v>2637</v>
      </c>
      <c r="B766" t="s">
        <v>8</v>
      </c>
      <c r="C766" t="s">
        <v>132</v>
      </c>
      <c r="D766" s="9">
        <v>40659.481377314813</v>
      </c>
      <c r="E766" t="s">
        <v>131</v>
      </c>
      <c r="F766">
        <f t="shared" ca="1" si="22"/>
        <v>3.7583333333333333</v>
      </c>
      <c r="G766">
        <f t="shared" ca="1" si="23"/>
        <v>0</v>
      </c>
    </row>
    <row r="767" spans="1:7">
      <c r="A767">
        <v>2645</v>
      </c>
      <c r="B767" t="s">
        <v>34</v>
      </c>
      <c r="C767" t="s">
        <v>132</v>
      </c>
      <c r="D767" s="9">
        <v>40659.400810185187</v>
      </c>
      <c r="E767" t="s">
        <v>131</v>
      </c>
      <c r="F767">
        <f t="shared" ca="1" si="22"/>
        <v>3.7583333333333333</v>
      </c>
      <c r="G767">
        <f t="shared" ca="1" si="23"/>
        <v>0</v>
      </c>
    </row>
    <row r="768" spans="1:7">
      <c r="A768">
        <v>2647</v>
      </c>
      <c r="B768" t="s">
        <v>20</v>
      </c>
      <c r="C768" t="s">
        <v>130</v>
      </c>
      <c r="D768" s="9">
        <v>40721.498749999999</v>
      </c>
      <c r="E768" t="s">
        <v>44</v>
      </c>
      <c r="F768">
        <f t="shared" ca="1" si="22"/>
        <v>3.588888888888889</v>
      </c>
      <c r="G768">
        <f t="shared" ca="1" si="23"/>
        <v>0</v>
      </c>
    </row>
    <row r="769" spans="1:7">
      <c r="A769">
        <v>2650</v>
      </c>
      <c r="B769" t="s">
        <v>8</v>
      </c>
      <c r="C769" t="s">
        <v>128</v>
      </c>
      <c r="D769" s="9">
        <v>40919.655787037038</v>
      </c>
      <c r="E769" t="s">
        <v>112</v>
      </c>
      <c r="F769">
        <f t="shared" ca="1" si="22"/>
        <v>3.05</v>
      </c>
      <c r="G769">
        <f t="shared" ca="1" si="23"/>
        <v>0</v>
      </c>
    </row>
    <row r="770" spans="1:7">
      <c r="A770">
        <v>2659</v>
      </c>
      <c r="B770" t="s">
        <v>11</v>
      </c>
      <c r="C770" t="s">
        <v>126</v>
      </c>
      <c r="D770" s="9">
        <v>41127.704652777778</v>
      </c>
      <c r="E770" t="s">
        <v>36</v>
      </c>
      <c r="F770">
        <f t="shared" ca="1" si="22"/>
        <v>2.4805555555555556</v>
      </c>
      <c r="G770">
        <f t="shared" ca="1" si="23"/>
        <v>0</v>
      </c>
    </row>
    <row r="771" spans="1:7">
      <c r="A771">
        <v>2663</v>
      </c>
      <c r="B771" t="s">
        <v>111</v>
      </c>
      <c r="C771" t="s">
        <v>130</v>
      </c>
      <c r="D771" s="9">
        <v>40721.42591435185</v>
      </c>
      <c r="E771" t="s">
        <v>112</v>
      </c>
      <c r="F771">
        <f t="shared" ref="F771:F834" ca="1" si="24">YEARFRAC(TODAY(),$D771)</f>
        <v>3.588888888888889</v>
      </c>
      <c r="G771">
        <f t="shared" ref="G771:G834" ca="1" si="25">IF($F771&lt;1,1,0)</f>
        <v>0</v>
      </c>
    </row>
    <row r="772" spans="1:7">
      <c r="A772">
        <v>2665</v>
      </c>
      <c r="B772" t="s">
        <v>131</v>
      </c>
      <c r="C772" t="s">
        <v>132</v>
      </c>
      <c r="D772" s="9">
        <v>40659.470497685186</v>
      </c>
      <c r="E772" t="s">
        <v>44</v>
      </c>
      <c r="F772">
        <f t="shared" ca="1" si="24"/>
        <v>3.7583333333333333</v>
      </c>
      <c r="G772">
        <f t="shared" ca="1" si="25"/>
        <v>0</v>
      </c>
    </row>
    <row r="773" spans="1:7">
      <c r="A773">
        <v>2700</v>
      </c>
      <c r="B773" t="s">
        <v>11</v>
      </c>
      <c r="C773" t="s">
        <v>132</v>
      </c>
      <c r="D773" s="9">
        <v>40660.413564814815</v>
      </c>
      <c r="E773" t="s">
        <v>44</v>
      </c>
      <c r="F773">
        <f t="shared" ca="1" si="24"/>
        <v>3.7555555555555555</v>
      </c>
      <c r="G773">
        <f t="shared" ca="1" si="25"/>
        <v>0</v>
      </c>
    </row>
    <row r="774" spans="1:7">
      <c r="A774">
        <v>2711</v>
      </c>
      <c r="B774" t="s">
        <v>99</v>
      </c>
      <c r="C774" t="s">
        <v>130</v>
      </c>
      <c r="D774" s="9">
        <v>40721.410381944443</v>
      </c>
      <c r="E774" t="s">
        <v>19</v>
      </c>
      <c r="F774">
        <f t="shared" ca="1" si="24"/>
        <v>3.588888888888889</v>
      </c>
      <c r="G774">
        <f t="shared" ca="1" si="25"/>
        <v>0</v>
      </c>
    </row>
    <row r="775" spans="1:7">
      <c r="A775">
        <v>2714</v>
      </c>
      <c r="B775" t="s">
        <v>8</v>
      </c>
      <c r="C775" t="s">
        <v>132</v>
      </c>
      <c r="D775" s="9">
        <v>40659.475995370369</v>
      </c>
      <c r="E775" t="s">
        <v>131</v>
      </c>
      <c r="F775">
        <f t="shared" ca="1" si="24"/>
        <v>3.7583333333333333</v>
      </c>
      <c r="G775">
        <f t="shared" ca="1" si="25"/>
        <v>0</v>
      </c>
    </row>
    <row r="776" spans="1:7">
      <c r="A776">
        <v>2724</v>
      </c>
      <c r="B776" t="s">
        <v>38</v>
      </c>
      <c r="C776" t="s">
        <v>132</v>
      </c>
      <c r="D776" s="9">
        <v>40659.594710648147</v>
      </c>
      <c r="E776" t="s">
        <v>19</v>
      </c>
      <c r="F776">
        <f t="shared" ca="1" si="24"/>
        <v>3.7583333333333333</v>
      </c>
      <c r="G776">
        <f t="shared" ca="1" si="25"/>
        <v>0</v>
      </c>
    </row>
    <row r="777" spans="1:7">
      <c r="A777">
        <v>2726</v>
      </c>
      <c r="B777" t="s">
        <v>8</v>
      </c>
      <c r="C777" t="s">
        <v>132</v>
      </c>
      <c r="D777" s="9">
        <v>40665.143784722219</v>
      </c>
      <c r="E777" t="s">
        <v>38</v>
      </c>
      <c r="F777">
        <f t="shared" ca="1" si="24"/>
        <v>3.7416666666666667</v>
      </c>
      <c r="G777">
        <f t="shared" ca="1" si="25"/>
        <v>0</v>
      </c>
    </row>
    <row r="778" spans="1:7">
      <c r="A778">
        <v>2754</v>
      </c>
      <c r="B778" t="s">
        <v>38</v>
      </c>
      <c r="C778" t="s">
        <v>132</v>
      </c>
      <c r="D778" s="9">
        <v>40660.393599537034</v>
      </c>
      <c r="E778" t="s">
        <v>44</v>
      </c>
      <c r="F778">
        <f t="shared" ca="1" si="24"/>
        <v>3.7555555555555555</v>
      </c>
      <c r="G778">
        <f t="shared" ca="1" si="25"/>
        <v>0</v>
      </c>
    </row>
    <row r="779" spans="1:7">
      <c r="A779">
        <v>2757</v>
      </c>
      <c r="B779" t="s">
        <v>101</v>
      </c>
      <c r="C779" t="s">
        <v>129</v>
      </c>
      <c r="D779" s="9">
        <v>40805.414212962962</v>
      </c>
      <c r="E779" t="s">
        <v>44</v>
      </c>
      <c r="F779">
        <f t="shared" ca="1" si="24"/>
        <v>3.3611111111111112</v>
      </c>
      <c r="G779">
        <f t="shared" ca="1" si="25"/>
        <v>0</v>
      </c>
    </row>
    <row r="780" spans="1:7">
      <c r="A780">
        <v>2769</v>
      </c>
      <c r="B780" t="s">
        <v>8</v>
      </c>
      <c r="C780" t="s">
        <v>132</v>
      </c>
      <c r="D780" s="9">
        <v>40659.429282407407</v>
      </c>
      <c r="E780" t="s">
        <v>131</v>
      </c>
      <c r="F780">
        <f t="shared" ca="1" si="24"/>
        <v>3.7583333333333333</v>
      </c>
      <c r="G780">
        <f t="shared" ca="1" si="25"/>
        <v>0</v>
      </c>
    </row>
    <row r="781" spans="1:7">
      <c r="A781">
        <v>2770</v>
      </c>
      <c r="B781" t="s">
        <v>101</v>
      </c>
      <c r="C781" t="s">
        <v>132</v>
      </c>
      <c r="D781" s="9">
        <v>40659.45684027778</v>
      </c>
      <c r="E781" t="s">
        <v>131</v>
      </c>
      <c r="F781">
        <f t="shared" ca="1" si="24"/>
        <v>3.7583333333333333</v>
      </c>
      <c r="G781">
        <f t="shared" ca="1" si="25"/>
        <v>0</v>
      </c>
    </row>
    <row r="782" spans="1:7">
      <c r="A782">
        <v>2772</v>
      </c>
      <c r="B782" t="s">
        <v>99</v>
      </c>
      <c r="C782" t="s">
        <v>129</v>
      </c>
      <c r="D782" s="9">
        <v>40805.743414351855</v>
      </c>
      <c r="E782" t="s">
        <v>19</v>
      </c>
      <c r="F782">
        <f t="shared" ca="1" si="24"/>
        <v>3.3611111111111112</v>
      </c>
      <c r="G782">
        <f t="shared" ca="1" si="25"/>
        <v>0</v>
      </c>
    </row>
    <row r="783" spans="1:7">
      <c r="A783">
        <v>2779</v>
      </c>
      <c r="B783" t="s">
        <v>34</v>
      </c>
      <c r="C783" t="s">
        <v>132</v>
      </c>
      <c r="D783" s="9">
        <v>40659.659236111111</v>
      </c>
      <c r="E783" t="s">
        <v>19</v>
      </c>
      <c r="F783">
        <f t="shared" ca="1" si="24"/>
        <v>3.7583333333333333</v>
      </c>
      <c r="G783">
        <f t="shared" ca="1" si="25"/>
        <v>0</v>
      </c>
    </row>
    <row r="784" spans="1:7">
      <c r="A784">
        <v>2785</v>
      </c>
      <c r="B784" t="s">
        <v>44</v>
      </c>
      <c r="C784" t="s">
        <v>127</v>
      </c>
      <c r="D784" s="9">
        <v>41033.703680555554</v>
      </c>
      <c r="E784" t="s">
        <v>27</v>
      </c>
      <c r="F784">
        <f t="shared" ca="1" si="24"/>
        <v>2.7361111111111112</v>
      </c>
      <c r="G784">
        <f t="shared" ca="1" si="25"/>
        <v>0</v>
      </c>
    </row>
    <row r="785" spans="1:7">
      <c r="A785">
        <v>2786</v>
      </c>
      <c r="B785" t="s">
        <v>131</v>
      </c>
      <c r="C785" t="s">
        <v>132</v>
      </c>
      <c r="D785" s="9">
        <v>40659.64099537037</v>
      </c>
      <c r="E785" t="s">
        <v>34</v>
      </c>
      <c r="F785">
        <f t="shared" ca="1" si="24"/>
        <v>3.7583333333333333</v>
      </c>
      <c r="G785">
        <f t="shared" ca="1" si="25"/>
        <v>0</v>
      </c>
    </row>
    <row r="786" spans="1:7">
      <c r="A786">
        <v>2794</v>
      </c>
      <c r="B786" t="s">
        <v>101</v>
      </c>
      <c r="C786" t="s">
        <v>132</v>
      </c>
      <c r="D786" s="9">
        <v>40667.831967592596</v>
      </c>
      <c r="E786" t="s">
        <v>27</v>
      </c>
      <c r="F786">
        <f t="shared" ca="1" si="24"/>
        <v>3.7361111111111112</v>
      </c>
      <c r="G786">
        <f t="shared" ca="1" si="25"/>
        <v>0</v>
      </c>
    </row>
    <row r="787" spans="1:7">
      <c r="A787">
        <v>2796</v>
      </c>
      <c r="B787" t="s">
        <v>112</v>
      </c>
      <c r="C787" t="s">
        <v>128</v>
      </c>
      <c r="D787" s="9">
        <v>40919.518460648149</v>
      </c>
      <c r="E787" t="s">
        <v>112</v>
      </c>
      <c r="F787">
        <f t="shared" ca="1" si="24"/>
        <v>3.05</v>
      </c>
      <c r="G787">
        <f t="shared" ca="1" si="25"/>
        <v>0</v>
      </c>
    </row>
    <row r="788" spans="1:7">
      <c r="A788">
        <v>2799</v>
      </c>
      <c r="B788" t="s">
        <v>8</v>
      </c>
      <c r="C788" t="s">
        <v>130</v>
      </c>
      <c r="D788" s="9">
        <v>40720.878854166665</v>
      </c>
      <c r="E788" t="s">
        <v>36</v>
      </c>
      <c r="F788">
        <f t="shared" ca="1" si="24"/>
        <v>3.5916666666666668</v>
      </c>
      <c r="G788">
        <f t="shared" ca="1" si="25"/>
        <v>0</v>
      </c>
    </row>
    <row r="789" spans="1:7">
      <c r="A789">
        <v>2803</v>
      </c>
      <c r="B789" t="s">
        <v>131</v>
      </c>
      <c r="C789" t="s">
        <v>132</v>
      </c>
      <c r="D789" s="9">
        <v>40659.492083333331</v>
      </c>
      <c r="E789" t="s">
        <v>34</v>
      </c>
      <c r="F789">
        <f t="shared" ca="1" si="24"/>
        <v>3.7583333333333333</v>
      </c>
      <c r="G789">
        <f t="shared" ca="1" si="25"/>
        <v>0</v>
      </c>
    </row>
    <row r="790" spans="1:7">
      <c r="A790">
        <v>2810</v>
      </c>
      <c r="B790" t="s">
        <v>36</v>
      </c>
      <c r="C790" t="s">
        <v>129</v>
      </c>
      <c r="D790" s="9">
        <v>40806.565636574072</v>
      </c>
      <c r="E790" t="s">
        <v>38</v>
      </c>
      <c r="F790">
        <f t="shared" ca="1" si="24"/>
        <v>3.3583333333333334</v>
      </c>
      <c r="G790">
        <f t="shared" ca="1" si="25"/>
        <v>0</v>
      </c>
    </row>
    <row r="791" spans="1:7">
      <c r="A791">
        <v>2811</v>
      </c>
      <c r="B791" t="s">
        <v>38</v>
      </c>
      <c r="C791" t="s">
        <v>127</v>
      </c>
      <c r="D791" s="9">
        <v>41029.61519675926</v>
      </c>
      <c r="E791" t="s">
        <v>27</v>
      </c>
      <c r="F791">
        <f t="shared" ca="1" si="24"/>
        <v>2.7472222222222222</v>
      </c>
      <c r="G791">
        <f t="shared" ca="1" si="25"/>
        <v>0</v>
      </c>
    </row>
    <row r="792" spans="1:7">
      <c r="A792">
        <v>2816</v>
      </c>
      <c r="B792" t="s">
        <v>38</v>
      </c>
      <c r="C792" t="s">
        <v>130</v>
      </c>
      <c r="D792" s="9">
        <v>40721.587719907409</v>
      </c>
      <c r="E792" t="s">
        <v>8</v>
      </c>
      <c r="F792">
        <f t="shared" ca="1" si="24"/>
        <v>3.588888888888889</v>
      </c>
      <c r="G792">
        <f t="shared" ca="1" si="25"/>
        <v>0</v>
      </c>
    </row>
    <row r="793" spans="1:7">
      <c r="A793">
        <v>2819</v>
      </c>
      <c r="B793" t="s">
        <v>34</v>
      </c>
      <c r="C793" t="s">
        <v>130</v>
      </c>
      <c r="D793" s="9">
        <v>40722.669710648152</v>
      </c>
      <c r="E793" t="s">
        <v>101</v>
      </c>
      <c r="F793">
        <f t="shared" ca="1" si="24"/>
        <v>3.5861111111111112</v>
      </c>
      <c r="G793">
        <f t="shared" ca="1" si="25"/>
        <v>0</v>
      </c>
    </row>
    <row r="794" spans="1:7">
      <c r="A794">
        <v>2830</v>
      </c>
      <c r="B794" t="s">
        <v>99</v>
      </c>
      <c r="C794" t="s">
        <v>130</v>
      </c>
      <c r="D794" s="9">
        <v>40721.754513888889</v>
      </c>
      <c r="E794" t="s">
        <v>32</v>
      </c>
      <c r="F794">
        <f t="shared" ca="1" si="24"/>
        <v>3.588888888888889</v>
      </c>
      <c r="G794">
        <f t="shared" ca="1" si="25"/>
        <v>0</v>
      </c>
    </row>
    <row r="795" spans="1:7">
      <c r="A795">
        <v>2831</v>
      </c>
      <c r="B795" t="s">
        <v>99</v>
      </c>
      <c r="C795" t="s">
        <v>132</v>
      </c>
      <c r="D795" s="9">
        <v>40660.45722222222</v>
      </c>
      <c r="E795" t="s">
        <v>34</v>
      </c>
      <c r="F795">
        <f t="shared" ca="1" si="24"/>
        <v>3.7555555555555555</v>
      </c>
      <c r="G795">
        <f t="shared" ca="1" si="25"/>
        <v>0</v>
      </c>
    </row>
    <row r="796" spans="1:7">
      <c r="A796">
        <v>2848</v>
      </c>
      <c r="B796" t="s">
        <v>8</v>
      </c>
      <c r="C796" t="s">
        <v>132</v>
      </c>
      <c r="D796" s="9">
        <v>40666.528078703705</v>
      </c>
      <c r="E796" t="s">
        <v>101</v>
      </c>
      <c r="F796">
        <f t="shared" ca="1" si="24"/>
        <v>3.7388888888888889</v>
      </c>
      <c r="G796">
        <f t="shared" ca="1" si="25"/>
        <v>0</v>
      </c>
    </row>
    <row r="797" spans="1:7">
      <c r="A797">
        <v>2849</v>
      </c>
      <c r="B797" t="s">
        <v>38</v>
      </c>
      <c r="C797" t="s">
        <v>127</v>
      </c>
      <c r="D797" s="9">
        <v>41029.831550925926</v>
      </c>
      <c r="E797" t="s">
        <v>27</v>
      </c>
      <c r="F797">
        <f t="shared" ca="1" si="24"/>
        <v>2.7472222222222222</v>
      </c>
      <c r="G797">
        <f t="shared" ca="1" si="25"/>
        <v>0</v>
      </c>
    </row>
    <row r="798" spans="1:7">
      <c r="A798">
        <v>2864</v>
      </c>
      <c r="B798" t="s">
        <v>11</v>
      </c>
      <c r="C798" t="s">
        <v>132</v>
      </c>
      <c r="D798" s="9">
        <v>40664.72278935185</v>
      </c>
      <c r="E798" t="s">
        <v>36</v>
      </c>
      <c r="F798">
        <f t="shared" ca="1" si="24"/>
        <v>3.7444444444444445</v>
      </c>
      <c r="G798">
        <f t="shared" ca="1" si="25"/>
        <v>0</v>
      </c>
    </row>
    <row r="799" spans="1:7">
      <c r="A799">
        <v>2868</v>
      </c>
      <c r="B799" t="s">
        <v>111</v>
      </c>
      <c r="C799" t="s">
        <v>132</v>
      </c>
      <c r="D799" s="9">
        <v>40668.623171296298</v>
      </c>
      <c r="E799" t="s">
        <v>8</v>
      </c>
      <c r="F799">
        <f t="shared" ca="1" si="24"/>
        <v>3.7333333333333334</v>
      </c>
      <c r="G799">
        <f t="shared" ca="1" si="25"/>
        <v>0</v>
      </c>
    </row>
    <row r="800" spans="1:7">
      <c r="A800">
        <v>2872</v>
      </c>
      <c r="B800" t="s">
        <v>99</v>
      </c>
      <c r="C800" t="s">
        <v>130</v>
      </c>
      <c r="D800" s="9">
        <v>40721.412673611114</v>
      </c>
      <c r="E800" t="s">
        <v>34</v>
      </c>
      <c r="F800">
        <f t="shared" ca="1" si="24"/>
        <v>3.588888888888889</v>
      </c>
      <c r="G800">
        <f t="shared" ca="1" si="25"/>
        <v>0</v>
      </c>
    </row>
    <row r="801" spans="1:7">
      <c r="A801">
        <v>2882</v>
      </c>
      <c r="B801" t="s">
        <v>99</v>
      </c>
      <c r="C801" t="s">
        <v>129</v>
      </c>
      <c r="D801" s="9">
        <v>40805.613680555558</v>
      </c>
      <c r="E801" t="s">
        <v>8</v>
      </c>
      <c r="F801">
        <f t="shared" ca="1" si="24"/>
        <v>3.3611111111111112</v>
      </c>
      <c r="G801">
        <f t="shared" ca="1" si="25"/>
        <v>0</v>
      </c>
    </row>
    <row r="802" spans="1:7">
      <c r="A802">
        <v>2913</v>
      </c>
      <c r="B802" t="s">
        <v>111</v>
      </c>
      <c r="C802" t="s">
        <v>132</v>
      </c>
      <c r="D802" s="9">
        <v>40668.705625000002</v>
      </c>
      <c r="E802" t="s">
        <v>8</v>
      </c>
      <c r="F802">
        <f t="shared" ca="1" si="24"/>
        <v>3.7333333333333334</v>
      </c>
      <c r="G802">
        <f t="shared" ca="1" si="25"/>
        <v>0</v>
      </c>
    </row>
    <row r="803" spans="1:7">
      <c r="A803">
        <v>2914</v>
      </c>
      <c r="B803" t="s">
        <v>38</v>
      </c>
      <c r="C803" t="s">
        <v>132</v>
      </c>
      <c r="D803" s="9">
        <v>40668.651435185187</v>
      </c>
      <c r="E803" t="s">
        <v>8</v>
      </c>
      <c r="F803">
        <f t="shared" ca="1" si="24"/>
        <v>3.7333333333333334</v>
      </c>
      <c r="G803">
        <f t="shared" ca="1" si="25"/>
        <v>0</v>
      </c>
    </row>
    <row r="804" spans="1:7">
      <c r="A804">
        <v>2915</v>
      </c>
      <c r="B804" t="s">
        <v>38</v>
      </c>
      <c r="C804" t="s">
        <v>132</v>
      </c>
      <c r="D804" s="9">
        <v>40668.715729166666</v>
      </c>
      <c r="E804" t="s">
        <v>8</v>
      </c>
      <c r="F804">
        <f t="shared" ca="1" si="24"/>
        <v>3.7333333333333334</v>
      </c>
      <c r="G804">
        <f t="shared" ca="1" si="25"/>
        <v>0</v>
      </c>
    </row>
    <row r="805" spans="1:7">
      <c r="A805">
        <v>2921</v>
      </c>
      <c r="B805" t="s">
        <v>111</v>
      </c>
      <c r="C805" t="s">
        <v>128</v>
      </c>
      <c r="D805" s="9">
        <v>40917.494375000002</v>
      </c>
      <c r="E805" t="s">
        <v>37</v>
      </c>
      <c r="F805">
        <f t="shared" ca="1" si="24"/>
        <v>3.0555555555555554</v>
      </c>
      <c r="G805">
        <f t="shared" ca="1" si="25"/>
        <v>0</v>
      </c>
    </row>
    <row r="806" spans="1:7">
      <c r="A806">
        <v>2922</v>
      </c>
      <c r="B806" t="s">
        <v>37</v>
      </c>
      <c r="C806" t="s">
        <v>128</v>
      </c>
      <c r="D806" s="9">
        <v>40917.382534722223</v>
      </c>
      <c r="E806" t="s">
        <v>143</v>
      </c>
      <c r="F806">
        <f t="shared" ca="1" si="24"/>
        <v>3.0555555555555554</v>
      </c>
      <c r="G806">
        <f t="shared" ca="1" si="25"/>
        <v>0</v>
      </c>
    </row>
    <row r="807" spans="1:7">
      <c r="A807">
        <v>2926</v>
      </c>
      <c r="B807" t="s">
        <v>34</v>
      </c>
      <c r="C807" t="s">
        <v>128</v>
      </c>
      <c r="D807" s="9">
        <v>40918.719386574077</v>
      </c>
      <c r="E807" t="s">
        <v>38</v>
      </c>
      <c r="F807">
        <f t="shared" ca="1" si="24"/>
        <v>3.0527777777777776</v>
      </c>
      <c r="G807">
        <f t="shared" ca="1" si="25"/>
        <v>0</v>
      </c>
    </row>
    <row r="808" spans="1:7">
      <c r="A808">
        <v>2933</v>
      </c>
      <c r="B808" t="s">
        <v>11</v>
      </c>
      <c r="C808" t="s">
        <v>130</v>
      </c>
      <c r="D808" s="9">
        <v>40721.378194444442</v>
      </c>
      <c r="E808" t="s">
        <v>8</v>
      </c>
      <c r="F808">
        <f t="shared" ca="1" si="24"/>
        <v>3.588888888888889</v>
      </c>
      <c r="G808">
        <f t="shared" ca="1" si="25"/>
        <v>0</v>
      </c>
    </row>
    <row r="809" spans="1:7">
      <c r="A809">
        <v>2945</v>
      </c>
      <c r="B809" t="s">
        <v>8</v>
      </c>
      <c r="C809" t="s">
        <v>130</v>
      </c>
      <c r="D809" s="9">
        <v>40721.509930555556</v>
      </c>
      <c r="E809" t="s">
        <v>44</v>
      </c>
      <c r="F809">
        <f t="shared" ca="1" si="24"/>
        <v>3.588888888888889</v>
      </c>
      <c r="G809">
        <f t="shared" ca="1" si="25"/>
        <v>0</v>
      </c>
    </row>
    <row r="810" spans="1:7">
      <c r="A810">
        <v>2949</v>
      </c>
      <c r="B810" t="s">
        <v>99</v>
      </c>
      <c r="C810" t="s">
        <v>130</v>
      </c>
      <c r="D810" s="9">
        <v>40721.38690972222</v>
      </c>
      <c r="E810" t="s">
        <v>34</v>
      </c>
      <c r="F810">
        <f t="shared" ca="1" si="24"/>
        <v>3.588888888888889</v>
      </c>
      <c r="G810">
        <f t="shared" ca="1" si="25"/>
        <v>0</v>
      </c>
    </row>
    <row r="811" spans="1:7">
      <c r="A811">
        <v>2950</v>
      </c>
      <c r="B811" t="s">
        <v>99</v>
      </c>
      <c r="C811" t="s">
        <v>130</v>
      </c>
      <c r="D811" s="9">
        <v>40721.411516203705</v>
      </c>
      <c r="E811" t="s">
        <v>34</v>
      </c>
      <c r="F811">
        <f t="shared" ca="1" si="24"/>
        <v>3.588888888888889</v>
      </c>
      <c r="G811">
        <f t="shared" ca="1" si="25"/>
        <v>0</v>
      </c>
    </row>
    <row r="812" spans="1:7">
      <c r="A812">
        <v>2953</v>
      </c>
      <c r="B812" t="s">
        <v>99</v>
      </c>
      <c r="C812" t="s">
        <v>130</v>
      </c>
      <c r="D812" s="9">
        <v>40721.414942129632</v>
      </c>
      <c r="E812" t="s">
        <v>34</v>
      </c>
      <c r="F812">
        <f t="shared" ca="1" si="24"/>
        <v>3.588888888888889</v>
      </c>
      <c r="G812">
        <f t="shared" ca="1" si="25"/>
        <v>0</v>
      </c>
    </row>
    <row r="813" spans="1:7">
      <c r="A813">
        <v>2955</v>
      </c>
      <c r="B813" t="s">
        <v>27</v>
      </c>
      <c r="C813" t="s">
        <v>130</v>
      </c>
      <c r="D813" s="9">
        <v>40721.338888888888</v>
      </c>
      <c r="E813" t="s">
        <v>19</v>
      </c>
      <c r="F813">
        <f t="shared" ca="1" si="24"/>
        <v>3.588888888888889</v>
      </c>
      <c r="G813">
        <f t="shared" ca="1" si="25"/>
        <v>0</v>
      </c>
    </row>
    <row r="814" spans="1:7">
      <c r="A814">
        <v>2986</v>
      </c>
      <c r="B814" t="s">
        <v>23</v>
      </c>
      <c r="C814" t="s">
        <v>130</v>
      </c>
      <c r="D814" s="9">
        <v>40721.68476851852</v>
      </c>
      <c r="E814" t="s">
        <v>38</v>
      </c>
      <c r="F814">
        <f t="shared" ca="1" si="24"/>
        <v>3.588888888888889</v>
      </c>
      <c r="G814">
        <f t="shared" ca="1" si="25"/>
        <v>0</v>
      </c>
    </row>
    <row r="815" spans="1:7">
      <c r="A815">
        <v>2992</v>
      </c>
      <c r="B815" t="s">
        <v>34</v>
      </c>
      <c r="C815" t="s">
        <v>130</v>
      </c>
      <c r="D815" s="9">
        <v>40721.758819444447</v>
      </c>
      <c r="E815" t="s">
        <v>36</v>
      </c>
      <c r="F815">
        <f t="shared" ca="1" si="24"/>
        <v>3.588888888888889</v>
      </c>
      <c r="G815">
        <f t="shared" ca="1" si="25"/>
        <v>0</v>
      </c>
    </row>
    <row r="816" spans="1:7">
      <c r="A816">
        <v>2993</v>
      </c>
      <c r="B816" t="s">
        <v>34</v>
      </c>
      <c r="C816" t="s">
        <v>130</v>
      </c>
      <c r="D816" s="9">
        <v>40721.751921296294</v>
      </c>
      <c r="E816" t="s">
        <v>36</v>
      </c>
      <c r="F816">
        <f t="shared" ca="1" si="24"/>
        <v>3.588888888888889</v>
      </c>
      <c r="G816">
        <f t="shared" ca="1" si="25"/>
        <v>0</v>
      </c>
    </row>
    <row r="817" spans="1:7">
      <c r="A817">
        <v>2994</v>
      </c>
      <c r="B817" t="s">
        <v>34</v>
      </c>
      <c r="C817" t="s">
        <v>130</v>
      </c>
      <c r="D817" s="9">
        <v>40721.694363425922</v>
      </c>
      <c r="E817" t="s">
        <v>112</v>
      </c>
      <c r="F817">
        <f t="shared" ca="1" si="24"/>
        <v>3.588888888888889</v>
      </c>
      <c r="G817">
        <f t="shared" ca="1" si="25"/>
        <v>0</v>
      </c>
    </row>
    <row r="818" spans="1:7">
      <c r="A818">
        <v>3012</v>
      </c>
      <c r="B818" t="s">
        <v>37</v>
      </c>
      <c r="C818" t="s">
        <v>128</v>
      </c>
      <c r="D818" s="9">
        <v>40919.649155092593</v>
      </c>
      <c r="E818" t="s">
        <v>143</v>
      </c>
      <c r="F818">
        <f t="shared" ca="1" si="24"/>
        <v>3.05</v>
      </c>
      <c r="G818">
        <f t="shared" ca="1" si="25"/>
        <v>0</v>
      </c>
    </row>
    <row r="819" spans="1:7">
      <c r="A819">
        <v>3028</v>
      </c>
      <c r="B819" t="s">
        <v>99</v>
      </c>
      <c r="C819" t="s">
        <v>130</v>
      </c>
      <c r="D819" s="9">
        <v>40721.417013888888</v>
      </c>
      <c r="E819" t="s">
        <v>34</v>
      </c>
      <c r="F819">
        <f t="shared" ca="1" si="24"/>
        <v>3.588888888888889</v>
      </c>
      <c r="G819">
        <f t="shared" ca="1" si="25"/>
        <v>0</v>
      </c>
    </row>
    <row r="820" spans="1:7">
      <c r="A820">
        <v>3042</v>
      </c>
      <c r="B820" t="s">
        <v>34</v>
      </c>
      <c r="C820" t="s">
        <v>129</v>
      </c>
      <c r="D820" s="9">
        <v>40805.550891203704</v>
      </c>
      <c r="E820" t="s">
        <v>112</v>
      </c>
      <c r="F820">
        <f t="shared" ca="1" si="24"/>
        <v>3.3611111111111112</v>
      </c>
      <c r="G820">
        <f t="shared" ca="1" si="25"/>
        <v>0</v>
      </c>
    </row>
    <row r="821" spans="1:7">
      <c r="A821">
        <v>3043</v>
      </c>
      <c r="B821" t="s">
        <v>8</v>
      </c>
      <c r="C821" t="s">
        <v>123</v>
      </c>
      <c r="D821" s="9">
        <v>41303.60396990741</v>
      </c>
      <c r="E821" t="s">
        <v>34</v>
      </c>
      <c r="F821">
        <f t="shared" ca="1" si="24"/>
        <v>2</v>
      </c>
      <c r="G821">
        <f t="shared" ca="1" si="25"/>
        <v>0</v>
      </c>
    </row>
    <row r="822" spans="1:7">
      <c r="A822">
        <v>3046</v>
      </c>
      <c r="B822" t="s">
        <v>34</v>
      </c>
      <c r="C822" t="s">
        <v>129</v>
      </c>
      <c r="D822" s="9">
        <v>40805.397615740738</v>
      </c>
      <c r="E822" t="s">
        <v>8</v>
      </c>
      <c r="F822">
        <f t="shared" ca="1" si="24"/>
        <v>3.3611111111111112</v>
      </c>
      <c r="G822">
        <f t="shared" ca="1" si="25"/>
        <v>0</v>
      </c>
    </row>
    <row r="823" spans="1:7">
      <c r="A823">
        <v>3052</v>
      </c>
      <c r="B823" t="s">
        <v>8</v>
      </c>
      <c r="C823" t="s">
        <v>130</v>
      </c>
      <c r="D823" s="9">
        <v>40721.430115740739</v>
      </c>
      <c r="E823" t="s">
        <v>34</v>
      </c>
      <c r="F823">
        <f t="shared" ca="1" si="24"/>
        <v>3.588888888888889</v>
      </c>
      <c r="G823">
        <f t="shared" ca="1" si="25"/>
        <v>0</v>
      </c>
    </row>
    <row r="824" spans="1:7">
      <c r="A824">
        <v>3053</v>
      </c>
      <c r="B824" t="s">
        <v>101</v>
      </c>
      <c r="C824" t="s">
        <v>130</v>
      </c>
      <c r="D824" s="9">
        <v>40722.458483796298</v>
      </c>
      <c r="E824" t="s">
        <v>44</v>
      </c>
      <c r="F824">
        <f t="shared" ca="1" si="24"/>
        <v>3.5861111111111112</v>
      </c>
      <c r="G824">
        <f t="shared" ca="1" si="25"/>
        <v>0</v>
      </c>
    </row>
    <row r="825" spans="1:7">
      <c r="A825">
        <v>3058</v>
      </c>
      <c r="B825" t="s">
        <v>101</v>
      </c>
      <c r="C825" t="s">
        <v>130</v>
      </c>
      <c r="D825" s="9">
        <v>40722.524664351855</v>
      </c>
      <c r="E825" t="s">
        <v>34</v>
      </c>
      <c r="F825">
        <f t="shared" ca="1" si="24"/>
        <v>3.5861111111111112</v>
      </c>
      <c r="G825">
        <f t="shared" ca="1" si="25"/>
        <v>0</v>
      </c>
    </row>
    <row r="826" spans="1:7">
      <c r="A826">
        <v>3061</v>
      </c>
      <c r="B826" t="s">
        <v>34</v>
      </c>
      <c r="C826" t="s">
        <v>129</v>
      </c>
      <c r="D826" s="9">
        <v>40805.669131944444</v>
      </c>
      <c r="E826" t="s">
        <v>37</v>
      </c>
      <c r="F826">
        <f t="shared" ca="1" si="24"/>
        <v>3.3611111111111112</v>
      </c>
      <c r="G826">
        <f t="shared" ca="1" si="25"/>
        <v>0</v>
      </c>
    </row>
    <row r="827" spans="1:7">
      <c r="A827">
        <v>3075</v>
      </c>
      <c r="B827" t="s">
        <v>99</v>
      </c>
      <c r="C827" t="s">
        <v>130</v>
      </c>
      <c r="D827" s="9">
        <v>40721.444467592592</v>
      </c>
      <c r="E827" t="s">
        <v>34</v>
      </c>
      <c r="F827">
        <f t="shared" ca="1" si="24"/>
        <v>3.588888888888889</v>
      </c>
      <c r="G827">
        <f t="shared" ca="1" si="25"/>
        <v>0</v>
      </c>
    </row>
    <row r="828" spans="1:7">
      <c r="A828">
        <v>3076</v>
      </c>
      <c r="B828" t="s">
        <v>11</v>
      </c>
      <c r="C828" t="s">
        <v>128</v>
      </c>
      <c r="D828" s="9">
        <v>40921.42527777778</v>
      </c>
      <c r="E828" t="s">
        <v>104</v>
      </c>
      <c r="F828">
        <f t="shared" ca="1" si="24"/>
        <v>3.0444444444444443</v>
      </c>
      <c r="G828">
        <f t="shared" ca="1" si="25"/>
        <v>0</v>
      </c>
    </row>
    <row r="829" spans="1:7">
      <c r="A829">
        <v>3077</v>
      </c>
      <c r="B829" t="s">
        <v>99</v>
      </c>
      <c r="C829" t="s">
        <v>130</v>
      </c>
      <c r="D829" s="9">
        <v>40721.944409722222</v>
      </c>
      <c r="E829" t="s">
        <v>36</v>
      </c>
      <c r="F829">
        <f t="shared" ca="1" si="24"/>
        <v>3.588888888888889</v>
      </c>
      <c r="G829">
        <f t="shared" ca="1" si="25"/>
        <v>0</v>
      </c>
    </row>
    <row r="830" spans="1:7">
      <c r="A830">
        <v>3078</v>
      </c>
      <c r="B830" t="s">
        <v>101</v>
      </c>
      <c r="C830" t="s">
        <v>129</v>
      </c>
      <c r="D830" s="9">
        <v>40805.405277777776</v>
      </c>
      <c r="E830" t="s">
        <v>44</v>
      </c>
      <c r="F830">
        <f t="shared" ca="1" si="24"/>
        <v>3.3611111111111112</v>
      </c>
      <c r="G830">
        <f t="shared" ca="1" si="25"/>
        <v>0</v>
      </c>
    </row>
    <row r="831" spans="1:7">
      <c r="A831">
        <v>3106</v>
      </c>
      <c r="B831" t="s">
        <v>8</v>
      </c>
      <c r="C831" t="s">
        <v>130</v>
      </c>
      <c r="D831" s="9">
        <v>40721.726238425923</v>
      </c>
      <c r="E831" t="s">
        <v>101</v>
      </c>
      <c r="F831">
        <f t="shared" ca="1" si="24"/>
        <v>3.588888888888889</v>
      </c>
      <c r="G831">
        <f t="shared" ca="1" si="25"/>
        <v>0</v>
      </c>
    </row>
    <row r="832" spans="1:7">
      <c r="A832">
        <v>3108</v>
      </c>
      <c r="B832" t="s">
        <v>19</v>
      </c>
      <c r="C832" t="s">
        <v>130</v>
      </c>
      <c r="D832" s="9">
        <v>40721.612928240742</v>
      </c>
      <c r="E832" t="s">
        <v>27</v>
      </c>
      <c r="F832">
        <f t="shared" ca="1" si="24"/>
        <v>3.588888888888889</v>
      </c>
      <c r="G832">
        <f t="shared" ca="1" si="25"/>
        <v>0</v>
      </c>
    </row>
    <row r="833" spans="1:7">
      <c r="A833">
        <v>3119</v>
      </c>
      <c r="B833" t="s">
        <v>99</v>
      </c>
      <c r="C833" t="s">
        <v>130</v>
      </c>
      <c r="D833" s="9">
        <v>40721.501122685186</v>
      </c>
      <c r="E833" t="s">
        <v>19</v>
      </c>
      <c r="F833">
        <f t="shared" ca="1" si="24"/>
        <v>3.588888888888889</v>
      </c>
      <c r="G833">
        <f t="shared" ca="1" si="25"/>
        <v>0</v>
      </c>
    </row>
    <row r="834" spans="1:7">
      <c r="A834">
        <v>3122</v>
      </c>
      <c r="B834" t="s">
        <v>99</v>
      </c>
      <c r="C834" t="s">
        <v>129</v>
      </c>
      <c r="D834" s="9">
        <v>40808.788090277776</v>
      </c>
      <c r="E834" t="s">
        <v>38</v>
      </c>
      <c r="F834">
        <f t="shared" ca="1" si="24"/>
        <v>3.3527777777777779</v>
      </c>
      <c r="G834">
        <f t="shared" ca="1" si="25"/>
        <v>0</v>
      </c>
    </row>
    <row r="835" spans="1:7">
      <c r="A835">
        <v>3126</v>
      </c>
      <c r="B835" t="s">
        <v>99</v>
      </c>
      <c r="C835" t="s">
        <v>130</v>
      </c>
      <c r="D835" s="9">
        <v>40721.641261574077</v>
      </c>
      <c r="E835" t="s">
        <v>19</v>
      </c>
      <c r="F835">
        <f t="shared" ref="F835:F898" ca="1" si="26">YEARFRAC(TODAY(),$D835)</f>
        <v>3.588888888888889</v>
      </c>
      <c r="G835">
        <f t="shared" ref="G835:G898" ca="1" si="27">IF($F835&lt;1,1,0)</f>
        <v>0</v>
      </c>
    </row>
    <row r="836" spans="1:7">
      <c r="A836">
        <v>3130</v>
      </c>
      <c r="B836" t="s">
        <v>99</v>
      </c>
      <c r="C836" t="s">
        <v>129</v>
      </c>
      <c r="D836" s="9">
        <v>40805.563263888886</v>
      </c>
      <c r="E836" t="s">
        <v>19</v>
      </c>
      <c r="F836">
        <f t="shared" ca="1" si="26"/>
        <v>3.3611111111111112</v>
      </c>
      <c r="G836">
        <f t="shared" ca="1" si="27"/>
        <v>0</v>
      </c>
    </row>
    <row r="837" spans="1:7">
      <c r="A837">
        <v>3135</v>
      </c>
      <c r="B837" t="s">
        <v>99</v>
      </c>
      <c r="C837" t="s">
        <v>130</v>
      </c>
      <c r="D837" s="9">
        <v>40721.707337962966</v>
      </c>
      <c r="E837" t="s">
        <v>19</v>
      </c>
      <c r="F837">
        <f t="shared" ca="1" si="26"/>
        <v>3.588888888888889</v>
      </c>
      <c r="G837">
        <f t="shared" ca="1" si="27"/>
        <v>0</v>
      </c>
    </row>
    <row r="838" spans="1:7">
      <c r="A838">
        <v>3142</v>
      </c>
      <c r="B838" t="s">
        <v>30</v>
      </c>
      <c r="C838" t="s">
        <v>128</v>
      </c>
      <c r="D838" s="9">
        <v>40917.433206018519</v>
      </c>
      <c r="E838" t="s">
        <v>37</v>
      </c>
      <c r="F838">
        <f t="shared" ca="1" si="26"/>
        <v>3.0555555555555554</v>
      </c>
      <c r="G838">
        <f t="shared" ca="1" si="27"/>
        <v>0</v>
      </c>
    </row>
    <row r="839" spans="1:7">
      <c r="A839">
        <v>3148</v>
      </c>
      <c r="B839" t="s">
        <v>111</v>
      </c>
      <c r="C839" t="s">
        <v>130</v>
      </c>
      <c r="D839" s="9">
        <v>40721.369837962964</v>
      </c>
      <c r="E839" t="s">
        <v>44</v>
      </c>
      <c r="F839">
        <f t="shared" ca="1" si="26"/>
        <v>3.588888888888889</v>
      </c>
      <c r="G839">
        <f t="shared" ca="1" si="27"/>
        <v>0</v>
      </c>
    </row>
    <row r="840" spans="1:7">
      <c r="A840">
        <v>3167</v>
      </c>
      <c r="B840" t="s">
        <v>101</v>
      </c>
      <c r="C840" t="s">
        <v>130</v>
      </c>
      <c r="D840" s="9">
        <v>40722.9143287037</v>
      </c>
      <c r="E840" t="s">
        <v>111</v>
      </c>
      <c r="F840">
        <f t="shared" ca="1" si="26"/>
        <v>3.5861111111111112</v>
      </c>
      <c r="G840">
        <f t="shared" ca="1" si="27"/>
        <v>0</v>
      </c>
    </row>
    <row r="841" spans="1:7">
      <c r="A841">
        <v>3174</v>
      </c>
      <c r="B841" t="s">
        <v>34</v>
      </c>
      <c r="C841" t="s">
        <v>129</v>
      </c>
      <c r="D841" s="9">
        <v>40807.798981481479</v>
      </c>
      <c r="E841" t="s">
        <v>20</v>
      </c>
      <c r="F841">
        <f t="shared" ca="1" si="26"/>
        <v>3.3555555555555556</v>
      </c>
      <c r="G841">
        <f t="shared" ca="1" si="27"/>
        <v>0</v>
      </c>
    </row>
    <row r="842" spans="1:7">
      <c r="A842">
        <v>3175</v>
      </c>
      <c r="B842" t="s">
        <v>8</v>
      </c>
      <c r="C842" t="s">
        <v>130</v>
      </c>
      <c r="D842" s="9">
        <v>40721.602280092593</v>
      </c>
      <c r="E842" t="s">
        <v>19</v>
      </c>
      <c r="F842">
        <f t="shared" ca="1" si="26"/>
        <v>3.588888888888889</v>
      </c>
      <c r="G842">
        <f t="shared" ca="1" si="27"/>
        <v>0</v>
      </c>
    </row>
    <row r="843" spans="1:7">
      <c r="A843">
        <v>3192</v>
      </c>
      <c r="B843" t="s">
        <v>37</v>
      </c>
      <c r="C843" t="s">
        <v>128</v>
      </c>
      <c r="D843" s="9">
        <v>40919.198842592596</v>
      </c>
      <c r="E843" t="s">
        <v>36</v>
      </c>
      <c r="F843">
        <f t="shared" ca="1" si="26"/>
        <v>3.05</v>
      </c>
      <c r="G843">
        <f t="shared" ca="1" si="27"/>
        <v>0</v>
      </c>
    </row>
    <row r="844" spans="1:7">
      <c r="A844">
        <v>3199</v>
      </c>
      <c r="B844" t="s">
        <v>101</v>
      </c>
      <c r="C844" t="s">
        <v>130</v>
      </c>
      <c r="D844" s="9">
        <v>40805.398819444446</v>
      </c>
      <c r="E844" t="s">
        <v>44</v>
      </c>
      <c r="F844">
        <f t="shared" ca="1" si="26"/>
        <v>3.3611111111111112</v>
      </c>
      <c r="G844">
        <f t="shared" ca="1" si="27"/>
        <v>0</v>
      </c>
    </row>
    <row r="845" spans="1:7">
      <c r="A845">
        <v>3206</v>
      </c>
      <c r="B845" t="s">
        <v>112</v>
      </c>
      <c r="C845" t="s">
        <v>130</v>
      </c>
      <c r="D845" s="9">
        <v>40722.867824074077</v>
      </c>
      <c r="E845" t="s">
        <v>38</v>
      </c>
      <c r="F845">
        <f t="shared" ca="1" si="26"/>
        <v>3.5861111111111112</v>
      </c>
      <c r="G845">
        <f t="shared" ca="1" si="27"/>
        <v>0</v>
      </c>
    </row>
    <row r="846" spans="1:7">
      <c r="A846">
        <v>3208</v>
      </c>
      <c r="B846" t="s">
        <v>36</v>
      </c>
      <c r="C846" t="s">
        <v>126</v>
      </c>
      <c r="D846" s="9">
        <v>41130.843356481484</v>
      </c>
      <c r="E846" t="s">
        <v>27</v>
      </c>
      <c r="F846">
        <f t="shared" ca="1" si="26"/>
        <v>2.4722222222222223</v>
      </c>
      <c r="G846">
        <f t="shared" ca="1" si="27"/>
        <v>0</v>
      </c>
    </row>
    <row r="847" spans="1:7">
      <c r="A847">
        <v>3236</v>
      </c>
      <c r="B847" t="s">
        <v>19</v>
      </c>
      <c r="C847" t="s">
        <v>130</v>
      </c>
      <c r="D847" s="9">
        <v>40723.758518518516</v>
      </c>
      <c r="E847" t="s">
        <v>27</v>
      </c>
      <c r="F847">
        <f t="shared" ca="1" si="26"/>
        <v>3.5833333333333335</v>
      </c>
      <c r="G847">
        <f t="shared" ca="1" si="27"/>
        <v>0</v>
      </c>
    </row>
    <row r="848" spans="1:7">
      <c r="A848">
        <v>3240</v>
      </c>
      <c r="B848" t="s">
        <v>34</v>
      </c>
      <c r="C848" t="s">
        <v>130</v>
      </c>
      <c r="D848" s="9">
        <v>40721.767743055556</v>
      </c>
      <c r="E848" t="s">
        <v>32</v>
      </c>
      <c r="F848">
        <f t="shared" ca="1" si="26"/>
        <v>3.588888888888889</v>
      </c>
      <c r="G848">
        <f t="shared" ca="1" si="27"/>
        <v>0</v>
      </c>
    </row>
    <row r="849" spans="1:7">
      <c r="A849">
        <v>3243</v>
      </c>
      <c r="B849" t="s">
        <v>8</v>
      </c>
      <c r="C849" t="s">
        <v>129</v>
      </c>
      <c r="D849" s="9">
        <v>40807.763831018521</v>
      </c>
      <c r="E849" t="s">
        <v>38</v>
      </c>
      <c r="F849">
        <f t="shared" ca="1" si="26"/>
        <v>3.3555555555555556</v>
      </c>
      <c r="G849">
        <f t="shared" ca="1" si="27"/>
        <v>0</v>
      </c>
    </row>
    <row r="850" spans="1:7">
      <c r="A850">
        <v>3286</v>
      </c>
      <c r="B850" t="s">
        <v>21</v>
      </c>
      <c r="C850" t="s">
        <v>129</v>
      </c>
      <c r="D850" s="9">
        <v>40805.822222222225</v>
      </c>
      <c r="E850" t="s">
        <v>32</v>
      </c>
      <c r="F850">
        <f t="shared" ca="1" si="26"/>
        <v>3.3611111111111112</v>
      </c>
      <c r="G850">
        <f t="shared" ca="1" si="27"/>
        <v>0</v>
      </c>
    </row>
    <row r="851" spans="1:7">
      <c r="A851">
        <v>3298</v>
      </c>
      <c r="B851" t="s">
        <v>27</v>
      </c>
      <c r="C851" t="s">
        <v>129</v>
      </c>
      <c r="D851" s="9">
        <v>40805.733680555553</v>
      </c>
      <c r="E851" t="s">
        <v>37</v>
      </c>
      <c r="F851">
        <f t="shared" ca="1" si="26"/>
        <v>3.3611111111111112</v>
      </c>
      <c r="G851">
        <f t="shared" ca="1" si="27"/>
        <v>0</v>
      </c>
    </row>
    <row r="852" spans="1:7">
      <c r="A852">
        <v>3299</v>
      </c>
      <c r="B852" t="s">
        <v>8</v>
      </c>
      <c r="C852" t="s">
        <v>129</v>
      </c>
      <c r="D852" s="9">
        <v>40805.701273148145</v>
      </c>
      <c r="E852" t="s">
        <v>111</v>
      </c>
      <c r="F852">
        <f t="shared" ca="1" si="26"/>
        <v>3.3611111111111112</v>
      </c>
      <c r="G852">
        <f t="shared" ca="1" si="27"/>
        <v>0</v>
      </c>
    </row>
    <row r="853" spans="1:7">
      <c r="A853">
        <v>3312</v>
      </c>
      <c r="B853" t="s">
        <v>8</v>
      </c>
      <c r="C853" t="s">
        <v>129</v>
      </c>
      <c r="D853" s="9">
        <v>40805.613136574073</v>
      </c>
      <c r="E853" t="s">
        <v>34</v>
      </c>
      <c r="F853">
        <f t="shared" ca="1" si="26"/>
        <v>3.3611111111111112</v>
      </c>
      <c r="G853">
        <f t="shared" ca="1" si="27"/>
        <v>0</v>
      </c>
    </row>
    <row r="854" spans="1:7">
      <c r="A854">
        <v>3315</v>
      </c>
      <c r="B854" t="s">
        <v>19</v>
      </c>
      <c r="C854" t="s">
        <v>129</v>
      </c>
      <c r="D854" s="9">
        <v>40808.585162037038</v>
      </c>
      <c r="E854" t="s">
        <v>37</v>
      </c>
      <c r="F854">
        <f t="shared" ca="1" si="26"/>
        <v>3.3527777777777779</v>
      </c>
      <c r="G854">
        <f t="shared" ca="1" si="27"/>
        <v>0</v>
      </c>
    </row>
    <row r="855" spans="1:7">
      <c r="A855">
        <v>3334</v>
      </c>
      <c r="B855" t="s">
        <v>34</v>
      </c>
      <c r="C855" t="s">
        <v>129</v>
      </c>
      <c r="D855" s="9">
        <v>40805.805671296293</v>
      </c>
      <c r="E855" t="s">
        <v>11</v>
      </c>
      <c r="F855">
        <f t="shared" ca="1" si="26"/>
        <v>3.3611111111111112</v>
      </c>
      <c r="G855">
        <f t="shared" ca="1" si="27"/>
        <v>0</v>
      </c>
    </row>
    <row r="856" spans="1:7">
      <c r="A856">
        <v>3344</v>
      </c>
      <c r="B856" t="s">
        <v>29</v>
      </c>
      <c r="C856" t="s">
        <v>120</v>
      </c>
      <c r="D856" s="9">
        <v>41502.85052083333</v>
      </c>
      <c r="E856" t="s">
        <v>11</v>
      </c>
      <c r="F856">
        <f t="shared" ca="1" si="26"/>
        <v>1.4527777777777777</v>
      </c>
      <c r="G856">
        <f t="shared" ca="1" si="27"/>
        <v>0</v>
      </c>
    </row>
    <row r="857" spans="1:7">
      <c r="A857">
        <v>3347</v>
      </c>
      <c r="B857" t="s">
        <v>37</v>
      </c>
      <c r="C857" t="s">
        <v>128</v>
      </c>
      <c r="D857" s="9">
        <v>40917.587569444448</v>
      </c>
      <c r="E857" t="s">
        <v>143</v>
      </c>
      <c r="F857">
        <f t="shared" ca="1" si="26"/>
        <v>3.0555555555555554</v>
      </c>
      <c r="G857">
        <f t="shared" ca="1" si="27"/>
        <v>0</v>
      </c>
    </row>
    <row r="858" spans="1:7">
      <c r="A858">
        <v>3368</v>
      </c>
      <c r="B858" t="s">
        <v>38</v>
      </c>
      <c r="C858" t="s">
        <v>129</v>
      </c>
      <c r="D858" s="9">
        <v>40806.38789351852</v>
      </c>
      <c r="E858" t="s">
        <v>36</v>
      </c>
      <c r="F858">
        <f t="shared" ca="1" si="26"/>
        <v>3.3583333333333334</v>
      </c>
      <c r="G858">
        <f t="shared" ca="1" si="27"/>
        <v>0</v>
      </c>
    </row>
    <row r="859" spans="1:7">
      <c r="A859">
        <v>3369</v>
      </c>
      <c r="B859" t="s">
        <v>99</v>
      </c>
      <c r="C859" t="s">
        <v>129</v>
      </c>
      <c r="D859" s="9">
        <v>40806.388645833336</v>
      </c>
      <c r="E859" t="s">
        <v>19</v>
      </c>
      <c r="F859">
        <f t="shared" ca="1" si="26"/>
        <v>3.3583333333333334</v>
      </c>
      <c r="G859">
        <f t="shared" ca="1" si="27"/>
        <v>0</v>
      </c>
    </row>
    <row r="860" spans="1:7">
      <c r="A860">
        <v>3373</v>
      </c>
      <c r="B860" t="s">
        <v>19</v>
      </c>
      <c r="C860" t="s">
        <v>129</v>
      </c>
      <c r="D860" s="9">
        <v>40806.657766203702</v>
      </c>
      <c r="E860" t="s">
        <v>99</v>
      </c>
      <c r="F860">
        <f t="shared" ca="1" si="26"/>
        <v>3.3583333333333334</v>
      </c>
      <c r="G860">
        <f t="shared" ca="1" si="27"/>
        <v>0</v>
      </c>
    </row>
    <row r="861" spans="1:7">
      <c r="A861">
        <v>3376</v>
      </c>
      <c r="B861" t="s">
        <v>99</v>
      </c>
      <c r="C861" t="s">
        <v>129</v>
      </c>
      <c r="D861" s="9">
        <v>40805.435347222221</v>
      </c>
      <c r="E861" t="s">
        <v>19</v>
      </c>
      <c r="F861">
        <f t="shared" ca="1" si="26"/>
        <v>3.3611111111111112</v>
      </c>
      <c r="G861">
        <f t="shared" ca="1" si="27"/>
        <v>0</v>
      </c>
    </row>
    <row r="862" spans="1:7">
      <c r="A862">
        <v>3383</v>
      </c>
      <c r="B862" t="s">
        <v>34</v>
      </c>
      <c r="C862" t="s">
        <v>129</v>
      </c>
      <c r="D862" s="9">
        <v>40805.773460648146</v>
      </c>
      <c r="E862" t="s">
        <v>99</v>
      </c>
      <c r="F862">
        <f t="shared" ca="1" si="26"/>
        <v>3.3611111111111112</v>
      </c>
      <c r="G862">
        <f t="shared" ca="1" si="27"/>
        <v>0</v>
      </c>
    </row>
    <row r="863" spans="1:7">
      <c r="A863">
        <v>3391</v>
      </c>
      <c r="B863" t="s">
        <v>19</v>
      </c>
      <c r="C863" t="s">
        <v>129</v>
      </c>
      <c r="D863" s="9">
        <v>40805.680659722224</v>
      </c>
      <c r="E863" t="s">
        <v>99</v>
      </c>
      <c r="F863">
        <f t="shared" ca="1" si="26"/>
        <v>3.3611111111111112</v>
      </c>
      <c r="G863">
        <f t="shared" ca="1" si="27"/>
        <v>0</v>
      </c>
    </row>
    <row r="864" spans="1:7">
      <c r="A864">
        <v>3398</v>
      </c>
      <c r="B864" t="s">
        <v>34</v>
      </c>
      <c r="C864" t="s">
        <v>129</v>
      </c>
      <c r="D864" s="9">
        <v>40805.450266203705</v>
      </c>
      <c r="E864" t="s">
        <v>8</v>
      </c>
      <c r="F864">
        <f t="shared" ca="1" si="26"/>
        <v>3.3611111111111112</v>
      </c>
      <c r="G864">
        <f t="shared" ca="1" si="27"/>
        <v>0</v>
      </c>
    </row>
    <row r="865" spans="1:7">
      <c r="A865">
        <v>3406</v>
      </c>
      <c r="B865" t="s">
        <v>8</v>
      </c>
      <c r="C865" t="s">
        <v>129</v>
      </c>
      <c r="D865" s="9">
        <v>40805.616736111115</v>
      </c>
      <c r="E865" t="s">
        <v>34</v>
      </c>
      <c r="F865">
        <f t="shared" ca="1" si="26"/>
        <v>3.3611111111111112</v>
      </c>
      <c r="G865">
        <f t="shared" ca="1" si="27"/>
        <v>0</v>
      </c>
    </row>
    <row r="866" spans="1:7">
      <c r="A866">
        <v>3407</v>
      </c>
      <c r="B866" t="s">
        <v>8</v>
      </c>
      <c r="C866" t="s">
        <v>122</v>
      </c>
      <c r="D866" s="9">
        <v>41368.611018518517</v>
      </c>
      <c r="E866" t="s">
        <v>20</v>
      </c>
      <c r="F866">
        <f t="shared" ca="1" si="26"/>
        <v>1.8194444444444444</v>
      </c>
      <c r="G866">
        <f t="shared" ca="1" si="27"/>
        <v>0</v>
      </c>
    </row>
    <row r="867" spans="1:7">
      <c r="A867">
        <v>3408</v>
      </c>
      <c r="B867" t="s">
        <v>99</v>
      </c>
      <c r="C867" t="s">
        <v>129</v>
      </c>
      <c r="D867" s="9">
        <v>40805.747106481482</v>
      </c>
      <c r="E867" t="s">
        <v>19</v>
      </c>
      <c r="F867">
        <f t="shared" ca="1" si="26"/>
        <v>3.3611111111111112</v>
      </c>
      <c r="G867">
        <f t="shared" ca="1" si="27"/>
        <v>0</v>
      </c>
    </row>
    <row r="868" spans="1:7">
      <c r="A868">
        <v>3443</v>
      </c>
      <c r="B868" t="s">
        <v>44</v>
      </c>
      <c r="C868" t="s">
        <v>129</v>
      </c>
      <c r="D868" s="9">
        <v>40805.653599537036</v>
      </c>
      <c r="E868" t="s">
        <v>38</v>
      </c>
      <c r="F868">
        <f t="shared" ca="1" si="26"/>
        <v>3.3611111111111112</v>
      </c>
      <c r="G868">
        <f t="shared" ca="1" si="27"/>
        <v>0</v>
      </c>
    </row>
    <row r="869" spans="1:7">
      <c r="A869">
        <v>3445</v>
      </c>
      <c r="B869" t="s">
        <v>99</v>
      </c>
      <c r="C869" t="s">
        <v>129</v>
      </c>
      <c r="D869" s="9">
        <v>40805.803356481483</v>
      </c>
      <c r="E869" t="s">
        <v>21</v>
      </c>
      <c r="F869">
        <f t="shared" ca="1" si="26"/>
        <v>3.3611111111111112</v>
      </c>
      <c r="G869">
        <f t="shared" ca="1" si="27"/>
        <v>0</v>
      </c>
    </row>
    <row r="870" spans="1:7">
      <c r="A870">
        <v>3453</v>
      </c>
      <c r="B870" t="s">
        <v>27</v>
      </c>
      <c r="C870" t="s">
        <v>129</v>
      </c>
      <c r="D870" s="9">
        <v>40805.565381944441</v>
      </c>
      <c r="E870" t="s">
        <v>19</v>
      </c>
      <c r="F870">
        <f t="shared" ca="1" si="26"/>
        <v>3.3611111111111112</v>
      </c>
      <c r="G870">
        <f t="shared" ca="1" si="27"/>
        <v>0</v>
      </c>
    </row>
    <row r="871" spans="1:7">
      <c r="A871">
        <v>3487</v>
      </c>
      <c r="B871" t="s">
        <v>34</v>
      </c>
      <c r="C871" t="s">
        <v>129</v>
      </c>
      <c r="D871" s="9">
        <v>40805.651365740741</v>
      </c>
      <c r="E871" t="s">
        <v>8</v>
      </c>
      <c r="F871">
        <f t="shared" ca="1" si="26"/>
        <v>3.3611111111111112</v>
      </c>
      <c r="G871">
        <f t="shared" ca="1" si="27"/>
        <v>0</v>
      </c>
    </row>
    <row r="872" spans="1:7">
      <c r="A872">
        <v>3501</v>
      </c>
      <c r="B872" t="s">
        <v>37</v>
      </c>
      <c r="C872" t="s">
        <v>129</v>
      </c>
      <c r="D872" s="9">
        <v>40807.578333333331</v>
      </c>
      <c r="E872" t="s">
        <v>112</v>
      </c>
      <c r="F872">
        <f t="shared" ca="1" si="26"/>
        <v>3.3555555555555556</v>
      </c>
      <c r="G872">
        <f t="shared" ca="1" si="27"/>
        <v>0</v>
      </c>
    </row>
    <row r="873" spans="1:7">
      <c r="A873">
        <v>3504</v>
      </c>
      <c r="B873" t="s">
        <v>99</v>
      </c>
      <c r="C873" t="s">
        <v>129</v>
      </c>
      <c r="D873" s="9">
        <v>40806.515451388892</v>
      </c>
      <c r="E873" t="s">
        <v>19</v>
      </c>
      <c r="F873">
        <f t="shared" ca="1" si="26"/>
        <v>3.3583333333333334</v>
      </c>
      <c r="G873">
        <f t="shared" ca="1" si="27"/>
        <v>0</v>
      </c>
    </row>
    <row r="874" spans="1:7">
      <c r="A874">
        <v>3507</v>
      </c>
      <c r="B874" t="s">
        <v>19</v>
      </c>
      <c r="C874" t="s">
        <v>129</v>
      </c>
      <c r="D874" s="9">
        <v>40805.800300925926</v>
      </c>
      <c r="E874" t="s">
        <v>99</v>
      </c>
      <c r="F874">
        <f t="shared" ca="1" si="26"/>
        <v>3.3611111111111112</v>
      </c>
      <c r="G874">
        <f t="shared" ca="1" si="27"/>
        <v>0</v>
      </c>
    </row>
    <row r="875" spans="1:7">
      <c r="A875">
        <v>3511</v>
      </c>
      <c r="B875" t="s">
        <v>34</v>
      </c>
      <c r="C875" t="s">
        <v>129</v>
      </c>
      <c r="D875" s="9">
        <v>40806.865023148152</v>
      </c>
      <c r="E875" t="s">
        <v>99</v>
      </c>
      <c r="F875">
        <f t="shared" ca="1" si="26"/>
        <v>3.3583333333333334</v>
      </c>
      <c r="G875">
        <f t="shared" ca="1" si="27"/>
        <v>0</v>
      </c>
    </row>
    <row r="876" spans="1:7">
      <c r="A876">
        <v>3512</v>
      </c>
      <c r="B876" t="s">
        <v>34</v>
      </c>
      <c r="C876" t="s">
        <v>129</v>
      </c>
      <c r="D876" s="9">
        <v>40806.948055555556</v>
      </c>
      <c r="E876" t="s">
        <v>11</v>
      </c>
      <c r="F876">
        <f t="shared" ca="1" si="26"/>
        <v>3.3583333333333334</v>
      </c>
      <c r="G876">
        <f t="shared" ca="1" si="27"/>
        <v>0</v>
      </c>
    </row>
    <row r="877" spans="1:7">
      <c r="A877">
        <v>3514</v>
      </c>
      <c r="B877" t="s">
        <v>99</v>
      </c>
      <c r="C877" t="s">
        <v>129</v>
      </c>
      <c r="D877" s="9">
        <v>40806.701261574075</v>
      </c>
      <c r="E877" t="s">
        <v>21</v>
      </c>
      <c r="F877">
        <f t="shared" ca="1" si="26"/>
        <v>3.3583333333333334</v>
      </c>
      <c r="G877">
        <f t="shared" ca="1" si="27"/>
        <v>0</v>
      </c>
    </row>
    <row r="878" spans="1:7">
      <c r="A878">
        <v>3515</v>
      </c>
      <c r="B878" t="s">
        <v>99</v>
      </c>
      <c r="C878" t="s">
        <v>129</v>
      </c>
      <c r="D878" s="9">
        <v>40806.688923611109</v>
      </c>
      <c r="E878" t="s">
        <v>21</v>
      </c>
      <c r="F878">
        <f t="shared" ca="1" si="26"/>
        <v>3.3583333333333334</v>
      </c>
      <c r="G878">
        <f t="shared" ca="1" si="27"/>
        <v>0</v>
      </c>
    </row>
    <row r="879" spans="1:7">
      <c r="A879">
        <v>3522</v>
      </c>
      <c r="B879" t="s">
        <v>23</v>
      </c>
      <c r="C879" t="s">
        <v>127</v>
      </c>
      <c r="D879" s="9">
        <v>41031.768622685187</v>
      </c>
      <c r="E879" t="s">
        <v>20</v>
      </c>
      <c r="F879">
        <f t="shared" ca="1" si="26"/>
        <v>2.7416666666666667</v>
      </c>
      <c r="G879">
        <f t="shared" ca="1" si="27"/>
        <v>0</v>
      </c>
    </row>
    <row r="880" spans="1:7">
      <c r="A880">
        <v>3541</v>
      </c>
      <c r="B880" t="s">
        <v>44</v>
      </c>
      <c r="C880" t="s">
        <v>128</v>
      </c>
      <c r="D880" s="9">
        <v>40920.699745370373</v>
      </c>
      <c r="E880" t="s">
        <v>20</v>
      </c>
      <c r="F880">
        <f t="shared" ca="1" si="26"/>
        <v>3.0472222222222221</v>
      </c>
      <c r="G880">
        <f t="shared" ca="1" si="27"/>
        <v>0</v>
      </c>
    </row>
    <row r="881" spans="1:7">
      <c r="A881">
        <v>3543</v>
      </c>
      <c r="B881" t="s">
        <v>99</v>
      </c>
      <c r="C881" t="s">
        <v>129</v>
      </c>
      <c r="D881" s="9">
        <v>40805.438888888886</v>
      </c>
      <c r="E881" t="s">
        <v>19</v>
      </c>
      <c r="F881">
        <f t="shared" ca="1" si="26"/>
        <v>3.3611111111111112</v>
      </c>
      <c r="G881">
        <f t="shared" ca="1" si="27"/>
        <v>0</v>
      </c>
    </row>
    <row r="882" spans="1:7">
      <c r="A882">
        <v>3546</v>
      </c>
      <c r="B882" t="s">
        <v>44</v>
      </c>
      <c r="C882" t="s">
        <v>129</v>
      </c>
      <c r="D882" s="9">
        <v>40805.626215277778</v>
      </c>
      <c r="E882" t="s">
        <v>34</v>
      </c>
      <c r="F882">
        <f t="shared" ca="1" si="26"/>
        <v>3.3611111111111112</v>
      </c>
      <c r="G882">
        <f t="shared" ca="1" si="27"/>
        <v>0</v>
      </c>
    </row>
    <row r="883" spans="1:7">
      <c r="A883">
        <v>3558</v>
      </c>
      <c r="B883" t="s">
        <v>99</v>
      </c>
      <c r="C883" t="s">
        <v>129</v>
      </c>
      <c r="D883" s="9">
        <v>40805.429479166669</v>
      </c>
      <c r="E883" t="s">
        <v>19</v>
      </c>
      <c r="F883">
        <f t="shared" ca="1" si="26"/>
        <v>3.3611111111111112</v>
      </c>
      <c r="G883">
        <f t="shared" ca="1" si="27"/>
        <v>0</v>
      </c>
    </row>
    <row r="884" spans="1:7">
      <c r="A884">
        <v>3583</v>
      </c>
      <c r="B884" t="s">
        <v>34</v>
      </c>
      <c r="C884" t="s">
        <v>128</v>
      </c>
      <c r="D884" s="9">
        <v>40917.676446759258</v>
      </c>
      <c r="E884" t="s">
        <v>19</v>
      </c>
      <c r="F884">
        <f t="shared" ca="1" si="26"/>
        <v>3.0555555555555554</v>
      </c>
      <c r="G884">
        <f t="shared" ca="1" si="27"/>
        <v>0</v>
      </c>
    </row>
    <row r="885" spans="1:7">
      <c r="A885">
        <v>3586</v>
      </c>
      <c r="B885" t="s">
        <v>99</v>
      </c>
      <c r="C885" t="s">
        <v>128</v>
      </c>
      <c r="D885" s="9">
        <v>40918.378078703703</v>
      </c>
      <c r="E885" t="s">
        <v>19</v>
      </c>
      <c r="F885">
        <f t="shared" ca="1" si="26"/>
        <v>3.0527777777777776</v>
      </c>
      <c r="G885">
        <f t="shared" ca="1" si="27"/>
        <v>0</v>
      </c>
    </row>
    <row r="886" spans="1:7">
      <c r="A886">
        <v>3597</v>
      </c>
      <c r="B886" t="s">
        <v>27</v>
      </c>
      <c r="C886" t="s">
        <v>129</v>
      </c>
      <c r="D886" s="9">
        <v>40805.420324074075</v>
      </c>
      <c r="E886" t="s">
        <v>19</v>
      </c>
      <c r="F886">
        <f t="shared" ca="1" si="26"/>
        <v>3.3611111111111112</v>
      </c>
      <c r="G886">
        <f t="shared" ca="1" si="27"/>
        <v>0</v>
      </c>
    </row>
    <row r="887" spans="1:7">
      <c r="A887">
        <v>3602</v>
      </c>
      <c r="B887" t="s">
        <v>143</v>
      </c>
      <c r="C887" t="s">
        <v>128</v>
      </c>
      <c r="D887" s="9">
        <v>40918.463171296295</v>
      </c>
      <c r="E887" t="s">
        <v>44</v>
      </c>
      <c r="F887">
        <f t="shared" ca="1" si="26"/>
        <v>3.0527777777777776</v>
      </c>
      <c r="G887">
        <f t="shared" ca="1" si="27"/>
        <v>0</v>
      </c>
    </row>
    <row r="888" spans="1:7">
      <c r="A888">
        <v>3607</v>
      </c>
      <c r="B888" t="s">
        <v>99</v>
      </c>
      <c r="C888" t="s">
        <v>129</v>
      </c>
      <c r="D888" s="9">
        <v>40805.637465277781</v>
      </c>
      <c r="E888" t="s">
        <v>34</v>
      </c>
      <c r="F888">
        <f t="shared" ca="1" si="26"/>
        <v>3.3611111111111112</v>
      </c>
      <c r="G888">
        <f t="shared" ca="1" si="27"/>
        <v>0</v>
      </c>
    </row>
    <row r="889" spans="1:7">
      <c r="A889">
        <v>3618</v>
      </c>
      <c r="B889" t="s">
        <v>44</v>
      </c>
      <c r="C889" t="s">
        <v>128</v>
      </c>
      <c r="D889" s="9">
        <v>40920.792326388888</v>
      </c>
      <c r="E889" t="s">
        <v>27</v>
      </c>
      <c r="F889">
        <f t="shared" ca="1" si="26"/>
        <v>3.0472222222222221</v>
      </c>
      <c r="G889">
        <f t="shared" ca="1" si="27"/>
        <v>0</v>
      </c>
    </row>
    <row r="890" spans="1:7">
      <c r="A890">
        <v>3638</v>
      </c>
      <c r="B890" t="s">
        <v>99</v>
      </c>
      <c r="C890" t="s">
        <v>129</v>
      </c>
      <c r="D890" s="9">
        <v>40806.400011574071</v>
      </c>
      <c r="E890" t="s">
        <v>19</v>
      </c>
      <c r="F890">
        <f t="shared" ca="1" si="26"/>
        <v>3.3583333333333334</v>
      </c>
      <c r="G890">
        <f t="shared" ca="1" si="27"/>
        <v>0</v>
      </c>
    </row>
    <row r="891" spans="1:7">
      <c r="A891">
        <v>3641</v>
      </c>
      <c r="B891" t="s">
        <v>19</v>
      </c>
      <c r="C891" t="s">
        <v>128</v>
      </c>
      <c r="D891" s="9">
        <v>40919.519780092596</v>
      </c>
      <c r="E891" t="s">
        <v>112</v>
      </c>
      <c r="F891">
        <f t="shared" ca="1" si="26"/>
        <v>3.05</v>
      </c>
      <c r="G891">
        <f t="shared" ca="1" si="27"/>
        <v>0</v>
      </c>
    </row>
    <row r="892" spans="1:7">
      <c r="A892">
        <v>3644</v>
      </c>
      <c r="B892" t="s">
        <v>99</v>
      </c>
      <c r="C892" t="s">
        <v>129</v>
      </c>
      <c r="D892" s="9">
        <v>40805.567314814813</v>
      </c>
      <c r="E892" t="s">
        <v>19</v>
      </c>
      <c r="F892">
        <f t="shared" ca="1" si="26"/>
        <v>3.3611111111111112</v>
      </c>
      <c r="G892">
        <f t="shared" ca="1" si="27"/>
        <v>0</v>
      </c>
    </row>
    <row r="893" spans="1:7">
      <c r="A893">
        <v>3648</v>
      </c>
      <c r="B893" t="s">
        <v>38</v>
      </c>
      <c r="C893" t="s">
        <v>129</v>
      </c>
      <c r="D893" s="9">
        <v>40805.834421296298</v>
      </c>
      <c r="E893" t="s">
        <v>27</v>
      </c>
      <c r="F893">
        <f t="shared" ca="1" si="26"/>
        <v>3.3611111111111112</v>
      </c>
      <c r="G893">
        <f t="shared" ca="1" si="27"/>
        <v>0</v>
      </c>
    </row>
    <row r="894" spans="1:7">
      <c r="A894">
        <v>3677</v>
      </c>
      <c r="B894" t="s">
        <v>27</v>
      </c>
      <c r="C894" t="s">
        <v>129</v>
      </c>
      <c r="D894" s="9">
        <v>40805.75203703704</v>
      </c>
      <c r="E894" t="s">
        <v>19</v>
      </c>
      <c r="F894">
        <f t="shared" ca="1" si="26"/>
        <v>3.3611111111111112</v>
      </c>
      <c r="G894">
        <f t="shared" ca="1" si="27"/>
        <v>0</v>
      </c>
    </row>
    <row r="895" spans="1:7">
      <c r="A895">
        <v>3678</v>
      </c>
      <c r="B895" t="s">
        <v>99</v>
      </c>
      <c r="C895" t="s">
        <v>129</v>
      </c>
      <c r="D895" s="9">
        <v>40805.829050925924</v>
      </c>
      <c r="E895" t="s">
        <v>27</v>
      </c>
      <c r="F895">
        <f t="shared" ca="1" si="26"/>
        <v>3.3611111111111112</v>
      </c>
      <c r="G895">
        <f t="shared" ca="1" si="27"/>
        <v>0</v>
      </c>
    </row>
    <row r="896" spans="1:7">
      <c r="A896">
        <v>3681</v>
      </c>
      <c r="B896" t="s">
        <v>8</v>
      </c>
      <c r="C896" t="s">
        <v>129</v>
      </c>
      <c r="D896" s="9">
        <v>40805.526562500003</v>
      </c>
      <c r="E896" t="s">
        <v>112</v>
      </c>
      <c r="F896">
        <f t="shared" ca="1" si="26"/>
        <v>3.3611111111111112</v>
      </c>
      <c r="G896">
        <f t="shared" ca="1" si="27"/>
        <v>0</v>
      </c>
    </row>
    <row r="897" spans="1:7">
      <c r="A897">
        <v>3687</v>
      </c>
      <c r="B897" t="s">
        <v>99</v>
      </c>
      <c r="C897" t="s">
        <v>129</v>
      </c>
      <c r="D897" s="9">
        <v>40861.802824074075</v>
      </c>
      <c r="E897" t="s">
        <v>34</v>
      </c>
      <c r="F897">
        <f t="shared" ca="1" si="26"/>
        <v>3.2083333333333335</v>
      </c>
      <c r="G897">
        <f t="shared" ca="1" si="27"/>
        <v>0</v>
      </c>
    </row>
    <row r="898" spans="1:7">
      <c r="A898">
        <v>3688</v>
      </c>
      <c r="B898" t="s">
        <v>99</v>
      </c>
      <c r="C898" t="s">
        <v>129</v>
      </c>
      <c r="D898" s="9">
        <v>40805.663321759261</v>
      </c>
      <c r="E898" t="s">
        <v>34</v>
      </c>
      <c r="F898">
        <f t="shared" ca="1" si="26"/>
        <v>3.3611111111111112</v>
      </c>
      <c r="G898">
        <f t="shared" ca="1" si="27"/>
        <v>0</v>
      </c>
    </row>
    <row r="899" spans="1:7">
      <c r="A899">
        <v>3689</v>
      </c>
      <c r="B899" t="s">
        <v>99</v>
      </c>
      <c r="C899" t="s">
        <v>129</v>
      </c>
      <c r="D899" s="9">
        <v>40806.397233796299</v>
      </c>
      <c r="E899" t="s">
        <v>34</v>
      </c>
      <c r="F899">
        <f t="shared" ref="F899:F962" ca="1" si="28">YEARFRAC(TODAY(),$D899)</f>
        <v>3.3583333333333334</v>
      </c>
      <c r="G899">
        <f t="shared" ref="G899:G962" ca="1" si="29">IF($F899&lt;1,1,0)</f>
        <v>0</v>
      </c>
    </row>
    <row r="900" spans="1:7">
      <c r="A900">
        <v>3694</v>
      </c>
      <c r="B900" t="s">
        <v>37</v>
      </c>
      <c r="C900" t="s">
        <v>128</v>
      </c>
      <c r="D900" s="9">
        <v>40917.601180555554</v>
      </c>
      <c r="E900" t="s">
        <v>30</v>
      </c>
      <c r="F900">
        <f t="shared" ca="1" si="28"/>
        <v>3.0555555555555554</v>
      </c>
      <c r="G900">
        <f t="shared" ca="1" si="29"/>
        <v>0</v>
      </c>
    </row>
    <row r="901" spans="1:7">
      <c r="A901">
        <v>3697</v>
      </c>
      <c r="B901" t="s">
        <v>34</v>
      </c>
      <c r="C901" t="s">
        <v>129</v>
      </c>
      <c r="D901" s="9">
        <v>40805.711655092593</v>
      </c>
      <c r="E901" t="s">
        <v>99</v>
      </c>
      <c r="F901">
        <f t="shared" ca="1" si="28"/>
        <v>3.3611111111111112</v>
      </c>
      <c r="G901">
        <f t="shared" ca="1" si="29"/>
        <v>0</v>
      </c>
    </row>
    <row r="902" spans="1:7">
      <c r="A902">
        <v>3708</v>
      </c>
      <c r="B902" t="s">
        <v>99</v>
      </c>
      <c r="C902" t="s">
        <v>129</v>
      </c>
      <c r="D902" s="9">
        <v>40806.66064814815</v>
      </c>
      <c r="E902" t="s">
        <v>21</v>
      </c>
      <c r="F902">
        <f t="shared" ca="1" si="28"/>
        <v>3.3583333333333334</v>
      </c>
      <c r="G902">
        <f t="shared" ca="1" si="29"/>
        <v>0</v>
      </c>
    </row>
    <row r="903" spans="1:7">
      <c r="A903">
        <v>3716</v>
      </c>
      <c r="B903" t="s">
        <v>99</v>
      </c>
      <c r="C903" t="s">
        <v>129</v>
      </c>
      <c r="D903" s="9">
        <v>40807.624305555553</v>
      </c>
      <c r="E903" t="s">
        <v>20</v>
      </c>
      <c r="F903">
        <f t="shared" ca="1" si="28"/>
        <v>3.3555555555555556</v>
      </c>
      <c r="G903">
        <f t="shared" ca="1" si="29"/>
        <v>0</v>
      </c>
    </row>
    <row r="904" spans="1:7">
      <c r="A904">
        <v>3725</v>
      </c>
      <c r="B904" t="s">
        <v>34</v>
      </c>
      <c r="C904" t="s">
        <v>128</v>
      </c>
      <c r="D904" s="9">
        <v>40919.527974537035</v>
      </c>
      <c r="E904" t="s">
        <v>112</v>
      </c>
      <c r="F904">
        <f t="shared" ca="1" si="28"/>
        <v>3.05</v>
      </c>
      <c r="G904">
        <f t="shared" ca="1" si="29"/>
        <v>0</v>
      </c>
    </row>
    <row r="905" spans="1:7">
      <c r="A905">
        <v>3728</v>
      </c>
      <c r="B905" t="s">
        <v>143</v>
      </c>
      <c r="C905" t="s">
        <v>127</v>
      </c>
      <c r="D905" s="9">
        <v>41029.457499999997</v>
      </c>
      <c r="E905" t="s">
        <v>44</v>
      </c>
      <c r="F905">
        <f t="shared" ca="1" si="28"/>
        <v>2.7472222222222222</v>
      </c>
      <c r="G905">
        <f t="shared" ca="1" si="29"/>
        <v>0</v>
      </c>
    </row>
    <row r="906" spans="1:7">
      <c r="A906">
        <v>3729</v>
      </c>
      <c r="B906" t="s">
        <v>99</v>
      </c>
      <c r="C906" t="s">
        <v>129</v>
      </c>
      <c r="D906" s="9">
        <v>40805.682789351849</v>
      </c>
      <c r="E906" t="s">
        <v>27</v>
      </c>
      <c r="F906">
        <f t="shared" ca="1" si="28"/>
        <v>3.3611111111111112</v>
      </c>
      <c r="G906">
        <f t="shared" ca="1" si="29"/>
        <v>0</v>
      </c>
    </row>
    <row r="907" spans="1:7">
      <c r="A907">
        <v>3738</v>
      </c>
      <c r="B907" t="s">
        <v>37</v>
      </c>
      <c r="C907" t="s">
        <v>128</v>
      </c>
      <c r="D907" s="9">
        <v>40917.645497685182</v>
      </c>
      <c r="E907" t="s">
        <v>112</v>
      </c>
      <c r="F907">
        <f t="shared" ca="1" si="28"/>
        <v>3.0555555555555554</v>
      </c>
      <c r="G907">
        <f t="shared" ca="1" si="29"/>
        <v>0</v>
      </c>
    </row>
    <row r="908" spans="1:7">
      <c r="A908">
        <v>3746</v>
      </c>
      <c r="B908" t="s">
        <v>34</v>
      </c>
      <c r="C908" t="s">
        <v>128</v>
      </c>
      <c r="D908" s="9">
        <v>40917.878854166665</v>
      </c>
      <c r="E908" t="s">
        <v>27</v>
      </c>
      <c r="F908">
        <f t="shared" ca="1" si="28"/>
        <v>3.0555555555555554</v>
      </c>
      <c r="G908">
        <f t="shared" ca="1" si="29"/>
        <v>0</v>
      </c>
    </row>
    <row r="909" spans="1:7">
      <c r="A909">
        <v>3747</v>
      </c>
      <c r="B909" t="s">
        <v>19</v>
      </c>
      <c r="C909" t="s">
        <v>129</v>
      </c>
      <c r="D909" s="9">
        <v>40806.403506944444</v>
      </c>
      <c r="E909" t="s">
        <v>37</v>
      </c>
      <c r="F909">
        <f t="shared" ca="1" si="28"/>
        <v>3.3583333333333334</v>
      </c>
      <c r="G909">
        <f t="shared" ca="1" si="29"/>
        <v>0</v>
      </c>
    </row>
    <row r="910" spans="1:7">
      <c r="A910">
        <v>3749</v>
      </c>
      <c r="B910" t="s">
        <v>20</v>
      </c>
      <c r="C910" t="s">
        <v>129</v>
      </c>
      <c r="D910" s="9">
        <v>40805.861527777779</v>
      </c>
      <c r="E910" t="s">
        <v>27</v>
      </c>
      <c r="F910">
        <f t="shared" ca="1" si="28"/>
        <v>3.3611111111111112</v>
      </c>
      <c r="G910">
        <f t="shared" ca="1" si="29"/>
        <v>0</v>
      </c>
    </row>
    <row r="911" spans="1:7">
      <c r="A911">
        <v>3767</v>
      </c>
      <c r="B911" t="s">
        <v>20</v>
      </c>
      <c r="C911" t="s">
        <v>129</v>
      </c>
      <c r="D911" s="9">
        <v>40806.80505787037</v>
      </c>
      <c r="E911" t="s">
        <v>99</v>
      </c>
      <c r="F911">
        <f t="shared" ca="1" si="28"/>
        <v>3.3583333333333334</v>
      </c>
      <c r="G911">
        <f t="shared" ca="1" si="29"/>
        <v>0</v>
      </c>
    </row>
    <row r="912" spans="1:7">
      <c r="A912">
        <v>3769</v>
      </c>
      <c r="B912" t="s">
        <v>11</v>
      </c>
      <c r="C912" t="s">
        <v>129</v>
      </c>
      <c r="D912" s="9">
        <v>40807.82880787037</v>
      </c>
      <c r="E912" t="s">
        <v>8</v>
      </c>
      <c r="F912">
        <f t="shared" ca="1" si="28"/>
        <v>3.3555555555555556</v>
      </c>
      <c r="G912">
        <f t="shared" ca="1" si="29"/>
        <v>0</v>
      </c>
    </row>
    <row r="913" spans="1:7">
      <c r="A913">
        <v>3774</v>
      </c>
      <c r="B913" t="s">
        <v>8</v>
      </c>
      <c r="C913" t="s">
        <v>129</v>
      </c>
      <c r="D913" s="9">
        <v>40807.929444444446</v>
      </c>
      <c r="E913" t="s">
        <v>38</v>
      </c>
      <c r="F913">
        <f t="shared" ca="1" si="28"/>
        <v>3.3555555555555556</v>
      </c>
      <c r="G913">
        <f t="shared" ca="1" si="29"/>
        <v>0</v>
      </c>
    </row>
    <row r="914" spans="1:7">
      <c r="A914">
        <v>3778</v>
      </c>
      <c r="B914" t="s">
        <v>8</v>
      </c>
      <c r="C914" t="s">
        <v>128</v>
      </c>
      <c r="D914" s="9">
        <v>40921.577476851853</v>
      </c>
      <c r="E914" t="s">
        <v>27</v>
      </c>
      <c r="F914">
        <f t="shared" ca="1" si="28"/>
        <v>3.0444444444444443</v>
      </c>
      <c r="G914">
        <f t="shared" ca="1" si="29"/>
        <v>0</v>
      </c>
    </row>
    <row r="915" spans="1:7">
      <c r="A915">
        <v>3783</v>
      </c>
      <c r="B915" t="s">
        <v>34</v>
      </c>
      <c r="C915" t="s">
        <v>129</v>
      </c>
      <c r="D915" s="9">
        <v>40807.631423611114</v>
      </c>
      <c r="E915" t="s">
        <v>11</v>
      </c>
      <c r="F915">
        <f t="shared" ca="1" si="28"/>
        <v>3.3555555555555556</v>
      </c>
      <c r="G915">
        <f t="shared" ca="1" si="29"/>
        <v>0</v>
      </c>
    </row>
    <row r="916" spans="1:7">
      <c r="A916">
        <v>3784</v>
      </c>
      <c r="B916" t="s">
        <v>11</v>
      </c>
      <c r="C916" t="s">
        <v>128</v>
      </c>
      <c r="D916" s="9">
        <v>40926.690879629627</v>
      </c>
      <c r="E916" t="s">
        <v>23</v>
      </c>
      <c r="F916">
        <f t="shared" ca="1" si="28"/>
        <v>3.0305555555555554</v>
      </c>
      <c r="G916">
        <f t="shared" ca="1" si="29"/>
        <v>0</v>
      </c>
    </row>
    <row r="917" spans="1:7">
      <c r="A917">
        <v>3790</v>
      </c>
      <c r="B917" t="s">
        <v>143</v>
      </c>
      <c r="C917" t="s">
        <v>128</v>
      </c>
      <c r="D917" s="9">
        <v>40918.582060185188</v>
      </c>
      <c r="E917" t="s">
        <v>44</v>
      </c>
      <c r="F917">
        <f t="shared" ca="1" si="28"/>
        <v>3.0527777777777776</v>
      </c>
      <c r="G917">
        <f t="shared" ca="1" si="29"/>
        <v>0</v>
      </c>
    </row>
    <row r="918" spans="1:7">
      <c r="A918">
        <v>3793</v>
      </c>
      <c r="B918" t="s">
        <v>99</v>
      </c>
      <c r="C918" t="s">
        <v>128</v>
      </c>
      <c r="D918" s="9">
        <v>40917.399062500001</v>
      </c>
      <c r="E918" t="s">
        <v>19</v>
      </c>
      <c r="F918">
        <f t="shared" ca="1" si="28"/>
        <v>3.0555555555555554</v>
      </c>
      <c r="G918">
        <f t="shared" ca="1" si="29"/>
        <v>0</v>
      </c>
    </row>
    <row r="919" spans="1:7">
      <c r="A919">
        <v>3806</v>
      </c>
      <c r="B919" t="s">
        <v>143</v>
      </c>
      <c r="C919" t="s">
        <v>128</v>
      </c>
      <c r="D919" s="9">
        <v>40918.583090277774</v>
      </c>
      <c r="E919" t="s">
        <v>44</v>
      </c>
      <c r="F919">
        <f t="shared" ca="1" si="28"/>
        <v>3.0527777777777776</v>
      </c>
      <c r="G919">
        <f t="shared" ca="1" si="29"/>
        <v>0</v>
      </c>
    </row>
    <row r="920" spans="1:7">
      <c r="A920">
        <v>3816</v>
      </c>
      <c r="B920" t="s">
        <v>19</v>
      </c>
      <c r="C920" t="s">
        <v>128</v>
      </c>
      <c r="D920" s="9">
        <v>40917.65047453704</v>
      </c>
      <c r="E920" t="s">
        <v>112</v>
      </c>
      <c r="F920">
        <f t="shared" ca="1" si="28"/>
        <v>3.0555555555555554</v>
      </c>
      <c r="G920">
        <f t="shared" ca="1" si="29"/>
        <v>0</v>
      </c>
    </row>
    <row r="921" spans="1:7">
      <c r="A921">
        <v>3821</v>
      </c>
      <c r="B921" t="s">
        <v>143</v>
      </c>
      <c r="C921" t="s">
        <v>128</v>
      </c>
      <c r="D921" s="9">
        <v>40917.619050925925</v>
      </c>
      <c r="E921" t="s">
        <v>37</v>
      </c>
      <c r="F921">
        <f t="shared" ca="1" si="28"/>
        <v>3.0555555555555554</v>
      </c>
      <c r="G921">
        <f t="shared" ca="1" si="29"/>
        <v>0</v>
      </c>
    </row>
    <row r="922" spans="1:7">
      <c r="A922">
        <v>3837</v>
      </c>
      <c r="B922" t="s">
        <v>143</v>
      </c>
      <c r="C922" t="s">
        <v>128</v>
      </c>
      <c r="D922" s="9">
        <v>40917.623124999998</v>
      </c>
      <c r="E922" t="s">
        <v>30</v>
      </c>
      <c r="F922">
        <f t="shared" ca="1" si="28"/>
        <v>3.0555555555555554</v>
      </c>
      <c r="G922">
        <f t="shared" ca="1" si="29"/>
        <v>0</v>
      </c>
    </row>
    <row r="923" spans="1:7">
      <c r="A923">
        <v>3859</v>
      </c>
      <c r="B923" t="s">
        <v>99</v>
      </c>
      <c r="C923" t="s">
        <v>128</v>
      </c>
      <c r="D923" s="9">
        <v>40917.469548611109</v>
      </c>
      <c r="E923" t="s">
        <v>19</v>
      </c>
      <c r="F923">
        <f t="shared" ca="1" si="28"/>
        <v>3.0555555555555554</v>
      </c>
      <c r="G923">
        <f t="shared" ca="1" si="29"/>
        <v>0</v>
      </c>
    </row>
    <row r="924" spans="1:7">
      <c r="A924">
        <v>3864</v>
      </c>
      <c r="B924" t="s">
        <v>19</v>
      </c>
      <c r="C924" t="s">
        <v>128</v>
      </c>
      <c r="D924" s="9">
        <v>40917.673877314817</v>
      </c>
      <c r="E924" t="s">
        <v>27</v>
      </c>
      <c r="F924">
        <f t="shared" ca="1" si="28"/>
        <v>3.0555555555555554</v>
      </c>
      <c r="G924">
        <f t="shared" ca="1" si="29"/>
        <v>0</v>
      </c>
    </row>
    <row r="925" spans="1:7">
      <c r="A925">
        <v>3870</v>
      </c>
      <c r="B925" t="s">
        <v>30</v>
      </c>
      <c r="C925" t="s">
        <v>128</v>
      </c>
      <c r="D925" s="9">
        <v>40917.473935185182</v>
      </c>
      <c r="E925" t="s">
        <v>112</v>
      </c>
      <c r="F925">
        <f t="shared" ca="1" si="28"/>
        <v>3.0555555555555554</v>
      </c>
      <c r="G925">
        <f t="shared" ca="1" si="29"/>
        <v>0</v>
      </c>
    </row>
    <row r="926" spans="1:7">
      <c r="A926">
        <v>3875</v>
      </c>
      <c r="B926" t="s">
        <v>8</v>
      </c>
      <c r="C926" t="s">
        <v>128</v>
      </c>
      <c r="D926" s="9">
        <v>40920.836967592593</v>
      </c>
      <c r="E926" t="s">
        <v>20</v>
      </c>
      <c r="F926">
        <f t="shared" ca="1" si="28"/>
        <v>3.0472222222222221</v>
      </c>
      <c r="G926">
        <f t="shared" ca="1" si="29"/>
        <v>0</v>
      </c>
    </row>
    <row r="927" spans="1:7">
      <c r="A927">
        <v>3882</v>
      </c>
      <c r="B927" t="s">
        <v>99</v>
      </c>
      <c r="C927" t="s">
        <v>128</v>
      </c>
      <c r="D927" s="9">
        <v>40919.793217592596</v>
      </c>
      <c r="E927" t="s">
        <v>36</v>
      </c>
      <c r="F927">
        <f t="shared" ca="1" si="28"/>
        <v>3.05</v>
      </c>
      <c r="G927">
        <f t="shared" ca="1" si="29"/>
        <v>0</v>
      </c>
    </row>
    <row r="928" spans="1:7">
      <c r="A928">
        <v>3894</v>
      </c>
      <c r="B928" t="s">
        <v>19</v>
      </c>
      <c r="C928" t="s">
        <v>128</v>
      </c>
      <c r="D928" s="9">
        <v>40917.677175925928</v>
      </c>
      <c r="E928" t="s">
        <v>27</v>
      </c>
      <c r="F928">
        <f t="shared" ca="1" si="28"/>
        <v>3.0555555555555554</v>
      </c>
      <c r="G928">
        <f t="shared" ca="1" si="29"/>
        <v>0</v>
      </c>
    </row>
    <row r="929" spans="1:7">
      <c r="A929">
        <v>3903</v>
      </c>
      <c r="B929" t="s">
        <v>11</v>
      </c>
      <c r="C929" t="s">
        <v>128</v>
      </c>
      <c r="D929" s="9">
        <v>40918.837118055555</v>
      </c>
      <c r="E929" t="s">
        <v>27</v>
      </c>
      <c r="F929">
        <f t="shared" ca="1" si="28"/>
        <v>3.0527777777777776</v>
      </c>
      <c r="G929">
        <f t="shared" ca="1" si="29"/>
        <v>0</v>
      </c>
    </row>
    <row r="930" spans="1:7">
      <c r="A930">
        <v>3907</v>
      </c>
      <c r="B930" t="s">
        <v>99</v>
      </c>
      <c r="C930" t="s">
        <v>128</v>
      </c>
      <c r="D930" s="9">
        <v>40917.407835648148</v>
      </c>
      <c r="E930" t="s">
        <v>19</v>
      </c>
      <c r="F930">
        <f t="shared" ca="1" si="28"/>
        <v>3.0555555555555554</v>
      </c>
      <c r="G930">
        <f t="shared" ca="1" si="29"/>
        <v>0</v>
      </c>
    </row>
    <row r="931" spans="1:7">
      <c r="A931">
        <v>3908</v>
      </c>
      <c r="B931" t="s">
        <v>37</v>
      </c>
      <c r="C931" t="s">
        <v>128</v>
      </c>
      <c r="D931" s="9">
        <v>40917.884027777778</v>
      </c>
      <c r="E931" t="s">
        <v>27</v>
      </c>
      <c r="F931">
        <f t="shared" ca="1" si="28"/>
        <v>3.0555555555555554</v>
      </c>
      <c r="G931">
        <f t="shared" ca="1" si="29"/>
        <v>0</v>
      </c>
    </row>
    <row r="932" spans="1:7">
      <c r="A932">
        <v>3909</v>
      </c>
      <c r="B932" t="s">
        <v>11</v>
      </c>
      <c r="C932" t="s">
        <v>128</v>
      </c>
      <c r="D932" s="9">
        <v>40917.431111111109</v>
      </c>
      <c r="E932" t="s">
        <v>112</v>
      </c>
      <c r="F932">
        <f t="shared" ca="1" si="28"/>
        <v>3.0555555555555554</v>
      </c>
      <c r="G932">
        <f t="shared" ca="1" si="29"/>
        <v>0</v>
      </c>
    </row>
    <row r="933" spans="1:7">
      <c r="A933">
        <v>3910</v>
      </c>
      <c r="B933" t="s">
        <v>11</v>
      </c>
      <c r="C933" t="s">
        <v>128</v>
      </c>
      <c r="D933" s="9">
        <v>40917.432824074072</v>
      </c>
      <c r="E933" t="s">
        <v>112</v>
      </c>
      <c r="F933">
        <f t="shared" ca="1" si="28"/>
        <v>3.0555555555555554</v>
      </c>
      <c r="G933">
        <f t="shared" ca="1" si="29"/>
        <v>0</v>
      </c>
    </row>
    <row r="934" spans="1:7">
      <c r="A934">
        <v>3912</v>
      </c>
      <c r="B934" t="s">
        <v>30</v>
      </c>
      <c r="C934" t="s">
        <v>128</v>
      </c>
      <c r="D934" s="9">
        <v>40917.435057870367</v>
      </c>
      <c r="E934" t="s">
        <v>112</v>
      </c>
      <c r="F934">
        <f t="shared" ca="1" si="28"/>
        <v>3.0555555555555554</v>
      </c>
      <c r="G934">
        <f t="shared" ca="1" si="29"/>
        <v>0</v>
      </c>
    </row>
    <row r="935" spans="1:7">
      <c r="A935">
        <v>3913</v>
      </c>
      <c r="B935" t="s">
        <v>37</v>
      </c>
      <c r="C935" t="s">
        <v>128</v>
      </c>
      <c r="D935" s="9">
        <v>40917.435347222221</v>
      </c>
      <c r="E935" t="s">
        <v>112</v>
      </c>
      <c r="F935">
        <f t="shared" ca="1" si="28"/>
        <v>3.0555555555555554</v>
      </c>
      <c r="G935">
        <f t="shared" ca="1" si="29"/>
        <v>0</v>
      </c>
    </row>
    <row r="936" spans="1:7">
      <c r="A936">
        <v>3914</v>
      </c>
      <c r="B936" t="s">
        <v>37</v>
      </c>
      <c r="C936" t="s">
        <v>128</v>
      </c>
      <c r="D936" s="9">
        <v>40917.435844907406</v>
      </c>
      <c r="E936" t="s">
        <v>112</v>
      </c>
      <c r="F936">
        <f t="shared" ca="1" si="28"/>
        <v>3.0555555555555554</v>
      </c>
      <c r="G936">
        <f t="shared" ca="1" si="29"/>
        <v>0</v>
      </c>
    </row>
    <row r="937" spans="1:7">
      <c r="A937">
        <v>3920</v>
      </c>
      <c r="B937" t="s">
        <v>8</v>
      </c>
      <c r="C937" t="s">
        <v>128</v>
      </c>
      <c r="D937" s="9">
        <v>40926.929930555554</v>
      </c>
      <c r="E937" t="s">
        <v>38</v>
      </c>
      <c r="F937">
        <f t="shared" ca="1" si="28"/>
        <v>3.0305555555555554</v>
      </c>
      <c r="G937">
        <f t="shared" ca="1" si="29"/>
        <v>0</v>
      </c>
    </row>
    <row r="938" spans="1:7">
      <c r="A938">
        <v>3944</v>
      </c>
      <c r="B938" t="s">
        <v>34</v>
      </c>
      <c r="C938" t="s">
        <v>128</v>
      </c>
      <c r="D938" s="9">
        <v>40917.659178240741</v>
      </c>
      <c r="E938" t="s">
        <v>112</v>
      </c>
      <c r="F938">
        <f t="shared" ca="1" si="28"/>
        <v>3.0555555555555554</v>
      </c>
      <c r="G938">
        <f t="shared" ca="1" si="29"/>
        <v>0</v>
      </c>
    </row>
    <row r="939" spans="1:7">
      <c r="A939">
        <v>3945</v>
      </c>
      <c r="B939" t="s">
        <v>19</v>
      </c>
      <c r="C939" t="s">
        <v>128</v>
      </c>
      <c r="D939" s="9">
        <v>40918.891944444447</v>
      </c>
      <c r="E939" t="s">
        <v>27</v>
      </c>
      <c r="F939">
        <f t="shared" ca="1" si="28"/>
        <v>3.0527777777777776</v>
      </c>
      <c r="G939">
        <f t="shared" ca="1" si="29"/>
        <v>0</v>
      </c>
    </row>
    <row r="940" spans="1:7">
      <c r="A940">
        <v>3946</v>
      </c>
      <c r="B940" t="s">
        <v>8</v>
      </c>
      <c r="C940" t="s">
        <v>128</v>
      </c>
      <c r="D940" s="9">
        <v>40918.891446759262</v>
      </c>
      <c r="E940" t="s">
        <v>27</v>
      </c>
      <c r="F940">
        <f t="shared" ca="1" si="28"/>
        <v>3.0527777777777776</v>
      </c>
      <c r="G940">
        <f t="shared" ca="1" si="29"/>
        <v>0</v>
      </c>
    </row>
    <row r="941" spans="1:7">
      <c r="A941">
        <v>3952</v>
      </c>
      <c r="B941" t="s">
        <v>77</v>
      </c>
      <c r="C941" t="s">
        <v>123</v>
      </c>
      <c r="D941" s="9">
        <v>41302.840879629628</v>
      </c>
      <c r="E941" t="s">
        <v>20</v>
      </c>
      <c r="F941">
        <f t="shared" ca="1" si="28"/>
        <v>2.0027777777777778</v>
      </c>
      <c r="G941">
        <f t="shared" ca="1" si="29"/>
        <v>0</v>
      </c>
    </row>
    <row r="942" spans="1:7">
      <c r="A942">
        <v>3953</v>
      </c>
      <c r="B942" t="s">
        <v>34</v>
      </c>
      <c r="C942" t="s">
        <v>128</v>
      </c>
      <c r="D942" s="9">
        <v>40919.597025462965</v>
      </c>
      <c r="E942" t="s">
        <v>112</v>
      </c>
      <c r="F942">
        <f t="shared" ca="1" si="28"/>
        <v>3.05</v>
      </c>
      <c r="G942">
        <f t="shared" ca="1" si="29"/>
        <v>0</v>
      </c>
    </row>
    <row r="943" spans="1:7">
      <c r="A943">
        <v>3960</v>
      </c>
      <c r="B943" t="s">
        <v>11</v>
      </c>
      <c r="C943" t="s">
        <v>128</v>
      </c>
      <c r="D943" s="9">
        <v>40917.436273148145</v>
      </c>
      <c r="E943" t="s">
        <v>112</v>
      </c>
      <c r="F943">
        <f t="shared" ca="1" si="28"/>
        <v>3.0555555555555554</v>
      </c>
      <c r="G943">
        <f t="shared" ca="1" si="29"/>
        <v>0</v>
      </c>
    </row>
    <row r="944" spans="1:7">
      <c r="A944">
        <v>3962</v>
      </c>
      <c r="B944" t="s">
        <v>99</v>
      </c>
      <c r="C944" t="s">
        <v>128</v>
      </c>
      <c r="D944" s="9">
        <v>40917.647800925923</v>
      </c>
      <c r="E944" t="s">
        <v>19</v>
      </c>
      <c r="F944">
        <f t="shared" ca="1" si="28"/>
        <v>3.0555555555555554</v>
      </c>
      <c r="G944">
        <f t="shared" ca="1" si="29"/>
        <v>0</v>
      </c>
    </row>
    <row r="945" spans="1:7">
      <c r="A945">
        <v>3976</v>
      </c>
      <c r="B945" t="s">
        <v>99</v>
      </c>
      <c r="C945" t="s">
        <v>128</v>
      </c>
      <c r="D945" s="9">
        <v>40919.807743055557</v>
      </c>
      <c r="E945" t="s">
        <v>11</v>
      </c>
      <c r="F945">
        <f t="shared" ca="1" si="28"/>
        <v>3.05</v>
      </c>
      <c r="G945">
        <f t="shared" ca="1" si="29"/>
        <v>0</v>
      </c>
    </row>
    <row r="946" spans="1:7">
      <c r="A946">
        <v>3982</v>
      </c>
      <c r="B946" t="s">
        <v>34</v>
      </c>
      <c r="C946" t="s">
        <v>128</v>
      </c>
      <c r="D946" s="9">
        <v>40918.683657407404</v>
      </c>
      <c r="E946" t="s">
        <v>143</v>
      </c>
      <c r="F946">
        <f t="shared" ca="1" si="28"/>
        <v>3.0527777777777776</v>
      </c>
      <c r="G946">
        <f t="shared" ca="1" si="29"/>
        <v>0</v>
      </c>
    </row>
    <row r="947" spans="1:7">
      <c r="A947">
        <v>3998</v>
      </c>
      <c r="B947" t="s">
        <v>8</v>
      </c>
      <c r="C947" t="s">
        <v>128</v>
      </c>
      <c r="D947" s="9">
        <v>40918.456921296296</v>
      </c>
      <c r="E947" t="s">
        <v>112</v>
      </c>
      <c r="F947">
        <f t="shared" ca="1" si="28"/>
        <v>3.0527777777777776</v>
      </c>
      <c r="G947">
        <f t="shared" ca="1" si="29"/>
        <v>0</v>
      </c>
    </row>
    <row r="948" spans="1:7">
      <c r="A948">
        <v>4001</v>
      </c>
      <c r="B948" t="s">
        <v>8</v>
      </c>
      <c r="C948" t="s">
        <v>128</v>
      </c>
      <c r="D948" s="9">
        <v>40920.719236111108</v>
      </c>
      <c r="E948" t="s">
        <v>11</v>
      </c>
      <c r="F948">
        <f t="shared" ca="1" si="28"/>
        <v>3.0472222222222221</v>
      </c>
      <c r="G948">
        <f t="shared" ca="1" si="29"/>
        <v>0</v>
      </c>
    </row>
    <row r="949" spans="1:7">
      <c r="A949">
        <v>4007</v>
      </c>
      <c r="B949" t="s">
        <v>44</v>
      </c>
      <c r="C949" t="s">
        <v>128</v>
      </c>
      <c r="D949" s="9">
        <v>40921.496828703705</v>
      </c>
      <c r="E949" t="s">
        <v>112</v>
      </c>
      <c r="F949">
        <f t="shared" ca="1" si="28"/>
        <v>3.0444444444444443</v>
      </c>
      <c r="G949">
        <f t="shared" ca="1" si="29"/>
        <v>0</v>
      </c>
    </row>
    <row r="950" spans="1:7">
      <c r="A950">
        <v>4009</v>
      </c>
      <c r="B950" t="s">
        <v>34</v>
      </c>
      <c r="C950" t="s">
        <v>128</v>
      </c>
      <c r="D950" s="9">
        <v>40917.770289351851</v>
      </c>
      <c r="E950" t="s">
        <v>36</v>
      </c>
      <c r="F950">
        <f t="shared" ca="1" si="28"/>
        <v>3.0555555555555554</v>
      </c>
      <c r="G950">
        <f t="shared" ca="1" si="29"/>
        <v>0</v>
      </c>
    </row>
    <row r="951" spans="1:7">
      <c r="A951">
        <v>4017</v>
      </c>
      <c r="B951" t="s">
        <v>30</v>
      </c>
      <c r="C951" t="s">
        <v>128</v>
      </c>
      <c r="D951" s="9">
        <v>40917.399027777778</v>
      </c>
      <c r="E951" t="s">
        <v>44</v>
      </c>
      <c r="F951">
        <f t="shared" ca="1" si="28"/>
        <v>3.0555555555555554</v>
      </c>
      <c r="G951">
        <f t="shared" ca="1" si="29"/>
        <v>0</v>
      </c>
    </row>
    <row r="952" spans="1:7">
      <c r="A952">
        <v>4020</v>
      </c>
      <c r="B952" t="s">
        <v>30</v>
      </c>
      <c r="C952" t="s">
        <v>128</v>
      </c>
      <c r="D952" s="9">
        <v>40917.38490740741</v>
      </c>
      <c r="E952" t="s">
        <v>44</v>
      </c>
      <c r="F952">
        <f t="shared" ca="1" si="28"/>
        <v>3.0555555555555554</v>
      </c>
      <c r="G952">
        <f t="shared" ca="1" si="29"/>
        <v>0</v>
      </c>
    </row>
    <row r="953" spans="1:7">
      <c r="A953">
        <v>4023</v>
      </c>
      <c r="B953" t="s">
        <v>8</v>
      </c>
      <c r="C953" t="s">
        <v>128</v>
      </c>
      <c r="D953" s="9">
        <v>40917.664479166669</v>
      </c>
      <c r="E953" t="s">
        <v>112</v>
      </c>
      <c r="F953">
        <f t="shared" ca="1" si="28"/>
        <v>3.0555555555555554</v>
      </c>
      <c r="G953">
        <f t="shared" ca="1" si="29"/>
        <v>0</v>
      </c>
    </row>
    <row r="954" spans="1:7">
      <c r="A954">
        <v>4025</v>
      </c>
      <c r="B954" t="s">
        <v>99</v>
      </c>
      <c r="C954" t="s">
        <v>128</v>
      </c>
      <c r="D954" s="9">
        <v>40917.470752314817</v>
      </c>
      <c r="E954" t="s">
        <v>19</v>
      </c>
      <c r="F954">
        <f t="shared" ca="1" si="28"/>
        <v>3.0555555555555554</v>
      </c>
      <c r="G954">
        <f t="shared" ca="1" si="29"/>
        <v>0</v>
      </c>
    </row>
    <row r="955" spans="1:7">
      <c r="A955">
        <v>4038</v>
      </c>
      <c r="B955" t="s">
        <v>19</v>
      </c>
      <c r="C955" t="s">
        <v>128</v>
      </c>
      <c r="D955" s="9">
        <v>40920.600694444445</v>
      </c>
      <c r="E955" t="s">
        <v>38</v>
      </c>
      <c r="F955">
        <f t="shared" ca="1" si="28"/>
        <v>3.0472222222222221</v>
      </c>
      <c r="G955">
        <f t="shared" ca="1" si="29"/>
        <v>0</v>
      </c>
    </row>
    <row r="956" spans="1:7">
      <c r="A956">
        <v>4051</v>
      </c>
      <c r="B956" t="s">
        <v>11</v>
      </c>
      <c r="C956" t="s">
        <v>128</v>
      </c>
      <c r="D956" s="9">
        <v>40920.787002314813</v>
      </c>
      <c r="E956" t="s">
        <v>21</v>
      </c>
      <c r="F956">
        <f t="shared" ca="1" si="28"/>
        <v>3.0472222222222221</v>
      </c>
      <c r="G956">
        <f t="shared" ca="1" si="29"/>
        <v>0</v>
      </c>
    </row>
    <row r="957" spans="1:7">
      <c r="A957">
        <v>4055</v>
      </c>
      <c r="B957" t="s">
        <v>143</v>
      </c>
      <c r="C957" t="s">
        <v>128</v>
      </c>
      <c r="D957" s="9">
        <v>40918.644143518519</v>
      </c>
      <c r="E957" t="s">
        <v>44</v>
      </c>
      <c r="F957">
        <f t="shared" ca="1" si="28"/>
        <v>3.0527777777777776</v>
      </c>
      <c r="G957">
        <f t="shared" ca="1" si="29"/>
        <v>0</v>
      </c>
    </row>
    <row r="958" spans="1:7">
      <c r="A958">
        <v>4057</v>
      </c>
      <c r="B958" t="s">
        <v>112</v>
      </c>
      <c r="C958" t="s">
        <v>121</v>
      </c>
      <c r="D958" s="9">
        <v>41480.419178240743</v>
      </c>
      <c r="E958" t="s">
        <v>27</v>
      </c>
      <c r="F958">
        <f t="shared" ca="1" si="28"/>
        <v>1.5111111111111111</v>
      </c>
      <c r="G958">
        <f t="shared" ca="1" si="29"/>
        <v>0</v>
      </c>
    </row>
    <row r="959" spans="1:7">
      <c r="A959">
        <v>4069</v>
      </c>
      <c r="B959" t="s">
        <v>21</v>
      </c>
      <c r="C959" t="s">
        <v>128</v>
      </c>
      <c r="D959" s="9">
        <v>40918.546793981484</v>
      </c>
      <c r="E959" t="s">
        <v>32</v>
      </c>
      <c r="F959">
        <f t="shared" ca="1" si="28"/>
        <v>3.0527777777777776</v>
      </c>
      <c r="G959">
        <f t="shared" ca="1" si="29"/>
        <v>0</v>
      </c>
    </row>
    <row r="960" spans="1:7">
      <c r="A960">
        <v>4074</v>
      </c>
      <c r="B960" t="s">
        <v>19</v>
      </c>
      <c r="C960" t="s">
        <v>128</v>
      </c>
      <c r="D960" s="9">
        <v>40918.647060185183</v>
      </c>
      <c r="E960" t="s">
        <v>32</v>
      </c>
      <c r="F960">
        <f t="shared" ca="1" si="28"/>
        <v>3.0527777777777776</v>
      </c>
      <c r="G960">
        <f t="shared" ca="1" si="29"/>
        <v>0</v>
      </c>
    </row>
    <row r="961" spans="1:7">
      <c r="A961">
        <v>4075</v>
      </c>
      <c r="B961" t="s">
        <v>19</v>
      </c>
      <c r="C961" t="s">
        <v>128</v>
      </c>
      <c r="D961" s="9">
        <v>40920.597372685188</v>
      </c>
      <c r="E961" t="s">
        <v>38</v>
      </c>
      <c r="F961">
        <f t="shared" ca="1" si="28"/>
        <v>3.0472222222222221</v>
      </c>
      <c r="G961">
        <f t="shared" ca="1" si="29"/>
        <v>0</v>
      </c>
    </row>
    <row r="962" spans="1:7">
      <c r="A962">
        <v>4080</v>
      </c>
      <c r="B962" t="s">
        <v>19</v>
      </c>
      <c r="C962" t="s">
        <v>128</v>
      </c>
      <c r="D962" s="9">
        <v>40918.59952546296</v>
      </c>
      <c r="E962" t="s">
        <v>112</v>
      </c>
      <c r="F962">
        <f t="shared" ca="1" si="28"/>
        <v>3.0527777777777776</v>
      </c>
      <c r="G962">
        <f t="shared" ca="1" si="29"/>
        <v>0</v>
      </c>
    </row>
    <row r="963" spans="1:7">
      <c r="A963">
        <v>4091</v>
      </c>
      <c r="B963" t="s">
        <v>23</v>
      </c>
      <c r="C963" t="s">
        <v>128</v>
      </c>
      <c r="D963" s="9">
        <v>40917.62841435185</v>
      </c>
      <c r="E963" t="s">
        <v>27</v>
      </c>
      <c r="F963">
        <f t="shared" ref="F963:F1026" ca="1" si="30">YEARFRAC(TODAY(),$D963)</f>
        <v>3.0555555555555554</v>
      </c>
      <c r="G963">
        <f t="shared" ref="G963:G1026" ca="1" si="31">IF($F963&lt;1,1,0)</f>
        <v>0</v>
      </c>
    </row>
    <row r="964" spans="1:7">
      <c r="A964">
        <v>4092</v>
      </c>
      <c r="B964" t="s">
        <v>21</v>
      </c>
      <c r="C964" t="s">
        <v>128</v>
      </c>
      <c r="D964" s="9">
        <v>40918.896516203706</v>
      </c>
      <c r="E964" t="s">
        <v>32</v>
      </c>
      <c r="F964">
        <f t="shared" ca="1" si="30"/>
        <v>3.0527777777777776</v>
      </c>
      <c r="G964">
        <f t="shared" ca="1" si="31"/>
        <v>0</v>
      </c>
    </row>
    <row r="965" spans="1:7">
      <c r="A965">
        <v>4094</v>
      </c>
      <c r="B965" t="s">
        <v>8</v>
      </c>
      <c r="C965" t="s">
        <v>127</v>
      </c>
      <c r="D965" s="9">
        <v>41029.569976851853</v>
      </c>
      <c r="E965" t="s">
        <v>19</v>
      </c>
      <c r="F965">
        <f t="shared" ca="1" si="30"/>
        <v>2.7472222222222222</v>
      </c>
      <c r="G965">
        <f t="shared" ca="1" si="31"/>
        <v>0</v>
      </c>
    </row>
    <row r="966" spans="1:7">
      <c r="A966">
        <v>4106</v>
      </c>
      <c r="B966" t="s">
        <v>34</v>
      </c>
      <c r="C966" t="s">
        <v>128</v>
      </c>
      <c r="D966" s="9">
        <v>40919.457824074074</v>
      </c>
      <c r="E966" t="s">
        <v>112</v>
      </c>
      <c r="F966">
        <f t="shared" ca="1" si="30"/>
        <v>3.05</v>
      </c>
      <c r="G966">
        <f t="shared" ca="1" si="31"/>
        <v>0</v>
      </c>
    </row>
    <row r="967" spans="1:7">
      <c r="A967">
        <v>4107</v>
      </c>
      <c r="B967" t="s">
        <v>8</v>
      </c>
      <c r="C967" t="s">
        <v>128</v>
      </c>
      <c r="D967" s="9">
        <v>40918.773275462961</v>
      </c>
      <c r="E967" t="s">
        <v>36</v>
      </c>
      <c r="F967">
        <f t="shared" ca="1" si="30"/>
        <v>3.0527777777777776</v>
      </c>
      <c r="G967">
        <f t="shared" ca="1" si="31"/>
        <v>0</v>
      </c>
    </row>
    <row r="968" spans="1:7">
      <c r="A968">
        <v>4109</v>
      </c>
      <c r="B968" t="s">
        <v>38</v>
      </c>
      <c r="C968" t="s">
        <v>128</v>
      </c>
      <c r="D968" s="9">
        <v>40938.716087962966</v>
      </c>
      <c r="E968" t="s">
        <v>36</v>
      </c>
      <c r="F968">
        <f t="shared" ca="1" si="30"/>
        <v>2.9972222222222222</v>
      </c>
      <c r="G968">
        <f t="shared" ca="1" si="31"/>
        <v>0</v>
      </c>
    </row>
    <row r="969" spans="1:7">
      <c r="A969">
        <v>4110</v>
      </c>
      <c r="B969" t="s">
        <v>38</v>
      </c>
      <c r="C969" t="s">
        <v>128</v>
      </c>
      <c r="D969" s="9">
        <v>40917.764699074076</v>
      </c>
      <c r="E969" t="s">
        <v>36</v>
      </c>
      <c r="F969">
        <f t="shared" ca="1" si="30"/>
        <v>3.0555555555555554</v>
      </c>
      <c r="G969">
        <f t="shared" ca="1" si="31"/>
        <v>0</v>
      </c>
    </row>
    <row r="970" spans="1:7">
      <c r="A970">
        <v>4116</v>
      </c>
      <c r="B970" t="s">
        <v>19</v>
      </c>
      <c r="C970" t="s">
        <v>128</v>
      </c>
      <c r="D970" s="9">
        <v>40918.762997685182</v>
      </c>
      <c r="E970" t="s">
        <v>27</v>
      </c>
      <c r="F970">
        <f t="shared" ca="1" si="30"/>
        <v>3.0527777777777776</v>
      </c>
      <c r="G970">
        <f t="shared" ca="1" si="31"/>
        <v>0</v>
      </c>
    </row>
    <row r="971" spans="1:7">
      <c r="A971">
        <v>4117</v>
      </c>
      <c r="B971" t="s">
        <v>99</v>
      </c>
      <c r="C971" t="s">
        <v>128</v>
      </c>
      <c r="D971" s="9">
        <v>40919.792511574073</v>
      </c>
      <c r="E971" t="s">
        <v>36</v>
      </c>
      <c r="F971">
        <f t="shared" ca="1" si="30"/>
        <v>3.05</v>
      </c>
      <c r="G971">
        <f t="shared" ca="1" si="31"/>
        <v>0</v>
      </c>
    </row>
    <row r="972" spans="1:7">
      <c r="A972">
        <v>4121</v>
      </c>
      <c r="B972" t="s">
        <v>27</v>
      </c>
      <c r="C972" t="s">
        <v>128</v>
      </c>
      <c r="D972" s="9">
        <v>40920.656608796293</v>
      </c>
      <c r="E972" t="s">
        <v>19</v>
      </c>
      <c r="F972">
        <f t="shared" ca="1" si="30"/>
        <v>3.0472222222222221</v>
      </c>
      <c r="G972">
        <f t="shared" ca="1" si="31"/>
        <v>0</v>
      </c>
    </row>
    <row r="973" spans="1:7">
      <c r="A973">
        <v>4133</v>
      </c>
      <c r="B973" t="s">
        <v>8</v>
      </c>
      <c r="C973" t="s">
        <v>128</v>
      </c>
      <c r="D973" s="9">
        <v>40920.771944444445</v>
      </c>
      <c r="E973" t="s">
        <v>20</v>
      </c>
      <c r="F973">
        <f t="shared" ca="1" si="30"/>
        <v>3.0472222222222221</v>
      </c>
      <c r="G973">
        <f t="shared" ca="1" si="31"/>
        <v>0</v>
      </c>
    </row>
    <row r="974" spans="1:7">
      <c r="A974">
        <v>4134</v>
      </c>
      <c r="B974" t="s">
        <v>143</v>
      </c>
      <c r="C974" t="s">
        <v>128</v>
      </c>
      <c r="D974" s="9">
        <v>40918.648668981485</v>
      </c>
      <c r="E974" t="s">
        <v>44</v>
      </c>
      <c r="F974">
        <f t="shared" ca="1" si="30"/>
        <v>3.0527777777777776</v>
      </c>
      <c r="G974">
        <f t="shared" ca="1" si="31"/>
        <v>0</v>
      </c>
    </row>
    <row r="975" spans="1:7">
      <c r="A975">
        <v>4135</v>
      </c>
      <c r="B975" t="s">
        <v>143</v>
      </c>
      <c r="C975" t="s">
        <v>128</v>
      </c>
      <c r="D975" s="9">
        <v>40919.331435185188</v>
      </c>
      <c r="E975" t="s">
        <v>44</v>
      </c>
      <c r="F975">
        <f t="shared" ca="1" si="30"/>
        <v>3.05</v>
      </c>
      <c r="G975">
        <f t="shared" ca="1" si="31"/>
        <v>0</v>
      </c>
    </row>
    <row r="976" spans="1:7">
      <c r="A976">
        <v>4136</v>
      </c>
      <c r="B976" t="s">
        <v>143</v>
      </c>
      <c r="C976" t="s">
        <v>128</v>
      </c>
      <c r="D976" s="9">
        <v>40918.437268518515</v>
      </c>
      <c r="E976" t="s">
        <v>37</v>
      </c>
      <c r="F976">
        <f t="shared" ca="1" si="30"/>
        <v>3.0527777777777776</v>
      </c>
      <c r="G976">
        <f t="shared" ca="1" si="31"/>
        <v>0</v>
      </c>
    </row>
    <row r="977" spans="1:7">
      <c r="A977">
        <v>4137</v>
      </c>
      <c r="B977" t="s">
        <v>30</v>
      </c>
      <c r="C977" t="s">
        <v>128</v>
      </c>
      <c r="D977" s="9">
        <v>40917.394317129627</v>
      </c>
      <c r="E977" t="s">
        <v>19</v>
      </c>
      <c r="F977">
        <f t="shared" ca="1" si="30"/>
        <v>3.0555555555555554</v>
      </c>
      <c r="G977">
        <f t="shared" ca="1" si="31"/>
        <v>0</v>
      </c>
    </row>
    <row r="978" spans="1:7">
      <c r="A978">
        <v>4143</v>
      </c>
      <c r="B978" t="s">
        <v>44</v>
      </c>
      <c r="C978" t="s">
        <v>128</v>
      </c>
      <c r="D978" s="9">
        <v>40917.386550925927</v>
      </c>
      <c r="E978" t="s">
        <v>143</v>
      </c>
      <c r="F978">
        <f t="shared" ca="1" si="30"/>
        <v>3.0555555555555554</v>
      </c>
      <c r="G978">
        <f t="shared" ca="1" si="31"/>
        <v>0</v>
      </c>
    </row>
    <row r="979" spans="1:7">
      <c r="A979">
        <v>4147</v>
      </c>
      <c r="B979" t="s">
        <v>44</v>
      </c>
      <c r="C979" t="s">
        <v>128</v>
      </c>
      <c r="D979" s="9">
        <v>40920.478900462964</v>
      </c>
      <c r="E979" t="s">
        <v>143</v>
      </c>
      <c r="F979">
        <f t="shared" ca="1" si="30"/>
        <v>3.0472222222222221</v>
      </c>
      <c r="G979">
        <f t="shared" ca="1" si="31"/>
        <v>0</v>
      </c>
    </row>
    <row r="980" spans="1:7">
      <c r="A980">
        <v>4148</v>
      </c>
      <c r="B980" t="s">
        <v>19</v>
      </c>
      <c r="C980" t="s">
        <v>128</v>
      </c>
      <c r="D980" s="9">
        <v>40919.497395833336</v>
      </c>
      <c r="E980" t="s">
        <v>44</v>
      </c>
      <c r="F980">
        <f t="shared" ca="1" si="30"/>
        <v>3.05</v>
      </c>
      <c r="G980">
        <f t="shared" ca="1" si="31"/>
        <v>0</v>
      </c>
    </row>
    <row r="981" spans="1:7">
      <c r="A981">
        <v>4149</v>
      </c>
      <c r="B981" t="s">
        <v>11</v>
      </c>
      <c r="C981" t="s">
        <v>128</v>
      </c>
      <c r="D981" s="9">
        <v>40920.382361111115</v>
      </c>
      <c r="E981" t="s">
        <v>8</v>
      </c>
      <c r="F981">
        <f t="shared" ca="1" si="30"/>
        <v>3.0472222222222221</v>
      </c>
      <c r="G981">
        <f t="shared" ca="1" si="31"/>
        <v>0</v>
      </c>
    </row>
    <row r="982" spans="1:7">
      <c r="A982">
        <v>4150</v>
      </c>
      <c r="B982" t="s">
        <v>19</v>
      </c>
      <c r="C982" t="s">
        <v>128</v>
      </c>
      <c r="D982" s="9">
        <v>40918.565289351849</v>
      </c>
      <c r="E982" t="s">
        <v>37</v>
      </c>
      <c r="F982">
        <f t="shared" ca="1" si="30"/>
        <v>3.0527777777777776</v>
      </c>
      <c r="G982">
        <f t="shared" ca="1" si="31"/>
        <v>0</v>
      </c>
    </row>
    <row r="983" spans="1:7">
      <c r="A983">
        <v>4164</v>
      </c>
      <c r="B983" t="s">
        <v>112</v>
      </c>
      <c r="C983" t="s">
        <v>128</v>
      </c>
      <c r="D983" s="9">
        <v>40920.72384259259</v>
      </c>
      <c r="E983" t="s">
        <v>38</v>
      </c>
      <c r="F983">
        <f t="shared" ca="1" si="30"/>
        <v>3.0472222222222221</v>
      </c>
      <c r="G983">
        <f t="shared" ca="1" si="31"/>
        <v>0</v>
      </c>
    </row>
    <row r="984" spans="1:7">
      <c r="A984">
        <v>4167</v>
      </c>
      <c r="B984" t="s">
        <v>34</v>
      </c>
      <c r="C984" t="s">
        <v>128</v>
      </c>
      <c r="D984" s="9">
        <v>40917.6171875</v>
      </c>
      <c r="E984" t="s">
        <v>143</v>
      </c>
      <c r="F984">
        <f t="shared" ca="1" si="30"/>
        <v>3.0555555555555554</v>
      </c>
      <c r="G984">
        <f t="shared" ca="1" si="31"/>
        <v>0</v>
      </c>
    </row>
    <row r="985" spans="1:7">
      <c r="A985">
        <v>4168</v>
      </c>
      <c r="B985" t="s">
        <v>34</v>
      </c>
      <c r="C985" t="s">
        <v>128</v>
      </c>
      <c r="D985" s="9">
        <v>40919.449444444443</v>
      </c>
      <c r="E985" t="s">
        <v>112</v>
      </c>
      <c r="F985">
        <f t="shared" ca="1" si="30"/>
        <v>3.05</v>
      </c>
      <c r="G985">
        <f t="shared" ca="1" si="31"/>
        <v>0</v>
      </c>
    </row>
    <row r="986" spans="1:7">
      <c r="A986">
        <v>4169</v>
      </c>
      <c r="B986" t="s">
        <v>34</v>
      </c>
      <c r="C986" t="s">
        <v>128</v>
      </c>
      <c r="D986" s="9">
        <v>40921.484571759262</v>
      </c>
      <c r="E986" t="s">
        <v>112</v>
      </c>
      <c r="F986">
        <f t="shared" ca="1" si="30"/>
        <v>3.0444444444444443</v>
      </c>
      <c r="G986">
        <f t="shared" ca="1" si="31"/>
        <v>0</v>
      </c>
    </row>
    <row r="987" spans="1:7">
      <c r="A987">
        <v>4170</v>
      </c>
      <c r="B987" t="s">
        <v>34</v>
      </c>
      <c r="C987" t="s">
        <v>128</v>
      </c>
      <c r="D987" s="9">
        <v>40919.448599537034</v>
      </c>
      <c r="E987" t="s">
        <v>112</v>
      </c>
      <c r="F987">
        <f t="shared" ca="1" si="30"/>
        <v>3.05</v>
      </c>
      <c r="G987">
        <f t="shared" ca="1" si="31"/>
        <v>0</v>
      </c>
    </row>
    <row r="988" spans="1:7">
      <c r="A988">
        <v>4172</v>
      </c>
      <c r="B988" t="s">
        <v>44</v>
      </c>
      <c r="C988" t="s">
        <v>128</v>
      </c>
      <c r="D988" s="9">
        <v>40919.586863425924</v>
      </c>
      <c r="E988" t="s">
        <v>27</v>
      </c>
      <c r="F988">
        <f t="shared" ca="1" si="30"/>
        <v>3.05</v>
      </c>
      <c r="G988">
        <f t="shared" ca="1" si="31"/>
        <v>0</v>
      </c>
    </row>
    <row r="989" spans="1:7">
      <c r="A989">
        <v>4175</v>
      </c>
      <c r="B989" t="s">
        <v>30</v>
      </c>
      <c r="C989" t="s">
        <v>128</v>
      </c>
      <c r="D989" s="9">
        <v>40917.417361111111</v>
      </c>
      <c r="E989" t="s">
        <v>44</v>
      </c>
      <c r="F989">
        <f t="shared" ca="1" si="30"/>
        <v>3.0555555555555554</v>
      </c>
      <c r="G989">
        <f t="shared" ca="1" si="31"/>
        <v>0</v>
      </c>
    </row>
    <row r="990" spans="1:7">
      <c r="A990">
        <v>4196</v>
      </c>
      <c r="B990" t="s">
        <v>44</v>
      </c>
      <c r="C990" t="s">
        <v>128</v>
      </c>
      <c r="D990" s="9">
        <v>40919.512175925927</v>
      </c>
      <c r="E990" t="s">
        <v>37</v>
      </c>
      <c r="F990">
        <f t="shared" ca="1" si="30"/>
        <v>3.05</v>
      </c>
      <c r="G990">
        <f t="shared" ca="1" si="31"/>
        <v>0</v>
      </c>
    </row>
    <row r="991" spans="1:7">
      <c r="A991">
        <v>4199</v>
      </c>
      <c r="B991" t="s">
        <v>30</v>
      </c>
      <c r="C991" t="s">
        <v>127</v>
      </c>
      <c r="D991" s="9">
        <v>41029.67869212963</v>
      </c>
      <c r="E991" t="s">
        <v>36</v>
      </c>
      <c r="F991">
        <f t="shared" ca="1" si="30"/>
        <v>2.7472222222222222</v>
      </c>
      <c r="G991">
        <f t="shared" ca="1" si="31"/>
        <v>0</v>
      </c>
    </row>
    <row r="992" spans="1:7">
      <c r="A992">
        <v>4202</v>
      </c>
      <c r="B992" t="s">
        <v>8</v>
      </c>
      <c r="C992" t="s">
        <v>128</v>
      </c>
      <c r="D992" s="9">
        <v>40940.70212962963</v>
      </c>
      <c r="E992" t="s">
        <v>38</v>
      </c>
      <c r="F992">
        <f t="shared" ca="1" si="30"/>
        <v>2.9944444444444445</v>
      </c>
      <c r="G992">
        <f t="shared" ca="1" si="31"/>
        <v>0</v>
      </c>
    </row>
    <row r="993" spans="1:7">
      <c r="A993">
        <v>4203</v>
      </c>
      <c r="B993" t="s">
        <v>19</v>
      </c>
      <c r="C993" t="s">
        <v>128</v>
      </c>
      <c r="D993" s="9">
        <v>40918.651932870373</v>
      </c>
      <c r="E993" t="s">
        <v>32</v>
      </c>
      <c r="F993">
        <f t="shared" ca="1" si="30"/>
        <v>3.0527777777777776</v>
      </c>
      <c r="G993">
        <f t="shared" ca="1" si="31"/>
        <v>0</v>
      </c>
    </row>
    <row r="994" spans="1:7">
      <c r="A994">
        <v>4218</v>
      </c>
      <c r="B994" t="s">
        <v>8</v>
      </c>
      <c r="C994" t="s">
        <v>120</v>
      </c>
      <c r="D994" s="9">
        <v>41571.479756944442</v>
      </c>
      <c r="E994" t="s">
        <v>112</v>
      </c>
      <c r="F994">
        <f t="shared" ca="1" si="30"/>
        <v>1.2638888888888888</v>
      </c>
      <c r="G994">
        <f t="shared" ca="1" si="31"/>
        <v>0</v>
      </c>
    </row>
    <row r="995" spans="1:7">
      <c r="A995">
        <v>4222</v>
      </c>
      <c r="B995" t="s">
        <v>19</v>
      </c>
      <c r="C995" t="s">
        <v>128</v>
      </c>
      <c r="D995" s="9">
        <v>40921.748032407406</v>
      </c>
      <c r="E995" t="s">
        <v>27</v>
      </c>
      <c r="F995">
        <f t="shared" ca="1" si="30"/>
        <v>3.0444444444444443</v>
      </c>
      <c r="G995">
        <f t="shared" ca="1" si="31"/>
        <v>0</v>
      </c>
    </row>
    <row r="996" spans="1:7">
      <c r="A996">
        <v>4225</v>
      </c>
      <c r="B996" t="s">
        <v>27</v>
      </c>
      <c r="C996" t="s">
        <v>128</v>
      </c>
      <c r="D996" s="9">
        <v>40917.471134259256</v>
      </c>
      <c r="E996" t="s">
        <v>19</v>
      </c>
      <c r="F996">
        <f t="shared" ca="1" si="30"/>
        <v>3.0555555555555554</v>
      </c>
      <c r="G996">
        <f t="shared" ca="1" si="31"/>
        <v>0</v>
      </c>
    </row>
    <row r="997" spans="1:7">
      <c r="A997">
        <v>4234</v>
      </c>
      <c r="B997" t="s">
        <v>38</v>
      </c>
      <c r="C997" t="s">
        <v>128</v>
      </c>
      <c r="D997" s="9">
        <v>40918.835034722222</v>
      </c>
      <c r="E997" t="s">
        <v>36</v>
      </c>
      <c r="F997">
        <f t="shared" ca="1" si="30"/>
        <v>3.0527777777777776</v>
      </c>
      <c r="G997">
        <f t="shared" ca="1" si="31"/>
        <v>0</v>
      </c>
    </row>
    <row r="998" spans="1:7">
      <c r="A998">
        <v>4237</v>
      </c>
      <c r="B998" t="s">
        <v>44</v>
      </c>
      <c r="C998" t="s">
        <v>128</v>
      </c>
      <c r="D998" s="9">
        <v>40917.393750000003</v>
      </c>
      <c r="E998" t="s">
        <v>143</v>
      </c>
      <c r="F998">
        <f t="shared" ca="1" si="30"/>
        <v>3.0555555555555554</v>
      </c>
      <c r="G998">
        <f t="shared" ca="1" si="31"/>
        <v>0</v>
      </c>
    </row>
    <row r="999" spans="1:7">
      <c r="A999">
        <v>4270</v>
      </c>
      <c r="B999" t="s">
        <v>143</v>
      </c>
      <c r="C999" t="s">
        <v>128</v>
      </c>
      <c r="D999" s="9">
        <v>40917.428738425922</v>
      </c>
      <c r="E999" t="s">
        <v>44</v>
      </c>
      <c r="F999">
        <f t="shared" ca="1" si="30"/>
        <v>3.0555555555555554</v>
      </c>
      <c r="G999">
        <f t="shared" ca="1" si="31"/>
        <v>0</v>
      </c>
    </row>
    <row r="1000" spans="1:7">
      <c r="A1000">
        <v>4273</v>
      </c>
      <c r="B1000" t="s">
        <v>11</v>
      </c>
      <c r="C1000" t="s">
        <v>128</v>
      </c>
      <c r="D1000" s="9">
        <v>40938.82309027778</v>
      </c>
      <c r="E1000" t="s">
        <v>36</v>
      </c>
      <c r="F1000">
        <f t="shared" ca="1" si="30"/>
        <v>2.9972222222222222</v>
      </c>
      <c r="G1000">
        <f t="shared" ca="1" si="31"/>
        <v>0</v>
      </c>
    </row>
    <row r="1001" spans="1:7">
      <c r="A1001">
        <v>4274</v>
      </c>
      <c r="B1001" t="s">
        <v>99</v>
      </c>
      <c r="C1001" t="s">
        <v>127</v>
      </c>
      <c r="D1001" s="9">
        <v>41029.877997685187</v>
      </c>
      <c r="E1001" t="s">
        <v>32</v>
      </c>
      <c r="F1001">
        <f t="shared" ca="1" si="30"/>
        <v>2.7472222222222222</v>
      </c>
      <c r="G1001">
        <f t="shared" ca="1" si="31"/>
        <v>0</v>
      </c>
    </row>
    <row r="1002" spans="1:7">
      <c r="A1002">
        <v>4277</v>
      </c>
      <c r="B1002" t="s">
        <v>99</v>
      </c>
      <c r="C1002" t="s">
        <v>128</v>
      </c>
      <c r="D1002" s="9">
        <v>40919.836458333331</v>
      </c>
      <c r="E1002" t="s">
        <v>36</v>
      </c>
      <c r="F1002">
        <f t="shared" ca="1" si="30"/>
        <v>3.05</v>
      </c>
      <c r="G1002">
        <f t="shared" ca="1" si="31"/>
        <v>0</v>
      </c>
    </row>
    <row r="1003" spans="1:7">
      <c r="A1003">
        <v>4278</v>
      </c>
      <c r="B1003" t="s">
        <v>99</v>
      </c>
      <c r="C1003" t="s">
        <v>128</v>
      </c>
      <c r="D1003" s="9">
        <v>40919.791678240741</v>
      </c>
      <c r="E1003" t="s">
        <v>36</v>
      </c>
      <c r="F1003">
        <f t="shared" ca="1" si="30"/>
        <v>3.05</v>
      </c>
      <c r="G1003">
        <f t="shared" ca="1" si="31"/>
        <v>0</v>
      </c>
    </row>
    <row r="1004" spans="1:7">
      <c r="A1004">
        <v>4282</v>
      </c>
      <c r="B1004" t="s">
        <v>34</v>
      </c>
      <c r="C1004" t="s">
        <v>128</v>
      </c>
      <c r="D1004" s="9">
        <v>40938.660000000003</v>
      </c>
      <c r="E1004" t="s">
        <v>36</v>
      </c>
      <c r="F1004">
        <f t="shared" ca="1" si="30"/>
        <v>2.9972222222222222</v>
      </c>
      <c r="G1004">
        <f t="shared" ca="1" si="31"/>
        <v>0</v>
      </c>
    </row>
    <row r="1005" spans="1:7">
      <c r="A1005">
        <v>4298</v>
      </c>
      <c r="B1005" t="s">
        <v>8</v>
      </c>
      <c r="C1005" t="s">
        <v>128</v>
      </c>
      <c r="D1005" s="9">
        <v>40918.923796296294</v>
      </c>
      <c r="E1005" t="s">
        <v>27</v>
      </c>
      <c r="F1005">
        <f t="shared" ca="1" si="30"/>
        <v>3.0527777777777776</v>
      </c>
      <c r="G1005">
        <f t="shared" ca="1" si="31"/>
        <v>0</v>
      </c>
    </row>
    <row r="1006" spans="1:7">
      <c r="A1006">
        <v>4313</v>
      </c>
      <c r="B1006" t="s">
        <v>99</v>
      </c>
      <c r="C1006" t="s">
        <v>128</v>
      </c>
      <c r="D1006" s="9">
        <v>40919.000775462962</v>
      </c>
      <c r="E1006" t="s">
        <v>43</v>
      </c>
      <c r="F1006">
        <f t="shared" ca="1" si="30"/>
        <v>3.05</v>
      </c>
      <c r="G1006">
        <f t="shared" ca="1" si="31"/>
        <v>0</v>
      </c>
    </row>
    <row r="1007" spans="1:7">
      <c r="A1007">
        <v>4334</v>
      </c>
      <c r="B1007" t="s">
        <v>36</v>
      </c>
      <c r="C1007" t="s">
        <v>126</v>
      </c>
      <c r="D1007" s="9">
        <v>41127.795706018522</v>
      </c>
      <c r="E1007" t="s">
        <v>21</v>
      </c>
      <c r="F1007">
        <f t="shared" ca="1" si="30"/>
        <v>2.4805555555555556</v>
      </c>
      <c r="G1007">
        <f t="shared" ca="1" si="31"/>
        <v>0</v>
      </c>
    </row>
    <row r="1008" spans="1:7">
      <c r="A1008">
        <v>4336</v>
      </c>
      <c r="B1008" t="s">
        <v>44</v>
      </c>
      <c r="C1008" t="s">
        <v>128</v>
      </c>
      <c r="D1008" s="9">
        <v>40919.880462962959</v>
      </c>
      <c r="E1008" t="s">
        <v>27</v>
      </c>
      <c r="F1008">
        <f t="shared" ca="1" si="30"/>
        <v>3.05</v>
      </c>
      <c r="G1008">
        <f t="shared" ca="1" si="31"/>
        <v>0</v>
      </c>
    </row>
    <row r="1009" spans="1:7">
      <c r="A1009">
        <v>4337</v>
      </c>
      <c r="B1009" t="s">
        <v>44</v>
      </c>
      <c r="C1009" t="s">
        <v>128</v>
      </c>
      <c r="D1009" s="9">
        <v>40919.878194444442</v>
      </c>
      <c r="E1009" t="s">
        <v>27</v>
      </c>
      <c r="F1009">
        <f t="shared" ca="1" si="30"/>
        <v>3.05</v>
      </c>
      <c r="G1009">
        <f t="shared" ca="1" si="31"/>
        <v>0</v>
      </c>
    </row>
    <row r="1010" spans="1:7">
      <c r="A1010">
        <v>4338</v>
      </c>
      <c r="B1010" t="s">
        <v>143</v>
      </c>
      <c r="C1010" t="s">
        <v>127</v>
      </c>
      <c r="D1010" s="9">
        <v>41029.46434027778</v>
      </c>
      <c r="E1010" t="s">
        <v>44</v>
      </c>
      <c r="F1010">
        <f t="shared" ca="1" si="30"/>
        <v>2.7472222222222222</v>
      </c>
      <c r="G1010">
        <f t="shared" ca="1" si="31"/>
        <v>0</v>
      </c>
    </row>
    <row r="1011" spans="1:7">
      <c r="A1011">
        <v>4356</v>
      </c>
      <c r="B1011" t="s">
        <v>112</v>
      </c>
      <c r="C1011" t="s">
        <v>128</v>
      </c>
      <c r="D1011" s="9">
        <v>40920.772743055553</v>
      </c>
      <c r="E1011" t="s">
        <v>99</v>
      </c>
      <c r="F1011">
        <f t="shared" ca="1" si="30"/>
        <v>3.0472222222222221</v>
      </c>
      <c r="G1011">
        <f t="shared" ca="1" si="31"/>
        <v>0</v>
      </c>
    </row>
    <row r="1012" spans="1:7">
      <c r="A1012">
        <v>4357</v>
      </c>
      <c r="B1012" t="s">
        <v>44</v>
      </c>
      <c r="C1012" t="s">
        <v>128</v>
      </c>
      <c r="D1012" s="9">
        <v>40919.810393518521</v>
      </c>
      <c r="E1012" t="s">
        <v>27</v>
      </c>
      <c r="F1012">
        <f t="shared" ca="1" si="30"/>
        <v>3.05</v>
      </c>
      <c r="G1012">
        <f t="shared" ca="1" si="31"/>
        <v>0</v>
      </c>
    </row>
    <row r="1013" spans="1:7">
      <c r="A1013">
        <v>4362</v>
      </c>
      <c r="B1013" t="s">
        <v>143</v>
      </c>
      <c r="C1013" t="s">
        <v>128</v>
      </c>
      <c r="D1013" s="9">
        <v>40940.400902777779</v>
      </c>
      <c r="E1013" t="s">
        <v>44</v>
      </c>
      <c r="F1013">
        <f t="shared" ca="1" si="30"/>
        <v>2.9944444444444445</v>
      </c>
      <c r="G1013">
        <f t="shared" ca="1" si="31"/>
        <v>0</v>
      </c>
    </row>
    <row r="1014" spans="1:7">
      <c r="A1014">
        <v>4376</v>
      </c>
      <c r="B1014" t="s">
        <v>11</v>
      </c>
      <c r="C1014" t="s">
        <v>128</v>
      </c>
      <c r="D1014" s="9">
        <v>40918.499050925922</v>
      </c>
      <c r="E1014" t="s">
        <v>112</v>
      </c>
      <c r="F1014">
        <f t="shared" ca="1" si="30"/>
        <v>3.0527777777777776</v>
      </c>
      <c r="G1014">
        <f t="shared" ca="1" si="31"/>
        <v>0</v>
      </c>
    </row>
    <row r="1015" spans="1:7">
      <c r="A1015">
        <v>4383</v>
      </c>
      <c r="B1015" t="s">
        <v>143</v>
      </c>
      <c r="C1015" t="s">
        <v>127</v>
      </c>
      <c r="D1015" s="9">
        <v>41029.585370370369</v>
      </c>
      <c r="E1015" t="s">
        <v>34</v>
      </c>
      <c r="F1015">
        <f t="shared" ca="1" si="30"/>
        <v>2.7472222222222222</v>
      </c>
      <c r="G1015">
        <f t="shared" ca="1" si="31"/>
        <v>0</v>
      </c>
    </row>
    <row r="1016" spans="1:7">
      <c r="A1016">
        <v>4385</v>
      </c>
      <c r="B1016" t="s">
        <v>30</v>
      </c>
      <c r="C1016" t="s">
        <v>128</v>
      </c>
      <c r="D1016" s="9">
        <v>40917.699918981481</v>
      </c>
      <c r="E1016" t="s">
        <v>44</v>
      </c>
      <c r="F1016">
        <f t="shared" ca="1" si="30"/>
        <v>3.0555555555555554</v>
      </c>
      <c r="G1016">
        <f t="shared" ca="1" si="31"/>
        <v>0</v>
      </c>
    </row>
    <row r="1017" spans="1:7">
      <c r="A1017">
        <v>4388</v>
      </c>
      <c r="B1017" t="s">
        <v>112</v>
      </c>
      <c r="C1017" t="s">
        <v>128</v>
      </c>
      <c r="D1017" s="9">
        <v>40917.558935185189</v>
      </c>
      <c r="E1017" t="s">
        <v>30</v>
      </c>
      <c r="F1017">
        <f t="shared" ca="1" si="30"/>
        <v>3.0555555555555554</v>
      </c>
      <c r="G1017">
        <f t="shared" ca="1" si="31"/>
        <v>0</v>
      </c>
    </row>
    <row r="1018" spans="1:7">
      <c r="A1018">
        <v>4403</v>
      </c>
      <c r="B1018" t="s">
        <v>44</v>
      </c>
      <c r="C1018" t="s">
        <v>128</v>
      </c>
      <c r="D1018" s="9">
        <v>40919.588576388887</v>
      </c>
      <c r="E1018" t="s">
        <v>27</v>
      </c>
      <c r="F1018">
        <f t="shared" ca="1" si="30"/>
        <v>3.05</v>
      </c>
      <c r="G1018">
        <f t="shared" ca="1" si="31"/>
        <v>0</v>
      </c>
    </row>
    <row r="1019" spans="1:7">
      <c r="A1019">
        <v>4407</v>
      </c>
      <c r="B1019" t="s">
        <v>99</v>
      </c>
      <c r="C1019" t="s">
        <v>128</v>
      </c>
      <c r="D1019" s="9">
        <v>40919.793668981481</v>
      </c>
      <c r="E1019" t="s">
        <v>36</v>
      </c>
      <c r="F1019">
        <f t="shared" ca="1" si="30"/>
        <v>3.05</v>
      </c>
      <c r="G1019">
        <f t="shared" ca="1" si="31"/>
        <v>0</v>
      </c>
    </row>
    <row r="1020" spans="1:7">
      <c r="A1020">
        <v>4434</v>
      </c>
      <c r="B1020" t="s">
        <v>143</v>
      </c>
      <c r="C1020" t="s">
        <v>128</v>
      </c>
      <c r="D1020" s="9">
        <v>40920.41505787037</v>
      </c>
      <c r="E1020" t="s">
        <v>44</v>
      </c>
      <c r="F1020">
        <f t="shared" ca="1" si="30"/>
        <v>3.0472222222222221</v>
      </c>
      <c r="G1020">
        <f t="shared" ca="1" si="31"/>
        <v>0</v>
      </c>
    </row>
    <row r="1021" spans="1:7">
      <c r="A1021">
        <v>4442</v>
      </c>
      <c r="B1021" t="s">
        <v>8</v>
      </c>
      <c r="C1021" t="s">
        <v>128</v>
      </c>
      <c r="D1021" s="9">
        <v>40920.005914351852</v>
      </c>
      <c r="E1021" t="s">
        <v>36</v>
      </c>
      <c r="F1021">
        <f t="shared" ca="1" si="30"/>
        <v>3.0472222222222221</v>
      </c>
      <c r="G1021">
        <f t="shared" ca="1" si="31"/>
        <v>0</v>
      </c>
    </row>
    <row r="1022" spans="1:7">
      <c r="A1022">
        <v>4444</v>
      </c>
      <c r="B1022" t="s">
        <v>19</v>
      </c>
      <c r="C1022" t="s">
        <v>128</v>
      </c>
      <c r="D1022" s="9">
        <v>40934.80296296296</v>
      </c>
      <c r="E1022" t="s">
        <v>99</v>
      </c>
      <c r="F1022">
        <f t="shared" ca="1" si="30"/>
        <v>3.0083333333333333</v>
      </c>
      <c r="G1022">
        <f t="shared" ca="1" si="31"/>
        <v>0</v>
      </c>
    </row>
    <row r="1023" spans="1:7">
      <c r="A1023">
        <v>4454</v>
      </c>
      <c r="B1023" t="s">
        <v>8</v>
      </c>
      <c r="C1023" t="s">
        <v>128</v>
      </c>
      <c r="D1023" s="9">
        <v>40920.84652777778</v>
      </c>
      <c r="E1023" t="s">
        <v>38</v>
      </c>
      <c r="F1023">
        <f t="shared" ca="1" si="30"/>
        <v>3.0472222222222221</v>
      </c>
      <c r="G1023">
        <f t="shared" ca="1" si="31"/>
        <v>0</v>
      </c>
    </row>
    <row r="1024" spans="1:7">
      <c r="A1024">
        <v>4458</v>
      </c>
      <c r="B1024" t="s">
        <v>34</v>
      </c>
      <c r="C1024" t="s">
        <v>128</v>
      </c>
      <c r="D1024" s="9">
        <v>40920.43209490741</v>
      </c>
      <c r="E1024" t="s">
        <v>143</v>
      </c>
      <c r="F1024">
        <f t="shared" ca="1" si="30"/>
        <v>3.0472222222222221</v>
      </c>
      <c r="G1024">
        <f t="shared" ca="1" si="31"/>
        <v>0</v>
      </c>
    </row>
    <row r="1025" spans="1:7">
      <c r="A1025">
        <v>4459</v>
      </c>
      <c r="B1025" t="s">
        <v>99</v>
      </c>
      <c r="C1025" t="s">
        <v>127</v>
      </c>
      <c r="D1025" s="9">
        <v>41029.622118055559</v>
      </c>
      <c r="E1025" t="s">
        <v>34</v>
      </c>
      <c r="F1025">
        <f t="shared" ca="1" si="30"/>
        <v>2.7472222222222222</v>
      </c>
      <c r="G1025">
        <f t="shared" ca="1" si="31"/>
        <v>0</v>
      </c>
    </row>
    <row r="1026" spans="1:7">
      <c r="A1026">
        <v>4471</v>
      </c>
      <c r="B1026" t="s">
        <v>19</v>
      </c>
      <c r="C1026" t="s">
        <v>127</v>
      </c>
      <c r="D1026" s="9">
        <v>41029.684884259259</v>
      </c>
      <c r="E1026" t="s">
        <v>34</v>
      </c>
      <c r="F1026">
        <f t="shared" ca="1" si="30"/>
        <v>2.7472222222222222</v>
      </c>
      <c r="G1026">
        <f t="shared" ca="1" si="31"/>
        <v>0</v>
      </c>
    </row>
    <row r="1027" spans="1:7">
      <c r="A1027">
        <v>4488</v>
      </c>
      <c r="B1027" t="s">
        <v>27</v>
      </c>
      <c r="C1027" t="s">
        <v>128</v>
      </c>
      <c r="D1027" s="9">
        <v>40933.364432870374</v>
      </c>
      <c r="E1027" t="s">
        <v>19</v>
      </c>
      <c r="F1027">
        <f t="shared" ref="F1027:F1090" ca="1" si="32">YEARFRAC(TODAY(),$D1027)</f>
        <v>3.0111111111111111</v>
      </c>
      <c r="G1027">
        <f t="shared" ref="G1027:G1090" ca="1" si="33">IF($F1027&lt;1,1,0)</f>
        <v>0</v>
      </c>
    </row>
    <row r="1028" spans="1:7">
      <c r="A1028">
        <v>4490</v>
      </c>
      <c r="B1028" t="s">
        <v>44</v>
      </c>
      <c r="C1028" t="s">
        <v>127</v>
      </c>
      <c r="D1028" s="9">
        <v>41030.43141203704</v>
      </c>
      <c r="E1028" t="s">
        <v>143</v>
      </c>
      <c r="F1028">
        <f t="shared" ca="1" si="32"/>
        <v>2.7444444444444445</v>
      </c>
      <c r="G1028">
        <f t="shared" ca="1" si="33"/>
        <v>0</v>
      </c>
    </row>
    <row r="1029" spans="1:7">
      <c r="A1029">
        <v>4491</v>
      </c>
      <c r="B1029" t="s">
        <v>8</v>
      </c>
      <c r="C1029" t="s">
        <v>128</v>
      </c>
      <c r="D1029" s="9">
        <v>40921.625393518516</v>
      </c>
      <c r="E1029" t="s">
        <v>37</v>
      </c>
      <c r="F1029">
        <f t="shared" ca="1" si="32"/>
        <v>3.0444444444444443</v>
      </c>
      <c r="G1029">
        <f t="shared" ca="1" si="33"/>
        <v>0</v>
      </c>
    </row>
    <row r="1030" spans="1:7">
      <c r="A1030">
        <v>4492</v>
      </c>
      <c r="B1030" t="s">
        <v>143</v>
      </c>
      <c r="C1030" t="s">
        <v>128</v>
      </c>
      <c r="D1030" s="9">
        <v>40921.624803240738</v>
      </c>
      <c r="E1030" t="s">
        <v>37</v>
      </c>
      <c r="F1030">
        <f t="shared" ca="1" si="32"/>
        <v>3.0444444444444443</v>
      </c>
      <c r="G1030">
        <f t="shared" ca="1" si="33"/>
        <v>0</v>
      </c>
    </row>
    <row r="1031" spans="1:7">
      <c r="A1031">
        <v>4499</v>
      </c>
      <c r="B1031" t="s">
        <v>8</v>
      </c>
      <c r="C1031" t="s">
        <v>128</v>
      </c>
      <c r="D1031" s="9">
        <v>40926.690717592595</v>
      </c>
      <c r="E1031" t="s">
        <v>30</v>
      </c>
      <c r="F1031">
        <f t="shared" ca="1" si="32"/>
        <v>3.0305555555555554</v>
      </c>
      <c r="G1031">
        <f t="shared" ca="1" si="33"/>
        <v>0</v>
      </c>
    </row>
    <row r="1032" spans="1:7">
      <c r="A1032">
        <v>4502</v>
      </c>
      <c r="B1032" t="s">
        <v>8</v>
      </c>
      <c r="C1032" t="s">
        <v>128</v>
      </c>
      <c r="D1032" s="9">
        <v>40926.690717592595</v>
      </c>
      <c r="E1032" t="s">
        <v>30</v>
      </c>
      <c r="F1032">
        <f t="shared" ca="1" si="32"/>
        <v>3.0305555555555554</v>
      </c>
      <c r="G1032">
        <f t="shared" ca="1" si="33"/>
        <v>0</v>
      </c>
    </row>
    <row r="1033" spans="1:7">
      <c r="A1033">
        <v>4504</v>
      </c>
      <c r="B1033" t="s">
        <v>99</v>
      </c>
      <c r="C1033" t="s">
        <v>128</v>
      </c>
      <c r="D1033" s="9">
        <v>40926.690752314818</v>
      </c>
      <c r="E1033" t="s">
        <v>38</v>
      </c>
      <c r="F1033">
        <f t="shared" ca="1" si="32"/>
        <v>3.0305555555555554</v>
      </c>
      <c r="G1033">
        <f t="shared" ca="1" si="33"/>
        <v>0</v>
      </c>
    </row>
    <row r="1034" spans="1:7">
      <c r="A1034">
        <v>4506</v>
      </c>
      <c r="B1034" t="s">
        <v>111</v>
      </c>
      <c r="C1034" t="s">
        <v>128</v>
      </c>
      <c r="D1034" s="9">
        <v>40941.713287037041</v>
      </c>
      <c r="E1034" t="s">
        <v>38</v>
      </c>
      <c r="F1034">
        <f t="shared" ca="1" si="32"/>
        <v>2.9916666666666667</v>
      </c>
      <c r="G1034">
        <f t="shared" ca="1" si="33"/>
        <v>0</v>
      </c>
    </row>
    <row r="1035" spans="1:7">
      <c r="A1035">
        <v>4509</v>
      </c>
      <c r="B1035" t="s">
        <v>99</v>
      </c>
      <c r="C1035" t="s">
        <v>128</v>
      </c>
      <c r="D1035" s="9">
        <v>40942.62709490741</v>
      </c>
      <c r="E1035" t="s">
        <v>38</v>
      </c>
      <c r="F1035">
        <f t="shared" ca="1" si="32"/>
        <v>2.9888888888888889</v>
      </c>
      <c r="G1035">
        <f t="shared" ca="1" si="33"/>
        <v>0</v>
      </c>
    </row>
    <row r="1036" spans="1:7">
      <c r="A1036">
        <v>4514</v>
      </c>
      <c r="B1036" t="s">
        <v>143</v>
      </c>
      <c r="C1036" t="s">
        <v>128</v>
      </c>
      <c r="D1036" s="9">
        <v>40926.690775462965</v>
      </c>
      <c r="E1036" t="s">
        <v>104</v>
      </c>
      <c r="F1036">
        <f t="shared" ca="1" si="32"/>
        <v>3.0305555555555554</v>
      </c>
      <c r="G1036">
        <f t="shared" ca="1" si="33"/>
        <v>0</v>
      </c>
    </row>
    <row r="1037" spans="1:7">
      <c r="A1037">
        <v>4516</v>
      </c>
      <c r="B1037" t="s">
        <v>99</v>
      </c>
      <c r="C1037" t="s">
        <v>127</v>
      </c>
      <c r="D1037" s="9">
        <v>41029.454837962963</v>
      </c>
      <c r="E1037" t="s">
        <v>34</v>
      </c>
      <c r="F1037">
        <f t="shared" ca="1" si="32"/>
        <v>2.7472222222222222</v>
      </c>
      <c r="G1037">
        <f t="shared" ca="1" si="33"/>
        <v>0</v>
      </c>
    </row>
    <row r="1038" spans="1:7">
      <c r="A1038">
        <v>4518</v>
      </c>
      <c r="B1038" t="s">
        <v>8</v>
      </c>
      <c r="C1038" t="s">
        <v>128</v>
      </c>
      <c r="D1038" s="9">
        <v>40926.690787037034</v>
      </c>
      <c r="E1038" t="s">
        <v>30</v>
      </c>
      <c r="F1038">
        <f t="shared" ca="1" si="32"/>
        <v>3.0305555555555554</v>
      </c>
      <c r="G1038">
        <f t="shared" ca="1" si="33"/>
        <v>0</v>
      </c>
    </row>
    <row r="1039" spans="1:7">
      <c r="A1039">
        <v>4519</v>
      </c>
      <c r="B1039" t="s">
        <v>143</v>
      </c>
      <c r="C1039" t="s">
        <v>128</v>
      </c>
      <c r="D1039" s="9">
        <v>40926.690787037034</v>
      </c>
      <c r="E1039" t="s">
        <v>30</v>
      </c>
      <c r="F1039">
        <f t="shared" ca="1" si="32"/>
        <v>3.0305555555555554</v>
      </c>
      <c r="G1039">
        <f t="shared" ca="1" si="33"/>
        <v>0</v>
      </c>
    </row>
    <row r="1040" spans="1:7">
      <c r="A1040">
        <v>4522</v>
      </c>
      <c r="B1040" t="s">
        <v>99</v>
      </c>
      <c r="C1040" t="s">
        <v>128</v>
      </c>
      <c r="D1040" s="9">
        <v>40927.711284722223</v>
      </c>
      <c r="E1040" t="s">
        <v>23</v>
      </c>
      <c r="F1040">
        <f t="shared" ca="1" si="32"/>
        <v>3.0277777777777777</v>
      </c>
      <c r="G1040">
        <f t="shared" ca="1" si="33"/>
        <v>0</v>
      </c>
    </row>
    <row r="1041" spans="1:7">
      <c r="A1041">
        <v>4527</v>
      </c>
      <c r="B1041" t="s">
        <v>99</v>
      </c>
      <c r="C1041" t="s">
        <v>128</v>
      </c>
      <c r="D1041" s="9">
        <v>40928.684965277775</v>
      </c>
      <c r="E1041" t="s">
        <v>19</v>
      </c>
      <c r="F1041">
        <f t="shared" ca="1" si="32"/>
        <v>3.0249999999999999</v>
      </c>
      <c r="G1041">
        <f t="shared" ca="1" si="33"/>
        <v>0</v>
      </c>
    </row>
    <row r="1042" spans="1:7">
      <c r="A1042">
        <v>4530</v>
      </c>
      <c r="B1042" t="s">
        <v>37</v>
      </c>
      <c r="C1042" t="s">
        <v>128</v>
      </c>
      <c r="D1042" s="9">
        <v>40927.58357638889</v>
      </c>
      <c r="E1042" t="s">
        <v>143</v>
      </c>
      <c r="F1042">
        <f t="shared" ca="1" si="32"/>
        <v>3.0277777777777777</v>
      </c>
      <c r="G1042">
        <f t="shared" ca="1" si="33"/>
        <v>0</v>
      </c>
    </row>
    <row r="1043" spans="1:7">
      <c r="A1043">
        <v>4531</v>
      </c>
      <c r="B1043" t="s">
        <v>37</v>
      </c>
      <c r="C1043" t="s">
        <v>128</v>
      </c>
      <c r="D1043" s="9">
        <v>40941.608182870368</v>
      </c>
      <c r="E1043" t="s">
        <v>38</v>
      </c>
      <c r="F1043">
        <f t="shared" ca="1" si="32"/>
        <v>2.9916666666666667</v>
      </c>
      <c r="G1043">
        <f t="shared" ca="1" si="33"/>
        <v>0</v>
      </c>
    </row>
    <row r="1044" spans="1:7">
      <c r="A1044">
        <v>4543</v>
      </c>
      <c r="B1044" t="s">
        <v>99</v>
      </c>
      <c r="C1044" t="s">
        <v>128</v>
      </c>
      <c r="D1044" s="9">
        <v>40933.008125</v>
      </c>
      <c r="E1044" t="s">
        <v>36</v>
      </c>
      <c r="F1044">
        <f t="shared" ca="1" si="32"/>
        <v>3.0111111111111111</v>
      </c>
      <c r="G1044">
        <f t="shared" ca="1" si="33"/>
        <v>0</v>
      </c>
    </row>
    <row r="1045" spans="1:7">
      <c r="A1045">
        <v>4559</v>
      </c>
      <c r="B1045" t="s">
        <v>143</v>
      </c>
      <c r="C1045" t="s">
        <v>128</v>
      </c>
      <c r="D1045" s="9">
        <v>40928.703935185185</v>
      </c>
      <c r="E1045" t="s">
        <v>30</v>
      </c>
      <c r="F1045">
        <f t="shared" ca="1" si="32"/>
        <v>3.0249999999999999</v>
      </c>
      <c r="G1045">
        <f t="shared" ca="1" si="33"/>
        <v>0</v>
      </c>
    </row>
    <row r="1046" spans="1:7">
      <c r="A1046">
        <v>4569</v>
      </c>
      <c r="B1046" t="s">
        <v>44</v>
      </c>
      <c r="C1046" t="s">
        <v>128</v>
      </c>
      <c r="D1046" s="9">
        <v>40932.617615740739</v>
      </c>
      <c r="E1046" t="s">
        <v>30</v>
      </c>
      <c r="F1046">
        <f t="shared" ca="1" si="32"/>
        <v>3.0138888888888888</v>
      </c>
      <c r="G1046">
        <f t="shared" ca="1" si="33"/>
        <v>0</v>
      </c>
    </row>
    <row r="1047" spans="1:7">
      <c r="A1047">
        <v>4570</v>
      </c>
      <c r="B1047" t="s">
        <v>20</v>
      </c>
      <c r="C1047" t="s">
        <v>128</v>
      </c>
      <c r="D1047" s="9">
        <v>40934.779120370367</v>
      </c>
      <c r="E1047" t="s">
        <v>99</v>
      </c>
      <c r="F1047">
        <f t="shared" ca="1" si="32"/>
        <v>3.0083333333333333</v>
      </c>
      <c r="G1047">
        <f t="shared" ca="1" si="33"/>
        <v>0</v>
      </c>
    </row>
    <row r="1048" spans="1:7">
      <c r="A1048">
        <v>4571</v>
      </c>
      <c r="B1048" t="s">
        <v>143</v>
      </c>
      <c r="C1048" t="s">
        <v>128</v>
      </c>
      <c r="D1048" s="9">
        <v>40940.407372685186</v>
      </c>
      <c r="E1048" t="s">
        <v>44</v>
      </c>
      <c r="F1048">
        <f t="shared" ca="1" si="32"/>
        <v>2.9944444444444445</v>
      </c>
      <c r="G1048">
        <f t="shared" ca="1" si="33"/>
        <v>0</v>
      </c>
    </row>
    <row r="1049" spans="1:7">
      <c r="A1049">
        <v>4574</v>
      </c>
      <c r="B1049" t="s">
        <v>37</v>
      </c>
      <c r="C1049" t="s">
        <v>128</v>
      </c>
      <c r="D1049" s="9">
        <v>40940.855451388888</v>
      </c>
      <c r="E1049" t="s">
        <v>38</v>
      </c>
      <c r="F1049">
        <f t="shared" ca="1" si="32"/>
        <v>2.9944444444444445</v>
      </c>
      <c r="G1049">
        <f t="shared" ca="1" si="33"/>
        <v>0</v>
      </c>
    </row>
    <row r="1050" spans="1:7">
      <c r="A1050">
        <v>4575</v>
      </c>
      <c r="B1050" t="s">
        <v>37</v>
      </c>
      <c r="C1050" t="s">
        <v>128</v>
      </c>
      <c r="D1050" s="9">
        <v>40934.892199074071</v>
      </c>
      <c r="E1050" t="s">
        <v>32</v>
      </c>
      <c r="F1050">
        <f t="shared" ca="1" si="32"/>
        <v>3.0083333333333333</v>
      </c>
      <c r="G1050">
        <f t="shared" ca="1" si="33"/>
        <v>0</v>
      </c>
    </row>
    <row r="1051" spans="1:7">
      <c r="A1051">
        <v>4577</v>
      </c>
      <c r="B1051" t="s">
        <v>37</v>
      </c>
      <c r="C1051" t="s">
        <v>128</v>
      </c>
      <c r="D1051" s="9">
        <v>40931.387118055558</v>
      </c>
      <c r="E1051" t="s">
        <v>44</v>
      </c>
      <c r="F1051">
        <f t="shared" ca="1" si="32"/>
        <v>3.0166666666666666</v>
      </c>
      <c r="G1051">
        <f t="shared" ca="1" si="33"/>
        <v>0</v>
      </c>
    </row>
    <row r="1052" spans="1:7">
      <c r="A1052">
        <v>4589</v>
      </c>
      <c r="B1052" t="s">
        <v>44</v>
      </c>
      <c r="C1052" t="s">
        <v>128</v>
      </c>
      <c r="D1052" s="9">
        <v>40940.71303240741</v>
      </c>
      <c r="E1052" t="s">
        <v>38</v>
      </c>
      <c r="F1052">
        <f t="shared" ca="1" si="32"/>
        <v>2.9944444444444445</v>
      </c>
      <c r="G1052">
        <f t="shared" ca="1" si="33"/>
        <v>0</v>
      </c>
    </row>
    <row r="1053" spans="1:7">
      <c r="A1053">
        <v>4590</v>
      </c>
      <c r="B1053" t="s">
        <v>23</v>
      </c>
      <c r="C1053" t="s">
        <v>127</v>
      </c>
      <c r="D1053" s="9">
        <v>41031.373553240737</v>
      </c>
      <c r="E1053" t="s">
        <v>34</v>
      </c>
      <c r="F1053">
        <f t="shared" ca="1" si="32"/>
        <v>2.7416666666666667</v>
      </c>
      <c r="G1053">
        <f t="shared" ca="1" si="33"/>
        <v>0</v>
      </c>
    </row>
    <row r="1054" spans="1:7">
      <c r="A1054">
        <v>4593</v>
      </c>
      <c r="B1054" t="s">
        <v>37</v>
      </c>
      <c r="C1054" t="s">
        <v>128</v>
      </c>
      <c r="D1054" s="9">
        <v>40941.608414351853</v>
      </c>
      <c r="E1054" t="s">
        <v>38</v>
      </c>
      <c r="F1054">
        <f t="shared" ca="1" si="32"/>
        <v>2.9916666666666667</v>
      </c>
      <c r="G1054">
        <f t="shared" ca="1" si="33"/>
        <v>0</v>
      </c>
    </row>
    <row r="1055" spans="1:7">
      <c r="A1055">
        <v>4594</v>
      </c>
      <c r="B1055" t="s">
        <v>38</v>
      </c>
      <c r="C1055" t="s">
        <v>128</v>
      </c>
      <c r="D1055" s="9">
        <v>40931.912152777775</v>
      </c>
      <c r="E1055" t="s">
        <v>36</v>
      </c>
      <c r="F1055">
        <f t="shared" ca="1" si="32"/>
        <v>3.0166666666666666</v>
      </c>
      <c r="G1055">
        <f t="shared" ca="1" si="33"/>
        <v>0</v>
      </c>
    </row>
    <row r="1056" spans="1:7">
      <c r="A1056">
        <v>4617</v>
      </c>
      <c r="B1056" t="s">
        <v>38</v>
      </c>
      <c r="C1056" t="s">
        <v>128</v>
      </c>
      <c r="D1056" s="9">
        <v>40931.912152777775</v>
      </c>
      <c r="E1056" t="s">
        <v>36</v>
      </c>
      <c r="F1056">
        <f t="shared" ca="1" si="32"/>
        <v>3.0166666666666666</v>
      </c>
      <c r="G1056">
        <f t="shared" ca="1" si="33"/>
        <v>0</v>
      </c>
    </row>
    <row r="1057" spans="1:7">
      <c r="A1057">
        <v>4621</v>
      </c>
      <c r="B1057" t="s">
        <v>37</v>
      </c>
      <c r="C1057" t="s">
        <v>128</v>
      </c>
      <c r="D1057" s="9">
        <v>40938.655416666668</v>
      </c>
      <c r="E1057" t="s">
        <v>36</v>
      </c>
      <c r="F1057">
        <f t="shared" ca="1" si="32"/>
        <v>2.9972222222222222</v>
      </c>
      <c r="G1057">
        <f t="shared" ca="1" si="33"/>
        <v>0</v>
      </c>
    </row>
    <row r="1058" spans="1:7">
      <c r="A1058">
        <v>4629</v>
      </c>
      <c r="B1058" t="s">
        <v>44</v>
      </c>
      <c r="C1058" t="s">
        <v>128</v>
      </c>
      <c r="D1058" s="9">
        <v>40935.688356481478</v>
      </c>
      <c r="E1058" t="s">
        <v>143</v>
      </c>
      <c r="F1058">
        <f t="shared" ca="1" si="32"/>
        <v>3.0055555555555555</v>
      </c>
      <c r="G1058">
        <f t="shared" ca="1" si="33"/>
        <v>0</v>
      </c>
    </row>
    <row r="1059" spans="1:7">
      <c r="A1059">
        <v>4631</v>
      </c>
      <c r="B1059" t="s">
        <v>8</v>
      </c>
      <c r="C1059" t="s">
        <v>128</v>
      </c>
      <c r="D1059" s="9">
        <v>40938.649328703701</v>
      </c>
      <c r="E1059" t="s">
        <v>36</v>
      </c>
      <c r="F1059">
        <f t="shared" ca="1" si="32"/>
        <v>2.9972222222222222</v>
      </c>
      <c r="G1059">
        <f t="shared" ca="1" si="33"/>
        <v>0</v>
      </c>
    </row>
    <row r="1060" spans="1:7">
      <c r="A1060">
        <v>4632</v>
      </c>
      <c r="B1060" t="s">
        <v>37</v>
      </c>
      <c r="C1060" t="s">
        <v>128</v>
      </c>
      <c r="D1060" s="9">
        <v>40938.598275462966</v>
      </c>
      <c r="E1060" t="s">
        <v>104</v>
      </c>
      <c r="F1060">
        <f t="shared" ca="1" si="32"/>
        <v>2.9972222222222222</v>
      </c>
      <c r="G1060">
        <f t="shared" ca="1" si="33"/>
        <v>0</v>
      </c>
    </row>
    <row r="1061" spans="1:7">
      <c r="A1061">
        <v>4633</v>
      </c>
      <c r="B1061" t="s">
        <v>38</v>
      </c>
      <c r="C1061" t="s">
        <v>128</v>
      </c>
      <c r="D1061" s="9">
        <v>40933.021585648145</v>
      </c>
      <c r="E1061" t="s">
        <v>36</v>
      </c>
      <c r="F1061">
        <f t="shared" ca="1" si="32"/>
        <v>3.0111111111111111</v>
      </c>
      <c r="G1061">
        <f t="shared" ca="1" si="33"/>
        <v>0</v>
      </c>
    </row>
    <row r="1062" spans="1:7">
      <c r="A1062">
        <v>4634</v>
      </c>
      <c r="B1062" t="s">
        <v>44</v>
      </c>
      <c r="C1062" t="s">
        <v>128</v>
      </c>
      <c r="D1062" s="9">
        <v>40940.87232638889</v>
      </c>
      <c r="E1062" t="s">
        <v>11</v>
      </c>
      <c r="F1062">
        <f t="shared" ca="1" si="32"/>
        <v>2.9944444444444445</v>
      </c>
      <c r="G1062">
        <f t="shared" ca="1" si="33"/>
        <v>0</v>
      </c>
    </row>
    <row r="1063" spans="1:7">
      <c r="A1063">
        <v>4636</v>
      </c>
      <c r="B1063" t="s">
        <v>21</v>
      </c>
      <c r="C1063" t="s">
        <v>128</v>
      </c>
      <c r="D1063" s="9">
        <v>40932.815162037034</v>
      </c>
      <c r="E1063" t="s">
        <v>20</v>
      </c>
      <c r="F1063">
        <f t="shared" ca="1" si="32"/>
        <v>3.0138888888888888</v>
      </c>
      <c r="G1063">
        <f t="shared" ca="1" si="33"/>
        <v>0</v>
      </c>
    </row>
    <row r="1064" spans="1:7">
      <c r="A1064">
        <v>4653</v>
      </c>
      <c r="B1064" t="s">
        <v>99</v>
      </c>
      <c r="C1064" t="s">
        <v>127</v>
      </c>
      <c r="D1064" s="9">
        <v>41029.714907407404</v>
      </c>
      <c r="E1064" t="s">
        <v>20</v>
      </c>
      <c r="F1064">
        <f t="shared" ca="1" si="32"/>
        <v>2.7472222222222222</v>
      </c>
      <c r="G1064">
        <f t="shared" ca="1" si="33"/>
        <v>0</v>
      </c>
    </row>
    <row r="1065" spans="1:7">
      <c r="A1065">
        <v>4663</v>
      </c>
      <c r="B1065" t="s">
        <v>143</v>
      </c>
      <c r="C1065" t="s">
        <v>128</v>
      </c>
      <c r="D1065" s="9">
        <v>40940.460752314815</v>
      </c>
      <c r="E1065" t="s">
        <v>44</v>
      </c>
      <c r="F1065">
        <f t="shared" ca="1" si="32"/>
        <v>2.9944444444444445</v>
      </c>
      <c r="G1065">
        <f t="shared" ca="1" si="33"/>
        <v>0</v>
      </c>
    </row>
    <row r="1066" spans="1:7">
      <c r="A1066">
        <v>4669</v>
      </c>
      <c r="B1066" t="s">
        <v>8</v>
      </c>
      <c r="C1066" t="s">
        <v>128</v>
      </c>
      <c r="D1066" s="9">
        <v>40940.675937499997</v>
      </c>
      <c r="E1066" t="s">
        <v>19</v>
      </c>
      <c r="F1066">
        <f t="shared" ca="1" si="32"/>
        <v>2.9944444444444445</v>
      </c>
      <c r="G1066">
        <f t="shared" ca="1" si="33"/>
        <v>0</v>
      </c>
    </row>
    <row r="1067" spans="1:7">
      <c r="A1067">
        <v>4680</v>
      </c>
      <c r="B1067" t="s">
        <v>19</v>
      </c>
      <c r="C1067" t="s">
        <v>128</v>
      </c>
      <c r="D1067" s="9">
        <v>40941.681284722225</v>
      </c>
      <c r="E1067" t="s">
        <v>38</v>
      </c>
      <c r="F1067">
        <f t="shared" ca="1" si="32"/>
        <v>2.9916666666666667</v>
      </c>
      <c r="G1067">
        <f t="shared" ca="1" si="33"/>
        <v>0</v>
      </c>
    </row>
    <row r="1068" spans="1:7">
      <c r="A1068">
        <v>4683</v>
      </c>
      <c r="B1068" t="s">
        <v>8</v>
      </c>
      <c r="C1068" t="s">
        <v>128</v>
      </c>
      <c r="D1068" s="9">
        <v>40940.5</v>
      </c>
      <c r="E1068" t="s">
        <v>19</v>
      </c>
      <c r="F1068">
        <f t="shared" ca="1" si="32"/>
        <v>2.9944444444444445</v>
      </c>
      <c r="G1068">
        <f t="shared" ca="1" si="33"/>
        <v>0</v>
      </c>
    </row>
    <row r="1069" spans="1:7">
      <c r="A1069">
        <v>4692</v>
      </c>
      <c r="B1069" t="s">
        <v>8</v>
      </c>
      <c r="C1069" t="s">
        <v>128</v>
      </c>
      <c r="D1069" s="9">
        <v>40940.697280092594</v>
      </c>
      <c r="E1069" t="s">
        <v>38</v>
      </c>
      <c r="F1069">
        <f t="shared" ca="1" si="32"/>
        <v>2.9944444444444445</v>
      </c>
      <c r="G1069">
        <f t="shared" ca="1" si="33"/>
        <v>0</v>
      </c>
    </row>
    <row r="1070" spans="1:7">
      <c r="A1070">
        <v>4701</v>
      </c>
      <c r="B1070" t="s">
        <v>19</v>
      </c>
      <c r="C1070" t="s">
        <v>128</v>
      </c>
      <c r="D1070" s="9">
        <v>40940.790844907409</v>
      </c>
      <c r="E1070" t="s">
        <v>11</v>
      </c>
      <c r="F1070">
        <f t="shared" ca="1" si="32"/>
        <v>2.9944444444444445</v>
      </c>
      <c r="G1070">
        <f t="shared" ca="1" si="33"/>
        <v>0</v>
      </c>
    </row>
    <row r="1071" spans="1:7">
      <c r="A1071">
        <v>4712</v>
      </c>
      <c r="B1071" t="s">
        <v>8</v>
      </c>
      <c r="C1071" t="s">
        <v>128</v>
      </c>
      <c r="D1071" s="9">
        <v>40940.824733796297</v>
      </c>
      <c r="E1071" t="s">
        <v>11</v>
      </c>
      <c r="F1071">
        <f t="shared" ca="1" si="32"/>
        <v>2.9944444444444445</v>
      </c>
      <c r="G1071">
        <f t="shared" ca="1" si="33"/>
        <v>0</v>
      </c>
    </row>
    <row r="1072" spans="1:7">
      <c r="A1072">
        <v>4724</v>
      </c>
      <c r="B1072" t="s">
        <v>27</v>
      </c>
      <c r="C1072" t="s">
        <v>127</v>
      </c>
      <c r="D1072" s="9">
        <v>41029.682951388888</v>
      </c>
      <c r="E1072" t="s">
        <v>36</v>
      </c>
      <c r="F1072">
        <f t="shared" ca="1" si="32"/>
        <v>2.7472222222222222</v>
      </c>
      <c r="G1072">
        <f t="shared" ca="1" si="33"/>
        <v>0</v>
      </c>
    </row>
    <row r="1073" spans="1:7">
      <c r="A1073">
        <v>4725</v>
      </c>
      <c r="B1073" t="s">
        <v>44</v>
      </c>
      <c r="C1073" t="s">
        <v>128</v>
      </c>
      <c r="D1073" s="9">
        <v>40942.627002314817</v>
      </c>
      <c r="E1073" t="s">
        <v>38</v>
      </c>
      <c r="F1073">
        <f t="shared" ca="1" si="32"/>
        <v>2.9888888888888889</v>
      </c>
      <c r="G1073">
        <f t="shared" ca="1" si="33"/>
        <v>0</v>
      </c>
    </row>
    <row r="1074" spans="1:7">
      <c r="A1074">
        <v>4742</v>
      </c>
      <c r="B1074" t="s">
        <v>19</v>
      </c>
      <c r="C1074" t="s">
        <v>127</v>
      </c>
      <c r="D1074" s="9">
        <v>41031.612083333333</v>
      </c>
      <c r="E1074" t="s">
        <v>27</v>
      </c>
      <c r="F1074">
        <f t="shared" ca="1" si="32"/>
        <v>2.7416666666666667</v>
      </c>
      <c r="G1074">
        <f t="shared" ca="1" si="33"/>
        <v>0</v>
      </c>
    </row>
    <row r="1075" spans="1:7">
      <c r="A1075">
        <v>4778</v>
      </c>
      <c r="B1075" t="s">
        <v>143</v>
      </c>
      <c r="C1075" t="s">
        <v>127</v>
      </c>
      <c r="D1075" s="9">
        <v>41029.451249999998</v>
      </c>
      <c r="E1075" t="s">
        <v>44</v>
      </c>
      <c r="F1075">
        <f t="shared" ca="1" si="32"/>
        <v>2.7472222222222222</v>
      </c>
      <c r="G1075">
        <f t="shared" ca="1" si="33"/>
        <v>0</v>
      </c>
    </row>
    <row r="1076" spans="1:7">
      <c r="A1076">
        <v>4781</v>
      </c>
      <c r="B1076" t="s">
        <v>30</v>
      </c>
      <c r="C1076" t="s">
        <v>127</v>
      </c>
      <c r="D1076" s="9">
        <v>41029.636516203704</v>
      </c>
      <c r="E1076" t="s">
        <v>34</v>
      </c>
      <c r="F1076">
        <f t="shared" ca="1" si="32"/>
        <v>2.7472222222222222</v>
      </c>
      <c r="G1076">
        <f t="shared" ca="1" si="33"/>
        <v>0</v>
      </c>
    </row>
    <row r="1077" spans="1:7">
      <c r="A1077">
        <v>4787</v>
      </c>
      <c r="B1077" t="s">
        <v>99</v>
      </c>
      <c r="C1077" t="s">
        <v>127</v>
      </c>
      <c r="D1077" s="9">
        <v>41031.718368055554</v>
      </c>
      <c r="E1077" t="s">
        <v>38</v>
      </c>
      <c r="F1077">
        <f t="shared" ca="1" si="32"/>
        <v>2.7416666666666667</v>
      </c>
      <c r="G1077">
        <f t="shared" ca="1" si="33"/>
        <v>0</v>
      </c>
    </row>
    <row r="1078" spans="1:7">
      <c r="A1078">
        <v>4800</v>
      </c>
      <c r="B1078" t="s">
        <v>99</v>
      </c>
      <c r="C1078" t="s">
        <v>127</v>
      </c>
      <c r="D1078" s="9">
        <v>41029.895995370367</v>
      </c>
      <c r="E1078" t="s">
        <v>36</v>
      </c>
      <c r="F1078">
        <f t="shared" ca="1" si="32"/>
        <v>2.7472222222222222</v>
      </c>
      <c r="G1078">
        <f t="shared" ca="1" si="33"/>
        <v>0</v>
      </c>
    </row>
    <row r="1079" spans="1:7">
      <c r="A1079">
        <v>4801</v>
      </c>
      <c r="B1079" t="s">
        <v>11</v>
      </c>
      <c r="C1079" t="s">
        <v>127</v>
      </c>
      <c r="D1079" s="9">
        <v>41030.849976851852</v>
      </c>
      <c r="E1079" t="s">
        <v>38</v>
      </c>
      <c r="F1079">
        <f t="shared" ca="1" si="32"/>
        <v>2.7444444444444445</v>
      </c>
      <c r="G1079">
        <f t="shared" ca="1" si="33"/>
        <v>0</v>
      </c>
    </row>
    <row r="1080" spans="1:7">
      <c r="A1080">
        <v>4803</v>
      </c>
      <c r="B1080" t="s">
        <v>99</v>
      </c>
      <c r="C1080" t="s">
        <v>127</v>
      </c>
      <c r="D1080" s="9">
        <v>41030.849189814813</v>
      </c>
      <c r="E1080" t="s">
        <v>38</v>
      </c>
      <c r="F1080">
        <f t="shared" ca="1" si="32"/>
        <v>2.7444444444444445</v>
      </c>
      <c r="G1080">
        <f t="shared" ca="1" si="33"/>
        <v>0</v>
      </c>
    </row>
    <row r="1081" spans="1:7">
      <c r="A1081">
        <v>4808</v>
      </c>
      <c r="B1081" t="s">
        <v>99</v>
      </c>
      <c r="C1081" t="s">
        <v>127</v>
      </c>
      <c r="D1081" s="9">
        <v>41029.826944444445</v>
      </c>
      <c r="E1081" t="s">
        <v>38</v>
      </c>
      <c r="F1081">
        <f t="shared" ca="1" si="32"/>
        <v>2.7472222222222222</v>
      </c>
      <c r="G1081">
        <f t="shared" ca="1" si="33"/>
        <v>0</v>
      </c>
    </row>
    <row r="1082" spans="1:7">
      <c r="A1082">
        <v>4809</v>
      </c>
      <c r="B1082" t="s">
        <v>19</v>
      </c>
      <c r="C1082" t="s">
        <v>127</v>
      </c>
      <c r="D1082" s="9">
        <v>41029.482939814814</v>
      </c>
      <c r="E1082" t="s">
        <v>34</v>
      </c>
      <c r="F1082">
        <f t="shared" ca="1" si="32"/>
        <v>2.7472222222222222</v>
      </c>
      <c r="G1082">
        <f t="shared" ca="1" si="33"/>
        <v>0</v>
      </c>
    </row>
    <row r="1083" spans="1:7">
      <c r="A1083">
        <v>4812</v>
      </c>
      <c r="B1083" t="s">
        <v>11</v>
      </c>
      <c r="C1083" t="s">
        <v>127</v>
      </c>
      <c r="D1083" s="9">
        <v>41030.849687499998</v>
      </c>
      <c r="E1083" t="s">
        <v>38</v>
      </c>
      <c r="F1083">
        <f t="shared" ca="1" si="32"/>
        <v>2.7444444444444445</v>
      </c>
      <c r="G1083">
        <f t="shared" ca="1" si="33"/>
        <v>0</v>
      </c>
    </row>
    <row r="1084" spans="1:7">
      <c r="A1084">
        <v>4831</v>
      </c>
      <c r="B1084" t="s">
        <v>99</v>
      </c>
      <c r="C1084" t="s">
        <v>127</v>
      </c>
      <c r="D1084" s="9">
        <v>41029.902222222219</v>
      </c>
      <c r="E1084" t="s">
        <v>36</v>
      </c>
      <c r="F1084">
        <f t="shared" ca="1" si="32"/>
        <v>2.7472222222222222</v>
      </c>
      <c r="G1084">
        <f t="shared" ca="1" si="33"/>
        <v>0</v>
      </c>
    </row>
    <row r="1085" spans="1:7">
      <c r="A1085">
        <v>4837</v>
      </c>
      <c r="B1085" t="s">
        <v>30</v>
      </c>
      <c r="C1085" t="s">
        <v>127</v>
      </c>
      <c r="D1085" s="9">
        <v>41032.385763888888</v>
      </c>
      <c r="E1085" t="s">
        <v>44</v>
      </c>
      <c r="F1085">
        <f t="shared" ca="1" si="32"/>
        <v>2.7388888888888889</v>
      </c>
      <c r="G1085">
        <f t="shared" ca="1" si="33"/>
        <v>0</v>
      </c>
    </row>
    <row r="1086" spans="1:7">
      <c r="A1086">
        <v>4868</v>
      </c>
      <c r="B1086" t="s">
        <v>37</v>
      </c>
      <c r="C1086" t="s">
        <v>126</v>
      </c>
      <c r="D1086" s="9">
        <v>41127.83699074074</v>
      </c>
      <c r="E1086" t="s">
        <v>38</v>
      </c>
      <c r="F1086">
        <f t="shared" ca="1" si="32"/>
        <v>2.4805555555555556</v>
      </c>
      <c r="G1086">
        <f t="shared" ca="1" si="33"/>
        <v>0</v>
      </c>
    </row>
    <row r="1087" spans="1:7">
      <c r="A1087">
        <v>4886</v>
      </c>
      <c r="B1087" t="s">
        <v>8</v>
      </c>
      <c r="C1087" t="s">
        <v>127</v>
      </c>
      <c r="D1087" s="9">
        <v>41029.492615740739</v>
      </c>
      <c r="E1087" t="s">
        <v>34</v>
      </c>
      <c r="F1087">
        <f t="shared" ca="1" si="32"/>
        <v>2.7472222222222222</v>
      </c>
      <c r="G1087">
        <f t="shared" ca="1" si="33"/>
        <v>0</v>
      </c>
    </row>
    <row r="1088" spans="1:7">
      <c r="A1088">
        <v>4887</v>
      </c>
      <c r="B1088" t="s">
        <v>19</v>
      </c>
      <c r="C1088" t="s">
        <v>127</v>
      </c>
      <c r="D1088" s="9">
        <v>41030.645821759259</v>
      </c>
      <c r="E1088" t="s">
        <v>32</v>
      </c>
      <c r="F1088">
        <f t="shared" ca="1" si="32"/>
        <v>2.7444444444444445</v>
      </c>
      <c r="G1088">
        <f t="shared" ca="1" si="33"/>
        <v>0</v>
      </c>
    </row>
    <row r="1089" spans="1:7">
      <c r="A1089">
        <v>4905</v>
      </c>
      <c r="B1089" t="s">
        <v>19</v>
      </c>
      <c r="C1089" t="s">
        <v>127</v>
      </c>
      <c r="D1089" s="9">
        <v>41029.006828703707</v>
      </c>
      <c r="E1089" t="s">
        <v>36</v>
      </c>
      <c r="F1089">
        <f t="shared" ca="1" si="32"/>
        <v>2.7472222222222222</v>
      </c>
      <c r="G1089">
        <f t="shared" ca="1" si="33"/>
        <v>0</v>
      </c>
    </row>
    <row r="1090" spans="1:7">
      <c r="A1090">
        <v>4923</v>
      </c>
      <c r="B1090" t="s">
        <v>44</v>
      </c>
      <c r="C1090" t="s">
        <v>127</v>
      </c>
      <c r="D1090" s="9">
        <v>41031.438773148147</v>
      </c>
      <c r="E1090" t="s">
        <v>23</v>
      </c>
      <c r="F1090">
        <f t="shared" ca="1" si="32"/>
        <v>2.7416666666666667</v>
      </c>
      <c r="G1090">
        <f t="shared" ca="1" si="33"/>
        <v>0</v>
      </c>
    </row>
    <row r="1091" spans="1:7">
      <c r="A1091">
        <v>4931</v>
      </c>
      <c r="B1091" t="s">
        <v>99</v>
      </c>
      <c r="C1091" t="s">
        <v>127</v>
      </c>
      <c r="D1091" s="9">
        <v>41030.78297453704</v>
      </c>
      <c r="E1091" t="s">
        <v>38</v>
      </c>
      <c r="F1091">
        <f t="shared" ref="F1091:F1154" ca="1" si="34">YEARFRAC(TODAY(),$D1091)</f>
        <v>2.7444444444444445</v>
      </c>
      <c r="G1091">
        <f t="shared" ref="G1091:G1154" ca="1" si="35">IF($F1091&lt;1,1,0)</f>
        <v>0</v>
      </c>
    </row>
    <row r="1092" spans="1:7">
      <c r="A1092">
        <v>4933</v>
      </c>
      <c r="B1092" t="s">
        <v>44</v>
      </c>
      <c r="C1092" t="s">
        <v>127</v>
      </c>
      <c r="D1092" s="9">
        <v>41030.466134259259</v>
      </c>
      <c r="E1092" t="s">
        <v>34</v>
      </c>
      <c r="F1092">
        <f t="shared" ca="1" si="34"/>
        <v>2.7444444444444445</v>
      </c>
      <c r="G1092">
        <f t="shared" ca="1" si="35"/>
        <v>0</v>
      </c>
    </row>
    <row r="1093" spans="1:7">
      <c r="A1093">
        <v>4945</v>
      </c>
      <c r="B1093" t="s">
        <v>44</v>
      </c>
      <c r="C1093" t="s">
        <v>126</v>
      </c>
      <c r="D1093" s="9">
        <v>41128.400543981479</v>
      </c>
      <c r="E1093" t="s">
        <v>8</v>
      </c>
      <c r="F1093">
        <f t="shared" ca="1" si="34"/>
        <v>2.4777777777777779</v>
      </c>
      <c r="G1093">
        <f t="shared" ca="1" si="35"/>
        <v>0</v>
      </c>
    </row>
    <row r="1094" spans="1:7">
      <c r="A1094">
        <v>4952</v>
      </c>
      <c r="B1094" t="s">
        <v>11</v>
      </c>
      <c r="C1094" t="s">
        <v>168</v>
      </c>
      <c r="D1094" s="9">
        <v>41053.922546296293</v>
      </c>
      <c r="E1094" t="s">
        <v>34</v>
      </c>
      <c r="F1094">
        <f t="shared" ca="1" si="34"/>
        <v>2.6805555555555554</v>
      </c>
      <c r="G1094">
        <f t="shared" ca="1" si="35"/>
        <v>0</v>
      </c>
    </row>
    <row r="1095" spans="1:7">
      <c r="A1095">
        <v>4969</v>
      </c>
      <c r="B1095" t="s">
        <v>19</v>
      </c>
      <c r="C1095" t="s">
        <v>127</v>
      </c>
      <c r="D1095" s="9">
        <v>41030.798715277779</v>
      </c>
      <c r="E1095" t="s">
        <v>20</v>
      </c>
      <c r="F1095">
        <f t="shared" ca="1" si="34"/>
        <v>2.7444444444444445</v>
      </c>
      <c r="G1095">
        <f t="shared" ca="1" si="35"/>
        <v>0</v>
      </c>
    </row>
    <row r="1096" spans="1:7">
      <c r="A1096">
        <v>4972</v>
      </c>
      <c r="B1096" t="s">
        <v>44</v>
      </c>
      <c r="C1096" t="s">
        <v>127</v>
      </c>
      <c r="D1096" s="9">
        <v>41030.476921296293</v>
      </c>
      <c r="E1096" t="s">
        <v>34</v>
      </c>
      <c r="F1096">
        <f t="shared" ca="1" si="34"/>
        <v>2.7444444444444445</v>
      </c>
      <c r="G1096">
        <f t="shared" ca="1" si="35"/>
        <v>0</v>
      </c>
    </row>
    <row r="1097" spans="1:7">
      <c r="A1097">
        <v>4996</v>
      </c>
      <c r="B1097" t="s">
        <v>21</v>
      </c>
      <c r="C1097" t="s">
        <v>127</v>
      </c>
      <c r="D1097" s="9">
        <v>41029.902002314811</v>
      </c>
      <c r="E1097" t="s">
        <v>43</v>
      </c>
      <c r="F1097">
        <f t="shared" ca="1" si="34"/>
        <v>2.7472222222222222</v>
      </c>
      <c r="G1097">
        <f t="shared" ca="1" si="35"/>
        <v>0</v>
      </c>
    </row>
    <row r="1098" spans="1:7">
      <c r="A1098">
        <v>5006</v>
      </c>
      <c r="B1098" t="s">
        <v>8</v>
      </c>
      <c r="C1098" t="s">
        <v>127</v>
      </c>
      <c r="D1098" s="9">
        <v>41030.858124999999</v>
      </c>
      <c r="E1098" t="s">
        <v>38</v>
      </c>
      <c r="F1098">
        <f t="shared" ca="1" si="34"/>
        <v>2.7444444444444445</v>
      </c>
      <c r="G1098">
        <f t="shared" ca="1" si="35"/>
        <v>0</v>
      </c>
    </row>
    <row r="1099" spans="1:7">
      <c r="A1099">
        <v>5017</v>
      </c>
      <c r="B1099" t="s">
        <v>44</v>
      </c>
      <c r="C1099" t="s">
        <v>127</v>
      </c>
      <c r="D1099" s="9">
        <v>41031.592638888891</v>
      </c>
      <c r="E1099" t="s">
        <v>30</v>
      </c>
      <c r="F1099">
        <f t="shared" ca="1" si="34"/>
        <v>2.7416666666666667</v>
      </c>
      <c r="G1099">
        <f t="shared" ca="1" si="35"/>
        <v>0</v>
      </c>
    </row>
    <row r="1100" spans="1:7">
      <c r="A1100">
        <v>5021</v>
      </c>
      <c r="B1100" t="s">
        <v>99</v>
      </c>
      <c r="C1100" t="s">
        <v>127</v>
      </c>
      <c r="D1100" s="9">
        <v>41030.822546296295</v>
      </c>
      <c r="E1100" t="s">
        <v>32</v>
      </c>
      <c r="F1100">
        <f t="shared" ca="1" si="34"/>
        <v>2.7444444444444445</v>
      </c>
      <c r="G1100">
        <f t="shared" ca="1" si="35"/>
        <v>0</v>
      </c>
    </row>
    <row r="1101" spans="1:7">
      <c r="A1101">
        <v>5044</v>
      </c>
      <c r="B1101" t="s">
        <v>44</v>
      </c>
      <c r="C1101" t="s">
        <v>127</v>
      </c>
      <c r="D1101" s="9">
        <v>41032.739432870374</v>
      </c>
      <c r="E1101" t="s">
        <v>23</v>
      </c>
      <c r="F1101">
        <f t="shared" ca="1" si="34"/>
        <v>2.7388888888888889</v>
      </c>
      <c r="G1101">
        <f t="shared" ca="1" si="35"/>
        <v>0</v>
      </c>
    </row>
    <row r="1102" spans="1:7">
      <c r="A1102">
        <v>5050</v>
      </c>
      <c r="B1102" t="s">
        <v>99</v>
      </c>
      <c r="C1102" t="s">
        <v>127</v>
      </c>
      <c r="D1102" s="9">
        <v>41031.82744212963</v>
      </c>
      <c r="E1102" t="s">
        <v>11</v>
      </c>
      <c r="F1102">
        <f t="shared" ca="1" si="34"/>
        <v>2.7416666666666667</v>
      </c>
      <c r="G1102">
        <f t="shared" ca="1" si="35"/>
        <v>0</v>
      </c>
    </row>
    <row r="1103" spans="1:7">
      <c r="A1103">
        <v>5060</v>
      </c>
      <c r="B1103" t="s">
        <v>44</v>
      </c>
      <c r="C1103" t="s">
        <v>127</v>
      </c>
      <c r="D1103" s="9">
        <v>41031.602905092594</v>
      </c>
      <c r="E1103" t="s">
        <v>30</v>
      </c>
      <c r="F1103">
        <f t="shared" ca="1" si="34"/>
        <v>2.7416666666666667</v>
      </c>
      <c r="G1103">
        <f t="shared" ca="1" si="35"/>
        <v>0</v>
      </c>
    </row>
    <row r="1104" spans="1:7">
      <c r="A1104">
        <v>5074</v>
      </c>
      <c r="B1104" t="s">
        <v>99</v>
      </c>
      <c r="C1104" t="s">
        <v>127</v>
      </c>
      <c r="D1104" s="9">
        <v>41033.703946759262</v>
      </c>
      <c r="E1104" t="s">
        <v>36</v>
      </c>
      <c r="F1104">
        <f t="shared" ca="1" si="34"/>
        <v>2.7361111111111112</v>
      </c>
      <c r="G1104">
        <f t="shared" ca="1" si="35"/>
        <v>0</v>
      </c>
    </row>
    <row r="1105" spans="1:7">
      <c r="A1105">
        <v>5097</v>
      </c>
      <c r="B1105" t="s">
        <v>8</v>
      </c>
      <c r="C1105" t="s">
        <v>127</v>
      </c>
      <c r="D1105" s="9">
        <v>41029.486712962964</v>
      </c>
      <c r="E1105" t="s">
        <v>30</v>
      </c>
      <c r="F1105">
        <f t="shared" ca="1" si="34"/>
        <v>2.7472222222222222</v>
      </c>
      <c r="G1105">
        <f t="shared" ca="1" si="35"/>
        <v>0</v>
      </c>
    </row>
    <row r="1106" spans="1:7">
      <c r="A1106">
        <v>5103</v>
      </c>
      <c r="B1106" t="s">
        <v>19</v>
      </c>
      <c r="C1106" t="s">
        <v>127</v>
      </c>
      <c r="D1106" s="9">
        <v>41033.703206018516</v>
      </c>
      <c r="E1106" t="s">
        <v>20</v>
      </c>
      <c r="F1106">
        <f t="shared" ca="1" si="34"/>
        <v>2.7361111111111112</v>
      </c>
      <c r="G1106">
        <f t="shared" ca="1" si="35"/>
        <v>0</v>
      </c>
    </row>
    <row r="1107" spans="1:7">
      <c r="A1107">
        <v>5107</v>
      </c>
      <c r="B1107" t="s">
        <v>11</v>
      </c>
      <c r="C1107" t="s">
        <v>126</v>
      </c>
      <c r="D1107" s="9">
        <v>41127.448240740741</v>
      </c>
      <c r="E1107" t="s">
        <v>19</v>
      </c>
      <c r="F1107">
        <f t="shared" ca="1" si="34"/>
        <v>2.4805555555555556</v>
      </c>
      <c r="G1107">
        <f t="shared" ca="1" si="35"/>
        <v>0</v>
      </c>
    </row>
    <row r="1108" spans="1:7">
      <c r="A1108">
        <v>5112</v>
      </c>
      <c r="B1108" t="s">
        <v>8</v>
      </c>
      <c r="C1108" t="s">
        <v>127</v>
      </c>
      <c r="D1108" s="9">
        <v>41029.570555555554</v>
      </c>
      <c r="E1108" t="s">
        <v>34</v>
      </c>
      <c r="F1108">
        <f t="shared" ca="1" si="34"/>
        <v>2.7472222222222222</v>
      </c>
      <c r="G1108">
        <f t="shared" ca="1" si="35"/>
        <v>0</v>
      </c>
    </row>
    <row r="1109" spans="1:7">
      <c r="A1109">
        <v>5130</v>
      </c>
      <c r="B1109" t="s">
        <v>8</v>
      </c>
      <c r="C1109" t="s">
        <v>127</v>
      </c>
      <c r="D1109" s="9">
        <v>41029.615810185183</v>
      </c>
      <c r="E1109" t="s">
        <v>19</v>
      </c>
      <c r="F1109">
        <f t="shared" ca="1" si="34"/>
        <v>2.7472222222222222</v>
      </c>
      <c r="G1109">
        <f t="shared" ca="1" si="35"/>
        <v>0</v>
      </c>
    </row>
    <row r="1110" spans="1:7">
      <c r="A1110">
        <v>5132</v>
      </c>
      <c r="B1110" t="s">
        <v>8</v>
      </c>
      <c r="C1110" t="s">
        <v>127</v>
      </c>
      <c r="D1110" s="9">
        <v>41029.618009259262</v>
      </c>
      <c r="E1110" t="s">
        <v>19</v>
      </c>
      <c r="F1110">
        <f t="shared" ca="1" si="34"/>
        <v>2.7472222222222222</v>
      </c>
      <c r="G1110">
        <f t="shared" ca="1" si="35"/>
        <v>0</v>
      </c>
    </row>
    <row r="1111" spans="1:7">
      <c r="A1111">
        <v>5135</v>
      </c>
      <c r="B1111" t="s">
        <v>8</v>
      </c>
      <c r="C1111" t="s">
        <v>127</v>
      </c>
      <c r="D1111" s="9">
        <v>41029.627581018518</v>
      </c>
      <c r="E1111" t="s">
        <v>19</v>
      </c>
      <c r="F1111">
        <f t="shared" ca="1" si="34"/>
        <v>2.7472222222222222</v>
      </c>
      <c r="G1111">
        <f t="shared" ca="1" si="35"/>
        <v>0</v>
      </c>
    </row>
    <row r="1112" spans="1:7">
      <c r="A1112">
        <v>5137</v>
      </c>
      <c r="B1112" t="s">
        <v>8</v>
      </c>
      <c r="C1112" t="s">
        <v>127</v>
      </c>
      <c r="D1112" s="9">
        <v>41029.574791666666</v>
      </c>
      <c r="E1112" t="s">
        <v>34</v>
      </c>
      <c r="F1112">
        <f t="shared" ca="1" si="34"/>
        <v>2.7472222222222222</v>
      </c>
      <c r="G1112">
        <f t="shared" ca="1" si="35"/>
        <v>0</v>
      </c>
    </row>
    <row r="1113" spans="1:7">
      <c r="A1113">
        <v>5138</v>
      </c>
      <c r="B1113" t="s">
        <v>8</v>
      </c>
      <c r="C1113" t="s">
        <v>127</v>
      </c>
      <c r="D1113" s="9">
        <v>41031.675659722219</v>
      </c>
      <c r="E1113" t="s">
        <v>38</v>
      </c>
      <c r="F1113">
        <f t="shared" ca="1" si="34"/>
        <v>2.7416666666666667</v>
      </c>
      <c r="G1113">
        <f t="shared" ca="1" si="35"/>
        <v>0</v>
      </c>
    </row>
    <row r="1114" spans="1:7">
      <c r="A1114">
        <v>5159</v>
      </c>
      <c r="B1114" t="s">
        <v>44</v>
      </c>
      <c r="C1114" t="s">
        <v>127</v>
      </c>
      <c r="D1114" s="9">
        <v>41031.59952546296</v>
      </c>
      <c r="E1114" t="s">
        <v>30</v>
      </c>
      <c r="F1114">
        <f t="shared" ca="1" si="34"/>
        <v>2.7416666666666667</v>
      </c>
      <c r="G1114">
        <f t="shared" ca="1" si="35"/>
        <v>0</v>
      </c>
    </row>
    <row r="1115" spans="1:7">
      <c r="A1115">
        <v>5177</v>
      </c>
      <c r="B1115" t="s">
        <v>27</v>
      </c>
      <c r="C1115" t="s">
        <v>127</v>
      </c>
      <c r="D1115" s="9">
        <v>41033.703287037039</v>
      </c>
      <c r="E1115" t="s">
        <v>19</v>
      </c>
      <c r="F1115">
        <f t="shared" ca="1" si="34"/>
        <v>2.7361111111111112</v>
      </c>
      <c r="G1115">
        <f t="shared" ca="1" si="35"/>
        <v>0</v>
      </c>
    </row>
    <row r="1116" spans="1:7">
      <c r="A1116">
        <v>5187</v>
      </c>
      <c r="B1116" t="s">
        <v>99</v>
      </c>
      <c r="C1116" t="s">
        <v>127</v>
      </c>
      <c r="D1116" s="9">
        <v>41033.703819444447</v>
      </c>
      <c r="E1116" t="s">
        <v>36</v>
      </c>
      <c r="F1116">
        <f t="shared" ca="1" si="34"/>
        <v>2.7361111111111112</v>
      </c>
      <c r="G1116">
        <f t="shared" ca="1" si="35"/>
        <v>0</v>
      </c>
    </row>
    <row r="1117" spans="1:7">
      <c r="A1117">
        <v>5196</v>
      </c>
      <c r="B1117" t="s">
        <v>8</v>
      </c>
      <c r="C1117" t="s">
        <v>127</v>
      </c>
      <c r="D1117" s="9">
        <v>41033.703379629631</v>
      </c>
      <c r="E1117" t="s">
        <v>30</v>
      </c>
      <c r="F1117">
        <f t="shared" ca="1" si="34"/>
        <v>2.7361111111111112</v>
      </c>
      <c r="G1117">
        <f t="shared" ca="1" si="35"/>
        <v>0</v>
      </c>
    </row>
    <row r="1118" spans="1:7">
      <c r="A1118">
        <v>5210</v>
      </c>
      <c r="B1118" t="s">
        <v>99</v>
      </c>
      <c r="C1118" t="s">
        <v>127</v>
      </c>
      <c r="D1118" s="9">
        <v>41033.703553240739</v>
      </c>
      <c r="E1118" t="s">
        <v>11</v>
      </c>
      <c r="F1118">
        <f t="shared" ca="1" si="34"/>
        <v>2.7361111111111112</v>
      </c>
      <c r="G1118">
        <f t="shared" ca="1" si="35"/>
        <v>0</v>
      </c>
    </row>
    <row r="1119" spans="1:7">
      <c r="A1119">
        <v>5216</v>
      </c>
      <c r="B1119" t="s">
        <v>44</v>
      </c>
      <c r="C1119" t="s">
        <v>127</v>
      </c>
      <c r="D1119" s="9">
        <v>41033.703645833331</v>
      </c>
      <c r="E1119" t="s">
        <v>36</v>
      </c>
      <c r="F1119">
        <f t="shared" ca="1" si="34"/>
        <v>2.7361111111111112</v>
      </c>
      <c r="G1119">
        <f t="shared" ca="1" si="35"/>
        <v>0</v>
      </c>
    </row>
    <row r="1120" spans="1:7">
      <c r="A1120">
        <v>5221</v>
      </c>
      <c r="B1120" t="s">
        <v>8</v>
      </c>
      <c r="C1120" t="s">
        <v>125</v>
      </c>
      <c r="D1120" s="9">
        <v>41249.8825462963</v>
      </c>
      <c r="E1120" t="s">
        <v>11</v>
      </c>
      <c r="F1120">
        <f t="shared" ca="1" si="34"/>
        <v>2.1472222222222221</v>
      </c>
      <c r="G1120">
        <f t="shared" ca="1" si="35"/>
        <v>0</v>
      </c>
    </row>
    <row r="1121" spans="1:7">
      <c r="A1121">
        <v>5222</v>
      </c>
      <c r="B1121" t="s">
        <v>8</v>
      </c>
      <c r="C1121" t="s">
        <v>127</v>
      </c>
      <c r="D1121" s="9">
        <v>41033.703796296293</v>
      </c>
      <c r="E1121" t="s">
        <v>111</v>
      </c>
      <c r="F1121">
        <f t="shared" ca="1" si="34"/>
        <v>2.7361111111111112</v>
      </c>
      <c r="G1121">
        <f t="shared" ca="1" si="35"/>
        <v>0</v>
      </c>
    </row>
    <row r="1122" spans="1:7">
      <c r="A1122">
        <v>5268</v>
      </c>
      <c r="B1122" t="s">
        <v>44</v>
      </c>
      <c r="C1122" t="s">
        <v>126</v>
      </c>
      <c r="D1122" s="9">
        <v>41129.378993055558</v>
      </c>
      <c r="E1122" t="s">
        <v>8</v>
      </c>
      <c r="F1122">
        <f t="shared" ca="1" si="34"/>
        <v>2.4750000000000001</v>
      </c>
      <c r="G1122">
        <f t="shared" ca="1" si="35"/>
        <v>0</v>
      </c>
    </row>
    <row r="1123" spans="1:7">
      <c r="A1123">
        <v>5288</v>
      </c>
      <c r="B1123" t="s">
        <v>11</v>
      </c>
      <c r="C1123" t="s">
        <v>167</v>
      </c>
      <c r="D1123" s="9">
        <v>41059.663726851853</v>
      </c>
      <c r="E1123" t="s">
        <v>143</v>
      </c>
      <c r="F1123">
        <f t="shared" ca="1" si="34"/>
        <v>2.6638888888888888</v>
      </c>
      <c r="G1123">
        <f t="shared" ca="1" si="35"/>
        <v>0</v>
      </c>
    </row>
    <row r="1124" spans="1:7">
      <c r="A1124">
        <v>5289</v>
      </c>
      <c r="B1124" t="s">
        <v>8</v>
      </c>
      <c r="C1124" t="s">
        <v>126</v>
      </c>
      <c r="D1124" s="9">
        <v>41127.554583333331</v>
      </c>
      <c r="E1124" t="s">
        <v>19</v>
      </c>
      <c r="F1124">
        <f t="shared" ca="1" si="34"/>
        <v>2.4805555555555556</v>
      </c>
      <c r="G1124">
        <f t="shared" ca="1" si="35"/>
        <v>0</v>
      </c>
    </row>
    <row r="1125" spans="1:7">
      <c r="A1125">
        <v>5334</v>
      </c>
      <c r="B1125" t="s">
        <v>20</v>
      </c>
      <c r="C1125" t="s">
        <v>167</v>
      </c>
      <c r="D1125" s="9">
        <v>41059.432662037034</v>
      </c>
      <c r="E1125" t="s">
        <v>34</v>
      </c>
      <c r="F1125">
        <f t="shared" ca="1" si="34"/>
        <v>2.6638888888888888</v>
      </c>
      <c r="G1125">
        <f t="shared" ca="1" si="35"/>
        <v>0</v>
      </c>
    </row>
    <row r="1126" spans="1:7">
      <c r="A1126">
        <v>5335</v>
      </c>
      <c r="B1126" t="s">
        <v>20</v>
      </c>
      <c r="C1126" t="s">
        <v>167</v>
      </c>
      <c r="D1126" s="9">
        <v>41059.434699074074</v>
      </c>
      <c r="E1126" t="s">
        <v>34</v>
      </c>
      <c r="F1126">
        <f t="shared" ca="1" si="34"/>
        <v>2.6638888888888888</v>
      </c>
      <c r="G1126">
        <f t="shared" ca="1" si="35"/>
        <v>0</v>
      </c>
    </row>
    <row r="1127" spans="1:7">
      <c r="A1127">
        <v>5343</v>
      </c>
      <c r="B1127" t="s">
        <v>44</v>
      </c>
      <c r="C1127" t="s">
        <v>126</v>
      </c>
      <c r="D1127" s="9">
        <v>41127.594201388885</v>
      </c>
      <c r="E1127" t="s">
        <v>8</v>
      </c>
      <c r="F1127">
        <f t="shared" ca="1" si="34"/>
        <v>2.4805555555555556</v>
      </c>
      <c r="G1127">
        <f t="shared" ca="1" si="35"/>
        <v>0</v>
      </c>
    </row>
    <row r="1128" spans="1:7">
      <c r="A1128">
        <v>5344</v>
      </c>
      <c r="B1128" t="s">
        <v>29</v>
      </c>
      <c r="C1128" t="s">
        <v>120</v>
      </c>
      <c r="D1128" s="9">
        <v>41502.678784722222</v>
      </c>
      <c r="E1128" t="s">
        <v>11</v>
      </c>
      <c r="F1128">
        <f t="shared" ca="1" si="34"/>
        <v>1.4527777777777777</v>
      </c>
      <c r="G1128">
        <f t="shared" ca="1" si="35"/>
        <v>0</v>
      </c>
    </row>
    <row r="1129" spans="1:7">
      <c r="A1129">
        <v>5346</v>
      </c>
      <c r="B1129" t="s">
        <v>20</v>
      </c>
      <c r="C1129" t="s">
        <v>167</v>
      </c>
      <c r="D1129" s="9">
        <v>41073.754907407405</v>
      </c>
      <c r="E1129" t="s">
        <v>32</v>
      </c>
      <c r="F1129">
        <f t="shared" ca="1" si="34"/>
        <v>2.6277777777777778</v>
      </c>
      <c r="G1129">
        <f t="shared" ca="1" si="35"/>
        <v>0</v>
      </c>
    </row>
    <row r="1130" spans="1:7">
      <c r="A1130">
        <v>5351</v>
      </c>
      <c r="B1130" t="s">
        <v>20</v>
      </c>
      <c r="C1130" t="s">
        <v>167</v>
      </c>
      <c r="D1130" s="9">
        <v>41060.771493055552</v>
      </c>
      <c r="E1130" t="s">
        <v>32</v>
      </c>
      <c r="F1130">
        <f t="shared" ca="1" si="34"/>
        <v>2.6638888888888888</v>
      </c>
      <c r="G1130">
        <f t="shared" ca="1" si="35"/>
        <v>0</v>
      </c>
    </row>
    <row r="1131" spans="1:7">
      <c r="A1131">
        <v>5353</v>
      </c>
      <c r="B1131" t="s">
        <v>8</v>
      </c>
      <c r="C1131" t="s">
        <v>167</v>
      </c>
      <c r="D1131" s="9">
        <v>41059.440011574072</v>
      </c>
      <c r="E1131" t="s">
        <v>34</v>
      </c>
      <c r="F1131">
        <f t="shared" ca="1" si="34"/>
        <v>2.6638888888888888</v>
      </c>
      <c r="G1131">
        <f t="shared" ca="1" si="35"/>
        <v>0</v>
      </c>
    </row>
    <row r="1132" spans="1:7">
      <c r="A1132">
        <v>5361</v>
      </c>
      <c r="B1132" t="s">
        <v>30</v>
      </c>
      <c r="C1132" t="s">
        <v>167</v>
      </c>
      <c r="D1132" s="9">
        <v>41073.754861111112</v>
      </c>
      <c r="E1132" t="s">
        <v>112</v>
      </c>
      <c r="F1132">
        <f t="shared" ca="1" si="34"/>
        <v>2.6277777777777778</v>
      </c>
      <c r="G1132">
        <f t="shared" ca="1" si="35"/>
        <v>0</v>
      </c>
    </row>
    <row r="1133" spans="1:7">
      <c r="A1133">
        <v>5364</v>
      </c>
      <c r="B1133" t="s">
        <v>44</v>
      </c>
      <c r="C1133" t="s">
        <v>167</v>
      </c>
      <c r="D1133" s="9">
        <v>41059.663738425923</v>
      </c>
      <c r="E1133" t="s">
        <v>143</v>
      </c>
      <c r="F1133">
        <f t="shared" ca="1" si="34"/>
        <v>2.6638888888888888</v>
      </c>
      <c r="G1133">
        <f t="shared" ca="1" si="35"/>
        <v>0</v>
      </c>
    </row>
    <row r="1134" spans="1:7">
      <c r="A1134">
        <v>5379</v>
      </c>
      <c r="B1134" t="s">
        <v>8</v>
      </c>
      <c r="C1134" t="s">
        <v>126</v>
      </c>
      <c r="D1134" s="9">
        <v>41127.66101851852</v>
      </c>
      <c r="E1134" t="s">
        <v>11</v>
      </c>
      <c r="F1134">
        <f t="shared" ca="1" si="34"/>
        <v>2.4805555555555556</v>
      </c>
      <c r="G1134">
        <f t="shared" ca="1" si="35"/>
        <v>0</v>
      </c>
    </row>
    <row r="1135" spans="1:7">
      <c r="A1135">
        <v>5387</v>
      </c>
      <c r="B1135" t="s">
        <v>44</v>
      </c>
      <c r="C1135" t="s">
        <v>167</v>
      </c>
      <c r="D1135" s="9">
        <v>41059.663912037038</v>
      </c>
      <c r="E1135" t="s">
        <v>143</v>
      </c>
      <c r="F1135">
        <f t="shared" ca="1" si="34"/>
        <v>2.6638888888888888</v>
      </c>
      <c r="G1135">
        <f t="shared" ca="1" si="35"/>
        <v>0</v>
      </c>
    </row>
    <row r="1136" spans="1:7">
      <c r="A1136">
        <v>5389</v>
      </c>
      <c r="B1136" t="s">
        <v>19</v>
      </c>
      <c r="C1136" t="s">
        <v>125</v>
      </c>
      <c r="D1136" s="9">
        <v>41211.638877314814</v>
      </c>
      <c r="E1136" t="s">
        <v>112</v>
      </c>
      <c r="F1136">
        <f t="shared" ca="1" si="34"/>
        <v>2.25</v>
      </c>
      <c r="G1136">
        <f t="shared" ca="1" si="35"/>
        <v>0</v>
      </c>
    </row>
    <row r="1137" spans="1:7">
      <c r="A1137">
        <v>5391</v>
      </c>
      <c r="B1137" t="s">
        <v>19</v>
      </c>
      <c r="C1137" t="s">
        <v>167</v>
      </c>
      <c r="D1137" s="9">
        <v>41061.425717592596</v>
      </c>
      <c r="E1137" t="s">
        <v>143</v>
      </c>
      <c r="F1137">
        <f t="shared" ca="1" si="34"/>
        <v>2.661111111111111</v>
      </c>
      <c r="G1137">
        <f t="shared" ca="1" si="35"/>
        <v>0</v>
      </c>
    </row>
    <row r="1138" spans="1:7">
      <c r="A1138">
        <v>5393</v>
      </c>
      <c r="B1138" t="s">
        <v>21</v>
      </c>
      <c r="C1138" t="s">
        <v>167</v>
      </c>
      <c r="D1138" s="9">
        <v>41060.45553240741</v>
      </c>
      <c r="E1138" t="s">
        <v>44</v>
      </c>
      <c r="F1138">
        <f t="shared" ca="1" si="34"/>
        <v>2.6638888888888888</v>
      </c>
      <c r="G1138">
        <f t="shared" ca="1" si="35"/>
        <v>0</v>
      </c>
    </row>
    <row r="1139" spans="1:7">
      <c r="A1139">
        <v>5394</v>
      </c>
      <c r="B1139" t="s">
        <v>112</v>
      </c>
      <c r="C1139" t="s">
        <v>167</v>
      </c>
      <c r="D1139" s="9">
        <v>41073.753217592595</v>
      </c>
      <c r="E1139" t="s">
        <v>143</v>
      </c>
      <c r="F1139">
        <f t="shared" ca="1" si="34"/>
        <v>2.6277777777777778</v>
      </c>
      <c r="G1139">
        <f t="shared" ca="1" si="35"/>
        <v>0</v>
      </c>
    </row>
    <row r="1140" spans="1:7">
      <c r="A1140">
        <v>5396</v>
      </c>
      <c r="B1140" t="s">
        <v>112</v>
      </c>
      <c r="C1140" t="s">
        <v>167</v>
      </c>
      <c r="D1140" s="9">
        <v>41073.753217592595</v>
      </c>
      <c r="E1140" t="s">
        <v>143</v>
      </c>
      <c r="F1140">
        <f t="shared" ca="1" si="34"/>
        <v>2.6277777777777778</v>
      </c>
      <c r="G1140">
        <f t="shared" ca="1" si="35"/>
        <v>0</v>
      </c>
    </row>
    <row r="1141" spans="1:7">
      <c r="A1141">
        <v>5397</v>
      </c>
      <c r="B1141" t="s">
        <v>8</v>
      </c>
      <c r="C1141" t="s">
        <v>126</v>
      </c>
      <c r="D1141" s="9">
        <v>41135.823009259257</v>
      </c>
      <c r="E1141" t="s">
        <v>19</v>
      </c>
      <c r="F1141">
        <f t="shared" ca="1" si="34"/>
        <v>2.4583333333333335</v>
      </c>
      <c r="G1141">
        <f t="shared" ca="1" si="35"/>
        <v>0</v>
      </c>
    </row>
    <row r="1142" spans="1:7">
      <c r="A1142">
        <v>5398</v>
      </c>
      <c r="B1142" t="s">
        <v>21</v>
      </c>
      <c r="C1142" t="s">
        <v>126</v>
      </c>
      <c r="D1142" s="9">
        <v>41129.75849537037</v>
      </c>
      <c r="E1142" t="s">
        <v>43</v>
      </c>
      <c r="F1142">
        <f t="shared" ca="1" si="34"/>
        <v>2.4750000000000001</v>
      </c>
      <c r="G1142">
        <f t="shared" ca="1" si="35"/>
        <v>0</v>
      </c>
    </row>
    <row r="1143" spans="1:7">
      <c r="A1143">
        <v>5403</v>
      </c>
      <c r="B1143" t="s">
        <v>34</v>
      </c>
      <c r="C1143" t="s">
        <v>120</v>
      </c>
      <c r="D1143" s="9">
        <v>41558.875856481478</v>
      </c>
      <c r="E1143" t="s">
        <v>38</v>
      </c>
      <c r="F1143">
        <f t="shared" ca="1" si="34"/>
        <v>1.3</v>
      </c>
      <c r="G1143">
        <f t="shared" ca="1" si="35"/>
        <v>0</v>
      </c>
    </row>
    <row r="1144" spans="1:7">
      <c r="A1144">
        <v>5404</v>
      </c>
      <c r="B1144" t="s">
        <v>37</v>
      </c>
      <c r="C1144" t="s">
        <v>126</v>
      </c>
      <c r="D1144" s="9">
        <v>41127.565115740741</v>
      </c>
      <c r="E1144" t="s">
        <v>8</v>
      </c>
      <c r="F1144">
        <f t="shared" ca="1" si="34"/>
        <v>2.4805555555555556</v>
      </c>
      <c r="G1144">
        <f t="shared" ca="1" si="35"/>
        <v>0</v>
      </c>
    </row>
    <row r="1145" spans="1:7">
      <c r="A1145">
        <v>5407</v>
      </c>
      <c r="B1145" t="s">
        <v>17</v>
      </c>
      <c r="C1145" t="s">
        <v>120</v>
      </c>
      <c r="D1145" s="9">
        <v>41570.438252314816</v>
      </c>
      <c r="E1145" t="s">
        <v>14</v>
      </c>
      <c r="F1145">
        <f t="shared" ca="1" si="34"/>
        <v>1.2666666666666666</v>
      </c>
      <c r="G1145">
        <f t="shared" ca="1" si="35"/>
        <v>0</v>
      </c>
    </row>
    <row r="1146" spans="1:7">
      <c r="A1146">
        <v>5417</v>
      </c>
      <c r="B1146" t="s">
        <v>34</v>
      </c>
      <c r="C1146" t="s">
        <v>122</v>
      </c>
      <c r="D1146" s="9">
        <v>41416.489965277775</v>
      </c>
      <c r="E1146" t="s">
        <v>8</v>
      </c>
      <c r="F1146">
        <f t="shared" ca="1" si="34"/>
        <v>1.6861111111111111</v>
      </c>
      <c r="G1146">
        <f t="shared" ca="1" si="35"/>
        <v>0</v>
      </c>
    </row>
    <row r="1147" spans="1:7">
      <c r="A1147">
        <v>5424</v>
      </c>
      <c r="B1147" t="s">
        <v>44</v>
      </c>
      <c r="C1147" t="s">
        <v>126</v>
      </c>
      <c r="D1147" s="9">
        <v>41128.400821759256</v>
      </c>
      <c r="E1147" t="s">
        <v>8</v>
      </c>
      <c r="F1147">
        <f t="shared" ca="1" si="34"/>
        <v>2.4777777777777779</v>
      </c>
      <c r="G1147">
        <f t="shared" ca="1" si="35"/>
        <v>0</v>
      </c>
    </row>
    <row r="1148" spans="1:7">
      <c r="A1148">
        <v>5435</v>
      </c>
      <c r="B1148" t="s">
        <v>19</v>
      </c>
      <c r="C1148" t="s">
        <v>126</v>
      </c>
      <c r="D1148" s="9">
        <v>41127.565706018519</v>
      </c>
      <c r="E1148" t="s">
        <v>8</v>
      </c>
      <c r="F1148">
        <f t="shared" ca="1" si="34"/>
        <v>2.4805555555555556</v>
      </c>
      <c r="G1148">
        <f t="shared" ca="1" si="35"/>
        <v>0</v>
      </c>
    </row>
    <row r="1149" spans="1:7">
      <c r="A1149">
        <v>5443</v>
      </c>
      <c r="B1149" t="s">
        <v>30</v>
      </c>
      <c r="C1149" t="s">
        <v>123</v>
      </c>
      <c r="D1149" s="9">
        <v>41302.527708333335</v>
      </c>
      <c r="E1149" t="s">
        <v>112</v>
      </c>
      <c r="F1149">
        <f t="shared" ca="1" si="34"/>
        <v>2.0027777777777778</v>
      </c>
      <c r="G1149">
        <f t="shared" ca="1" si="35"/>
        <v>0</v>
      </c>
    </row>
    <row r="1150" spans="1:7">
      <c r="A1150">
        <v>5449</v>
      </c>
      <c r="B1150" t="s">
        <v>21</v>
      </c>
      <c r="C1150" t="s">
        <v>126</v>
      </c>
      <c r="D1150" s="9">
        <v>41127.7031712963</v>
      </c>
      <c r="E1150" t="s">
        <v>11</v>
      </c>
      <c r="F1150">
        <f t="shared" ca="1" si="34"/>
        <v>2.4805555555555556</v>
      </c>
      <c r="G1150">
        <f t="shared" ca="1" si="35"/>
        <v>0</v>
      </c>
    </row>
    <row r="1151" spans="1:7">
      <c r="A1151">
        <v>5450</v>
      </c>
      <c r="B1151" t="s">
        <v>21</v>
      </c>
      <c r="C1151" t="s">
        <v>126</v>
      </c>
      <c r="D1151" s="9">
        <v>41135.822638888887</v>
      </c>
      <c r="E1151" t="s">
        <v>8</v>
      </c>
      <c r="F1151">
        <f t="shared" ca="1" si="34"/>
        <v>2.4583333333333335</v>
      </c>
      <c r="G1151">
        <f t="shared" ca="1" si="35"/>
        <v>0</v>
      </c>
    </row>
    <row r="1152" spans="1:7">
      <c r="A1152">
        <v>5456</v>
      </c>
      <c r="B1152" t="s">
        <v>34</v>
      </c>
      <c r="C1152" t="s">
        <v>126</v>
      </c>
      <c r="D1152" s="9">
        <v>41128.432476851849</v>
      </c>
      <c r="E1152" t="s">
        <v>51</v>
      </c>
      <c r="F1152">
        <f t="shared" ca="1" si="34"/>
        <v>2.4777777777777779</v>
      </c>
      <c r="G1152">
        <f t="shared" ca="1" si="35"/>
        <v>0</v>
      </c>
    </row>
    <row r="1153" spans="1:7">
      <c r="A1153">
        <v>5458</v>
      </c>
      <c r="B1153" t="s">
        <v>19</v>
      </c>
      <c r="C1153" t="s">
        <v>126</v>
      </c>
      <c r="D1153" s="9">
        <v>41128.516712962963</v>
      </c>
      <c r="E1153" t="s">
        <v>8</v>
      </c>
      <c r="F1153">
        <f t="shared" ca="1" si="34"/>
        <v>2.4777777777777779</v>
      </c>
      <c r="G1153">
        <f t="shared" ca="1" si="35"/>
        <v>0</v>
      </c>
    </row>
    <row r="1154" spans="1:7">
      <c r="A1154">
        <v>5469</v>
      </c>
      <c r="B1154" t="s">
        <v>27</v>
      </c>
      <c r="C1154" t="s">
        <v>126</v>
      </c>
      <c r="D1154" s="9">
        <v>41127.4297337963</v>
      </c>
      <c r="E1154" t="s">
        <v>19</v>
      </c>
      <c r="F1154">
        <f t="shared" ca="1" si="34"/>
        <v>2.4805555555555556</v>
      </c>
      <c r="G1154">
        <f t="shared" ca="1" si="35"/>
        <v>0</v>
      </c>
    </row>
    <row r="1155" spans="1:7">
      <c r="A1155">
        <v>5472</v>
      </c>
      <c r="B1155" t="s">
        <v>37</v>
      </c>
      <c r="C1155" t="s">
        <v>126</v>
      </c>
      <c r="D1155" s="9">
        <v>41127.704201388886</v>
      </c>
      <c r="E1155" t="s">
        <v>51</v>
      </c>
      <c r="F1155">
        <f t="shared" ref="F1155:F1218" ca="1" si="36">YEARFRAC(TODAY(),$D1155)</f>
        <v>2.4805555555555556</v>
      </c>
      <c r="G1155">
        <f t="shared" ref="G1155:G1218" ca="1" si="37">IF($F1155&lt;1,1,0)</f>
        <v>0</v>
      </c>
    </row>
    <row r="1156" spans="1:7">
      <c r="A1156">
        <v>5480</v>
      </c>
      <c r="B1156" t="s">
        <v>37</v>
      </c>
      <c r="C1156" t="s">
        <v>126</v>
      </c>
      <c r="D1156" s="9">
        <v>41127.839953703704</v>
      </c>
      <c r="E1156" t="s">
        <v>38</v>
      </c>
      <c r="F1156">
        <f t="shared" ca="1" si="36"/>
        <v>2.4805555555555556</v>
      </c>
      <c r="G1156">
        <f t="shared" ca="1" si="37"/>
        <v>0</v>
      </c>
    </row>
    <row r="1157" spans="1:7">
      <c r="A1157">
        <v>5522</v>
      </c>
      <c r="B1157" t="s">
        <v>36</v>
      </c>
      <c r="C1157" t="s">
        <v>121</v>
      </c>
      <c r="D1157" s="9">
        <v>41416.385393518518</v>
      </c>
      <c r="E1157" t="s">
        <v>8</v>
      </c>
      <c r="F1157">
        <f t="shared" ca="1" si="36"/>
        <v>1.6861111111111111</v>
      </c>
      <c r="G1157">
        <f t="shared" ca="1" si="37"/>
        <v>0</v>
      </c>
    </row>
    <row r="1158" spans="1:7">
      <c r="A1158">
        <v>5523</v>
      </c>
      <c r="B1158" t="s">
        <v>36</v>
      </c>
      <c r="C1158" t="s">
        <v>120</v>
      </c>
      <c r="D1158" s="9">
        <v>41565.689293981479</v>
      </c>
      <c r="E1158" t="s">
        <v>32</v>
      </c>
      <c r="F1158">
        <f t="shared" ca="1" si="36"/>
        <v>1.2805555555555554</v>
      </c>
      <c r="G1158">
        <f t="shared" ca="1" si="37"/>
        <v>0</v>
      </c>
    </row>
    <row r="1159" spans="1:7">
      <c r="A1159">
        <v>5524</v>
      </c>
      <c r="B1159" t="s">
        <v>36</v>
      </c>
      <c r="C1159" t="s">
        <v>121</v>
      </c>
      <c r="D1159" s="9">
        <v>41409.482557870368</v>
      </c>
      <c r="E1159" t="s">
        <v>8</v>
      </c>
      <c r="F1159">
        <f t="shared" ca="1" si="36"/>
        <v>1.7055555555555555</v>
      </c>
      <c r="G1159">
        <f t="shared" ca="1" si="37"/>
        <v>0</v>
      </c>
    </row>
    <row r="1160" spans="1:7">
      <c r="A1160">
        <v>5532</v>
      </c>
      <c r="B1160" t="s">
        <v>19</v>
      </c>
      <c r="C1160" t="s">
        <v>126</v>
      </c>
      <c r="D1160" s="9">
        <v>41135.822800925926</v>
      </c>
      <c r="E1160" t="s">
        <v>8</v>
      </c>
      <c r="F1160">
        <f t="shared" ca="1" si="36"/>
        <v>2.4583333333333335</v>
      </c>
      <c r="G1160">
        <f t="shared" ca="1" si="37"/>
        <v>0</v>
      </c>
    </row>
    <row r="1161" spans="1:7">
      <c r="A1161">
        <v>5561</v>
      </c>
      <c r="B1161" t="s">
        <v>34</v>
      </c>
      <c r="C1161" t="s">
        <v>126</v>
      </c>
      <c r="D1161" s="9">
        <v>41135.82303240741</v>
      </c>
      <c r="E1161" t="s">
        <v>21</v>
      </c>
      <c r="F1161">
        <f t="shared" ca="1" si="36"/>
        <v>2.4583333333333335</v>
      </c>
      <c r="G1161">
        <f t="shared" ca="1" si="37"/>
        <v>0</v>
      </c>
    </row>
    <row r="1162" spans="1:7">
      <c r="A1162">
        <v>5568</v>
      </c>
      <c r="B1162" t="s">
        <v>34</v>
      </c>
      <c r="C1162" t="s">
        <v>126</v>
      </c>
      <c r="D1162" s="9">
        <v>41127.671076388891</v>
      </c>
      <c r="E1162" t="s">
        <v>8</v>
      </c>
      <c r="F1162">
        <f t="shared" ca="1" si="36"/>
        <v>2.4805555555555556</v>
      </c>
      <c r="G1162">
        <f t="shared" ca="1" si="37"/>
        <v>0</v>
      </c>
    </row>
    <row r="1163" spans="1:7">
      <c r="A1163">
        <v>5570</v>
      </c>
      <c r="B1163" t="s">
        <v>11</v>
      </c>
      <c r="C1163" t="s">
        <v>126</v>
      </c>
      <c r="D1163" s="9">
        <v>41129.409386574072</v>
      </c>
      <c r="E1163" t="s">
        <v>19</v>
      </c>
      <c r="F1163">
        <f t="shared" ca="1" si="36"/>
        <v>2.4750000000000001</v>
      </c>
      <c r="G1163">
        <f t="shared" ca="1" si="37"/>
        <v>0</v>
      </c>
    </row>
    <row r="1164" spans="1:7">
      <c r="A1164">
        <v>5571</v>
      </c>
      <c r="B1164" t="s">
        <v>11</v>
      </c>
      <c r="C1164" t="s">
        <v>126</v>
      </c>
      <c r="D1164" s="9">
        <v>41129.414988425924</v>
      </c>
      <c r="E1164" t="s">
        <v>19</v>
      </c>
      <c r="F1164">
        <f t="shared" ca="1" si="36"/>
        <v>2.4750000000000001</v>
      </c>
      <c r="G1164">
        <f t="shared" ca="1" si="37"/>
        <v>0</v>
      </c>
    </row>
    <row r="1165" spans="1:7">
      <c r="A1165">
        <v>5572</v>
      </c>
      <c r="B1165" t="s">
        <v>19</v>
      </c>
      <c r="C1165" t="s">
        <v>121</v>
      </c>
      <c r="D1165" s="9">
        <v>41481.689780092594</v>
      </c>
      <c r="F1165">
        <f t="shared" ca="1" si="36"/>
        <v>1.5083333333333333</v>
      </c>
      <c r="G1165">
        <f t="shared" ca="1" si="37"/>
        <v>0</v>
      </c>
    </row>
    <row r="1166" spans="1:7">
      <c r="A1166">
        <v>5576</v>
      </c>
      <c r="B1166" t="s">
        <v>19</v>
      </c>
      <c r="C1166" t="s">
        <v>126</v>
      </c>
      <c r="D1166" s="9">
        <v>41127.707777777781</v>
      </c>
      <c r="E1166" t="s">
        <v>27</v>
      </c>
      <c r="F1166">
        <f t="shared" ca="1" si="36"/>
        <v>2.4805555555555556</v>
      </c>
      <c r="G1166">
        <f t="shared" ca="1" si="37"/>
        <v>0</v>
      </c>
    </row>
    <row r="1167" spans="1:7">
      <c r="A1167">
        <v>5589</v>
      </c>
      <c r="B1167" t="s">
        <v>51</v>
      </c>
      <c r="C1167" t="s">
        <v>123</v>
      </c>
      <c r="D1167" s="9">
        <v>41302.700243055559</v>
      </c>
      <c r="E1167" t="s">
        <v>8</v>
      </c>
      <c r="F1167">
        <f t="shared" ca="1" si="36"/>
        <v>2.0027777777777778</v>
      </c>
      <c r="G1167">
        <f t="shared" ca="1" si="37"/>
        <v>0</v>
      </c>
    </row>
    <row r="1168" spans="1:7">
      <c r="A1168">
        <v>5616</v>
      </c>
      <c r="B1168" t="s">
        <v>8</v>
      </c>
      <c r="C1168" t="s">
        <v>126</v>
      </c>
      <c r="D1168" s="9">
        <v>41127.562708333331</v>
      </c>
      <c r="E1168" t="s">
        <v>19</v>
      </c>
      <c r="F1168">
        <f t="shared" ca="1" si="36"/>
        <v>2.4805555555555556</v>
      </c>
      <c r="G1168">
        <f t="shared" ca="1" si="37"/>
        <v>0</v>
      </c>
    </row>
    <row r="1169" spans="1:7">
      <c r="A1169">
        <v>5618</v>
      </c>
      <c r="B1169" t="s">
        <v>8</v>
      </c>
      <c r="C1169" t="s">
        <v>126</v>
      </c>
      <c r="D1169" s="9">
        <v>41127.492754629631</v>
      </c>
      <c r="E1169" t="s">
        <v>19</v>
      </c>
      <c r="F1169">
        <f t="shared" ca="1" si="36"/>
        <v>2.4805555555555556</v>
      </c>
      <c r="G1169">
        <f t="shared" ca="1" si="37"/>
        <v>0</v>
      </c>
    </row>
    <row r="1170" spans="1:7">
      <c r="A1170">
        <v>5620</v>
      </c>
      <c r="B1170" t="s">
        <v>8</v>
      </c>
      <c r="C1170" t="s">
        <v>126</v>
      </c>
      <c r="D1170" s="9">
        <v>41127.649456018517</v>
      </c>
      <c r="E1170" t="s">
        <v>34</v>
      </c>
      <c r="F1170">
        <f t="shared" ca="1" si="36"/>
        <v>2.4805555555555556</v>
      </c>
      <c r="G1170">
        <f t="shared" ca="1" si="37"/>
        <v>0</v>
      </c>
    </row>
    <row r="1171" spans="1:7">
      <c r="A1171">
        <v>5628</v>
      </c>
      <c r="B1171" t="s">
        <v>19</v>
      </c>
      <c r="C1171" t="s">
        <v>126</v>
      </c>
      <c r="D1171" s="9">
        <v>41135.82304398148</v>
      </c>
      <c r="E1171" t="s">
        <v>38</v>
      </c>
      <c r="F1171">
        <f t="shared" ca="1" si="36"/>
        <v>2.4583333333333335</v>
      </c>
      <c r="G1171">
        <f t="shared" ca="1" si="37"/>
        <v>0</v>
      </c>
    </row>
    <row r="1172" spans="1:7">
      <c r="A1172">
        <v>5629</v>
      </c>
      <c r="B1172" t="s">
        <v>8</v>
      </c>
      <c r="C1172" t="s">
        <v>126</v>
      </c>
      <c r="D1172" s="9">
        <v>41127.600057870368</v>
      </c>
      <c r="E1172" t="s">
        <v>19</v>
      </c>
      <c r="F1172">
        <f t="shared" ca="1" si="36"/>
        <v>2.4805555555555556</v>
      </c>
      <c r="G1172">
        <f t="shared" ca="1" si="37"/>
        <v>0</v>
      </c>
    </row>
    <row r="1173" spans="1:7">
      <c r="A1173">
        <v>5640</v>
      </c>
      <c r="B1173" t="s">
        <v>8</v>
      </c>
      <c r="C1173" t="s">
        <v>126</v>
      </c>
      <c r="D1173" s="9">
        <v>41127.553101851852</v>
      </c>
      <c r="E1173" t="s">
        <v>19</v>
      </c>
      <c r="F1173">
        <f t="shared" ca="1" si="36"/>
        <v>2.4805555555555556</v>
      </c>
      <c r="G1173">
        <f t="shared" ca="1" si="37"/>
        <v>0</v>
      </c>
    </row>
    <row r="1174" spans="1:7">
      <c r="A1174">
        <v>5646</v>
      </c>
      <c r="B1174" t="s">
        <v>19</v>
      </c>
      <c r="C1174" t="s">
        <v>126</v>
      </c>
      <c r="D1174" s="9">
        <v>41135.82303240741</v>
      </c>
      <c r="E1174" t="s">
        <v>51</v>
      </c>
      <c r="F1174">
        <f t="shared" ca="1" si="36"/>
        <v>2.4583333333333335</v>
      </c>
      <c r="G1174">
        <f t="shared" ca="1" si="37"/>
        <v>0</v>
      </c>
    </row>
    <row r="1175" spans="1:7">
      <c r="A1175">
        <v>5647</v>
      </c>
      <c r="B1175" t="s">
        <v>34</v>
      </c>
      <c r="C1175" t="s">
        <v>126</v>
      </c>
      <c r="D1175" s="9">
        <v>41127.944895833331</v>
      </c>
      <c r="E1175" t="s">
        <v>21</v>
      </c>
      <c r="F1175">
        <f t="shared" ca="1" si="36"/>
        <v>2.4805555555555556</v>
      </c>
      <c r="G1175">
        <f t="shared" ca="1" si="37"/>
        <v>0</v>
      </c>
    </row>
    <row r="1176" spans="1:7">
      <c r="A1176">
        <v>5656</v>
      </c>
      <c r="B1176" t="s">
        <v>23</v>
      </c>
      <c r="C1176" t="s">
        <v>125</v>
      </c>
      <c r="D1176" s="9">
        <v>41215.69604166667</v>
      </c>
      <c r="E1176" t="s">
        <v>112</v>
      </c>
      <c r="F1176">
        <f t="shared" ca="1" si="36"/>
        <v>2.2416666666666667</v>
      </c>
      <c r="G1176">
        <f t="shared" ca="1" si="37"/>
        <v>0</v>
      </c>
    </row>
    <row r="1177" spans="1:7">
      <c r="A1177">
        <v>5658</v>
      </c>
      <c r="B1177" t="s">
        <v>30</v>
      </c>
      <c r="C1177" t="s">
        <v>125</v>
      </c>
      <c r="D1177" s="9">
        <v>41215.696203703701</v>
      </c>
      <c r="E1177" t="s">
        <v>19</v>
      </c>
      <c r="F1177">
        <f t="shared" ca="1" si="36"/>
        <v>2.2416666666666667</v>
      </c>
      <c r="G1177">
        <f t="shared" ca="1" si="37"/>
        <v>0</v>
      </c>
    </row>
    <row r="1178" spans="1:7">
      <c r="A1178">
        <v>5664</v>
      </c>
      <c r="B1178" t="s">
        <v>44</v>
      </c>
      <c r="C1178" t="s">
        <v>125</v>
      </c>
      <c r="D1178" s="9">
        <v>41215.697060185186</v>
      </c>
      <c r="E1178" t="s">
        <v>30</v>
      </c>
      <c r="F1178">
        <f t="shared" ca="1" si="36"/>
        <v>2.2416666666666667</v>
      </c>
      <c r="G1178">
        <f t="shared" ca="1" si="37"/>
        <v>0</v>
      </c>
    </row>
    <row r="1179" spans="1:7">
      <c r="A1179">
        <v>5665</v>
      </c>
      <c r="B1179" t="s">
        <v>37</v>
      </c>
      <c r="C1179" t="s">
        <v>125</v>
      </c>
      <c r="D1179" s="9">
        <v>41212.406643518516</v>
      </c>
      <c r="E1179" t="s">
        <v>51</v>
      </c>
      <c r="F1179">
        <f t="shared" ca="1" si="36"/>
        <v>2.2472222222222222</v>
      </c>
      <c r="G1179">
        <f t="shared" ca="1" si="37"/>
        <v>0</v>
      </c>
    </row>
    <row r="1180" spans="1:7">
      <c r="A1180">
        <v>5666</v>
      </c>
      <c r="B1180" t="s">
        <v>44</v>
      </c>
      <c r="C1180" t="s">
        <v>125</v>
      </c>
      <c r="D1180" s="9">
        <v>41249.882557870369</v>
      </c>
      <c r="E1180" t="s">
        <v>112</v>
      </c>
      <c r="F1180">
        <f t="shared" ca="1" si="36"/>
        <v>2.1472222222222221</v>
      </c>
      <c r="G1180">
        <f t="shared" ca="1" si="37"/>
        <v>0</v>
      </c>
    </row>
    <row r="1181" spans="1:7">
      <c r="A1181">
        <v>5669</v>
      </c>
      <c r="B1181" t="s">
        <v>30</v>
      </c>
      <c r="C1181" t="s">
        <v>125</v>
      </c>
      <c r="D1181" s="9">
        <v>41212.624120370368</v>
      </c>
      <c r="E1181" t="s">
        <v>44</v>
      </c>
      <c r="F1181">
        <f t="shared" ca="1" si="36"/>
        <v>2.2472222222222222</v>
      </c>
      <c r="G1181">
        <f t="shared" ca="1" si="37"/>
        <v>0</v>
      </c>
    </row>
    <row r="1182" spans="1:7">
      <c r="A1182">
        <v>5670</v>
      </c>
      <c r="B1182" t="s">
        <v>30</v>
      </c>
      <c r="C1182" t="s">
        <v>125</v>
      </c>
      <c r="D1182" s="9">
        <v>41249.882569444446</v>
      </c>
      <c r="E1182" t="s">
        <v>44</v>
      </c>
      <c r="F1182">
        <f t="shared" ca="1" si="36"/>
        <v>2.1472222222222221</v>
      </c>
      <c r="G1182">
        <f t="shared" ca="1" si="37"/>
        <v>0</v>
      </c>
    </row>
    <row r="1183" spans="1:7">
      <c r="A1183">
        <v>5685</v>
      </c>
      <c r="B1183" t="s">
        <v>8</v>
      </c>
      <c r="C1183" t="s">
        <v>126</v>
      </c>
      <c r="D1183" s="9">
        <v>41135.822800925926</v>
      </c>
      <c r="E1183" t="s">
        <v>19</v>
      </c>
      <c r="F1183">
        <f t="shared" ca="1" si="36"/>
        <v>2.4583333333333335</v>
      </c>
      <c r="G1183">
        <f t="shared" ca="1" si="37"/>
        <v>0</v>
      </c>
    </row>
    <row r="1184" spans="1:7">
      <c r="A1184">
        <v>5693</v>
      </c>
      <c r="B1184" t="s">
        <v>17</v>
      </c>
      <c r="C1184" t="s">
        <v>121</v>
      </c>
      <c r="D1184" s="9">
        <v>41466.8440625</v>
      </c>
      <c r="E1184" t="s">
        <v>27</v>
      </c>
      <c r="F1184">
        <f t="shared" ca="1" si="36"/>
        <v>1.55</v>
      </c>
      <c r="G1184">
        <f t="shared" ca="1" si="37"/>
        <v>0</v>
      </c>
    </row>
    <row r="1185" spans="1:7">
      <c r="A1185">
        <v>5694</v>
      </c>
      <c r="B1185" t="s">
        <v>37</v>
      </c>
      <c r="C1185" t="s">
        <v>126</v>
      </c>
      <c r="D1185" s="9">
        <v>41135.823125000003</v>
      </c>
      <c r="E1185" t="s">
        <v>44</v>
      </c>
      <c r="F1185">
        <f t="shared" ca="1" si="36"/>
        <v>2.4583333333333335</v>
      </c>
      <c r="G1185">
        <f t="shared" ca="1" si="37"/>
        <v>0</v>
      </c>
    </row>
    <row r="1186" spans="1:7">
      <c r="A1186">
        <v>5695</v>
      </c>
      <c r="B1186" t="s">
        <v>8</v>
      </c>
      <c r="C1186" t="s">
        <v>126</v>
      </c>
      <c r="D1186" s="9">
        <v>41135.823136574072</v>
      </c>
      <c r="E1186" t="s">
        <v>19</v>
      </c>
      <c r="F1186">
        <f t="shared" ca="1" si="36"/>
        <v>2.4583333333333335</v>
      </c>
      <c r="G1186">
        <f t="shared" ca="1" si="37"/>
        <v>0</v>
      </c>
    </row>
    <row r="1187" spans="1:7">
      <c r="A1187">
        <v>5712</v>
      </c>
      <c r="B1187" t="s">
        <v>8</v>
      </c>
      <c r="C1187" t="s">
        <v>125</v>
      </c>
      <c r="D1187" s="9">
        <v>41212.618900462963</v>
      </c>
      <c r="E1187" t="s">
        <v>112</v>
      </c>
      <c r="F1187">
        <f t="shared" ca="1" si="36"/>
        <v>2.2472222222222222</v>
      </c>
      <c r="G1187">
        <f t="shared" ca="1" si="37"/>
        <v>0</v>
      </c>
    </row>
    <row r="1188" spans="1:7">
      <c r="A1188">
        <v>5728</v>
      </c>
      <c r="B1188" t="s">
        <v>11</v>
      </c>
      <c r="C1188" t="s">
        <v>126</v>
      </c>
      <c r="D1188" s="9">
        <v>41135.823252314818</v>
      </c>
      <c r="E1188" t="s">
        <v>32</v>
      </c>
      <c r="F1188">
        <f t="shared" ca="1" si="36"/>
        <v>2.4583333333333335</v>
      </c>
      <c r="G1188">
        <f t="shared" ca="1" si="37"/>
        <v>0</v>
      </c>
    </row>
    <row r="1189" spans="1:7">
      <c r="A1189">
        <v>5731</v>
      </c>
      <c r="B1189" t="s">
        <v>34</v>
      </c>
      <c r="C1189" t="s">
        <v>125</v>
      </c>
      <c r="D1189" s="9">
        <v>41211.607037037036</v>
      </c>
      <c r="E1189" t="s">
        <v>51</v>
      </c>
      <c r="F1189">
        <f t="shared" ca="1" si="36"/>
        <v>2.25</v>
      </c>
      <c r="G1189">
        <f t="shared" ca="1" si="37"/>
        <v>0</v>
      </c>
    </row>
    <row r="1190" spans="1:7">
      <c r="A1190">
        <v>5751</v>
      </c>
      <c r="B1190" t="s">
        <v>11</v>
      </c>
      <c r="C1190" t="s">
        <v>125</v>
      </c>
      <c r="D1190" s="9">
        <v>41211.780810185184</v>
      </c>
      <c r="E1190" t="s">
        <v>21</v>
      </c>
      <c r="F1190">
        <f t="shared" ca="1" si="36"/>
        <v>2.25</v>
      </c>
      <c r="G1190">
        <f t="shared" ca="1" si="37"/>
        <v>0</v>
      </c>
    </row>
    <row r="1191" spans="1:7">
      <c r="A1191">
        <v>5756</v>
      </c>
      <c r="B1191" t="s">
        <v>27</v>
      </c>
      <c r="C1191" t="s">
        <v>125</v>
      </c>
      <c r="D1191" s="9">
        <v>41211.472407407404</v>
      </c>
      <c r="E1191" t="s">
        <v>19</v>
      </c>
      <c r="F1191">
        <f t="shared" ca="1" si="36"/>
        <v>2.25</v>
      </c>
      <c r="G1191">
        <f t="shared" ca="1" si="37"/>
        <v>0</v>
      </c>
    </row>
    <row r="1192" spans="1:7">
      <c r="A1192">
        <v>5764</v>
      </c>
      <c r="B1192" t="s">
        <v>44</v>
      </c>
      <c r="C1192" t="s">
        <v>125</v>
      </c>
      <c r="D1192" s="9">
        <v>41212.426921296297</v>
      </c>
      <c r="E1192" t="s">
        <v>112</v>
      </c>
      <c r="F1192">
        <f t="shared" ca="1" si="36"/>
        <v>2.2472222222222222</v>
      </c>
      <c r="G1192">
        <f t="shared" ca="1" si="37"/>
        <v>0</v>
      </c>
    </row>
    <row r="1193" spans="1:7">
      <c r="A1193">
        <v>5775</v>
      </c>
      <c r="B1193" t="s">
        <v>19</v>
      </c>
      <c r="C1193" t="s">
        <v>125</v>
      </c>
      <c r="D1193" s="9">
        <v>41212.432581018518</v>
      </c>
      <c r="E1193" t="s">
        <v>112</v>
      </c>
      <c r="F1193">
        <f t="shared" ca="1" si="36"/>
        <v>2.2472222222222222</v>
      </c>
      <c r="G1193">
        <f t="shared" ca="1" si="37"/>
        <v>0</v>
      </c>
    </row>
    <row r="1194" spans="1:7">
      <c r="A1194">
        <v>5782</v>
      </c>
      <c r="B1194" t="s">
        <v>30</v>
      </c>
      <c r="C1194" t="s">
        <v>122</v>
      </c>
      <c r="D1194" s="9">
        <v>41410.944374999999</v>
      </c>
      <c r="E1194" t="s">
        <v>19</v>
      </c>
      <c r="F1194">
        <f t="shared" ca="1" si="36"/>
        <v>1.7027777777777777</v>
      </c>
      <c r="G1194">
        <f t="shared" ca="1" si="37"/>
        <v>0</v>
      </c>
    </row>
    <row r="1195" spans="1:7">
      <c r="A1195">
        <v>5793</v>
      </c>
      <c r="B1195" t="s">
        <v>8</v>
      </c>
      <c r="C1195" t="s">
        <v>125</v>
      </c>
      <c r="D1195" s="9">
        <v>41212.681701388887</v>
      </c>
      <c r="E1195" t="s">
        <v>112</v>
      </c>
      <c r="F1195">
        <f t="shared" ca="1" si="36"/>
        <v>2.2472222222222222</v>
      </c>
      <c r="G1195">
        <f t="shared" ca="1" si="37"/>
        <v>0</v>
      </c>
    </row>
    <row r="1196" spans="1:7">
      <c r="A1196">
        <v>5795</v>
      </c>
      <c r="B1196" t="s">
        <v>43</v>
      </c>
      <c r="C1196" t="s">
        <v>125</v>
      </c>
      <c r="D1196" s="9">
        <v>41211.719618055555</v>
      </c>
      <c r="E1196" t="s">
        <v>27</v>
      </c>
      <c r="F1196">
        <f t="shared" ca="1" si="36"/>
        <v>2.25</v>
      </c>
      <c r="G1196">
        <f t="shared" ca="1" si="37"/>
        <v>0</v>
      </c>
    </row>
    <row r="1197" spans="1:7">
      <c r="A1197">
        <v>5802</v>
      </c>
      <c r="B1197" t="s">
        <v>27</v>
      </c>
      <c r="C1197" t="s">
        <v>125</v>
      </c>
      <c r="D1197" s="9">
        <v>41211.665358796294</v>
      </c>
      <c r="E1197" t="s">
        <v>36</v>
      </c>
      <c r="F1197">
        <f t="shared" ca="1" si="36"/>
        <v>2.25</v>
      </c>
      <c r="G1197">
        <f t="shared" ca="1" si="37"/>
        <v>0</v>
      </c>
    </row>
    <row r="1198" spans="1:7">
      <c r="A1198">
        <v>5815</v>
      </c>
      <c r="B1198" t="s">
        <v>44</v>
      </c>
      <c r="C1198" t="s">
        <v>125</v>
      </c>
      <c r="D1198" s="9">
        <v>41212.532164351855</v>
      </c>
      <c r="E1198" t="s">
        <v>27</v>
      </c>
      <c r="F1198">
        <f t="shared" ca="1" si="36"/>
        <v>2.2472222222222222</v>
      </c>
      <c r="G1198">
        <f t="shared" ca="1" si="37"/>
        <v>0</v>
      </c>
    </row>
    <row r="1199" spans="1:7">
      <c r="A1199">
        <v>5816</v>
      </c>
      <c r="B1199" t="s">
        <v>34</v>
      </c>
      <c r="C1199" t="s">
        <v>125</v>
      </c>
      <c r="D1199" s="9">
        <v>41215.696550925924</v>
      </c>
      <c r="E1199" t="s">
        <v>112</v>
      </c>
      <c r="F1199">
        <f t="shared" ca="1" si="36"/>
        <v>2.2416666666666667</v>
      </c>
      <c r="G1199">
        <f t="shared" ca="1" si="37"/>
        <v>0</v>
      </c>
    </row>
    <row r="1200" spans="1:7">
      <c r="A1200">
        <v>5842</v>
      </c>
      <c r="B1200" t="s">
        <v>27</v>
      </c>
      <c r="C1200" t="s">
        <v>125</v>
      </c>
      <c r="D1200" s="9">
        <v>41211.484085648146</v>
      </c>
      <c r="E1200" t="s">
        <v>19</v>
      </c>
      <c r="F1200">
        <f t="shared" ca="1" si="36"/>
        <v>2.25</v>
      </c>
      <c r="G1200">
        <f t="shared" ca="1" si="37"/>
        <v>0</v>
      </c>
    </row>
    <row r="1201" spans="1:7">
      <c r="A1201">
        <v>5844</v>
      </c>
      <c r="B1201" t="s">
        <v>24</v>
      </c>
      <c r="C1201" t="s">
        <v>125</v>
      </c>
      <c r="D1201" s="9">
        <v>41249.8825462963</v>
      </c>
      <c r="E1201" t="s">
        <v>44</v>
      </c>
      <c r="F1201">
        <f t="shared" ca="1" si="36"/>
        <v>2.1472222222222221</v>
      </c>
      <c r="G1201">
        <f t="shared" ca="1" si="37"/>
        <v>0</v>
      </c>
    </row>
    <row r="1202" spans="1:7">
      <c r="A1202">
        <v>5847</v>
      </c>
      <c r="B1202" t="s">
        <v>8</v>
      </c>
      <c r="C1202" t="s">
        <v>125</v>
      </c>
      <c r="D1202" s="9">
        <v>41215.698541666665</v>
      </c>
      <c r="E1202" t="s">
        <v>112</v>
      </c>
      <c r="F1202">
        <f t="shared" ca="1" si="36"/>
        <v>2.2416666666666667</v>
      </c>
      <c r="G1202">
        <f t="shared" ca="1" si="37"/>
        <v>0</v>
      </c>
    </row>
    <row r="1203" spans="1:7">
      <c r="A1203">
        <v>5864</v>
      </c>
      <c r="B1203" t="s">
        <v>11</v>
      </c>
      <c r="C1203" t="s">
        <v>125</v>
      </c>
      <c r="D1203" s="9">
        <v>41215.697916666664</v>
      </c>
      <c r="E1203" t="s">
        <v>8</v>
      </c>
      <c r="F1203">
        <f t="shared" ca="1" si="36"/>
        <v>2.2416666666666667</v>
      </c>
      <c r="G1203">
        <f t="shared" ca="1" si="37"/>
        <v>0</v>
      </c>
    </row>
    <row r="1204" spans="1:7">
      <c r="A1204">
        <v>5904</v>
      </c>
      <c r="B1204" t="s">
        <v>30</v>
      </c>
      <c r="C1204" t="s">
        <v>125</v>
      </c>
      <c r="D1204" s="9">
        <v>41215.697222222225</v>
      </c>
      <c r="E1204" t="s">
        <v>8</v>
      </c>
      <c r="F1204">
        <f t="shared" ca="1" si="36"/>
        <v>2.2416666666666667</v>
      </c>
      <c r="G1204">
        <f t="shared" ca="1" si="37"/>
        <v>0</v>
      </c>
    </row>
    <row r="1205" spans="1:7">
      <c r="A1205">
        <v>5906</v>
      </c>
      <c r="B1205" t="s">
        <v>34</v>
      </c>
      <c r="C1205" t="s">
        <v>125</v>
      </c>
      <c r="D1205" s="9">
        <v>41215.697094907409</v>
      </c>
      <c r="E1205" t="s">
        <v>112</v>
      </c>
      <c r="F1205">
        <f t="shared" ca="1" si="36"/>
        <v>2.2416666666666667</v>
      </c>
      <c r="G1205">
        <f t="shared" ca="1" si="37"/>
        <v>0</v>
      </c>
    </row>
    <row r="1206" spans="1:7">
      <c r="A1206">
        <v>5911</v>
      </c>
      <c r="B1206" t="s">
        <v>34</v>
      </c>
      <c r="C1206" t="s">
        <v>125</v>
      </c>
      <c r="D1206" s="9">
        <v>41215.697094907409</v>
      </c>
      <c r="E1206" t="s">
        <v>23</v>
      </c>
      <c r="F1206">
        <f t="shared" ca="1" si="36"/>
        <v>2.2416666666666667</v>
      </c>
      <c r="G1206">
        <f t="shared" ca="1" si="37"/>
        <v>0</v>
      </c>
    </row>
    <row r="1207" spans="1:7">
      <c r="A1207">
        <v>5916</v>
      </c>
      <c r="B1207" t="s">
        <v>51</v>
      </c>
      <c r="C1207" t="s">
        <v>125</v>
      </c>
      <c r="D1207" s="9">
        <v>41215.697129629632</v>
      </c>
      <c r="E1207" t="s">
        <v>23</v>
      </c>
      <c r="F1207">
        <f t="shared" ca="1" si="36"/>
        <v>2.2416666666666667</v>
      </c>
      <c r="G1207">
        <f t="shared" ca="1" si="37"/>
        <v>0</v>
      </c>
    </row>
    <row r="1208" spans="1:7">
      <c r="A1208">
        <v>5934</v>
      </c>
      <c r="B1208" t="s">
        <v>11</v>
      </c>
      <c r="C1208" t="s">
        <v>121</v>
      </c>
      <c r="D1208" s="9">
        <v>41480.421620370369</v>
      </c>
      <c r="E1208" t="s">
        <v>24</v>
      </c>
      <c r="F1208">
        <f t="shared" ca="1" si="36"/>
        <v>1.5111111111111111</v>
      </c>
      <c r="G1208">
        <f t="shared" ca="1" si="37"/>
        <v>0</v>
      </c>
    </row>
    <row r="1209" spans="1:7">
      <c r="A1209">
        <v>5939</v>
      </c>
      <c r="B1209" t="s">
        <v>11</v>
      </c>
      <c r="C1209" t="s">
        <v>120</v>
      </c>
      <c r="D1209" s="9">
        <v>41570.44809027778</v>
      </c>
      <c r="E1209" t="s">
        <v>8</v>
      </c>
      <c r="F1209">
        <f t="shared" ca="1" si="36"/>
        <v>1.2666666666666666</v>
      </c>
      <c r="G1209">
        <f t="shared" ca="1" si="37"/>
        <v>0</v>
      </c>
    </row>
    <row r="1210" spans="1:7">
      <c r="A1210">
        <v>5954</v>
      </c>
      <c r="B1210" t="s">
        <v>19</v>
      </c>
      <c r="C1210" t="s">
        <v>125</v>
      </c>
      <c r="D1210" s="9">
        <v>41215.697708333333</v>
      </c>
      <c r="E1210" t="s">
        <v>11</v>
      </c>
      <c r="F1210">
        <f t="shared" ca="1" si="36"/>
        <v>2.2416666666666667</v>
      </c>
      <c r="G1210">
        <f t="shared" ca="1" si="37"/>
        <v>0</v>
      </c>
    </row>
    <row r="1211" spans="1:7">
      <c r="A1211">
        <v>5964</v>
      </c>
      <c r="B1211" t="s">
        <v>34</v>
      </c>
      <c r="C1211" t="s">
        <v>125</v>
      </c>
      <c r="D1211" s="9">
        <v>41215.697847222225</v>
      </c>
      <c r="E1211" t="s">
        <v>21</v>
      </c>
      <c r="F1211">
        <f t="shared" ca="1" si="36"/>
        <v>2.2416666666666667</v>
      </c>
      <c r="G1211">
        <f t="shared" ca="1" si="37"/>
        <v>0</v>
      </c>
    </row>
    <row r="1212" spans="1:7">
      <c r="A1212">
        <v>5970</v>
      </c>
      <c r="B1212" t="s">
        <v>19</v>
      </c>
      <c r="C1212" t="s">
        <v>125</v>
      </c>
      <c r="D1212" s="9">
        <v>41215.698182870372</v>
      </c>
      <c r="E1212" t="s">
        <v>112</v>
      </c>
      <c r="F1212">
        <f t="shared" ca="1" si="36"/>
        <v>2.2416666666666667</v>
      </c>
      <c r="G1212">
        <f t="shared" ca="1" si="37"/>
        <v>0</v>
      </c>
    </row>
    <row r="1213" spans="1:7">
      <c r="A1213">
        <v>5975</v>
      </c>
      <c r="B1213" t="s">
        <v>8</v>
      </c>
      <c r="C1213" t="s">
        <v>125</v>
      </c>
      <c r="D1213" s="9">
        <v>41215.69809027778</v>
      </c>
      <c r="E1213" t="s">
        <v>23</v>
      </c>
      <c r="F1213">
        <f t="shared" ca="1" si="36"/>
        <v>2.2416666666666667</v>
      </c>
      <c r="G1213">
        <f t="shared" ca="1" si="37"/>
        <v>0</v>
      </c>
    </row>
    <row r="1214" spans="1:7">
      <c r="A1214">
        <v>5976</v>
      </c>
      <c r="B1214" t="s">
        <v>44</v>
      </c>
      <c r="C1214" t="s">
        <v>125</v>
      </c>
      <c r="D1214" s="9">
        <v>41215.697974537034</v>
      </c>
      <c r="E1214" t="s">
        <v>112</v>
      </c>
      <c r="F1214">
        <f t="shared" ca="1" si="36"/>
        <v>2.2416666666666667</v>
      </c>
      <c r="G1214">
        <f t="shared" ca="1" si="37"/>
        <v>0</v>
      </c>
    </row>
    <row r="1215" spans="1:7">
      <c r="A1215">
        <v>6005</v>
      </c>
      <c r="B1215" t="s">
        <v>44</v>
      </c>
      <c r="C1215" t="s">
        <v>125</v>
      </c>
      <c r="D1215" s="9">
        <v>41215.698379629626</v>
      </c>
      <c r="E1215" t="s">
        <v>112</v>
      </c>
      <c r="F1215">
        <f t="shared" ca="1" si="36"/>
        <v>2.2416666666666667</v>
      </c>
      <c r="G1215">
        <f t="shared" ca="1" si="37"/>
        <v>0</v>
      </c>
    </row>
    <row r="1216" spans="1:7">
      <c r="A1216">
        <v>6010</v>
      </c>
      <c r="B1216" t="s">
        <v>112</v>
      </c>
      <c r="C1216" t="s">
        <v>125</v>
      </c>
      <c r="D1216" s="9">
        <v>41215.69840277778</v>
      </c>
      <c r="E1216" t="s">
        <v>19</v>
      </c>
      <c r="F1216">
        <f t="shared" ca="1" si="36"/>
        <v>2.2416666666666667</v>
      </c>
      <c r="G1216">
        <f t="shared" ca="1" si="37"/>
        <v>0</v>
      </c>
    </row>
    <row r="1217" spans="1:7">
      <c r="A1217">
        <v>6056</v>
      </c>
      <c r="B1217" t="s">
        <v>19</v>
      </c>
      <c r="C1217" t="s">
        <v>125</v>
      </c>
      <c r="D1217" s="9">
        <v>41249.882581018515</v>
      </c>
      <c r="E1217" t="s">
        <v>20</v>
      </c>
      <c r="F1217">
        <f t="shared" ca="1" si="36"/>
        <v>2.1472222222222221</v>
      </c>
      <c r="G1217">
        <f t="shared" ca="1" si="37"/>
        <v>0</v>
      </c>
    </row>
    <row r="1218" spans="1:7">
      <c r="A1218">
        <v>6067</v>
      </c>
      <c r="B1218" t="s">
        <v>112</v>
      </c>
      <c r="C1218" t="s">
        <v>121</v>
      </c>
      <c r="D1218" s="9">
        <v>41478.769050925926</v>
      </c>
      <c r="E1218" t="s">
        <v>11</v>
      </c>
      <c r="F1218">
        <f t="shared" ca="1" si="36"/>
        <v>1.5166666666666666</v>
      </c>
      <c r="G1218">
        <f t="shared" ca="1" si="37"/>
        <v>0</v>
      </c>
    </row>
    <row r="1219" spans="1:7">
      <c r="A1219">
        <v>6071</v>
      </c>
      <c r="B1219" t="s">
        <v>19</v>
      </c>
      <c r="C1219" t="s">
        <v>123</v>
      </c>
      <c r="D1219" s="9">
        <v>41302.661689814813</v>
      </c>
      <c r="E1219" t="s">
        <v>24</v>
      </c>
      <c r="F1219">
        <f t="shared" ref="F1219:F1282" ca="1" si="38">YEARFRAC(TODAY(),$D1219)</f>
        <v>2.0027777777777778</v>
      </c>
      <c r="G1219">
        <f t="shared" ref="G1219:G1282" ca="1" si="39">IF($F1219&lt;1,1,0)</f>
        <v>0</v>
      </c>
    </row>
    <row r="1220" spans="1:7">
      <c r="A1220">
        <v>6081</v>
      </c>
      <c r="B1220" t="s">
        <v>8</v>
      </c>
      <c r="C1220" t="s">
        <v>125</v>
      </c>
      <c r="D1220" s="9">
        <v>41249.882581018515</v>
      </c>
      <c r="E1220" t="s">
        <v>19</v>
      </c>
      <c r="F1220">
        <f t="shared" ca="1" si="38"/>
        <v>2.1472222222222221</v>
      </c>
      <c r="G1220">
        <f t="shared" ca="1" si="39"/>
        <v>0</v>
      </c>
    </row>
    <row r="1221" spans="1:7">
      <c r="A1221">
        <v>6085</v>
      </c>
      <c r="B1221" t="s">
        <v>8</v>
      </c>
      <c r="C1221" t="s">
        <v>125</v>
      </c>
      <c r="D1221" s="9">
        <v>41249.882581018515</v>
      </c>
      <c r="E1221" t="s">
        <v>19</v>
      </c>
      <c r="F1221">
        <f t="shared" ca="1" si="38"/>
        <v>2.1472222222222221</v>
      </c>
      <c r="G1221">
        <f t="shared" ca="1" si="39"/>
        <v>0</v>
      </c>
    </row>
    <row r="1222" spans="1:7">
      <c r="A1222">
        <v>6105</v>
      </c>
      <c r="B1222" t="s">
        <v>19</v>
      </c>
      <c r="C1222" t="s">
        <v>123</v>
      </c>
      <c r="D1222" s="9">
        <v>41302.485335648147</v>
      </c>
      <c r="E1222" t="s">
        <v>30</v>
      </c>
      <c r="F1222">
        <f t="shared" ca="1" si="38"/>
        <v>2.0027777777777778</v>
      </c>
      <c r="G1222">
        <f t="shared" ca="1" si="39"/>
        <v>0</v>
      </c>
    </row>
    <row r="1223" spans="1:7">
      <c r="A1223">
        <v>6108</v>
      </c>
      <c r="B1223" t="s">
        <v>8</v>
      </c>
      <c r="C1223" t="s">
        <v>123</v>
      </c>
      <c r="D1223" s="9">
        <v>41302.706458333334</v>
      </c>
      <c r="E1223" t="s">
        <v>21</v>
      </c>
      <c r="F1223">
        <f t="shared" ca="1" si="38"/>
        <v>2.0027777777777778</v>
      </c>
      <c r="G1223">
        <f t="shared" ca="1" si="39"/>
        <v>0</v>
      </c>
    </row>
    <row r="1224" spans="1:7">
      <c r="A1224">
        <v>6111</v>
      </c>
      <c r="B1224" t="s">
        <v>20</v>
      </c>
      <c r="C1224" t="s">
        <v>166</v>
      </c>
      <c r="D1224" s="9">
        <v>41249.882731481484</v>
      </c>
      <c r="E1224" t="s">
        <v>27</v>
      </c>
      <c r="F1224">
        <f t="shared" ca="1" si="38"/>
        <v>2.1472222222222221</v>
      </c>
      <c r="G1224">
        <f t="shared" ca="1" si="39"/>
        <v>0</v>
      </c>
    </row>
    <row r="1225" spans="1:7">
      <c r="A1225">
        <v>6124</v>
      </c>
      <c r="B1225" t="s">
        <v>112</v>
      </c>
      <c r="C1225" t="s">
        <v>166</v>
      </c>
      <c r="D1225" s="9">
        <v>41249.882685185185</v>
      </c>
      <c r="E1225" t="s">
        <v>19</v>
      </c>
      <c r="F1225">
        <f t="shared" ca="1" si="38"/>
        <v>2.1472222222222221</v>
      </c>
      <c r="G1225">
        <f t="shared" ca="1" si="39"/>
        <v>0</v>
      </c>
    </row>
    <row r="1226" spans="1:7">
      <c r="A1226">
        <v>6130</v>
      </c>
      <c r="B1226" t="s">
        <v>34</v>
      </c>
      <c r="C1226" t="s">
        <v>122</v>
      </c>
      <c r="D1226" s="9">
        <v>41383.670358796298</v>
      </c>
      <c r="E1226" t="s">
        <v>23</v>
      </c>
      <c r="F1226">
        <f t="shared" ca="1" si="38"/>
        <v>1.7777777777777777</v>
      </c>
      <c r="G1226">
        <f t="shared" ca="1" si="39"/>
        <v>0</v>
      </c>
    </row>
    <row r="1227" spans="1:7">
      <c r="A1227">
        <v>6131</v>
      </c>
      <c r="B1227" t="s">
        <v>34</v>
      </c>
      <c r="C1227" t="s">
        <v>123</v>
      </c>
      <c r="D1227" s="9">
        <v>41303.483969907407</v>
      </c>
      <c r="E1227" t="s">
        <v>112</v>
      </c>
      <c r="F1227">
        <f t="shared" ca="1" si="38"/>
        <v>2</v>
      </c>
      <c r="G1227">
        <f t="shared" ca="1" si="39"/>
        <v>0</v>
      </c>
    </row>
    <row r="1228" spans="1:7">
      <c r="A1228">
        <v>6133</v>
      </c>
      <c r="B1228" t="s">
        <v>19</v>
      </c>
      <c r="C1228" t="s">
        <v>123</v>
      </c>
      <c r="D1228" s="9">
        <v>41309.464166666665</v>
      </c>
      <c r="E1228" t="s">
        <v>112</v>
      </c>
      <c r="F1228">
        <f t="shared" ca="1" si="38"/>
        <v>1.9861111111111112</v>
      </c>
      <c r="G1228">
        <f t="shared" ca="1" si="39"/>
        <v>0</v>
      </c>
    </row>
    <row r="1229" spans="1:7">
      <c r="A1229">
        <v>6138</v>
      </c>
      <c r="B1229" t="s">
        <v>34</v>
      </c>
      <c r="C1229" t="s">
        <v>165</v>
      </c>
      <c r="D1229" s="9">
        <v>41295.759756944448</v>
      </c>
      <c r="E1229" t="s">
        <v>27</v>
      </c>
      <c r="F1229">
        <f t="shared" ca="1" si="38"/>
        <v>2.0222222222222221</v>
      </c>
      <c r="G1229">
        <f t="shared" ca="1" si="39"/>
        <v>0</v>
      </c>
    </row>
    <row r="1230" spans="1:7">
      <c r="A1230">
        <v>6143</v>
      </c>
      <c r="B1230" t="s">
        <v>27</v>
      </c>
      <c r="C1230" t="s">
        <v>123</v>
      </c>
      <c r="D1230" s="9">
        <v>41302.511076388888</v>
      </c>
      <c r="E1230" t="s">
        <v>19</v>
      </c>
      <c r="F1230">
        <f t="shared" ca="1" si="38"/>
        <v>2.0027777777777778</v>
      </c>
      <c r="G1230">
        <f t="shared" ca="1" si="39"/>
        <v>0</v>
      </c>
    </row>
    <row r="1231" spans="1:7">
      <c r="A1231">
        <v>6149</v>
      </c>
      <c r="B1231" t="s">
        <v>11</v>
      </c>
      <c r="C1231" t="s">
        <v>123</v>
      </c>
      <c r="D1231" s="9">
        <v>41309.464212962965</v>
      </c>
      <c r="E1231" t="s">
        <v>52</v>
      </c>
      <c r="F1231">
        <f t="shared" ca="1" si="38"/>
        <v>1.9861111111111112</v>
      </c>
      <c r="G1231">
        <f t="shared" ca="1" si="39"/>
        <v>0</v>
      </c>
    </row>
    <row r="1232" spans="1:7">
      <c r="A1232">
        <v>6150</v>
      </c>
      <c r="B1232" t="s">
        <v>11</v>
      </c>
      <c r="C1232" t="s">
        <v>165</v>
      </c>
      <c r="D1232" s="9">
        <v>41254.662094907406</v>
      </c>
      <c r="E1232" t="s">
        <v>27</v>
      </c>
      <c r="F1232">
        <f t="shared" ca="1" si="38"/>
        <v>2.1333333333333333</v>
      </c>
      <c r="G1232">
        <f t="shared" ca="1" si="39"/>
        <v>0</v>
      </c>
    </row>
    <row r="1233" spans="1:7">
      <c r="A1233">
        <v>6160</v>
      </c>
      <c r="B1233" t="s">
        <v>34</v>
      </c>
      <c r="C1233" t="s">
        <v>122</v>
      </c>
      <c r="D1233" s="9">
        <v>41416.490011574075</v>
      </c>
      <c r="E1233" t="s">
        <v>112</v>
      </c>
      <c r="F1233">
        <f t="shared" ca="1" si="38"/>
        <v>1.6861111111111111</v>
      </c>
      <c r="G1233">
        <f t="shared" ca="1" si="39"/>
        <v>0</v>
      </c>
    </row>
    <row r="1234" spans="1:7">
      <c r="A1234">
        <v>6168</v>
      </c>
      <c r="B1234" t="s">
        <v>11</v>
      </c>
      <c r="C1234" t="s">
        <v>120</v>
      </c>
      <c r="D1234" s="9">
        <v>41493.703622685185</v>
      </c>
      <c r="E1234" t="s">
        <v>21</v>
      </c>
      <c r="F1234">
        <f t="shared" ca="1" si="38"/>
        <v>1.4777777777777779</v>
      </c>
      <c r="G1234">
        <f t="shared" ca="1" si="39"/>
        <v>0</v>
      </c>
    </row>
    <row r="1235" spans="1:7">
      <c r="A1235">
        <v>6169</v>
      </c>
      <c r="B1235" t="s">
        <v>11</v>
      </c>
      <c r="C1235" t="s">
        <v>120</v>
      </c>
      <c r="D1235" s="9">
        <v>41500.453692129631</v>
      </c>
      <c r="E1235" t="s">
        <v>8</v>
      </c>
      <c r="F1235">
        <f t="shared" ca="1" si="38"/>
        <v>1.4583333333333333</v>
      </c>
      <c r="G1235">
        <f t="shared" ca="1" si="39"/>
        <v>0</v>
      </c>
    </row>
    <row r="1236" spans="1:7">
      <c r="A1236">
        <v>6176</v>
      </c>
      <c r="B1236" t="s">
        <v>24</v>
      </c>
      <c r="C1236" t="s">
        <v>122</v>
      </c>
      <c r="D1236" s="9">
        <v>41410.944594907407</v>
      </c>
      <c r="E1236" t="s">
        <v>112</v>
      </c>
      <c r="F1236">
        <f t="shared" ca="1" si="38"/>
        <v>1.7027777777777777</v>
      </c>
      <c r="G1236">
        <f t="shared" ca="1" si="39"/>
        <v>0</v>
      </c>
    </row>
    <row r="1237" spans="1:7">
      <c r="A1237">
        <v>6180</v>
      </c>
      <c r="B1237" t="s">
        <v>44</v>
      </c>
      <c r="C1237" t="s">
        <v>123</v>
      </c>
      <c r="D1237" s="9">
        <v>41309.464155092595</v>
      </c>
      <c r="E1237" t="s">
        <v>112</v>
      </c>
      <c r="F1237">
        <f t="shared" ca="1" si="38"/>
        <v>1.9861111111111112</v>
      </c>
      <c r="G1237">
        <f t="shared" ca="1" si="39"/>
        <v>0</v>
      </c>
    </row>
    <row r="1238" spans="1:7">
      <c r="A1238">
        <v>6181</v>
      </c>
      <c r="B1238" t="s">
        <v>44</v>
      </c>
      <c r="C1238" t="s">
        <v>123</v>
      </c>
      <c r="D1238" s="9">
        <v>41302.595381944448</v>
      </c>
      <c r="E1238" t="s">
        <v>30</v>
      </c>
      <c r="F1238">
        <f t="shared" ca="1" si="38"/>
        <v>2.0027777777777778</v>
      </c>
      <c r="G1238">
        <f t="shared" ca="1" si="39"/>
        <v>0</v>
      </c>
    </row>
    <row r="1239" spans="1:7">
      <c r="A1239">
        <v>6185</v>
      </c>
      <c r="B1239" t="s">
        <v>32</v>
      </c>
      <c r="C1239" t="s">
        <v>123</v>
      </c>
      <c r="D1239" s="9">
        <v>41309.464143518519</v>
      </c>
      <c r="E1239" t="s">
        <v>8</v>
      </c>
      <c r="F1239">
        <f t="shared" ca="1" si="38"/>
        <v>1.9861111111111112</v>
      </c>
      <c r="G1239">
        <f t="shared" ca="1" si="39"/>
        <v>0</v>
      </c>
    </row>
    <row r="1240" spans="1:7">
      <c r="A1240">
        <v>6190</v>
      </c>
      <c r="B1240" t="s">
        <v>20</v>
      </c>
      <c r="C1240" t="s">
        <v>123</v>
      </c>
      <c r="D1240" s="9">
        <v>41302.663993055554</v>
      </c>
      <c r="E1240" t="s">
        <v>19</v>
      </c>
      <c r="F1240">
        <f t="shared" ca="1" si="38"/>
        <v>2.0027777777777778</v>
      </c>
      <c r="G1240">
        <f t="shared" ca="1" si="39"/>
        <v>0</v>
      </c>
    </row>
    <row r="1241" spans="1:7">
      <c r="A1241">
        <v>6191</v>
      </c>
      <c r="B1241" t="s">
        <v>11</v>
      </c>
      <c r="C1241" t="s">
        <v>121</v>
      </c>
      <c r="D1241" s="9">
        <v>41425.65966435185</v>
      </c>
      <c r="E1241" t="s">
        <v>23</v>
      </c>
      <c r="F1241">
        <f t="shared" ca="1" si="38"/>
        <v>1.663888888888889</v>
      </c>
      <c r="G1241">
        <f t="shared" ca="1" si="39"/>
        <v>0</v>
      </c>
    </row>
    <row r="1242" spans="1:7">
      <c r="A1242">
        <v>6194</v>
      </c>
      <c r="B1242" t="s">
        <v>112</v>
      </c>
      <c r="C1242" t="s">
        <v>123</v>
      </c>
      <c r="D1242" s="9">
        <v>41309.464143518519</v>
      </c>
      <c r="E1242" t="s">
        <v>8</v>
      </c>
      <c r="F1242">
        <f t="shared" ca="1" si="38"/>
        <v>1.9861111111111112</v>
      </c>
      <c r="G1242">
        <f t="shared" ca="1" si="39"/>
        <v>0</v>
      </c>
    </row>
    <row r="1243" spans="1:7">
      <c r="A1243">
        <v>6196</v>
      </c>
      <c r="B1243" t="s">
        <v>19</v>
      </c>
      <c r="C1243" t="s">
        <v>123</v>
      </c>
      <c r="D1243" s="9">
        <v>41302.583252314813</v>
      </c>
      <c r="E1243" t="s">
        <v>8</v>
      </c>
      <c r="F1243">
        <f t="shared" ca="1" si="38"/>
        <v>2.0027777777777778</v>
      </c>
      <c r="G1243">
        <f t="shared" ca="1" si="39"/>
        <v>0</v>
      </c>
    </row>
    <row r="1244" spans="1:7">
      <c r="A1244">
        <v>6197</v>
      </c>
      <c r="B1244" t="s">
        <v>112</v>
      </c>
      <c r="C1244" t="s">
        <v>121</v>
      </c>
      <c r="D1244" s="9">
        <v>41477.656828703701</v>
      </c>
      <c r="E1244" t="s">
        <v>24</v>
      </c>
      <c r="F1244">
        <f t="shared" ca="1" si="38"/>
        <v>1.5194444444444444</v>
      </c>
      <c r="G1244">
        <f t="shared" ca="1" si="39"/>
        <v>0</v>
      </c>
    </row>
    <row r="1245" spans="1:7">
      <c r="A1245">
        <v>6198</v>
      </c>
      <c r="B1245" t="s">
        <v>11</v>
      </c>
      <c r="C1245" t="s">
        <v>120</v>
      </c>
      <c r="D1245" s="9">
        <v>41549.427997685183</v>
      </c>
      <c r="E1245" t="s">
        <v>34</v>
      </c>
      <c r="F1245">
        <f t="shared" ca="1" si="38"/>
        <v>1.325</v>
      </c>
      <c r="G1245">
        <f t="shared" ca="1" si="39"/>
        <v>0</v>
      </c>
    </row>
    <row r="1246" spans="1:7">
      <c r="A1246">
        <v>6207</v>
      </c>
      <c r="B1246" t="s">
        <v>8</v>
      </c>
      <c r="C1246" t="s">
        <v>123</v>
      </c>
      <c r="D1246" s="9">
        <v>41303.569386574076</v>
      </c>
      <c r="E1246" t="s">
        <v>112</v>
      </c>
      <c r="F1246">
        <f t="shared" ca="1" si="38"/>
        <v>2</v>
      </c>
      <c r="G1246">
        <f t="shared" ca="1" si="39"/>
        <v>0</v>
      </c>
    </row>
    <row r="1247" spans="1:7">
      <c r="A1247">
        <v>6212</v>
      </c>
      <c r="B1247" t="s">
        <v>34</v>
      </c>
      <c r="C1247" t="s">
        <v>122</v>
      </c>
      <c r="D1247" s="9">
        <v>41410.943101851852</v>
      </c>
      <c r="E1247" t="s">
        <v>8</v>
      </c>
      <c r="F1247">
        <f t="shared" ca="1" si="38"/>
        <v>1.7027777777777777</v>
      </c>
      <c r="G1247">
        <f t="shared" ca="1" si="39"/>
        <v>0</v>
      </c>
    </row>
    <row r="1248" spans="1:7">
      <c r="A1248">
        <v>6214</v>
      </c>
      <c r="B1248" t="s">
        <v>44</v>
      </c>
      <c r="C1248" t="s">
        <v>123</v>
      </c>
      <c r="D1248" s="9">
        <v>41302.576701388891</v>
      </c>
      <c r="E1248" t="s">
        <v>30</v>
      </c>
      <c r="F1248">
        <f t="shared" ca="1" si="38"/>
        <v>2.0027777777777778</v>
      </c>
      <c r="G1248">
        <f t="shared" ca="1" si="39"/>
        <v>0</v>
      </c>
    </row>
    <row r="1249" spans="1:7">
      <c r="A1249">
        <v>6220</v>
      </c>
      <c r="B1249" t="s">
        <v>19</v>
      </c>
      <c r="C1249" t="s">
        <v>123</v>
      </c>
      <c r="D1249" s="9">
        <v>41302.641909722224</v>
      </c>
      <c r="E1249" t="s">
        <v>27</v>
      </c>
      <c r="F1249">
        <f t="shared" ca="1" si="38"/>
        <v>2.0027777777777778</v>
      </c>
      <c r="G1249">
        <f t="shared" ca="1" si="39"/>
        <v>0</v>
      </c>
    </row>
    <row r="1250" spans="1:7">
      <c r="A1250">
        <v>6241</v>
      </c>
      <c r="B1250" t="s">
        <v>32</v>
      </c>
      <c r="C1250" t="s">
        <v>165</v>
      </c>
      <c r="D1250" s="9">
        <v>41253.769606481481</v>
      </c>
      <c r="E1250" t="s">
        <v>27</v>
      </c>
      <c r="F1250">
        <f t="shared" ca="1" si="38"/>
        <v>2.1361111111111111</v>
      </c>
      <c r="G1250">
        <f t="shared" ca="1" si="39"/>
        <v>0</v>
      </c>
    </row>
    <row r="1251" spans="1:7">
      <c r="A1251">
        <v>6244</v>
      </c>
      <c r="B1251" t="s">
        <v>20</v>
      </c>
      <c r="C1251" t="s">
        <v>165</v>
      </c>
      <c r="D1251" s="9">
        <v>41253.887986111113</v>
      </c>
      <c r="E1251" t="s">
        <v>27</v>
      </c>
      <c r="F1251">
        <f t="shared" ca="1" si="38"/>
        <v>2.1361111111111111</v>
      </c>
      <c r="G1251">
        <f t="shared" ca="1" si="39"/>
        <v>0</v>
      </c>
    </row>
    <row r="1252" spans="1:7">
      <c r="A1252">
        <v>6258</v>
      </c>
      <c r="B1252" t="s">
        <v>8</v>
      </c>
      <c r="C1252" t="s">
        <v>123</v>
      </c>
      <c r="D1252" s="9">
        <v>41302.655219907407</v>
      </c>
      <c r="E1252" t="s">
        <v>19</v>
      </c>
      <c r="F1252">
        <f t="shared" ca="1" si="38"/>
        <v>2.0027777777777778</v>
      </c>
      <c r="G1252">
        <f t="shared" ca="1" si="39"/>
        <v>0</v>
      </c>
    </row>
    <row r="1253" spans="1:7">
      <c r="A1253">
        <v>6267</v>
      </c>
      <c r="B1253" t="s">
        <v>11</v>
      </c>
      <c r="C1253" t="s">
        <v>123</v>
      </c>
      <c r="D1253" s="9">
        <v>41302.806342592594</v>
      </c>
      <c r="E1253" t="s">
        <v>21</v>
      </c>
      <c r="F1253">
        <f t="shared" ca="1" si="38"/>
        <v>2.0027777777777778</v>
      </c>
      <c r="G1253">
        <f t="shared" ca="1" si="39"/>
        <v>0</v>
      </c>
    </row>
    <row r="1254" spans="1:7">
      <c r="A1254">
        <v>6270</v>
      </c>
      <c r="B1254" t="s">
        <v>11</v>
      </c>
      <c r="C1254" t="s">
        <v>165</v>
      </c>
      <c r="D1254" s="9">
        <v>41253.912152777775</v>
      </c>
      <c r="E1254" t="s">
        <v>27</v>
      </c>
      <c r="F1254">
        <f t="shared" ca="1" si="38"/>
        <v>2.1361111111111111</v>
      </c>
      <c r="G1254">
        <f t="shared" ca="1" si="39"/>
        <v>0</v>
      </c>
    </row>
    <row r="1255" spans="1:7">
      <c r="A1255">
        <v>6271</v>
      </c>
      <c r="B1255" t="s">
        <v>19</v>
      </c>
      <c r="C1255" t="s">
        <v>123</v>
      </c>
      <c r="D1255" s="9">
        <v>41303.579652777778</v>
      </c>
      <c r="E1255" t="s">
        <v>8</v>
      </c>
      <c r="F1255">
        <f t="shared" ca="1" si="38"/>
        <v>2</v>
      </c>
      <c r="G1255">
        <f t="shared" ca="1" si="39"/>
        <v>0</v>
      </c>
    </row>
    <row r="1256" spans="1:7">
      <c r="A1256">
        <v>6279</v>
      </c>
      <c r="B1256" t="s">
        <v>19</v>
      </c>
      <c r="C1256" t="s">
        <v>123</v>
      </c>
      <c r="D1256" s="9">
        <v>41303.671342592592</v>
      </c>
      <c r="E1256" t="s">
        <v>8</v>
      </c>
      <c r="F1256">
        <f t="shared" ca="1" si="38"/>
        <v>2</v>
      </c>
      <c r="G1256">
        <f t="shared" ca="1" si="39"/>
        <v>0</v>
      </c>
    </row>
    <row r="1257" spans="1:7">
      <c r="A1257">
        <v>6291</v>
      </c>
      <c r="B1257" t="s">
        <v>19</v>
      </c>
      <c r="C1257" t="s">
        <v>123</v>
      </c>
      <c r="D1257" s="9">
        <v>41303.700289351851</v>
      </c>
      <c r="E1257" t="s">
        <v>112</v>
      </c>
      <c r="F1257">
        <f t="shared" ca="1" si="38"/>
        <v>2</v>
      </c>
      <c r="G1257">
        <f t="shared" ca="1" si="39"/>
        <v>0</v>
      </c>
    </row>
    <row r="1258" spans="1:7">
      <c r="A1258">
        <v>6311</v>
      </c>
      <c r="B1258" t="s">
        <v>19</v>
      </c>
      <c r="C1258" t="s">
        <v>123</v>
      </c>
      <c r="D1258" s="9">
        <v>41303.700370370374</v>
      </c>
      <c r="E1258" t="s">
        <v>112</v>
      </c>
      <c r="F1258">
        <f t="shared" ca="1" si="38"/>
        <v>2</v>
      </c>
      <c r="G1258">
        <f t="shared" ca="1" si="39"/>
        <v>0</v>
      </c>
    </row>
    <row r="1259" spans="1:7">
      <c r="A1259">
        <v>6314</v>
      </c>
      <c r="B1259" t="s">
        <v>11</v>
      </c>
      <c r="C1259" t="s">
        <v>123</v>
      </c>
      <c r="D1259" s="9">
        <v>41304.438078703701</v>
      </c>
      <c r="E1259" t="s">
        <v>23</v>
      </c>
      <c r="F1259">
        <f t="shared" ca="1" si="38"/>
        <v>1.9972222222222222</v>
      </c>
      <c r="G1259">
        <f t="shared" ca="1" si="39"/>
        <v>0</v>
      </c>
    </row>
    <row r="1260" spans="1:7">
      <c r="A1260">
        <v>6316</v>
      </c>
      <c r="B1260" t="s">
        <v>8</v>
      </c>
      <c r="C1260" t="s">
        <v>123</v>
      </c>
      <c r="D1260" s="9">
        <v>41303.5627662037</v>
      </c>
      <c r="E1260" t="s">
        <v>112</v>
      </c>
      <c r="F1260">
        <f t="shared" ca="1" si="38"/>
        <v>2</v>
      </c>
      <c r="G1260">
        <f t="shared" ca="1" si="39"/>
        <v>0</v>
      </c>
    </row>
    <row r="1261" spans="1:7">
      <c r="A1261">
        <v>6325</v>
      </c>
      <c r="B1261" t="s">
        <v>24</v>
      </c>
      <c r="C1261" t="s">
        <v>123</v>
      </c>
      <c r="D1261" s="9">
        <v>41303.453125</v>
      </c>
      <c r="E1261" t="s">
        <v>44</v>
      </c>
      <c r="F1261">
        <f t="shared" ca="1" si="38"/>
        <v>2</v>
      </c>
      <c r="G1261">
        <f t="shared" ca="1" si="39"/>
        <v>0</v>
      </c>
    </row>
    <row r="1262" spans="1:7">
      <c r="A1262">
        <v>6328</v>
      </c>
      <c r="B1262" t="s">
        <v>8</v>
      </c>
      <c r="C1262" t="s">
        <v>122</v>
      </c>
      <c r="D1262" s="9">
        <v>41334.441006944442</v>
      </c>
      <c r="E1262" t="s">
        <v>19</v>
      </c>
      <c r="F1262">
        <f t="shared" ca="1" si="38"/>
        <v>1.9111111111111112</v>
      </c>
      <c r="G1262">
        <f t="shared" ca="1" si="39"/>
        <v>0</v>
      </c>
    </row>
    <row r="1263" spans="1:7">
      <c r="A1263">
        <v>6334</v>
      </c>
      <c r="B1263" t="s">
        <v>38</v>
      </c>
      <c r="C1263" t="s">
        <v>123</v>
      </c>
      <c r="D1263" s="9">
        <v>41302.769791666666</v>
      </c>
      <c r="E1263" t="s">
        <v>21</v>
      </c>
      <c r="F1263">
        <f t="shared" ca="1" si="38"/>
        <v>2.0027777777777778</v>
      </c>
      <c r="G1263">
        <f t="shared" ca="1" si="39"/>
        <v>0</v>
      </c>
    </row>
    <row r="1264" spans="1:7">
      <c r="A1264">
        <v>6352</v>
      </c>
      <c r="B1264" t="s">
        <v>27</v>
      </c>
      <c r="C1264" t="s">
        <v>123</v>
      </c>
      <c r="D1264" s="9">
        <v>41303.471886574072</v>
      </c>
      <c r="E1264" t="s">
        <v>8</v>
      </c>
      <c r="F1264">
        <f t="shared" ca="1" si="38"/>
        <v>2</v>
      </c>
      <c r="G1264">
        <f t="shared" ca="1" si="39"/>
        <v>0</v>
      </c>
    </row>
    <row r="1265" spans="1:7">
      <c r="A1265">
        <v>6364</v>
      </c>
      <c r="B1265" t="s">
        <v>19</v>
      </c>
      <c r="C1265" t="s">
        <v>123</v>
      </c>
      <c r="D1265" s="9">
        <v>41302.623460648145</v>
      </c>
      <c r="E1265" t="s">
        <v>27</v>
      </c>
      <c r="F1265">
        <f t="shared" ca="1" si="38"/>
        <v>2.0027777777777778</v>
      </c>
      <c r="G1265">
        <f t="shared" ca="1" si="39"/>
        <v>0</v>
      </c>
    </row>
    <row r="1266" spans="1:7">
      <c r="A1266">
        <v>6371</v>
      </c>
      <c r="B1266" t="s">
        <v>11</v>
      </c>
      <c r="C1266" t="s">
        <v>122</v>
      </c>
      <c r="D1266" s="9">
        <v>41410.94462962963</v>
      </c>
      <c r="E1266" t="s">
        <v>32</v>
      </c>
      <c r="F1266">
        <f t="shared" ca="1" si="38"/>
        <v>1.7027777777777777</v>
      </c>
      <c r="G1266">
        <f t="shared" ca="1" si="39"/>
        <v>0</v>
      </c>
    </row>
    <row r="1267" spans="1:7">
      <c r="A1267">
        <v>6380</v>
      </c>
      <c r="B1267" t="s">
        <v>8</v>
      </c>
      <c r="C1267" t="s">
        <v>123</v>
      </c>
      <c r="D1267" s="9">
        <v>41303.566053240742</v>
      </c>
      <c r="E1267" t="s">
        <v>112</v>
      </c>
      <c r="F1267">
        <f t="shared" ca="1" si="38"/>
        <v>2</v>
      </c>
      <c r="G1267">
        <f t="shared" ca="1" si="39"/>
        <v>0</v>
      </c>
    </row>
    <row r="1268" spans="1:7">
      <c r="A1268">
        <v>6386</v>
      </c>
      <c r="B1268" t="s">
        <v>8</v>
      </c>
      <c r="C1268" t="s">
        <v>123</v>
      </c>
      <c r="D1268" s="9">
        <v>41303.560185185182</v>
      </c>
      <c r="E1268" t="s">
        <v>112</v>
      </c>
      <c r="F1268">
        <f t="shared" ca="1" si="38"/>
        <v>2</v>
      </c>
      <c r="G1268">
        <f t="shared" ca="1" si="39"/>
        <v>0</v>
      </c>
    </row>
    <row r="1269" spans="1:7">
      <c r="A1269">
        <v>6393</v>
      </c>
      <c r="B1269" t="s">
        <v>19</v>
      </c>
      <c r="C1269" t="s">
        <v>123</v>
      </c>
      <c r="D1269" s="9">
        <v>41302.668263888889</v>
      </c>
      <c r="E1269" t="s">
        <v>27</v>
      </c>
      <c r="F1269">
        <f t="shared" ca="1" si="38"/>
        <v>2.0027777777777778</v>
      </c>
      <c r="G1269">
        <f t="shared" ca="1" si="39"/>
        <v>0</v>
      </c>
    </row>
    <row r="1270" spans="1:7">
      <c r="A1270">
        <v>6394</v>
      </c>
      <c r="B1270" t="s">
        <v>34</v>
      </c>
      <c r="C1270" t="s">
        <v>123</v>
      </c>
      <c r="D1270" s="9">
        <v>41304.707291666666</v>
      </c>
      <c r="E1270" t="s">
        <v>43</v>
      </c>
      <c r="F1270">
        <f t="shared" ca="1" si="38"/>
        <v>1.9972222222222222</v>
      </c>
      <c r="G1270">
        <f t="shared" ca="1" si="39"/>
        <v>0</v>
      </c>
    </row>
    <row r="1271" spans="1:7">
      <c r="A1271">
        <v>6419</v>
      </c>
      <c r="B1271" t="s">
        <v>8</v>
      </c>
      <c r="C1271" t="s">
        <v>121</v>
      </c>
      <c r="D1271" s="9">
        <v>41424.707442129627</v>
      </c>
      <c r="E1271" t="s">
        <v>20</v>
      </c>
      <c r="F1271">
        <f t="shared" ca="1" si="38"/>
        <v>1.663888888888889</v>
      </c>
      <c r="G1271">
        <f t="shared" ca="1" si="39"/>
        <v>0</v>
      </c>
    </row>
    <row r="1272" spans="1:7">
      <c r="A1272">
        <v>6421</v>
      </c>
      <c r="B1272" t="s">
        <v>11</v>
      </c>
      <c r="C1272" t="s">
        <v>123</v>
      </c>
      <c r="D1272" s="9">
        <v>41303.887754629628</v>
      </c>
      <c r="E1272" t="s">
        <v>20</v>
      </c>
      <c r="F1272">
        <f t="shared" ca="1" si="38"/>
        <v>2</v>
      </c>
      <c r="G1272">
        <f t="shared" ca="1" si="39"/>
        <v>0</v>
      </c>
    </row>
    <row r="1273" spans="1:7">
      <c r="A1273">
        <v>6425</v>
      </c>
      <c r="B1273" t="s">
        <v>8</v>
      </c>
      <c r="C1273" t="s">
        <v>123</v>
      </c>
      <c r="D1273" s="9">
        <v>41305.425173611111</v>
      </c>
      <c r="E1273" t="s">
        <v>51</v>
      </c>
      <c r="F1273">
        <f t="shared" ca="1" si="38"/>
        <v>1.9972222222222222</v>
      </c>
      <c r="G1273">
        <f t="shared" ca="1" si="39"/>
        <v>0</v>
      </c>
    </row>
    <row r="1274" spans="1:7">
      <c r="A1274">
        <v>6427</v>
      </c>
      <c r="B1274" t="s">
        <v>8</v>
      </c>
      <c r="C1274" t="s">
        <v>123</v>
      </c>
      <c r="D1274" s="9">
        <v>41305.447280092594</v>
      </c>
      <c r="E1274" t="s">
        <v>51</v>
      </c>
      <c r="F1274">
        <f t="shared" ca="1" si="38"/>
        <v>1.9972222222222222</v>
      </c>
      <c r="G1274">
        <f t="shared" ca="1" si="39"/>
        <v>0</v>
      </c>
    </row>
    <row r="1275" spans="1:7">
      <c r="A1275">
        <v>6442</v>
      </c>
      <c r="B1275" t="s">
        <v>8</v>
      </c>
      <c r="C1275" t="s">
        <v>123</v>
      </c>
      <c r="D1275" s="9">
        <v>41309.464143518519</v>
      </c>
      <c r="E1275" t="s">
        <v>19</v>
      </c>
      <c r="F1275">
        <f t="shared" ca="1" si="38"/>
        <v>1.9861111111111112</v>
      </c>
      <c r="G1275">
        <f t="shared" ca="1" si="39"/>
        <v>0</v>
      </c>
    </row>
    <row r="1276" spans="1:7">
      <c r="A1276">
        <v>6444</v>
      </c>
      <c r="B1276" t="s">
        <v>24</v>
      </c>
      <c r="C1276" t="s">
        <v>120</v>
      </c>
      <c r="D1276" s="9">
        <v>41537.674583333333</v>
      </c>
      <c r="E1276" t="s">
        <v>30</v>
      </c>
      <c r="F1276">
        <f t="shared" ca="1" si="38"/>
        <v>1.3583333333333334</v>
      </c>
      <c r="G1276">
        <f t="shared" ca="1" si="39"/>
        <v>0</v>
      </c>
    </row>
    <row r="1277" spans="1:7">
      <c r="A1277">
        <v>6451</v>
      </c>
      <c r="B1277" t="s">
        <v>34</v>
      </c>
      <c r="C1277" t="s">
        <v>123</v>
      </c>
      <c r="D1277" s="9">
        <v>41309.464143518519</v>
      </c>
      <c r="E1277" t="s">
        <v>23</v>
      </c>
      <c r="F1277">
        <f t="shared" ca="1" si="38"/>
        <v>1.9861111111111112</v>
      </c>
      <c r="G1277">
        <f t="shared" ca="1" si="39"/>
        <v>0</v>
      </c>
    </row>
    <row r="1278" spans="1:7">
      <c r="A1278">
        <v>6457</v>
      </c>
      <c r="B1278" t="s">
        <v>17</v>
      </c>
      <c r="C1278" t="s">
        <v>120</v>
      </c>
      <c r="D1278" s="9">
        <v>41575.478460648148</v>
      </c>
      <c r="E1278" t="s">
        <v>14</v>
      </c>
      <c r="F1278">
        <f t="shared" ca="1" si="38"/>
        <v>1.2527777777777778</v>
      </c>
      <c r="G1278">
        <f t="shared" ca="1" si="39"/>
        <v>0</v>
      </c>
    </row>
    <row r="1279" spans="1:7">
      <c r="A1279">
        <v>6462</v>
      </c>
      <c r="B1279" t="s">
        <v>21</v>
      </c>
      <c r="C1279" t="s">
        <v>122</v>
      </c>
      <c r="D1279" s="9">
        <v>41410.944594907407</v>
      </c>
      <c r="E1279" t="s">
        <v>11</v>
      </c>
      <c r="F1279">
        <f t="shared" ca="1" si="38"/>
        <v>1.7027777777777777</v>
      </c>
      <c r="G1279">
        <f t="shared" ca="1" si="39"/>
        <v>0</v>
      </c>
    </row>
    <row r="1280" spans="1:7">
      <c r="A1280">
        <v>6471</v>
      </c>
      <c r="B1280" t="s">
        <v>8</v>
      </c>
      <c r="C1280" t="s">
        <v>121</v>
      </c>
      <c r="D1280" s="9">
        <v>41464.823229166665</v>
      </c>
      <c r="E1280" t="s">
        <v>11</v>
      </c>
      <c r="F1280">
        <f t="shared" ca="1" si="38"/>
        <v>1.5555555555555556</v>
      </c>
      <c r="G1280">
        <f t="shared" ca="1" si="39"/>
        <v>0</v>
      </c>
    </row>
    <row r="1281" spans="1:7">
      <c r="A1281">
        <v>6472</v>
      </c>
      <c r="B1281" t="s">
        <v>30</v>
      </c>
      <c r="C1281" t="s">
        <v>120</v>
      </c>
      <c r="D1281" s="9">
        <v>41551.591678240744</v>
      </c>
      <c r="E1281" t="s">
        <v>8</v>
      </c>
      <c r="F1281">
        <f t="shared" ca="1" si="38"/>
        <v>1.3194444444444444</v>
      </c>
      <c r="G1281">
        <f t="shared" ca="1" si="39"/>
        <v>0</v>
      </c>
    </row>
    <row r="1282" spans="1:7">
      <c r="A1282">
        <v>6473</v>
      </c>
      <c r="B1282" t="s">
        <v>18</v>
      </c>
      <c r="C1282" t="s">
        <v>119</v>
      </c>
      <c r="D1282" s="9">
        <v>41666.562465277777</v>
      </c>
      <c r="E1282" t="s">
        <v>34</v>
      </c>
      <c r="F1282">
        <f t="shared" ca="1" si="38"/>
        <v>1.0055555555555555</v>
      </c>
      <c r="G1282">
        <f t="shared" ca="1" si="39"/>
        <v>0</v>
      </c>
    </row>
    <row r="1283" spans="1:7">
      <c r="A1283">
        <v>6476</v>
      </c>
      <c r="B1283" t="s">
        <v>49</v>
      </c>
      <c r="C1283" t="s">
        <v>123</v>
      </c>
      <c r="D1283" s="9">
        <v>41309.464155092595</v>
      </c>
      <c r="E1283" t="s">
        <v>19</v>
      </c>
      <c r="F1283">
        <f t="shared" ref="F1283:F1346" ca="1" si="40">YEARFRAC(TODAY(),$D1283)</f>
        <v>1.9861111111111112</v>
      </c>
      <c r="G1283">
        <f t="shared" ref="G1283:G1346" ca="1" si="41">IF($F1283&lt;1,1,0)</f>
        <v>0</v>
      </c>
    </row>
    <row r="1284" spans="1:7">
      <c r="A1284">
        <v>6497</v>
      </c>
      <c r="B1284" t="s">
        <v>8</v>
      </c>
      <c r="C1284" t="s">
        <v>123</v>
      </c>
      <c r="D1284" s="9">
        <v>41309.464178240742</v>
      </c>
      <c r="E1284" t="s">
        <v>38</v>
      </c>
      <c r="F1284">
        <f t="shared" ca="1" si="40"/>
        <v>1.9861111111111112</v>
      </c>
      <c r="G1284">
        <f t="shared" ca="1" si="41"/>
        <v>0</v>
      </c>
    </row>
    <row r="1285" spans="1:7">
      <c r="A1285">
        <v>6503</v>
      </c>
      <c r="B1285" t="s">
        <v>8</v>
      </c>
      <c r="C1285" t="s">
        <v>123</v>
      </c>
      <c r="D1285" s="9">
        <v>41309.464189814818</v>
      </c>
      <c r="E1285" t="s">
        <v>23</v>
      </c>
      <c r="F1285">
        <f t="shared" ca="1" si="40"/>
        <v>1.9861111111111112</v>
      </c>
      <c r="G1285">
        <f t="shared" ca="1" si="41"/>
        <v>0</v>
      </c>
    </row>
    <row r="1286" spans="1:7">
      <c r="A1286">
        <v>6516</v>
      </c>
      <c r="B1286" t="s">
        <v>111</v>
      </c>
      <c r="C1286" t="s">
        <v>121</v>
      </c>
      <c r="D1286" s="9">
        <v>41480.423958333333</v>
      </c>
      <c r="E1286" t="s">
        <v>30</v>
      </c>
      <c r="F1286">
        <f t="shared" ca="1" si="40"/>
        <v>1.5111111111111111</v>
      </c>
      <c r="G1286">
        <f t="shared" ca="1" si="41"/>
        <v>0</v>
      </c>
    </row>
    <row r="1287" spans="1:7">
      <c r="A1287">
        <v>6529</v>
      </c>
      <c r="B1287" t="s">
        <v>24</v>
      </c>
      <c r="C1287" t="s">
        <v>122</v>
      </c>
      <c r="D1287" s="9">
        <v>41334.443171296298</v>
      </c>
      <c r="E1287" t="s">
        <v>44</v>
      </c>
      <c r="F1287">
        <f t="shared" ca="1" si="40"/>
        <v>1.9111111111111112</v>
      </c>
      <c r="G1287">
        <f t="shared" ca="1" si="41"/>
        <v>0</v>
      </c>
    </row>
    <row r="1288" spans="1:7">
      <c r="A1288">
        <v>6533</v>
      </c>
      <c r="B1288" t="s">
        <v>34</v>
      </c>
      <c r="C1288" t="s">
        <v>122</v>
      </c>
      <c r="D1288" s="9">
        <v>41383.670138888891</v>
      </c>
      <c r="E1288" t="s">
        <v>8</v>
      </c>
      <c r="F1288">
        <f t="shared" ca="1" si="40"/>
        <v>1.7777777777777777</v>
      </c>
      <c r="G1288">
        <f t="shared" ca="1" si="41"/>
        <v>0</v>
      </c>
    </row>
    <row r="1289" spans="1:7">
      <c r="A1289">
        <v>6538</v>
      </c>
      <c r="B1289" t="s">
        <v>24</v>
      </c>
      <c r="C1289" t="s">
        <v>122</v>
      </c>
      <c r="D1289" s="9">
        <v>41334.407256944447</v>
      </c>
      <c r="E1289" t="s">
        <v>44</v>
      </c>
      <c r="F1289">
        <f t="shared" ca="1" si="40"/>
        <v>1.9111111111111112</v>
      </c>
      <c r="G1289">
        <f t="shared" ca="1" si="41"/>
        <v>0</v>
      </c>
    </row>
    <row r="1290" spans="1:7">
      <c r="A1290">
        <v>6545</v>
      </c>
      <c r="B1290" t="s">
        <v>20</v>
      </c>
      <c r="C1290" t="s">
        <v>122</v>
      </c>
      <c r="D1290" s="9">
        <v>41334.577037037037</v>
      </c>
      <c r="E1290" t="s">
        <v>32</v>
      </c>
      <c r="F1290">
        <f t="shared" ca="1" si="40"/>
        <v>1.9111111111111112</v>
      </c>
      <c r="G1290">
        <f t="shared" ca="1" si="41"/>
        <v>0</v>
      </c>
    </row>
    <row r="1291" spans="1:7">
      <c r="A1291">
        <v>6558</v>
      </c>
      <c r="B1291" t="s">
        <v>24</v>
      </c>
      <c r="C1291" t="s">
        <v>122</v>
      </c>
      <c r="D1291" s="9">
        <v>41334.419548611113</v>
      </c>
      <c r="E1291" t="s">
        <v>44</v>
      </c>
      <c r="F1291">
        <f t="shared" ca="1" si="40"/>
        <v>1.9111111111111112</v>
      </c>
      <c r="G1291">
        <f t="shared" ca="1" si="41"/>
        <v>0</v>
      </c>
    </row>
    <row r="1292" spans="1:7">
      <c r="A1292">
        <v>6563</v>
      </c>
      <c r="B1292" t="s">
        <v>11</v>
      </c>
      <c r="C1292" t="s">
        <v>118</v>
      </c>
      <c r="D1292" s="9">
        <v>41732.626087962963</v>
      </c>
      <c r="E1292" t="s">
        <v>19</v>
      </c>
      <c r="F1292">
        <f t="shared" ca="1" si="40"/>
        <v>0.82222222222222219</v>
      </c>
      <c r="G1292">
        <f t="shared" ca="1" si="41"/>
        <v>1</v>
      </c>
    </row>
    <row r="1293" spans="1:7">
      <c r="A1293">
        <v>6581</v>
      </c>
      <c r="B1293" t="s">
        <v>21</v>
      </c>
      <c r="C1293" t="s">
        <v>122</v>
      </c>
      <c r="D1293" s="9">
        <v>41355.836701388886</v>
      </c>
      <c r="E1293" t="s">
        <v>11</v>
      </c>
      <c r="F1293">
        <f t="shared" ca="1" si="40"/>
        <v>1.8527777777777779</v>
      </c>
      <c r="G1293">
        <f t="shared" ca="1" si="41"/>
        <v>0</v>
      </c>
    </row>
    <row r="1294" spans="1:7">
      <c r="A1294">
        <v>6583</v>
      </c>
      <c r="B1294" t="s">
        <v>19</v>
      </c>
      <c r="C1294" t="s">
        <v>122</v>
      </c>
      <c r="D1294" s="9">
        <v>41341.715509259258</v>
      </c>
      <c r="E1294" t="s">
        <v>11</v>
      </c>
      <c r="F1294">
        <f t="shared" ca="1" si="40"/>
        <v>1.8916666666666666</v>
      </c>
      <c r="G1294">
        <f t="shared" ca="1" si="41"/>
        <v>0</v>
      </c>
    </row>
    <row r="1295" spans="1:7">
      <c r="A1295">
        <v>6606</v>
      </c>
      <c r="B1295" t="s">
        <v>11</v>
      </c>
      <c r="C1295" t="s">
        <v>122</v>
      </c>
      <c r="D1295" s="9">
        <v>41334.423113425924</v>
      </c>
      <c r="E1295" t="s">
        <v>19</v>
      </c>
      <c r="F1295">
        <f t="shared" ca="1" si="40"/>
        <v>1.9111111111111112</v>
      </c>
      <c r="G1295">
        <f t="shared" ca="1" si="41"/>
        <v>0</v>
      </c>
    </row>
    <row r="1296" spans="1:7">
      <c r="A1296">
        <v>6614</v>
      </c>
      <c r="B1296" t="s">
        <v>8</v>
      </c>
      <c r="C1296" t="s">
        <v>121</v>
      </c>
      <c r="D1296" s="9">
        <v>41480.424328703702</v>
      </c>
      <c r="E1296" t="s">
        <v>23</v>
      </c>
      <c r="F1296">
        <f t="shared" ca="1" si="40"/>
        <v>1.5111111111111111</v>
      </c>
      <c r="G1296">
        <f t="shared" ca="1" si="41"/>
        <v>0</v>
      </c>
    </row>
    <row r="1297" spans="1:7">
      <c r="A1297">
        <v>6615</v>
      </c>
      <c r="B1297" t="s">
        <v>8</v>
      </c>
      <c r="C1297" t="s">
        <v>122</v>
      </c>
      <c r="D1297" s="9">
        <v>41334.423495370371</v>
      </c>
      <c r="E1297" t="s">
        <v>112</v>
      </c>
      <c r="F1297">
        <f t="shared" ca="1" si="40"/>
        <v>1.9111111111111112</v>
      </c>
      <c r="G1297">
        <f t="shared" ca="1" si="41"/>
        <v>0</v>
      </c>
    </row>
    <row r="1298" spans="1:7">
      <c r="A1298">
        <v>6624</v>
      </c>
      <c r="B1298" t="s">
        <v>34</v>
      </c>
      <c r="C1298" t="s">
        <v>122</v>
      </c>
      <c r="D1298" s="9">
        <v>41383.670219907406</v>
      </c>
      <c r="E1298" t="s">
        <v>21</v>
      </c>
      <c r="F1298">
        <f t="shared" ca="1" si="40"/>
        <v>1.7777777777777777</v>
      </c>
      <c r="G1298">
        <f t="shared" ca="1" si="41"/>
        <v>0</v>
      </c>
    </row>
    <row r="1299" spans="1:7">
      <c r="A1299">
        <v>6627</v>
      </c>
      <c r="B1299" t="s">
        <v>34</v>
      </c>
      <c r="C1299" t="s">
        <v>122</v>
      </c>
      <c r="D1299" s="9">
        <v>41410.944016203706</v>
      </c>
      <c r="E1299" t="s">
        <v>30</v>
      </c>
      <c r="F1299">
        <f t="shared" ca="1" si="40"/>
        <v>1.7027777777777777</v>
      </c>
      <c r="G1299">
        <f t="shared" ca="1" si="41"/>
        <v>0</v>
      </c>
    </row>
    <row r="1300" spans="1:7">
      <c r="A1300">
        <v>6636</v>
      </c>
      <c r="B1300" t="s">
        <v>19</v>
      </c>
      <c r="C1300" t="s">
        <v>122</v>
      </c>
      <c r="D1300" s="9">
        <v>41334.480358796296</v>
      </c>
      <c r="E1300" t="s">
        <v>112</v>
      </c>
      <c r="F1300">
        <f t="shared" ca="1" si="40"/>
        <v>1.9111111111111112</v>
      </c>
      <c r="G1300">
        <f t="shared" ca="1" si="41"/>
        <v>0</v>
      </c>
    </row>
    <row r="1301" spans="1:7">
      <c r="A1301">
        <v>6642</v>
      </c>
      <c r="B1301" t="s">
        <v>8</v>
      </c>
      <c r="C1301" t="s">
        <v>122</v>
      </c>
      <c r="D1301" s="9">
        <v>41334.455706018518</v>
      </c>
      <c r="E1301" t="s">
        <v>19</v>
      </c>
      <c r="F1301">
        <f t="shared" ca="1" si="40"/>
        <v>1.9111111111111112</v>
      </c>
      <c r="G1301">
        <f t="shared" ca="1" si="41"/>
        <v>0</v>
      </c>
    </row>
    <row r="1302" spans="1:7">
      <c r="A1302">
        <v>6643</v>
      </c>
      <c r="B1302" t="s">
        <v>24</v>
      </c>
      <c r="C1302" t="s">
        <v>121</v>
      </c>
      <c r="D1302" s="9">
        <v>41480.424525462964</v>
      </c>
      <c r="E1302" t="s">
        <v>44</v>
      </c>
      <c r="F1302">
        <f t="shared" ca="1" si="40"/>
        <v>1.5111111111111111</v>
      </c>
      <c r="G1302">
        <f t="shared" ca="1" si="41"/>
        <v>0</v>
      </c>
    </row>
    <row r="1303" spans="1:7">
      <c r="A1303">
        <v>6650</v>
      </c>
      <c r="B1303" t="s">
        <v>21</v>
      </c>
      <c r="C1303" t="s">
        <v>122</v>
      </c>
      <c r="D1303" s="9">
        <v>41410.94326388889</v>
      </c>
      <c r="E1303" t="s">
        <v>20</v>
      </c>
      <c r="F1303">
        <f t="shared" ca="1" si="40"/>
        <v>1.7027777777777777</v>
      </c>
      <c r="G1303">
        <f t="shared" ca="1" si="41"/>
        <v>0</v>
      </c>
    </row>
    <row r="1304" spans="1:7">
      <c r="A1304">
        <v>6671</v>
      </c>
      <c r="B1304" t="s">
        <v>21</v>
      </c>
      <c r="C1304" t="s">
        <v>122</v>
      </c>
      <c r="D1304" s="9">
        <v>41383.670127314814</v>
      </c>
      <c r="E1304" t="s">
        <v>11</v>
      </c>
      <c r="F1304">
        <f t="shared" ca="1" si="40"/>
        <v>1.7777777777777777</v>
      </c>
      <c r="G1304">
        <f t="shared" ca="1" si="41"/>
        <v>0</v>
      </c>
    </row>
    <row r="1305" spans="1:7">
      <c r="A1305">
        <v>6676</v>
      </c>
      <c r="B1305" t="s">
        <v>21</v>
      </c>
      <c r="C1305" t="s">
        <v>122</v>
      </c>
      <c r="D1305" s="9">
        <v>41382.643240740741</v>
      </c>
      <c r="E1305" t="s">
        <v>11</v>
      </c>
      <c r="F1305">
        <f t="shared" ca="1" si="40"/>
        <v>1.7805555555555554</v>
      </c>
      <c r="G1305">
        <f t="shared" ca="1" si="41"/>
        <v>0</v>
      </c>
    </row>
    <row r="1306" spans="1:7">
      <c r="A1306">
        <v>6678</v>
      </c>
      <c r="B1306" t="s">
        <v>34</v>
      </c>
      <c r="C1306" t="s">
        <v>122</v>
      </c>
      <c r="D1306" s="9">
        <v>41410.943101851852</v>
      </c>
      <c r="E1306" t="s">
        <v>8</v>
      </c>
      <c r="F1306">
        <f t="shared" ca="1" si="40"/>
        <v>1.7027777777777777</v>
      </c>
      <c r="G1306">
        <f t="shared" ca="1" si="41"/>
        <v>0</v>
      </c>
    </row>
    <row r="1307" spans="1:7">
      <c r="A1307">
        <v>6685</v>
      </c>
      <c r="B1307" t="s">
        <v>19</v>
      </c>
      <c r="C1307" t="s">
        <v>122</v>
      </c>
      <c r="D1307" s="9">
        <v>41383.670277777775</v>
      </c>
      <c r="E1307" t="s">
        <v>24</v>
      </c>
      <c r="F1307">
        <f t="shared" ca="1" si="40"/>
        <v>1.7777777777777777</v>
      </c>
      <c r="G1307">
        <f t="shared" ca="1" si="41"/>
        <v>0</v>
      </c>
    </row>
    <row r="1308" spans="1:7">
      <c r="A1308">
        <v>6691</v>
      </c>
      <c r="B1308" t="s">
        <v>18</v>
      </c>
      <c r="C1308" t="s">
        <v>120</v>
      </c>
      <c r="D1308" s="9">
        <v>41556.633900462963</v>
      </c>
      <c r="E1308" t="s">
        <v>30</v>
      </c>
      <c r="F1308">
        <f t="shared" ca="1" si="40"/>
        <v>1.3055555555555556</v>
      </c>
      <c r="G1308">
        <f t="shared" ca="1" si="41"/>
        <v>0</v>
      </c>
    </row>
    <row r="1309" spans="1:7">
      <c r="A1309">
        <v>6692</v>
      </c>
      <c r="B1309" t="s">
        <v>18</v>
      </c>
      <c r="C1309" t="s">
        <v>120</v>
      </c>
      <c r="D1309" s="9">
        <v>41533.920347222222</v>
      </c>
      <c r="E1309" t="s">
        <v>44</v>
      </c>
      <c r="F1309">
        <f t="shared" ca="1" si="40"/>
        <v>1.3694444444444445</v>
      </c>
      <c r="G1309">
        <f t="shared" ca="1" si="41"/>
        <v>0</v>
      </c>
    </row>
    <row r="1310" spans="1:7">
      <c r="A1310">
        <v>6696</v>
      </c>
      <c r="B1310" t="s">
        <v>18</v>
      </c>
      <c r="C1310" t="s">
        <v>120</v>
      </c>
      <c r="D1310" s="9">
        <v>41536.547372685185</v>
      </c>
      <c r="E1310" t="s">
        <v>44</v>
      </c>
      <c r="F1310">
        <f t="shared" ca="1" si="40"/>
        <v>1.3611111111111112</v>
      </c>
      <c r="G1310">
        <f t="shared" ca="1" si="41"/>
        <v>0</v>
      </c>
    </row>
    <row r="1311" spans="1:7">
      <c r="A1311">
        <v>6702</v>
      </c>
      <c r="B1311" t="s">
        <v>19</v>
      </c>
      <c r="C1311" t="s">
        <v>122</v>
      </c>
      <c r="D1311" s="9">
        <v>41369.533321759256</v>
      </c>
      <c r="E1311" t="s">
        <v>112</v>
      </c>
      <c r="F1311">
        <f t="shared" ca="1" si="40"/>
        <v>1.8166666666666667</v>
      </c>
      <c r="G1311">
        <f t="shared" ca="1" si="41"/>
        <v>0</v>
      </c>
    </row>
    <row r="1312" spans="1:7">
      <c r="A1312">
        <v>6714</v>
      </c>
      <c r="B1312" t="s">
        <v>44</v>
      </c>
      <c r="C1312" t="s">
        <v>121</v>
      </c>
      <c r="D1312" s="9">
        <v>41480.426990740743</v>
      </c>
      <c r="E1312" t="s">
        <v>24</v>
      </c>
      <c r="F1312">
        <f t="shared" ca="1" si="40"/>
        <v>1.5111111111111111</v>
      </c>
      <c r="G1312">
        <f t="shared" ca="1" si="41"/>
        <v>0</v>
      </c>
    </row>
    <row r="1313" spans="1:7">
      <c r="A1313">
        <v>6729</v>
      </c>
      <c r="B1313" t="s">
        <v>24</v>
      </c>
      <c r="C1313" t="s">
        <v>122</v>
      </c>
      <c r="D1313" s="9">
        <v>41383.670173611114</v>
      </c>
      <c r="E1313" t="s">
        <v>34</v>
      </c>
      <c r="F1313">
        <f t="shared" ca="1" si="40"/>
        <v>1.7777777777777777</v>
      </c>
      <c r="G1313">
        <f t="shared" ca="1" si="41"/>
        <v>0</v>
      </c>
    </row>
    <row r="1314" spans="1:7">
      <c r="A1314">
        <v>6740</v>
      </c>
      <c r="B1314" t="s">
        <v>24</v>
      </c>
      <c r="C1314" t="s">
        <v>122</v>
      </c>
      <c r="D1314" s="9">
        <v>41383.670254629629</v>
      </c>
      <c r="E1314" t="s">
        <v>112</v>
      </c>
      <c r="F1314">
        <f t="shared" ca="1" si="40"/>
        <v>1.7777777777777777</v>
      </c>
      <c r="G1314">
        <f t="shared" ca="1" si="41"/>
        <v>0</v>
      </c>
    </row>
    <row r="1315" spans="1:7">
      <c r="A1315">
        <v>6751</v>
      </c>
      <c r="B1315" t="s">
        <v>112</v>
      </c>
      <c r="C1315" t="s">
        <v>122</v>
      </c>
      <c r="D1315" s="9">
        <v>41383.670277777775</v>
      </c>
      <c r="E1315" t="s">
        <v>19</v>
      </c>
      <c r="F1315">
        <f t="shared" ca="1" si="40"/>
        <v>1.7777777777777777</v>
      </c>
      <c r="G1315">
        <f t="shared" ca="1" si="41"/>
        <v>0</v>
      </c>
    </row>
    <row r="1316" spans="1:7">
      <c r="A1316">
        <v>6753</v>
      </c>
      <c r="B1316" t="s">
        <v>19</v>
      </c>
      <c r="C1316" t="s">
        <v>122</v>
      </c>
      <c r="D1316" s="9">
        <v>41383.670486111114</v>
      </c>
      <c r="E1316" t="s">
        <v>36</v>
      </c>
      <c r="F1316">
        <f t="shared" ca="1" si="40"/>
        <v>1.7777777777777777</v>
      </c>
      <c r="G1316">
        <f t="shared" ca="1" si="41"/>
        <v>0</v>
      </c>
    </row>
    <row r="1317" spans="1:7">
      <c r="A1317">
        <v>6754</v>
      </c>
      <c r="B1317" t="s">
        <v>34</v>
      </c>
      <c r="C1317" t="s">
        <v>122</v>
      </c>
      <c r="D1317" s="9">
        <v>41416.49</v>
      </c>
      <c r="E1317" t="s">
        <v>112</v>
      </c>
      <c r="F1317">
        <f t="shared" ca="1" si="40"/>
        <v>1.6861111111111111</v>
      </c>
      <c r="G1317">
        <f t="shared" ca="1" si="41"/>
        <v>0</v>
      </c>
    </row>
    <row r="1318" spans="1:7">
      <c r="A1318">
        <v>6756</v>
      </c>
      <c r="B1318" t="s">
        <v>34</v>
      </c>
      <c r="C1318" t="s">
        <v>121</v>
      </c>
      <c r="D1318" s="9">
        <v>41411.559756944444</v>
      </c>
      <c r="E1318" t="s">
        <v>19</v>
      </c>
      <c r="F1318">
        <f t="shared" ca="1" si="40"/>
        <v>1.7</v>
      </c>
      <c r="G1318">
        <f t="shared" ca="1" si="41"/>
        <v>0</v>
      </c>
    </row>
    <row r="1319" spans="1:7">
      <c r="A1319">
        <v>6761</v>
      </c>
      <c r="B1319" t="s">
        <v>34</v>
      </c>
      <c r="C1319" t="s">
        <v>122</v>
      </c>
      <c r="D1319" s="9">
        <v>41383.692754629628</v>
      </c>
      <c r="E1319" t="s">
        <v>19</v>
      </c>
      <c r="F1319">
        <f t="shared" ca="1" si="40"/>
        <v>1.7777777777777777</v>
      </c>
      <c r="G1319">
        <f t="shared" ca="1" si="41"/>
        <v>0</v>
      </c>
    </row>
    <row r="1320" spans="1:7">
      <c r="A1320">
        <v>6767</v>
      </c>
      <c r="B1320" t="s">
        <v>19</v>
      </c>
      <c r="C1320" t="s">
        <v>122</v>
      </c>
      <c r="D1320" s="9">
        <v>41410.943020833336</v>
      </c>
      <c r="E1320" t="s">
        <v>24</v>
      </c>
      <c r="F1320">
        <f t="shared" ca="1" si="40"/>
        <v>1.7027777777777777</v>
      </c>
      <c r="G1320">
        <f t="shared" ca="1" si="41"/>
        <v>0</v>
      </c>
    </row>
    <row r="1321" spans="1:7">
      <c r="A1321">
        <v>6773</v>
      </c>
      <c r="B1321" t="s">
        <v>8</v>
      </c>
      <c r="C1321" t="s">
        <v>122</v>
      </c>
      <c r="D1321" s="9">
        <v>41383.670451388891</v>
      </c>
      <c r="E1321" t="s">
        <v>36</v>
      </c>
      <c r="F1321">
        <f t="shared" ca="1" si="40"/>
        <v>1.7777777777777777</v>
      </c>
      <c r="G1321">
        <f t="shared" ca="1" si="41"/>
        <v>0</v>
      </c>
    </row>
    <row r="1322" spans="1:7">
      <c r="A1322">
        <v>6779</v>
      </c>
      <c r="B1322" t="s">
        <v>8</v>
      </c>
      <c r="C1322" t="s">
        <v>122</v>
      </c>
      <c r="D1322" s="9">
        <v>41383.67046296296</v>
      </c>
      <c r="E1322" t="s">
        <v>44</v>
      </c>
      <c r="F1322">
        <f t="shared" ca="1" si="40"/>
        <v>1.7777777777777777</v>
      </c>
      <c r="G1322">
        <f t="shared" ca="1" si="41"/>
        <v>0</v>
      </c>
    </row>
    <row r="1323" spans="1:7">
      <c r="A1323">
        <v>6783</v>
      </c>
      <c r="B1323" t="s">
        <v>8</v>
      </c>
      <c r="C1323" t="s">
        <v>122</v>
      </c>
      <c r="D1323" s="9">
        <v>41383.670497685183</v>
      </c>
      <c r="E1323" t="s">
        <v>21</v>
      </c>
      <c r="F1323">
        <f t="shared" ca="1" si="40"/>
        <v>1.7777777777777777</v>
      </c>
      <c r="G1323">
        <f t="shared" ca="1" si="41"/>
        <v>0</v>
      </c>
    </row>
    <row r="1324" spans="1:7">
      <c r="A1324">
        <v>6784</v>
      </c>
      <c r="B1324" t="s">
        <v>19</v>
      </c>
      <c r="C1324" t="s">
        <v>122</v>
      </c>
      <c r="D1324" s="9">
        <v>41383.670497685183</v>
      </c>
      <c r="E1324" t="s">
        <v>24</v>
      </c>
      <c r="F1324">
        <f t="shared" ca="1" si="40"/>
        <v>1.7777777777777777</v>
      </c>
      <c r="G1324">
        <f t="shared" ca="1" si="41"/>
        <v>0</v>
      </c>
    </row>
    <row r="1325" spans="1:7">
      <c r="A1325">
        <v>6793</v>
      </c>
      <c r="B1325" t="s">
        <v>36</v>
      </c>
      <c r="C1325" t="s">
        <v>122</v>
      </c>
      <c r="D1325" s="9">
        <v>41410.943043981482</v>
      </c>
      <c r="E1325" t="s">
        <v>20</v>
      </c>
      <c r="F1325">
        <f t="shared" ca="1" si="40"/>
        <v>1.7027777777777777</v>
      </c>
      <c r="G1325">
        <f t="shared" ca="1" si="41"/>
        <v>0</v>
      </c>
    </row>
    <row r="1326" spans="1:7">
      <c r="A1326">
        <v>6795</v>
      </c>
      <c r="B1326" t="s">
        <v>8</v>
      </c>
      <c r="C1326" t="s">
        <v>122</v>
      </c>
      <c r="D1326" s="9">
        <v>41383.670543981483</v>
      </c>
      <c r="E1326" t="s">
        <v>11</v>
      </c>
      <c r="F1326">
        <f t="shared" ca="1" si="40"/>
        <v>1.7777777777777777</v>
      </c>
      <c r="G1326">
        <f t="shared" ca="1" si="41"/>
        <v>0</v>
      </c>
    </row>
    <row r="1327" spans="1:7">
      <c r="A1327">
        <v>6803</v>
      </c>
      <c r="B1327" t="s">
        <v>11</v>
      </c>
      <c r="C1327" t="s">
        <v>121</v>
      </c>
      <c r="D1327" s="9">
        <v>41411.44189814815</v>
      </c>
      <c r="E1327" t="s">
        <v>8</v>
      </c>
      <c r="F1327">
        <f t="shared" ca="1" si="40"/>
        <v>1.7</v>
      </c>
      <c r="G1327">
        <f t="shared" ca="1" si="41"/>
        <v>0</v>
      </c>
    </row>
    <row r="1328" spans="1:7">
      <c r="A1328">
        <v>6805</v>
      </c>
      <c r="B1328" t="s">
        <v>49</v>
      </c>
      <c r="C1328" t="s">
        <v>121</v>
      </c>
      <c r="D1328" s="9">
        <v>41411.441921296297</v>
      </c>
      <c r="E1328" t="s">
        <v>11</v>
      </c>
      <c r="F1328">
        <f t="shared" ca="1" si="40"/>
        <v>1.7</v>
      </c>
      <c r="G1328">
        <f t="shared" ca="1" si="41"/>
        <v>0</v>
      </c>
    </row>
    <row r="1329" spans="1:7">
      <c r="A1329">
        <v>6815</v>
      </c>
      <c r="B1329" t="s">
        <v>34</v>
      </c>
      <c r="C1329" t="s">
        <v>122</v>
      </c>
      <c r="D1329" s="9">
        <v>41410.943553240744</v>
      </c>
      <c r="E1329" t="s">
        <v>32</v>
      </c>
      <c r="F1329">
        <f t="shared" ca="1" si="40"/>
        <v>1.7027777777777777</v>
      </c>
      <c r="G1329">
        <f t="shared" ca="1" si="41"/>
        <v>0</v>
      </c>
    </row>
    <row r="1330" spans="1:7">
      <c r="A1330">
        <v>6824</v>
      </c>
      <c r="B1330" t="s">
        <v>8</v>
      </c>
      <c r="C1330" t="s">
        <v>122</v>
      </c>
      <c r="D1330" s="9">
        <v>41410.943101851852</v>
      </c>
      <c r="E1330" t="s">
        <v>11</v>
      </c>
      <c r="F1330">
        <f t="shared" ca="1" si="40"/>
        <v>1.7027777777777777</v>
      </c>
      <c r="G1330">
        <f t="shared" ca="1" si="41"/>
        <v>0</v>
      </c>
    </row>
    <row r="1331" spans="1:7">
      <c r="A1331">
        <v>6832</v>
      </c>
      <c r="B1331" t="s">
        <v>8</v>
      </c>
      <c r="C1331" t="s">
        <v>122</v>
      </c>
      <c r="D1331" s="9">
        <v>41410.943101851852</v>
      </c>
      <c r="E1331" t="s">
        <v>21</v>
      </c>
      <c r="F1331">
        <f t="shared" ca="1" si="40"/>
        <v>1.7027777777777777</v>
      </c>
      <c r="G1331">
        <f t="shared" ca="1" si="41"/>
        <v>0</v>
      </c>
    </row>
    <row r="1332" spans="1:7">
      <c r="A1332">
        <v>6852</v>
      </c>
      <c r="B1332" t="s">
        <v>23</v>
      </c>
      <c r="C1332" t="s">
        <v>122</v>
      </c>
      <c r="D1332" s="9">
        <v>41416.489965277775</v>
      </c>
      <c r="E1332" t="s">
        <v>27</v>
      </c>
      <c r="F1332">
        <f t="shared" ca="1" si="40"/>
        <v>1.6861111111111111</v>
      </c>
      <c r="G1332">
        <f t="shared" ca="1" si="41"/>
        <v>0</v>
      </c>
    </row>
    <row r="1333" spans="1:7">
      <c r="A1333">
        <v>6854</v>
      </c>
      <c r="B1333" t="s">
        <v>34</v>
      </c>
      <c r="C1333" t="s">
        <v>122</v>
      </c>
      <c r="D1333" s="9">
        <v>41410.944351851853</v>
      </c>
      <c r="E1333" t="s">
        <v>11</v>
      </c>
      <c r="F1333">
        <f t="shared" ca="1" si="40"/>
        <v>1.7027777777777777</v>
      </c>
      <c r="G1333">
        <f t="shared" ca="1" si="41"/>
        <v>0</v>
      </c>
    </row>
    <row r="1334" spans="1:7">
      <c r="A1334">
        <v>6861</v>
      </c>
      <c r="B1334" t="s">
        <v>21</v>
      </c>
      <c r="C1334" t="s">
        <v>122</v>
      </c>
      <c r="D1334" s="9">
        <v>41410.94425925926</v>
      </c>
      <c r="E1334" t="s">
        <v>20</v>
      </c>
      <c r="F1334">
        <f t="shared" ca="1" si="40"/>
        <v>1.7027777777777777</v>
      </c>
      <c r="G1334">
        <f t="shared" ca="1" si="41"/>
        <v>0</v>
      </c>
    </row>
    <row r="1335" spans="1:7">
      <c r="A1335">
        <v>6862</v>
      </c>
      <c r="B1335" t="s">
        <v>21</v>
      </c>
      <c r="C1335" t="s">
        <v>120</v>
      </c>
      <c r="D1335" s="9">
        <v>41570.469965277778</v>
      </c>
      <c r="E1335" t="s">
        <v>17</v>
      </c>
      <c r="F1335">
        <f t="shared" ca="1" si="40"/>
        <v>1.2666666666666666</v>
      </c>
      <c r="G1335">
        <f t="shared" ca="1" si="41"/>
        <v>0</v>
      </c>
    </row>
    <row r="1336" spans="1:7">
      <c r="A1336">
        <v>6870</v>
      </c>
      <c r="B1336" t="s">
        <v>45</v>
      </c>
      <c r="C1336" t="s">
        <v>122</v>
      </c>
      <c r="D1336" s="9">
        <v>41410.944074074076</v>
      </c>
      <c r="E1336" t="s">
        <v>11</v>
      </c>
      <c r="F1336">
        <f t="shared" ca="1" si="40"/>
        <v>1.7027777777777777</v>
      </c>
      <c r="G1336">
        <f t="shared" ca="1" si="41"/>
        <v>0</v>
      </c>
    </row>
    <row r="1337" spans="1:7">
      <c r="A1337">
        <v>6879</v>
      </c>
      <c r="B1337" t="s">
        <v>36</v>
      </c>
      <c r="C1337" t="s">
        <v>122</v>
      </c>
      <c r="D1337" s="9">
        <v>41410.944201388891</v>
      </c>
      <c r="E1337" t="s">
        <v>38</v>
      </c>
      <c r="F1337">
        <f t="shared" ca="1" si="40"/>
        <v>1.7027777777777777</v>
      </c>
      <c r="G1337">
        <f t="shared" ca="1" si="41"/>
        <v>0</v>
      </c>
    </row>
    <row r="1338" spans="1:7">
      <c r="A1338">
        <v>6886</v>
      </c>
      <c r="B1338" t="s">
        <v>34</v>
      </c>
      <c r="C1338" t="s">
        <v>121</v>
      </c>
      <c r="D1338" s="9">
        <v>41410.944965277777</v>
      </c>
      <c r="E1338" t="s">
        <v>30</v>
      </c>
      <c r="F1338">
        <f t="shared" ca="1" si="40"/>
        <v>1.7027777777777777</v>
      </c>
      <c r="G1338">
        <f t="shared" ca="1" si="41"/>
        <v>0</v>
      </c>
    </row>
    <row r="1339" spans="1:7">
      <c r="A1339">
        <v>6903</v>
      </c>
      <c r="B1339" t="s">
        <v>8</v>
      </c>
      <c r="C1339" t="s">
        <v>121</v>
      </c>
      <c r="D1339" s="9">
        <v>41411.665775462963</v>
      </c>
      <c r="E1339" t="s">
        <v>34</v>
      </c>
      <c r="F1339">
        <f t="shared" ca="1" si="40"/>
        <v>1.7</v>
      </c>
      <c r="G1339">
        <f t="shared" ca="1" si="41"/>
        <v>0</v>
      </c>
    </row>
    <row r="1340" spans="1:7">
      <c r="A1340">
        <v>6906</v>
      </c>
      <c r="B1340" t="s">
        <v>112</v>
      </c>
      <c r="C1340" t="s">
        <v>121</v>
      </c>
      <c r="D1340" s="9">
        <v>41484.898576388892</v>
      </c>
      <c r="E1340" t="s">
        <v>11</v>
      </c>
      <c r="F1340">
        <f t="shared" ca="1" si="40"/>
        <v>1.5</v>
      </c>
      <c r="G1340">
        <f t="shared" ca="1" si="41"/>
        <v>0</v>
      </c>
    </row>
    <row r="1341" spans="1:7">
      <c r="A1341">
        <v>6909</v>
      </c>
      <c r="B1341" t="s">
        <v>34</v>
      </c>
      <c r="C1341" t="s">
        <v>122</v>
      </c>
      <c r="D1341" s="9">
        <v>41410.944560185184</v>
      </c>
      <c r="E1341" t="s">
        <v>30</v>
      </c>
      <c r="F1341">
        <f t="shared" ca="1" si="40"/>
        <v>1.7027777777777777</v>
      </c>
      <c r="G1341">
        <f t="shared" ca="1" si="41"/>
        <v>0</v>
      </c>
    </row>
    <row r="1342" spans="1:7">
      <c r="A1342">
        <v>6911</v>
      </c>
      <c r="B1342" t="s">
        <v>44</v>
      </c>
      <c r="C1342" t="s">
        <v>119</v>
      </c>
      <c r="D1342" s="9">
        <v>41600.628703703704</v>
      </c>
      <c r="E1342" t="s">
        <v>21</v>
      </c>
      <c r="F1342">
        <f t="shared" ca="1" si="40"/>
        <v>1.1861111111111111</v>
      </c>
      <c r="G1342">
        <f t="shared" ca="1" si="41"/>
        <v>0</v>
      </c>
    </row>
    <row r="1343" spans="1:7">
      <c r="A1343">
        <v>6918</v>
      </c>
      <c r="B1343" t="s">
        <v>21</v>
      </c>
      <c r="C1343" t="s">
        <v>122</v>
      </c>
      <c r="D1343" s="9">
        <v>41410.944490740738</v>
      </c>
      <c r="E1343" t="s">
        <v>11</v>
      </c>
      <c r="F1343">
        <f t="shared" ca="1" si="40"/>
        <v>1.7027777777777777</v>
      </c>
      <c r="G1343">
        <f t="shared" ca="1" si="41"/>
        <v>0</v>
      </c>
    </row>
    <row r="1344" spans="1:7">
      <c r="A1344">
        <v>6921</v>
      </c>
      <c r="B1344" t="s">
        <v>8</v>
      </c>
      <c r="C1344" t="s">
        <v>122</v>
      </c>
      <c r="D1344" s="9">
        <v>41410.944537037038</v>
      </c>
      <c r="E1344" t="s">
        <v>51</v>
      </c>
      <c r="F1344">
        <f t="shared" ca="1" si="40"/>
        <v>1.7027777777777777</v>
      </c>
      <c r="G1344">
        <f t="shared" ca="1" si="41"/>
        <v>0</v>
      </c>
    </row>
    <row r="1345" spans="1:7">
      <c r="A1345">
        <v>6923</v>
      </c>
      <c r="B1345" t="s">
        <v>24</v>
      </c>
      <c r="C1345" t="s">
        <v>121</v>
      </c>
      <c r="D1345" s="9">
        <v>41480.42633101852</v>
      </c>
      <c r="E1345" t="s">
        <v>8</v>
      </c>
      <c r="F1345">
        <f t="shared" ca="1" si="40"/>
        <v>1.5111111111111111</v>
      </c>
      <c r="G1345">
        <f t="shared" ca="1" si="41"/>
        <v>0</v>
      </c>
    </row>
    <row r="1346" spans="1:7">
      <c r="A1346">
        <v>6926</v>
      </c>
      <c r="B1346" t="s">
        <v>34</v>
      </c>
      <c r="C1346" t="s">
        <v>122</v>
      </c>
      <c r="D1346" s="9">
        <v>41416.490034722221</v>
      </c>
      <c r="E1346" t="s">
        <v>36</v>
      </c>
      <c r="F1346">
        <f t="shared" ca="1" si="40"/>
        <v>1.6861111111111111</v>
      </c>
      <c r="G1346">
        <f t="shared" ca="1" si="41"/>
        <v>0</v>
      </c>
    </row>
    <row r="1347" spans="1:7">
      <c r="A1347">
        <v>6951</v>
      </c>
      <c r="B1347" t="s">
        <v>34</v>
      </c>
      <c r="C1347" t="s">
        <v>122</v>
      </c>
      <c r="D1347" s="9">
        <v>41410.944722222222</v>
      </c>
      <c r="E1347" t="s">
        <v>11</v>
      </c>
      <c r="F1347">
        <f t="shared" ref="F1347:F1410" ca="1" si="42">YEARFRAC(TODAY(),$D1347)</f>
        <v>1.7027777777777777</v>
      </c>
      <c r="G1347">
        <f t="shared" ref="G1347:G1410" ca="1" si="43">IF($F1347&lt;1,1,0)</f>
        <v>0</v>
      </c>
    </row>
    <row r="1348" spans="1:7">
      <c r="A1348">
        <v>6956</v>
      </c>
      <c r="B1348" t="s">
        <v>21</v>
      </c>
      <c r="C1348" t="s">
        <v>122</v>
      </c>
      <c r="D1348" s="9">
        <v>41410.944733796299</v>
      </c>
      <c r="E1348" t="s">
        <v>11</v>
      </c>
      <c r="F1348">
        <f t="shared" ca="1" si="42"/>
        <v>1.7027777777777777</v>
      </c>
      <c r="G1348">
        <f t="shared" ca="1" si="43"/>
        <v>0</v>
      </c>
    </row>
    <row r="1349" spans="1:7">
      <c r="A1349">
        <v>6962</v>
      </c>
      <c r="B1349" t="s">
        <v>24</v>
      </c>
      <c r="C1349" t="s">
        <v>121</v>
      </c>
      <c r="D1349" s="9">
        <v>41480.426655092589</v>
      </c>
      <c r="E1349" t="s">
        <v>112</v>
      </c>
      <c r="F1349">
        <f t="shared" ca="1" si="42"/>
        <v>1.5111111111111111</v>
      </c>
      <c r="G1349">
        <f t="shared" ca="1" si="43"/>
        <v>0</v>
      </c>
    </row>
    <row r="1350" spans="1:7">
      <c r="A1350">
        <v>6968</v>
      </c>
      <c r="B1350" t="s">
        <v>21</v>
      </c>
      <c r="C1350" t="s">
        <v>120</v>
      </c>
      <c r="D1350" s="9">
        <v>41570.46947916667</v>
      </c>
      <c r="E1350" t="s">
        <v>11</v>
      </c>
      <c r="F1350">
        <f t="shared" ca="1" si="42"/>
        <v>1.2666666666666666</v>
      </c>
      <c r="G1350">
        <f t="shared" ca="1" si="43"/>
        <v>0</v>
      </c>
    </row>
    <row r="1351" spans="1:7">
      <c r="A1351">
        <v>6976</v>
      </c>
      <c r="B1351" t="s">
        <v>8</v>
      </c>
      <c r="C1351" t="s">
        <v>122</v>
      </c>
      <c r="D1351" s="9">
        <v>41410.944872685184</v>
      </c>
      <c r="E1351" t="s">
        <v>11</v>
      </c>
      <c r="F1351">
        <f t="shared" ca="1" si="42"/>
        <v>1.7027777777777777</v>
      </c>
      <c r="G1351">
        <f t="shared" ca="1" si="43"/>
        <v>0</v>
      </c>
    </row>
    <row r="1352" spans="1:7">
      <c r="A1352">
        <v>6979</v>
      </c>
      <c r="B1352" t="s">
        <v>8</v>
      </c>
      <c r="C1352" t="s">
        <v>122</v>
      </c>
      <c r="D1352" s="9">
        <v>41410.944837962961</v>
      </c>
      <c r="E1352" t="s">
        <v>24</v>
      </c>
      <c r="F1352">
        <f t="shared" ca="1" si="42"/>
        <v>1.7027777777777777</v>
      </c>
      <c r="G1352">
        <f t="shared" ca="1" si="43"/>
        <v>0</v>
      </c>
    </row>
    <row r="1353" spans="1:7">
      <c r="A1353">
        <v>6983</v>
      </c>
      <c r="B1353" t="s">
        <v>30</v>
      </c>
      <c r="C1353" t="s">
        <v>121</v>
      </c>
      <c r="D1353" s="9">
        <v>41485.671863425923</v>
      </c>
      <c r="E1353" t="s">
        <v>24</v>
      </c>
      <c r="F1353">
        <f t="shared" ca="1" si="42"/>
        <v>1.4972222222222222</v>
      </c>
      <c r="G1353">
        <f t="shared" ca="1" si="43"/>
        <v>0</v>
      </c>
    </row>
    <row r="1354" spans="1:7">
      <c r="A1354">
        <v>6987</v>
      </c>
      <c r="B1354" t="s">
        <v>24</v>
      </c>
      <c r="C1354" t="s">
        <v>118</v>
      </c>
      <c r="D1354" s="9">
        <v>41684.58630787037</v>
      </c>
      <c r="E1354" t="s">
        <v>37</v>
      </c>
      <c r="F1354">
        <f t="shared" ca="1" si="42"/>
        <v>0.95833333333333337</v>
      </c>
      <c r="G1354">
        <f t="shared" ca="1" si="43"/>
        <v>1</v>
      </c>
    </row>
    <row r="1355" spans="1:7">
      <c r="A1355">
        <v>6992</v>
      </c>
      <c r="B1355" t="s">
        <v>112</v>
      </c>
      <c r="C1355" t="s">
        <v>121</v>
      </c>
      <c r="D1355" s="9">
        <v>41418.815405092595</v>
      </c>
      <c r="E1355" t="s">
        <v>44</v>
      </c>
      <c r="F1355">
        <f t="shared" ca="1" si="42"/>
        <v>1.6805555555555556</v>
      </c>
      <c r="G1355">
        <f t="shared" ca="1" si="43"/>
        <v>0</v>
      </c>
    </row>
    <row r="1356" spans="1:7">
      <c r="A1356">
        <v>6994</v>
      </c>
      <c r="B1356" t="s">
        <v>30</v>
      </c>
      <c r="C1356" t="s">
        <v>121</v>
      </c>
      <c r="D1356" s="9">
        <v>41480.426828703705</v>
      </c>
      <c r="E1356" t="s">
        <v>112</v>
      </c>
      <c r="F1356">
        <f t="shared" ca="1" si="42"/>
        <v>1.5111111111111111</v>
      </c>
      <c r="G1356">
        <f t="shared" ca="1" si="43"/>
        <v>0</v>
      </c>
    </row>
    <row r="1357" spans="1:7">
      <c r="A1357">
        <v>6999</v>
      </c>
      <c r="B1357" t="s">
        <v>21</v>
      </c>
      <c r="C1357" t="s">
        <v>118</v>
      </c>
      <c r="D1357" s="9">
        <v>41789.800266203703</v>
      </c>
      <c r="E1357" t="s">
        <v>11</v>
      </c>
      <c r="F1357">
        <f t="shared" ca="1" si="42"/>
        <v>0.66388888888888886</v>
      </c>
      <c r="G1357">
        <f t="shared" ca="1" si="43"/>
        <v>1</v>
      </c>
    </row>
    <row r="1358" spans="1:7">
      <c r="A1358">
        <v>7012</v>
      </c>
      <c r="B1358" t="s">
        <v>19</v>
      </c>
      <c r="C1358" t="s">
        <v>121</v>
      </c>
      <c r="D1358" s="9">
        <v>41484.579780092594</v>
      </c>
      <c r="E1358" t="s">
        <v>112</v>
      </c>
      <c r="F1358">
        <f t="shared" ca="1" si="42"/>
        <v>1.5</v>
      </c>
      <c r="G1358">
        <f t="shared" ca="1" si="43"/>
        <v>0</v>
      </c>
    </row>
    <row r="1359" spans="1:7">
      <c r="A1359">
        <v>7013</v>
      </c>
      <c r="B1359" t="s">
        <v>19</v>
      </c>
      <c r="C1359" t="s">
        <v>121</v>
      </c>
      <c r="D1359" s="9">
        <v>41481.708506944444</v>
      </c>
      <c r="E1359" t="s">
        <v>36</v>
      </c>
      <c r="F1359">
        <f t="shared" ca="1" si="42"/>
        <v>1.5083333333333333</v>
      </c>
      <c r="G1359">
        <f t="shared" ca="1" si="43"/>
        <v>0</v>
      </c>
    </row>
    <row r="1360" spans="1:7">
      <c r="A1360">
        <v>7020</v>
      </c>
      <c r="B1360" t="s">
        <v>8</v>
      </c>
      <c r="C1360" t="s">
        <v>121</v>
      </c>
      <c r="D1360" s="9">
        <v>41480.427002314813</v>
      </c>
      <c r="E1360" t="s">
        <v>19</v>
      </c>
      <c r="F1360">
        <f t="shared" ca="1" si="42"/>
        <v>1.5111111111111111</v>
      </c>
      <c r="G1360">
        <f t="shared" ca="1" si="43"/>
        <v>0</v>
      </c>
    </row>
    <row r="1361" spans="1:7">
      <c r="A1361">
        <v>7021</v>
      </c>
      <c r="B1361" t="s">
        <v>38</v>
      </c>
      <c r="C1361" t="s">
        <v>122</v>
      </c>
      <c r="D1361" s="9">
        <v>41410.944953703707</v>
      </c>
      <c r="E1361" t="s">
        <v>27</v>
      </c>
      <c r="F1361">
        <f t="shared" ca="1" si="42"/>
        <v>1.7027777777777777</v>
      </c>
      <c r="G1361">
        <f t="shared" ca="1" si="43"/>
        <v>0</v>
      </c>
    </row>
    <row r="1362" spans="1:7">
      <c r="A1362">
        <v>7031</v>
      </c>
      <c r="B1362" t="s">
        <v>24</v>
      </c>
      <c r="C1362" t="s">
        <v>121</v>
      </c>
      <c r="D1362" s="9">
        <v>41480.428159722222</v>
      </c>
      <c r="E1362" t="s">
        <v>14</v>
      </c>
      <c r="F1362">
        <f t="shared" ca="1" si="42"/>
        <v>1.5111111111111111</v>
      </c>
      <c r="G1362">
        <f t="shared" ca="1" si="43"/>
        <v>0</v>
      </c>
    </row>
    <row r="1363" spans="1:7">
      <c r="A1363">
        <v>7036</v>
      </c>
      <c r="B1363" t="s">
        <v>8</v>
      </c>
      <c r="C1363" t="s">
        <v>122</v>
      </c>
      <c r="D1363" s="9">
        <v>41410.945011574076</v>
      </c>
      <c r="E1363" t="s">
        <v>11</v>
      </c>
      <c r="F1363">
        <f t="shared" ca="1" si="42"/>
        <v>1.7027777777777777</v>
      </c>
      <c r="G1363">
        <f t="shared" ca="1" si="43"/>
        <v>0</v>
      </c>
    </row>
    <row r="1364" spans="1:7">
      <c r="A1364">
        <v>7047</v>
      </c>
      <c r="B1364" t="s">
        <v>23</v>
      </c>
      <c r="C1364" t="s">
        <v>121</v>
      </c>
      <c r="D1364" s="9">
        <v>41411.640486111108</v>
      </c>
      <c r="E1364" t="s">
        <v>11</v>
      </c>
      <c r="F1364">
        <f t="shared" ca="1" si="42"/>
        <v>1.7</v>
      </c>
      <c r="G1364">
        <f t="shared" ca="1" si="43"/>
        <v>0</v>
      </c>
    </row>
    <row r="1365" spans="1:7">
      <c r="A1365">
        <v>7053</v>
      </c>
      <c r="B1365" t="s">
        <v>111</v>
      </c>
      <c r="C1365" t="s">
        <v>120</v>
      </c>
      <c r="D1365" s="9">
        <v>41516.820428240739</v>
      </c>
      <c r="E1365" t="s">
        <v>36</v>
      </c>
      <c r="F1365">
        <f t="shared" ca="1" si="42"/>
        <v>1.413888888888889</v>
      </c>
      <c r="G1365">
        <f t="shared" ca="1" si="43"/>
        <v>0</v>
      </c>
    </row>
    <row r="1366" spans="1:7">
      <c r="A1366">
        <v>7055</v>
      </c>
      <c r="B1366" t="s">
        <v>8</v>
      </c>
      <c r="C1366" t="s">
        <v>120</v>
      </c>
      <c r="D1366" s="9">
        <v>41557.917662037034</v>
      </c>
      <c r="E1366" t="s">
        <v>27</v>
      </c>
      <c r="F1366">
        <f t="shared" ca="1" si="42"/>
        <v>1.3027777777777778</v>
      </c>
      <c r="G1366">
        <f t="shared" ca="1" si="43"/>
        <v>0</v>
      </c>
    </row>
    <row r="1367" spans="1:7">
      <c r="A1367">
        <v>7070</v>
      </c>
      <c r="B1367" t="s">
        <v>20</v>
      </c>
      <c r="C1367" t="s">
        <v>121</v>
      </c>
      <c r="D1367" s="9">
        <v>41480.653101851851</v>
      </c>
      <c r="E1367" t="s">
        <v>32</v>
      </c>
      <c r="F1367">
        <f t="shared" ca="1" si="42"/>
        <v>1.5111111111111111</v>
      </c>
      <c r="G1367">
        <f t="shared" ca="1" si="43"/>
        <v>0</v>
      </c>
    </row>
    <row r="1368" spans="1:7">
      <c r="A1368">
        <v>7084</v>
      </c>
      <c r="B1368" t="s">
        <v>8</v>
      </c>
      <c r="C1368" t="s">
        <v>142</v>
      </c>
      <c r="D1368" s="9">
        <v>41423.589201388888</v>
      </c>
      <c r="E1368" t="s">
        <v>19</v>
      </c>
      <c r="F1368">
        <f t="shared" ca="1" si="42"/>
        <v>1.6666666666666667</v>
      </c>
      <c r="G1368">
        <f t="shared" ca="1" si="43"/>
        <v>0</v>
      </c>
    </row>
    <row r="1369" spans="1:7">
      <c r="A1369">
        <v>7087</v>
      </c>
      <c r="B1369" t="s">
        <v>44</v>
      </c>
      <c r="C1369" t="s">
        <v>121</v>
      </c>
      <c r="D1369" s="9">
        <v>41480.429027777776</v>
      </c>
      <c r="E1369" t="s">
        <v>8</v>
      </c>
      <c r="F1369">
        <f t="shared" ca="1" si="42"/>
        <v>1.5111111111111111</v>
      </c>
      <c r="G1369">
        <f t="shared" ca="1" si="43"/>
        <v>0</v>
      </c>
    </row>
    <row r="1370" spans="1:7">
      <c r="A1370">
        <v>7090</v>
      </c>
      <c r="B1370" t="s">
        <v>19</v>
      </c>
      <c r="C1370" t="s">
        <v>142</v>
      </c>
      <c r="D1370" s="9">
        <v>41428.57545138889</v>
      </c>
      <c r="E1370" t="s">
        <v>8</v>
      </c>
      <c r="F1370">
        <f t="shared" ca="1" si="42"/>
        <v>1.6555555555555554</v>
      </c>
      <c r="G1370">
        <f t="shared" ca="1" si="43"/>
        <v>0</v>
      </c>
    </row>
    <row r="1371" spans="1:7">
      <c r="A1371">
        <v>7091</v>
      </c>
      <c r="B1371" t="s">
        <v>49</v>
      </c>
      <c r="C1371" t="s">
        <v>121</v>
      </c>
      <c r="D1371" s="9">
        <v>41480.429479166669</v>
      </c>
      <c r="E1371" t="s">
        <v>20</v>
      </c>
      <c r="F1371">
        <f t="shared" ca="1" si="42"/>
        <v>1.5111111111111111</v>
      </c>
      <c r="G1371">
        <f t="shared" ca="1" si="43"/>
        <v>0</v>
      </c>
    </row>
    <row r="1372" spans="1:7">
      <c r="A1372">
        <v>7097</v>
      </c>
      <c r="B1372" t="s">
        <v>24</v>
      </c>
      <c r="C1372" t="s">
        <v>142</v>
      </c>
      <c r="D1372" s="9">
        <v>41423.678148148145</v>
      </c>
      <c r="E1372" t="s">
        <v>30</v>
      </c>
      <c r="F1372">
        <f t="shared" ca="1" si="42"/>
        <v>1.6666666666666667</v>
      </c>
      <c r="G1372">
        <f t="shared" ca="1" si="43"/>
        <v>0</v>
      </c>
    </row>
    <row r="1373" spans="1:7">
      <c r="A1373">
        <v>7098</v>
      </c>
      <c r="B1373" t="s">
        <v>20</v>
      </c>
      <c r="C1373" t="s">
        <v>142</v>
      </c>
      <c r="D1373" s="9">
        <v>41425.491770833331</v>
      </c>
      <c r="E1373" t="s">
        <v>27</v>
      </c>
      <c r="F1373">
        <f t="shared" ca="1" si="42"/>
        <v>1.663888888888889</v>
      </c>
      <c r="G1373">
        <f t="shared" ca="1" si="43"/>
        <v>0</v>
      </c>
    </row>
    <row r="1374" spans="1:7">
      <c r="A1374">
        <v>7103</v>
      </c>
      <c r="B1374" t="s">
        <v>8</v>
      </c>
      <c r="C1374" t="s">
        <v>142</v>
      </c>
      <c r="D1374" s="9">
        <v>41423.377650462964</v>
      </c>
      <c r="E1374" t="s">
        <v>24</v>
      </c>
      <c r="F1374">
        <f t="shared" ca="1" si="42"/>
        <v>1.6666666666666667</v>
      </c>
      <c r="G1374">
        <f t="shared" ca="1" si="43"/>
        <v>0</v>
      </c>
    </row>
    <row r="1375" spans="1:7">
      <c r="A1375">
        <v>7112</v>
      </c>
      <c r="B1375" t="s">
        <v>21</v>
      </c>
      <c r="C1375" t="s">
        <v>142</v>
      </c>
      <c r="D1375" s="9">
        <v>41422.570625</v>
      </c>
      <c r="E1375" t="s">
        <v>20</v>
      </c>
      <c r="F1375">
        <f t="shared" ca="1" si="42"/>
        <v>1.6694444444444445</v>
      </c>
      <c r="G1375">
        <f t="shared" ca="1" si="43"/>
        <v>0</v>
      </c>
    </row>
    <row r="1376" spans="1:7">
      <c r="A1376">
        <v>7115</v>
      </c>
      <c r="B1376" t="s">
        <v>36</v>
      </c>
      <c r="C1376" t="s">
        <v>121</v>
      </c>
      <c r="D1376" s="9">
        <v>41417.694074074076</v>
      </c>
      <c r="E1376" t="s">
        <v>38</v>
      </c>
      <c r="F1376">
        <f t="shared" ca="1" si="42"/>
        <v>1.6833333333333333</v>
      </c>
      <c r="G1376">
        <f t="shared" ca="1" si="43"/>
        <v>0</v>
      </c>
    </row>
    <row r="1377" spans="1:7">
      <c r="A1377">
        <v>7117</v>
      </c>
      <c r="B1377" t="s">
        <v>34</v>
      </c>
      <c r="C1377" t="s">
        <v>121</v>
      </c>
      <c r="D1377" s="9">
        <v>41453.816817129627</v>
      </c>
      <c r="E1377" t="s">
        <v>23</v>
      </c>
      <c r="F1377">
        <f t="shared" ca="1" si="42"/>
        <v>1.586111111111111</v>
      </c>
      <c r="G1377">
        <f t="shared" ca="1" si="43"/>
        <v>0</v>
      </c>
    </row>
    <row r="1378" spans="1:7">
      <c r="A1378">
        <v>7121</v>
      </c>
      <c r="B1378" t="s">
        <v>24</v>
      </c>
      <c r="C1378" t="s">
        <v>121</v>
      </c>
      <c r="D1378" s="9">
        <v>41480.432199074072</v>
      </c>
      <c r="E1378" t="s">
        <v>20</v>
      </c>
      <c r="F1378">
        <f t="shared" ca="1" si="42"/>
        <v>1.5111111111111111</v>
      </c>
      <c r="G1378">
        <f t="shared" ca="1" si="43"/>
        <v>0</v>
      </c>
    </row>
    <row r="1379" spans="1:7">
      <c r="A1379">
        <v>7122</v>
      </c>
      <c r="B1379" t="s">
        <v>24</v>
      </c>
      <c r="C1379" t="s">
        <v>120</v>
      </c>
      <c r="D1379" s="9">
        <v>41565.602083333331</v>
      </c>
      <c r="E1379" t="s">
        <v>18</v>
      </c>
      <c r="F1379">
        <f t="shared" ca="1" si="42"/>
        <v>1.2805555555555554</v>
      </c>
      <c r="G1379">
        <f t="shared" ca="1" si="43"/>
        <v>0</v>
      </c>
    </row>
    <row r="1380" spans="1:7">
      <c r="A1380">
        <v>7128</v>
      </c>
      <c r="B1380" t="s">
        <v>20</v>
      </c>
      <c r="C1380" t="s">
        <v>120</v>
      </c>
      <c r="D1380" s="9">
        <v>41570.47184027778</v>
      </c>
      <c r="E1380" t="s">
        <v>24</v>
      </c>
      <c r="F1380">
        <f t="shared" ca="1" si="42"/>
        <v>1.2666666666666666</v>
      </c>
      <c r="G1380">
        <f t="shared" ca="1" si="43"/>
        <v>0</v>
      </c>
    </row>
    <row r="1381" spans="1:7">
      <c r="A1381">
        <v>7133</v>
      </c>
      <c r="B1381" t="s">
        <v>52</v>
      </c>
      <c r="C1381" t="s">
        <v>120</v>
      </c>
      <c r="D1381" s="9">
        <v>41571.645682870374</v>
      </c>
      <c r="E1381" t="s">
        <v>30</v>
      </c>
      <c r="F1381">
        <f t="shared" ca="1" si="42"/>
        <v>1.2638888888888888</v>
      </c>
      <c r="G1381">
        <f t="shared" ca="1" si="43"/>
        <v>0</v>
      </c>
    </row>
    <row r="1382" spans="1:7">
      <c r="A1382">
        <v>7134</v>
      </c>
      <c r="B1382" t="s">
        <v>112</v>
      </c>
      <c r="C1382" t="s">
        <v>120</v>
      </c>
      <c r="D1382" s="9">
        <v>41571.645648148151</v>
      </c>
      <c r="E1382" t="s">
        <v>19</v>
      </c>
      <c r="F1382">
        <f t="shared" ca="1" si="42"/>
        <v>1.2638888888888888</v>
      </c>
      <c r="G1382">
        <f t="shared" ca="1" si="43"/>
        <v>0</v>
      </c>
    </row>
    <row r="1383" spans="1:7">
      <c r="A1383">
        <v>7144</v>
      </c>
      <c r="B1383" t="s">
        <v>8</v>
      </c>
      <c r="C1383" t="s">
        <v>121</v>
      </c>
      <c r="D1383" s="9">
        <v>41480.432569444441</v>
      </c>
      <c r="E1383" t="s">
        <v>18</v>
      </c>
      <c r="F1383">
        <f t="shared" ca="1" si="42"/>
        <v>1.5111111111111111</v>
      </c>
      <c r="G1383">
        <f t="shared" ca="1" si="43"/>
        <v>0</v>
      </c>
    </row>
    <row r="1384" spans="1:7">
      <c r="A1384">
        <v>7181</v>
      </c>
      <c r="B1384" t="s">
        <v>18</v>
      </c>
      <c r="C1384" t="s">
        <v>120</v>
      </c>
      <c r="D1384" s="9">
        <v>41536.604837962965</v>
      </c>
      <c r="E1384" t="s">
        <v>44</v>
      </c>
      <c r="F1384">
        <f t="shared" ca="1" si="42"/>
        <v>1.3611111111111112</v>
      </c>
      <c r="G1384">
        <f t="shared" ca="1" si="43"/>
        <v>0</v>
      </c>
    </row>
    <row r="1385" spans="1:7">
      <c r="A1385">
        <v>7182</v>
      </c>
      <c r="B1385" t="s">
        <v>34</v>
      </c>
      <c r="C1385" t="s">
        <v>121</v>
      </c>
      <c r="D1385" s="9">
        <v>41453.650439814817</v>
      </c>
      <c r="E1385" t="s">
        <v>44</v>
      </c>
      <c r="F1385">
        <f t="shared" ca="1" si="42"/>
        <v>1.586111111111111</v>
      </c>
      <c r="G1385">
        <f t="shared" ca="1" si="43"/>
        <v>0</v>
      </c>
    </row>
    <row r="1386" spans="1:7">
      <c r="A1386">
        <v>7185</v>
      </c>
      <c r="B1386" t="s">
        <v>20</v>
      </c>
      <c r="C1386" t="s">
        <v>121</v>
      </c>
      <c r="D1386" s="9">
        <v>41480.43577546296</v>
      </c>
      <c r="E1386" t="s">
        <v>27</v>
      </c>
      <c r="F1386">
        <f t="shared" ca="1" si="42"/>
        <v>1.5111111111111111</v>
      </c>
      <c r="G1386">
        <f t="shared" ca="1" si="43"/>
        <v>0</v>
      </c>
    </row>
    <row r="1387" spans="1:7">
      <c r="A1387">
        <v>7201</v>
      </c>
      <c r="B1387" t="s">
        <v>19</v>
      </c>
      <c r="C1387" t="s">
        <v>121</v>
      </c>
      <c r="D1387" s="9">
        <v>41480.437002314815</v>
      </c>
      <c r="E1387" t="s">
        <v>8</v>
      </c>
      <c r="F1387">
        <f t="shared" ca="1" si="42"/>
        <v>1.5111111111111111</v>
      </c>
      <c r="G1387">
        <f t="shared" ca="1" si="43"/>
        <v>0</v>
      </c>
    </row>
    <row r="1388" spans="1:7">
      <c r="A1388">
        <v>7207</v>
      </c>
      <c r="B1388" t="s">
        <v>19</v>
      </c>
      <c r="C1388" t="s">
        <v>121</v>
      </c>
      <c r="D1388" s="9">
        <v>41480.437280092592</v>
      </c>
      <c r="E1388" t="s">
        <v>8</v>
      </c>
      <c r="F1388">
        <f t="shared" ca="1" si="42"/>
        <v>1.5111111111111111</v>
      </c>
      <c r="G1388">
        <f t="shared" ca="1" si="43"/>
        <v>0</v>
      </c>
    </row>
    <row r="1389" spans="1:7">
      <c r="A1389">
        <v>7214</v>
      </c>
      <c r="B1389" t="s">
        <v>11</v>
      </c>
      <c r="C1389" t="s">
        <v>121</v>
      </c>
      <c r="D1389" s="9">
        <v>41480.44253472222</v>
      </c>
      <c r="E1389" t="s">
        <v>32</v>
      </c>
      <c r="F1389">
        <f t="shared" ca="1" si="42"/>
        <v>1.5111111111111111</v>
      </c>
      <c r="G1389">
        <f t="shared" ca="1" si="43"/>
        <v>0</v>
      </c>
    </row>
    <row r="1390" spans="1:7">
      <c r="A1390">
        <v>7222</v>
      </c>
      <c r="B1390" t="s">
        <v>34</v>
      </c>
      <c r="C1390" t="s">
        <v>121</v>
      </c>
      <c r="D1390" s="9">
        <v>41481.644953703704</v>
      </c>
      <c r="E1390" t="s">
        <v>24</v>
      </c>
      <c r="F1390">
        <f t="shared" ca="1" si="42"/>
        <v>1.5083333333333333</v>
      </c>
      <c r="G1390">
        <f t="shared" ca="1" si="43"/>
        <v>0</v>
      </c>
    </row>
    <row r="1391" spans="1:7">
      <c r="A1391">
        <v>7229</v>
      </c>
      <c r="B1391" t="s">
        <v>18</v>
      </c>
      <c r="C1391" t="s">
        <v>120</v>
      </c>
      <c r="D1391" s="9">
        <v>41563.61173611111</v>
      </c>
      <c r="E1391" t="s">
        <v>44</v>
      </c>
      <c r="F1391">
        <f t="shared" ca="1" si="42"/>
        <v>1.2861111111111112</v>
      </c>
      <c r="G1391">
        <f t="shared" ca="1" si="43"/>
        <v>0</v>
      </c>
    </row>
    <row r="1392" spans="1:7">
      <c r="A1392">
        <v>7253</v>
      </c>
      <c r="B1392" t="s">
        <v>34</v>
      </c>
      <c r="C1392" t="s">
        <v>121</v>
      </c>
      <c r="D1392" s="9">
        <v>41460.644560185188</v>
      </c>
      <c r="E1392" t="s">
        <v>24</v>
      </c>
      <c r="F1392">
        <f t="shared" ca="1" si="42"/>
        <v>1.5666666666666667</v>
      </c>
      <c r="G1392">
        <f t="shared" ca="1" si="43"/>
        <v>0</v>
      </c>
    </row>
    <row r="1393" spans="1:7">
      <c r="A1393">
        <v>7263</v>
      </c>
      <c r="B1393" t="s">
        <v>8</v>
      </c>
      <c r="C1393" t="s">
        <v>121</v>
      </c>
      <c r="D1393" s="9">
        <v>41463.548703703702</v>
      </c>
      <c r="E1393" t="s">
        <v>19</v>
      </c>
      <c r="F1393">
        <f t="shared" ca="1" si="42"/>
        <v>1.5583333333333333</v>
      </c>
      <c r="G1393">
        <f t="shared" ca="1" si="43"/>
        <v>0</v>
      </c>
    </row>
    <row r="1394" spans="1:7">
      <c r="A1394">
        <v>7289</v>
      </c>
      <c r="B1394" t="s">
        <v>8</v>
      </c>
      <c r="C1394" t="s">
        <v>121</v>
      </c>
      <c r="D1394" s="9">
        <v>41484.702175925922</v>
      </c>
      <c r="E1394" t="s">
        <v>112</v>
      </c>
      <c r="F1394">
        <f t="shared" ca="1" si="42"/>
        <v>1.5</v>
      </c>
      <c r="G1394">
        <f t="shared" ca="1" si="43"/>
        <v>0</v>
      </c>
    </row>
    <row r="1395" spans="1:7">
      <c r="A1395">
        <v>7291</v>
      </c>
      <c r="B1395" t="s">
        <v>34</v>
      </c>
      <c r="C1395" t="s">
        <v>121</v>
      </c>
      <c r="D1395" s="9">
        <v>41480.445914351854</v>
      </c>
      <c r="E1395" t="s">
        <v>23</v>
      </c>
      <c r="F1395">
        <f t="shared" ca="1" si="42"/>
        <v>1.5111111111111111</v>
      </c>
      <c r="G1395">
        <f t="shared" ca="1" si="43"/>
        <v>0</v>
      </c>
    </row>
    <row r="1396" spans="1:7">
      <c r="A1396">
        <v>7322</v>
      </c>
      <c r="B1396" t="s">
        <v>21</v>
      </c>
      <c r="C1396" t="s">
        <v>121</v>
      </c>
      <c r="D1396" s="9">
        <v>41480.446261574078</v>
      </c>
      <c r="E1396" t="s">
        <v>20</v>
      </c>
      <c r="F1396">
        <f t="shared" ca="1" si="42"/>
        <v>1.5111111111111111</v>
      </c>
      <c r="G1396">
        <f t="shared" ca="1" si="43"/>
        <v>0</v>
      </c>
    </row>
    <row r="1397" spans="1:7">
      <c r="A1397">
        <v>7331</v>
      </c>
      <c r="B1397" t="s">
        <v>8</v>
      </c>
      <c r="C1397" t="s">
        <v>118</v>
      </c>
      <c r="D1397" s="9">
        <v>41772.897488425922</v>
      </c>
      <c r="E1397" t="s">
        <v>20</v>
      </c>
      <c r="F1397">
        <f t="shared" ca="1" si="42"/>
        <v>0.71111111111111114</v>
      </c>
      <c r="G1397">
        <f t="shared" ca="1" si="43"/>
        <v>1</v>
      </c>
    </row>
    <row r="1398" spans="1:7">
      <c r="A1398">
        <v>7333</v>
      </c>
      <c r="B1398" t="s">
        <v>21</v>
      </c>
      <c r="C1398" t="s">
        <v>121</v>
      </c>
      <c r="D1398" s="9">
        <v>41480.446423611109</v>
      </c>
      <c r="E1398" t="s">
        <v>20</v>
      </c>
      <c r="F1398">
        <f t="shared" ca="1" si="42"/>
        <v>1.5111111111111111</v>
      </c>
      <c r="G1398">
        <f t="shared" ca="1" si="43"/>
        <v>0</v>
      </c>
    </row>
    <row r="1399" spans="1:7">
      <c r="A1399">
        <v>7336</v>
      </c>
      <c r="B1399" t="s">
        <v>21</v>
      </c>
      <c r="C1399" t="s">
        <v>121</v>
      </c>
      <c r="D1399" s="9">
        <v>41480.446597222224</v>
      </c>
      <c r="E1399" t="s">
        <v>20</v>
      </c>
      <c r="F1399">
        <f t="shared" ca="1" si="42"/>
        <v>1.5111111111111111</v>
      </c>
      <c r="G1399">
        <f t="shared" ca="1" si="43"/>
        <v>0</v>
      </c>
    </row>
    <row r="1400" spans="1:7">
      <c r="A1400">
        <v>7337</v>
      </c>
      <c r="B1400" t="s">
        <v>20</v>
      </c>
      <c r="C1400" t="s">
        <v>121</v>
      </c>
      <c r="D1400" s="9">
        <v>41480.446898148148</v>
      </c>
      <c r="E1400" t="s">
        <v>19</v>
      </c>
      <c r="F1400">
        <f t="shared" ca="1" si="42"/>
        <v>1.5111111111111111</v>
      </c>
      <c r="G1400">
        <f t="shared" ca="1" si="43"/>
        <v>0</v>
      </c>
    </row>
    <row r="1401" spans="1:7">
      <c r="A1401">
        <v>7340</v>
      </c>
      <c r="B1401" t="s">
        <v>112</v>
      </c>
      <c r="C1401" t="s">
        <v>121</v>
      </c>
      <c r="D1401" s="9">
        <v>41449.616990740738</v>
      </c>
      <c r="E1401" t="s">
        <v>19</v>
      </c>
      <c r="F1401">
        <f t="shared" ca="1" si="42"/>
        <v>1.5972222222222223</v>
      </c>
      <c r="G1401">
        <f t="shared" ca="1" si="43"/>
        <v>0</v>
      </c>
    </row>
    <row r="1402" spans="1:7">
      <c r="A1402">
        <v>7345</v>
      </c>
      <c r="B1402" t="s">
        <v>21</v>
      </c>
      <c r="C1402" t="s">
        <v>121</v>
      </c>
      <c r="D1402" s="9">
        <v>41450.645370370374</v>
      </c>
      <c r="E1402" t="s">
        <v>20</v>
      </c>
      <c r="F1402">
        <f t="shared" ca="1" si="42"/>
        <v>1.5944444444444446</v>
      </c>
      <c r="G1402">
        <f t="shared" ca="1" si="43"/>
        <v>0</v>
      </c>
    </row>
    <row r="1403" spans="1:7">
      <c r="A1403">
        <v>7347</v>
      </c>
      <c r="B1403" t="s">
        <v>36</v>
      </c>
      <c r="C1403" t="s">
        <v>121</v>
      </c>
      <c r="D1403" s="9">
        <v>41480.447557870371</v>
      </c>
      <c r="E1403" t="s">
        <v>27</v>
      </c>
      <c r="F1403">
        <f t="shared" ca="1" si="42"/>
        <v>1.5111111111111111</v>
      </c>
      <c r="G1403">
        <f t="shared" ca="1" si="43"/>
        <v>0</v>
      </c>
    </row>
    <row r="1404" spans="1:7">
      <c r="A1404">
        <v>7362</v>
      </c>
      <c r="B1404" t="s">
        <v>20</v>
      </c>
      <c r="C1404" t="s">
        <v>121</v>
      </c>
      <c r="D1404" s="9">
        <v>41460.932141203702</v>
      </c>
      <c r="E1404" t="s">
        <v>11</v>
      </c>
      <c r="F1404">
        <f t="shared" ca="1" si="42"/>
        <v>1.5666666666666667</v>
      </c>
      <c r="G1404">
        <f t="shared" ca="1" si="43"/>
        <v>0</v>
      </c>
    </row>
    <row r="1405" spans="1:7">
      <c r="A1405">
        <v>7366</v>
      </c>
      <c r="B1405" t="s">
        <v>44</v>
      </c>
      <c r="C1405" t="s">
        <v>121</v>
      </c>
      <c r="D1405" s="9">
        <v>41460.609050925923</v>
      </c>
      <c r="E1405" t="s">
        <v>29</v>
      </c>
      <c r="F1405">
        <f t="shared" ca="1" si="42"/>
        <v>1.5666666666666667</v>
      </c>
      <c r="G1405">
        <f t="shared" ca="1" si="43"/>
        <v>0</v>
      </c>
    </row>
    <row r="1406" spans="1:7">
      <c r="A1406">
        <v>7372</v>
      </c>
      <c r="B1406" t="s">
        <v>19</v>
      </c>
      <c r="C1406" t="s">
        <v>121</v>
      </c>
      <c r="D1406" s="9">
        <v>41472.642997685187</v>
      </c>
      <c r="E1406" t="s">
        <v>112</v>
      </c>
      <c r="F1406">
        <f t="shared" ca="1" si="42"/>
        <v>1.5333333333333334</v>
      </c>
      <c r="G1406">
        <f t="shared" ca="1" si="43"/>
        <v>0</v>
      </c>
    </row>
    <row r="1407" spans="1:7">
      <c r="A1407">
        <v>7375</v>
      </c>
      <c r="B1407" t="s">
        <v>20</v>
      </c>
      <c r="C1407" t="s">
        <v>121</v>
      </c>
      <c r="D1407" s="9">
        <v>41479.575648148151</v>
      </c>
      <c r="E1407" t="s">
        <v>19</v>
      </c>
      <c r="F1407">
        <f t="shared" ca="1" si="42"/>
        <v>1.5138888888888888</v>
      </c>
      <c r="G1407">
        <f t="shared" ca="1" si="43"/>
        <v>0</v>
      </c>
    </row>
    <row r="1408" spans="1:7">
      <c r="A1408">
        <v>7392</v>
      </c>
      <c r="B1408" t="s">
        <v>11</v>
      </c>
      <c r="C1408" t="s">
        <v>120</v>
      </c>
      <c r="D1408" s="9">
        <v>41495.824664351851</v>
      </c>
      <c r="E1408" t="s">
        <v>27</v>
      </c>
      <c r="F1408">
        <f t="shared" ca="1" si="42"/>
        <v>1.4722222222222223</v>
      </c>
      <c r="G1408">
        <f t="shared" ca="1" si="43"/>
        <v>0</v>
      </c>
    </row>
    <row r="1409" spans="1:7">
      <c r="A1409">
        <v>7393</v>
      </c>
      <c r="B1409" t="s">
        <v>44</v>
      </c>
      <c r="C1409" t="s">
        <v>121</v>
      </c>
      <c r="D1409" s="9">
        <v>41465.655706018515</v>
      </c>
      <c r="E1409" t="s">
        <v>30</v>
      </c>
      <c r="F1409">
        <f t="shared" ca="1" si="42"/>
        <v>1.5527777777777778</v>
      </c>
      <c r="G1409">
        <f t="shared" ca="1" si="43"/>
        <v>0</v>
      </c>
    </row>
    <row r="1410" spans="1:7">
      <c r="A1410">
        <v>7396</v>
      </c>
      <c r="B1410" t="s">
        <v>30</v>
      </c>
      <c r="C1410" t="s">
        <v>119</v>
      </c>
      <c r="D1410" s="9">
        <v>41593.565266203703</v>
      </c>
      <c r="E1410" t="s">
        <v>19</v>
      </c>
      <c r="F1410">
        <f t="shared" ca="1" si="42"/>
        <v>1.2055555555555555</v>
      </c>
      <c r="G1410">
        <f t="shared" ca="1" si="43"/>
        <v>0</v>
      </c>
    </row>
    <row r="1411" spans="1:7">
      <c r="A1411">
        <v>7397</v>
      </c>
      <c r="B1411" t="s">
        <v>19</v>
      </c>
      <c r="C1411" t="s">
        <v>121</v>
      </c>
      <c r="D1411" s="9">
        <v>41480.449571759258</v>
      </c>
      <c r="E1411" t="s">
        <v>17</v>
      </c>
      <c r="F1411">
        <f t="shared" ref="F1411:F1474" ca="1" si="44">YEARFRAC(TODAY(),$D1411)</f>
        <v>1.5111111111111111</v>
      </c>
      <c r="G1411">
        <f t="shared" ref="G1411:G1474" ca="1" si="45">IF($F1411&lt;1,1,0)</f>
        <v>0</v>
      </c>
    </row>
    <row r="1412" spans="1:7">
      <c r="A1412">
        <v>7402</v>
      </c>
      <c r="B1412" t="s">
        <v>11</v>
      </c>
      <c r="C1412" t="s">
        <v>121</v>
      </c>
      <c r="D1412" s="9">
        <v>41480.44976851852</v>
      </c>
      <c r="E1412" t="s">
        <v>36</v>
      </c>
      <c r="F1412">
        <f t="shared" ca="1" si="44"/>
        <v>1.5111111111111111</v>
      </c>
      <c r="G1412">
        <f t="shared" ca="1" si="45"/>
        <v>0</v>
      </c>
    </row>
    <row r="1413" spans="1:7">
      <c r="A1413">
        <v>7414</v>
      </c>
      <c r="B1413" t="s">
        <v>44</v>
      </c>
      <c r="C1413" t="s">
        <v>121</v>
      </c>
      <c r="D1413" s="9">
        <v>41465.720555555556</v>
      </c>
      <c r="E1413" t="s">
        <v>11</v>
      </c>
      <c r="F1413">
        <f t="shared" ca="1" si="44"/>
        <v>1.5527777777777778</v>
      </c>
      <c r="G1413">
        <f t="shared" ca="1" si="45"/>
        <v>0</v>
      </c>
    </row>
    <row r="1414" spans="1:7">
      <c r="A1414">
        <v>7422</v>
      </c>
      <c r="B1414" t="s">
        <v>34</v>
      </c>
      <c r="C1414" t="s">
        <v>120</v>
      </c>
      <c r="D1414" s="9">
        <v>41570.442569444444</v>
      </c>
      <c r="E1414" t="s">
        <v>19</v>
      </c>
      <c r="F1414">
        <f t="shared" ca="1" si="44"/>
        <v>1.2666666666666666</v>
      </c>
      <c r="G1414">
        <f t="shared" ca="1" si="45"/>
        <v>0</v>
      </c>
    </row>
    <row r="1415" spans="1:7">
      <c r="A1415">
        <v>7426</v>
      </c>
      <c r="B1415" t="s">
        <v>21</v>
      </c>
      <c r="C1415" t="s">
        <v>121</v>
      </c>
      <c r="D1415" s="9">
        <v>41480.449999999997</v>
      </c>
      <c r="E1415" t="s">
        <v>30</v>
      </c>
      <c r="F1415">
        <f t="shared" ca="1" si="44"/>
        <v>1.5111111111111111</v>
      </c>
      <c r="G1415">
        <f t="shared" ca="1" si="45"/>
        <v>0</v>
      </c>
    </row>
    <row r="1416" spans="1:7">
      <c r="A1416">
        <v>7433</v>
      </c>
      <c r="B1416" t="s">
        <v>11</v>
      </c>
      <c r="C1416" t="s">
        <v>121</v>
      </c>
      <c r="D1416" s="9">
        <v>41467.646215277775</v>
      </c>
      <c r="E1416" t="s">
        <v>27</v>
      </c>
      <c r="F1416">
        <f t="shared" ca="1" si="44"/>
        <v>1.5472222222222223</v>
      </c>
      <c r="G1416">
        <f t="shared" ca="1" si="45"/>
        <v>0</v>
      </c>
    </row>
    <row r="1417" spans="1:7">
      <c r="A1417">
        <v>7438</v>
      </c>
      <c r="B1417" t="s">
        <v>24</v>
      </c>
      <c r="C1417" t="s">
        <v>121</v>
      </c>
      <c r="D1417" s="9">
        <v>41484.447476851848</v>
      </c>
      <c r="E1417" t="s">
        <v>112</v>
      </c>
      <c r="F1417">
        <f t="shared" ca="1" si="44"/>
        <v>1.5</v>
      </c>
      <c r="G1417">
        <f t="shared" ca="1" si="45"/>
        <v>0</v>
      </c>
    </row>
    <row r="1418" spans="1:7">
      <c r="A1418">
        <v>7445</v>
      </c>
      <c r="B1418" t="s">
        <v>19</v>
      </c>
      <c r="C1418" t="s">
        <v>121</v>
      </c>
      <c r="D1418" s="9">
        <v>41474.615405092591</v>
      </c>
      <c r="E1418" t="s">
        <v>24</v>
      </c>
      <c r="F1418">
        <f t="shared" ca="1" si="44"/>
        <v>1.5277777777777777</v>
      </c>
      <c r="G1418">
        <f t="shared" ca="1" si="45"/>
        <v>0</v>
      </c>
    </row>
    <row r="1419" spans="1:7">
      <c r="A1419">
        <v>7451</v>
      </c>
      <c r="B1419" t="s">
        <v>36</v>
      </c>
      <c r="C1419" t="s">
        <v>121</v>
      </c>
      <c r="D1419" s="9">
        <v>41479.456412037034</v>
      </c>
      <c r="E1419" t="s">
        <v>111</v>
      </c>
      <c r="F1419">
        <f t="shared" ca="1" si="44"/>
        <v>1.5138888888888888</v>
      </c>
      <c r="G1419">
        <f t="shared" ca="1" si="45"/>
        <v>0</v>
      </c>
    </row>
    <row r="1420" spans="1:7">
      <c r="A1420">
        <v>7459</v>
      </c>
      <c r="B1420" t="s">
        <v>21</v>
      </c>
      <c r="C1420" t="s">
        <v>121</v>
      </c>
      <c r="D1420" s="9">
        <v>41481.756157407406</v>
      </c>
      <c r="E1420" t="s">
        <v>36</v>
      </c>
      <c r="F1420">
        <f t="shared" ca="1" si="44"/>
        <v>1.5083333333333333</v>
      </c>
      <c r="G1420">
        <f t="shared" ca="1" si="45"/>
        <v>0</v>
      </c>
    </row>
    <row r="1421" spans="1:7">
      <c r="A1421">
        <v>7462</v>
      </c>
      <c r="B1421" t="s">
        <v>11</v>
      </c>
      <c r="C1421" t="s">
        <v>121</v>
      </c>
      <c r="D1421" s="9">
        <v>41477.724583333336</v>
      </c>
      <c r="E1421" t="s">
        <v>36</v>
      </c>
      <c r="F1421">
        <f t="shared" ca="1" si="44"/>
        <v>1.5194444444444444</v>
      </c>
      <c r="G1421">
        <f t="shared" ca="1" si="45"/>
        <v>0</v>
      </c>
    </row>
    <row r="1422" spans="1:7">
      <c r="A1422">
        <v>7463</v>
      </c>
      <c r="B1422" t="s">
        <v>111</v>
      </c>
      <c r="C1422" t="s">
        <v>121</v>
      </c>
      <c r="D1422" s="9">
        <v>41480.450358796297</v>
      </c>
      <c r="E1422" t="s">
        <v>11</v>
      </c>
      <c r="F1422">
        <f t="shared" ca="1" si="44"/>
        <v>1.5111111111111111</v>
      </c>
      <c r="G1422">
        <f t="shared" ca="1" si="45"/>
        <v>0</v>
      </c>
    </row>
    <row r="1423" spans="1:7">
      <c r="A1423">
        <v>7491</v>
      </c>
      <c r="B1423" t="s">
        <v>24</v>
      </c>
      <c r="C1423" t="s">
        <v>121</v>
      </c>
      <c r="D1423" s="9">
        <v>41480.425358796296</v>
      </c>
      <c r="E1423" t="s">
        <v>44</v>
      </c>
      <c r="F1423">
        <f t="shared" ca="1" si="44"/>
        <v>1.5111111111111111</v>
      </c>
      <c r="G1423">
        <f t="shared" ca="1" si="45"/>
        <v>0</v>
      </c>
    </row>
    <row r="1424" spans="1:7">
      <c r="A1424">
        <v>7499</v>
      </c>
      <c r="B1424" t="s">
        <v>8</v>
      </c>
      <c r="C1424" t="s">
        <v>121</v>
      </c>
      <c r="D1424" s="9">
        <v>41479.767766203702</v>
      </c>
      <c r="E1424" t="s">
        <v>111</v>
      </c>
      <c r="F1424">
        <f t="shared" ca="1" si="44"/>
        <v>1.5138888888888888</v>
      </c>
      <c r="G1424">
        <f t="shared" ca="1" si="45"/>
        <v>0</v>
      </c>
    </row>
    <row r="1425" spans="1:7">
      <c r="A1425">
        <v>7502</v>
      </c>
      <c r="B1425" t="s">
        <v>19</v>
      </c>
      <c r="C1425" t="s">
        <v>121</v>
      </c>
      <c r="D1425" s="9">
        <v>41481.549490740741</v>
      </c>
      <c r="E1425" t="s">
        <v>24</v>
      </c>
      <c r="F1425">
        <f t="shared" ca="1" si="44"/>
        <v>1.5083333333333333</v>
      </c>
      <c r="G1425">
        <f t="shared" ca="1" si="45"/>
        <v>0</v>
      </c>
    </row>
    <row r="1426" spans="1:7">
      <c r="A1426">
        <v>7505</v>
      </c>
      <c r="B1426" t="s">
        <v>38</v>
      </c>
      <c r="C1426" t="s">
        <v>120</v>
      </c>
      <c r="D1426" s="9">
        <v>41577.345243055555</v>
      </c>
      <c r="E1426" t="s">
        <v>112</v>
      </c>
      <c r="F1426">
        <f t="shared" ca="1" si="44"/>
        <v>1.2472222222222222</v>
      </c>
      <c r="G1426">
        <f t="shared" ca="1" si="45"/>
        <v>0</v>
      </c>
    </row>
    <row r="1427" spans="1:7">
      <c r="A1427">
        <v>7525</v>
      </c>
      <c r="B1427" t="s">
        <v>34</v>
      </c>
      <c r="C1427" t="s">
        <v>121</v>
      </c>
      <c r="D1427" s="9">
        <v>41484.682870370372</v>
      </c>
      <c r="E1427" t="s">
        <v>112</v>
      </c>
      <c r="F1427">
        <f t="shared" ca="1" si="44"/>
        <v>1.5</v>
      </c>
      <c r="G1427">
        <f t="shared" ca="1" si="45"/>
        <v>0</v>
      </c>
    </row>
    <row r="1428" spans="1:7">
      <c r="A1428">
        <v>7526</v>
      </c>
      <c r="B1428" t="s">
        <v>34</v>
      </c>
      <c r="C1428" t="s">
        <v>121</v>
      </c>
      <c r="D1428" s="9">
        <v>41484.557326388887</v>
      </c>
      <c r="E1428" t="s">
        <v>112</v>
      </c>
      <c r="F1428">
        <f t="shared" ca="1" si="44"/>
        <v>1.5</v>
      </c>
      <c r="G1428">
        <f t="shared" ca="1" si="45"/>
        <v>0</v>
      </c>
    </row>
    <row r="1429" spans="1:7">
      <c r="A1429">
        <v>7538</v>
      </c>
      <c r="B1429" t="s">
        <v>34</v>
      </c>
      <c r="C1429" t="s">
        <v>120</v>
      </c>
      <c r="D1429" s="9">
        <v>41516.630196759259</v>
      </c>
      <c r="E1429" t="s">
        <v>20</v>
      </c>
      <c r="F1429">
        <f t="shared" ca="1" si="44"/>
        <v>1.413888888888889</v>
      </c>
      <c r="G1429">
        <f t="shared" ca="1" si="45"/>
        <v>0</v>
      </c>
    </row>
    <row r="1430" spans="1:7">
      <c r="A1430">
        <v>7539</v>
      </c>
      <c r="B1430" t="s">
        <v>19</v>
      </c>
      <c r="C1430" t="s">
        <v>120</v>
      </c>
      <c r="D1430" s="9">
        <v>41619.761319444442</v>
      </c>
      <c r="E1430" t="s">
        <v>20</v>
      </c>
      <c r="F1430">
        <f t="shared" ca="1" si="44"/>
        <v>1.1333333333333333</v>
      </c>
      <c r="G1430">
        <f t="shared" ca="1" si="45"/>
        <v>0</v>
      </c>
    </row>
    <row r="1431" spans="1:7">
      <c r="A1431">
        <v>7547</v>
      </c>
      <c r="B1431" t="s">
        <v>11</v>
      </c>
      <c r="C1431" t="s">
        <v>121</v>
      </c>
      <c r="D1431" s="9">
        <v>41484.511782407404</v>
      </c>
      <c r="E1431" t="s">
        <v>112</v>
      </c>
      <c r="F1431">
        <f t="shared" ca="1" si="44"/>
        <v>1.5</v>
      </c>
      <c r="G1431">
        <f t="shared" ca="1" si="45"/>
        <v>0</v>
      </c>
    </row>
    <row r="1432" spans="1:7">
      <c r="A1432">
        <v>7548</v>
      </c>
      <c r="B1432" t="s">
        <v>8</v>
      </c>
      <c r="C1432" t="s">
        <v>120</v>
      </c>
      <c r="D1432" s="9">
        <v>41576.455879629626</v>
      </c>
      <c r="E1432" t="s">
        <v>24</v>
      </c>
      <c r="F1432">
        <f t="shared" ca="1" si="44"/>
        <v>1.25</v>
      </c>
      <c r="G1432">
        <f t="shared" ca="1" si="45"/>
        <v>0</v>
      </c>
    </row>
    <row r="1433" spans="1:7">
      <c r="A1433">
        <v>7557</v>
      </c>
      <c r="B1433" t="s">
        <v>18</v>
      </c>
      <c r="C1433" t="s">
        <v>120</v>
      </c>
      <c r="D1433" s="9">
        <v>41565.673356481479</v>
      </c>
      <c r="E1433" t="s">
        <v>34</v>
      </c>
      <c r="F1433">
        <f t="shared" ca="1" si="44"/>
        <v>1.2805555555555554</v>
      </c>
      <c r="G1433">
        <f t="shared" ca="1" si="45"/>
        <v>0</v>
      </c>
    </row>
    <row r="1434" spans="1:7">
      <c r="A1434">
        <v>7565</v>
      </c>
      <c r="B1434" t="s">
        <v>14</v>
      </c>
      <c r="C1434" t="s">
        <v>120</v>
      </c>
      <c r="D1434" s="9">
        <v>41493.444293981483</v>
      </c>
      <c r="E1434" t="s">
        <v>19</v>
      </c>
      <c r="F1434">
        <f t="shared" ca="1" si="44"/>
        <v>1.4777777777777779</v>
      </c>
      <c r="G1434">
        <f t="shared" ca="1" si="45"/>
        <v>0</v>
      </c>
    </row>
    <row r="1435" spans="1:7">
      <c r="A1435">
        <v>7572</v>
      </c>
      <c r="B1435" t="s">
        <v>34</v>
      </c>
      <c r="C1435" t="s">
        <v>121</v>
      </c>
      <c r="D1435" s="9">
        <v>41487.702662037038</v>
      </c>
      <c r="E1435" t="s">
        <v>112</v>
      </c>
      <c r="F1435">
        <f t="shared" ca="1" si="44"/>
        <v>1.4944444444444445</v>
      </c>
      <c r="G1435">
        <f t="shared" ca="1" si="45"/>
        <v>0</v>
      </c>
    </row>
    <row r="1436" spans="1:7">
      <c r="A1436">
        <v>7601</v>
      </c>
      <c r="B1436" t="s">
        <v>19</v>
      </c>
      <c r="C1436" t="s">
        <v>121</v>
      </c>
      <c r="D1436" s="9">
        <v>41486.519178240742</v>
      </c>
      <c r="E1436" t="s">
        <v>24</v>
      </c>
      <c r="F1436">
        <f t="shared" ca="1" si="44"/>
        <v>1.4972222222222222</v>
      </c>
      <c r="G1436">
        <f t="shared" ca="1" si="45"/>
        <v>0</v>
      </c>
    </row>
    <row r="1437" spans="1:7">
      <c r="A1437">
        <v>7614</v>
      </c>
      <c r="B1437" t="s">
        <v>37</v>
      </c>
      <c r="C1437" t="s">
        <v>120</v>
      </c>
      <c r="D1437" s="9">
        <v>41572.564270833333</v>
      </c>
      <c r="E1437" t="s">
        <v>112</v>
      </c>
      <c r="F1437">
        <f t="shared" ca="1" si="44"/>
        <v>1.2611111111111111</v>
      </c>
      <c r="G1437">
        <f t="shared" ca="1" si="45"/>
        <v>0</v>
      </c>
    </row>
    <row r="1438" spans="1:7">
      <c r="A1438">
        <v>7629</v>
      </c>
      <c r="B1438" t="s">
        <v>34</v>
      </c>
      <c r="C1438" t="s">
        <v>120</v>
      </c>
      <c r="D1438" s="9">
        <v>41516.644328703704</v>
      </c>
      <c r="E1438" t="s">
        <v>29</v>
      </c>
      <c r="F1438">
        <f t="shared" ca="1" si="44"/>
        <v>1.413888888888889</v>
      </c>
      <c r="G1438">
        <f t="shared" ca="1" si="45"/>
        <v>0</v>
      </c>
    </row>
    <row r="1439" spans="1:7">
      <c r="A1439">
        <v>7631</v>
      </c>
      <c r="B1439" t="s">
        <v>34</v>
      </c>
      <c r="C1439" t="s">
        <v>120</v>
      </c>
      <c r="D1439" s="9">
        <v>41516.711944444447</v>
      </c>
      <c r="E1439" t="s">
        <v>112</v>
      </c>
      <c r="F1439">
        <f t="shared" ca="1" si="44"/>
        <v>1.413888888888889</v>
      </c>
      <c r="G1439">
        <f t="shared" ca="1" si="45"/>
        <v>0</v>
      </c>
    </row>
    <row r="1440" spans="1:7">
      <c r="A1440">
        <v>7641</v>
      </c>
      <c r="B1440" t="s">
        <v>112</v>
      </c>
      <c r="C1440" t="s">
        <v>120</v>
      </c>
      <c r="D1440" s="9">
        <v>41516.581469907411</v>
      </c>
      <c r="E1440" t="s">
        <v>19</v>
      </c>
      <c r="F1440">
        <f t="shared" ca="1" si="44"/>
        <v>1.413888888888889</v>
      </c>
      <c r="G1440">
        <f t="shared" ca="1" si="45"/>
        <v>0</v>
      </c>
    </row>
    <row r="1441" spans="1:7">
      <c r="A1441">
        <v>7645</v>
      </c>
      <c r="B1441" t="s">
        <v>30</v>
      </c>
      <c r="C1441" t="s">
        <v>119</v>
      </c>
      <c r="D1441" s="9">
        <v>41607.620393518519</v>
      </c>
      <c r="E1441" t="s">
        <v>23</v>
      </c>
      <c r="F1441">
        <f t="shared" ca="1" si="44"/>
        <v>1.1666666666666667</v>
      </c>
      <c r="G1441">
        <f t="shared" ca="1" si="45"/>
        <v>0</v>
      </c>
    </row>
    <row r="1442" spans="1:7">
      <c r="A1442">
        <v>7655</v>
      </c>
      <c r="B1442" t="s">
        <v>50</v>
      </c>
      <c r="C1442" t="s">
        <v>120</v>
      </c>
      <c r="D1442" s="9">
        <v>41536.608159722222</v>
      </c>
      <c r="E1442" t="s">
        <v>11</v>
      </c>
      <c r="F1442">
        <f t="shared" ca="1" si="44"/>
        <v>1.3611111111111112</v>
      </c>
      <c r="G1442">
        <f t="shared" ca="1" si="45"/>
        <v>0</v>
      </c>
    </row>
    <row r="1443" spans="1:7">
      <c r="A1443">
        <v>7656</v>
      </c>
      <c r="B1443" t="s">
        <v>11</v>
      </c>
      <c r="C1443" t="s">
        <v>120</v>
      </c>
      <c r="D1443" s="9">
        <v>41502.866481481484</v>
      </c>
      <c r="E1443" t="s">
        <v>20</v>
      </c>
      <c r="F1443">
        <f t="shared" ca="1" si="44"/>
        <v>1.4527777777777777</v>
      </c>
      <c r="G1443">
        <f t="shared" ca="1" si="45"/>
        <v>0</v>
      </c>
    </row>
    <row r="1444" spans="1:7">
      <c r="A1444">
        <v>7658</v>
      </c>
      <c r="B1444" t="s">
        <v>21</v>
      </c>
      <c r="C1444" t="s">
        <v>120</v>
      </c>
      <c r="D1444" s="9">
        <v>41570.447905092595</v>
      </c>
      <c r="E1444" t="s">
        <v>11</v>
      </c>
      <c r="F1444">
        <f t="shared" ca="1" si="44"/>
        <v>1.2666666666666666</v>
      </c>
      <c r="G1444">
        <f t="shared" ca="1" si="45"/>
        <v>0</v>
      </c>
    </row>
    <row r="1445" spans="1:7">
      <c r="A1445">
        <v>7679</v>
      </c>
      <c r="B1445" t="s">
        <v>20</v>
      </c>
      <c r="C1445" t="s">
        <v>120</v>
      </c>
      <c r="D1445" s="9">
        <v>41516.781782407408</v>
      </c>
      <c r="E1445" t="s">
        <v>27</v>
      </c>
      <c r="F1445">
        <f t="shared" ca="1" si="44"/>
        <v>1.413888888888889</v>
      </c>
      <c r="G1445">
        <f t="shared" ca="1" si="45"/>
        <v>0</v>
      </c>
    </row>
    <row r="1446" spans="1:7">
      <c r="A1446">
        <v>7683</v>
      </c>
      <c r="B1446" t="s">
        <v>19</v>
      </c>
      <c r="C1446" t="s">
        <v>120</v>
      </c>
      <c r="D1446" s="9">
        <v>41570.492592592593</v>
      </c>
      <c r="E1446" t="s">
        <v>30</v>
      </c>
      <c r="F1446">
        <f t="shared" ca="1" si="44"/>
        <v>1.2666666666666666</v>
      </c>
      <c r="G1446">
        <f t="shared" ca="1" si="45"/>
        <v>0</v>
      </c>
    </row>
    <row r="1447" spans="1:7">
      <c r="A1447">
        <v>7689</v>
      </c>
      <c r="B1447" t="s">
        <v>18</v>
      </c>
      <c r="C1447" t="s">
        <v>120</v>
      </c>
      <c r="D1447" s="9">
        <v>41494.661770833336</v>
      </c>
      <c r="E1447" t="s">
        <v>11</v>
      </c>
      <c r="F1447">
        <f t="shared" ca="1" si="44"/>
        <v>1.4750000000000001</v>
      </c>
      <c r="G1447">
        <f t="shared" ca="1" si="45"/>
        <v>0</v>
      </c>
    </row>
    <row r="1448" spans="1:7">
      <c r="A1448">
        <v>7690</v>
      </c>
      <c r="B1448" t="s">
        <v>24</v>
      </c>
      <c r="C1448" t="s">
        <v>120</v>
      </c>
      <c r="D1448" s="9">
        <v>41533.601840277777</v>
      </c>
      <c r="E1448" t="s">
        <v>8</v>
      </c>
      <c r="F1448">
        <f t="shared" ca="1" si="44"/>
        <v>1.3694444444444445</v>
      </c>
      <c r="G1448">
        <f t="shared" ca="1" si="45"/>
        <v>0</v>
      </c>
    </row>
    <row r="1449" spans="1:7">
      <c r="A1449">
        <v>7694</v>
      </c>
      <c r="B1449" t="s">
        <v>20</v>
      </c>
      <c r="C1449" t="s">
        <v>120</v>
      </c>
      <c r="D1449" s="9">
        <v>41515.685624999998</v>
      </c>
      <c r="E1449" t="s">
        <v>24</v>
      </c>
      <c r="F1449">
        <f t="shared" ca="1" si="44"/>
        <v>1.4166666666666667</v>
      </c>
      <c r="G1449">
        <f t="shared" ca="1" si="45"/>
        <v>0</v>
      </c>
    </row>
    <row r="1450" spans="1:7">
      <c r="A1450">
        <v>7698</v>
      </c>
      <c r="B1450" t="s">
        <v>24</v>
      </c>
      <c r="C1450" t="s">
        <v>120</v>
      </c>
      <c r="D1450" s="9">
        <v>41509.611145833333</v>
      </c>
      <c r="E1450" t="s">
        <v>17</v>
      </c>
      <c r="F1450">
        <f t="shared" ca="1" si="44"/>
        <v>1.4333333333333333</v>
      </c>
      <c r="G1450">
        <f t="shared" ca="1" si="45"/>
        <v>0</v>
      </c>
    </row>
    <row r="1451" spans="1:7">
      <c r="A1451">
        <v>7703</v>
      </c>
      <c r="B1451" t="s">
        <v>24</v>
      </c>
      <c r="C1451" t="s">
        <v>120</v>
      </c>
      <c r="D1451" s="9">
        <v>41515.791643518518</v>
      </c>
      <c r="E1451" t="s">
        <v>111</v>
      </c>
      <c r="F1451">
        <f t="shared" ca="1" si="44"/>
        <v>1.4166666666666667</v>
      </c>
      <c r="G1451">
        <f t="shared" ca="1" si="45"/>
        <v>0</v>
      </c>
    </row>
    <row r="1452" spans="1:7">
      <c r="A1452">
        <v>7705</v>
      </c>
      <c r="B1452" t="s">
        <v>27</v>
      </c>
      <c r="C1452" t="s">
        <v>170</v>
      </c>
      <c r="D1452" s="9">
        <v>41501.775104166663</v>
      </c>
      <c r="E1452" t="s">
        <v>30</v>
      </c>
      <c r="F1452">
        <f t="shared" ca="1" si="44"/>
        <v>1.4555555555555555</v>
      </c>
      <c r="G1452">
        <f t="shared" ca="1" si="45"/>
        <v>0</v>
      </c>
    </row>
    <row r="1453" spans="1:7">
      <c r="A1453">
        <v>7707</v>
      </c>
      <c r="B1453" t="s">
        <v>36</v>
      </c>
      <c r="C1453" t="s">
        <v>120</v>
      </c>
      <c r="D1453" s="9">
        <v>41507.610636574071</v>
      </c>
      <c r="E1453" t="s">
        <v>11</v>
      </c>
      <c r="F1453">
        <f t="shared" ca="1" si="44"/>
        <v>1.4388888888888889</v>
      </c>
      <c r="G1453">
        <f t="shared" ca="1" si="45"/>
        <v>0</v>
      </c>
    </row>
    <row r="1454" spans="1:7">
      <c r="A1454">
        <v>7708</v>
      </c>
      <c r="B1454" t="s">
        <v>8</v>
      </c>
      <c r="C1454" t="s">
        <v>120</v>
      </c>
      <c r="D1454" s="9">
        <v>41505.568240740744</v>
      </c>
      <c r="E1454" t="s">
        <v>24</v>
      </c>
      <c r="F1454">
        <f t="shared" ca="1" si="44"/>
        <v>1.4444444444444444</v>
      </c>
      <c r="G1454">
        <f t="shared" ca="1" si="45"/>
        <v>0</v>
      </c>
    </row>
    <row r="1455" spans="1:7">
      <c r="A1455">
        <v>7720</v>
      </c>
      <c r="B1455" t="s">
        <v>18</v>
      </c>
      <c r="C1455" t="s">
        <v>170</v>
      </c>
      <c r="D1455" s="9">
        <v>41499.653807870367</v>
      </c>
      <c r="E1455" t="s">
        <v>27</v>
      </c>
      <c r="F1455">
        <f t="shared" ca="1" si="44"/>
        <v>1.461111111111111</v>
      </c>
      <c r="G1455">
        <f t="shared" ca="1" si="45"/>
        <v>0</v>
      </c>
    </row>
    <row r="1456" spans="1:7">
      <c r="A1456">
        <v>7737</v>
      </c>
      <c r="B1456" t="s">
        <v>11</v>
      </c>
      <c r="C1456" t="s">
        <v>120</v>
      </c>
      <c r="D1456" s="9">
        <v>41504.078865740739</v>
      </c>
      <c r="E1456" t="s">
        <v>36</v>
      </c>
      <c r="F1456">
        <f t="shared" ca="1" si="44"/>
        <v>1.4472222222222222</v>
      </c>
      <c r="G1456">
        <f t="shared" ca="1" si="45"/>
        <v>0</v>
      </c>
    </row>
    <row r="1457" spans="1:7">
      <c r="A1457">
        <v>7743</v>
      </c>
      <c r="B1457" t="s">
        <v>8</v>
      </c>
      <c r="C1457" t="s">
        <v>120</v>
      </c>
      <c r="D1457" s="9">
        <v>41570.465370370373</v>
      </c>
      <c r="E1457" t="s">
        <v>11</v>
      </c>
      <c r="F1457">
        <f t="shared" ca="1" si="44"/>
        <v>1.2666666666666666</v>
      </c>
      <c r="G1457">
        <f t="shared" ca="1" si="45"/>
        <v>0</v>
      </c>
    </row>
    <row r="1458" spans="1:7">
      <c r="A1458">
        <v>7744</v>
      </c>
      <c r="B1458" t="s">
        <v>18</v>
      </c>
      <c r="C1458" t="s">
        <v>170</v>
      </c>
      <c r="D1458" s="9">
        <v>41505.309861111113</v>
      </c>
      <c r="E1458" t="s">
        <v>27</v>
      </c>
      <c r="F1458">
        <f t="shared" ca="1" si="44"/>
        <v>1.4444444444444444</v>
      </c>
      <c r="G1458">
        <f t="shared" ca="1" si="45"/>
        <v>0</v>
      </c>
    </row>
    <row r="1459" spans="1:7">
      <c r="A1459">
        <v>7760</v>
      </c>
      <c r="B1459" t="s">
        <v>24</v>
      </c>
      <c r="C1459" t="s">
        <v>120</v>
      </c>
      <c r="D1459" s="9">
        <v>41516.692824074074</v>
      </c>
      <c r="E1459" t="s">
        <v>8</v>
      </c>
      <c r="F1459">
        <f t="shared" ca="1" si="44"/>
        <v>1.413888888888889</v>
      </c>
      <c r="G1459">
        <f t="shared" ca="1" si="45"/>
        <v>0</v>
      </c>
    </row>
    <row r="1460" spans="1:7">
      <c r="A1460">
        <v>7767</v>
      </c>
      <c r="B1460" t="s">
        <v>11</v>
      </c>
      <c r="C1460" t="s">
        <v>120</v>
      </c>
      <c r="D1460" s="9">
        <v>41509.618032407408</v>
      </c>
      <c r="E1460" t="s">
        <v>34</v>
      </c>
      <c r="F1460">
        <f t="shared" ca="1" si="44"/>
        <v>1.4333333333333333</v>
      </c>
      <c r="G1460">
        <f t="shared" ca="1" si="45"/>
        <v>0</v>
      </c>
    </row>
    <row r="1461" spans="1:7">
      <c r="A1461">
        <v>7774</v>
      </c>
      <c r="B1461" t="s">
        <v>34</v>
      </c>
      <c r="C1461" t="s">
        <v>120</v>
      </c>
      <c r="D1461" s="9">
        <v>41514.529872685183</v>
      </c>
      <c r="E1461" t="s">
        <v>18</v>
      </c>
      <c r="F1461">
        <f t="shared" ca="1" si="44"/>
        <v>1.4194444444444445</v>
      </c>
      <c r="G1461">
        <f t="shared" ca="1" si="45"/>
        <v>0</v>
      </c>
    </row>
    <row r="1462" spans="1:7">
      <c r="A1462">
        <v>7780</v>
      </c>
      <c r="B1462" t="s">
        <v>8</v>
      </c>
      <c r="C1462" t="s">
        <v>120</v>
      </c>
      <c r="D1462" s="9">
        <v>41530.667604166665</v>
      </c>
      <c r="E1462" t="s">
        <v>29</v>
      </c>
      <c r="F1462">
        <f t="shared" ca="1" si="44"/>
        <v>1.3777777777777778</v>
      </c>
      <c r="G1462">
        <f t="shared" ca="1" si="45"/>
        <v>0</v>
      </c>
    </row>
    <row r="1463" spans="1:7">
      <c r="A1463">
        <v>7785</v>
      </c>
      <c r="B1463" t="s">
        <v>11</v>
      </c>
      <c r="C1463" t="s">
        <v>120</v>
      </c>
      <c r="D1463" s="9">
        <v>41533.477824074071</v>
      </c>
      <c r="E1463" t="s">
        <v>23</v>
      </c>
      <c r="F1463">
        <f t="shared" ca="1" si="44"/>
        <v>1.3694444444444445</v>
      </c>
      <c r="G1463">
        <f t="shared" ca="1" si="45"/>
        <v>0</v>
      </c>
    </row>
    <row r="1464" spans="1:7">
      <c r="A1464">
        <v>7788</v>
      </c>
      <c r="B1464" t="s">
        <v>21</v>
      </c>
      <c r="C1464" t="s">
        <v>120</v>
      </c>
      <c r="D1464" s="9">
        <v>41569.767106481479</v>
      </c>
      <c r="E1464" t="s">
        <v>32</v>
      </c>
      <c r="F1464">
        <f t="shared" ca="1" si="44"/>
        <v>1.2694444444444444</v>
      </c>
      <c r="G1464">
        <f t="shared" ca="1" si="45"/>
        <v>0</v>
      </c>
    </row>
    <row r="1465" spans="1:7">
      <c r="A1465">
        <v>7799</v>
      </c>
      <c r="B1465" t="s">
        <v>20</v>
      </c>
      <c r="C1465" t="s">
        <v>120</v>
      </c>
      <c r="D1465" s="9">
        <v>41570.466469907406</v>
      </c>
      <c r="E1465" t="s">
        <v>32</v>
      </c>
      <c r="F1465">
        <f t="shared" ca="1" si="44"/>
        <v>1.2666666666666666</v>
      </c>
      <c r="G1465">
        <f t="shared" ca="1" si="45"/>
        <v>0</v>
      </c>
    </row>
    <row r="1466" spans="1:7">
      <c r="A1466">
        <v>7813</v>
      </c>
      <c r="B1466" t="s">
        <v>21</v>
      </c>
      <c r="C1466" t="s">
        <v>120</v>
      </c>
      <c r="D1466" s="9">
        <v>41509.779386574075</v>
      </c>
      <c r="E1466" t="s">
        <v>11</v>
      </c>
      <c r="F1466">
        <f t="shared" ca="1" si="44"/>
        <v>1.4333333333333333</v>
      </c>
      <c r="G1466">
        <f t="shared" ca="1" si="45"/>
        <v>0</v>
      </c>
    </row>
    <row r="1467" spans="1:7">
      <c r="A1467">
        <v>7822</v>
      </c>
      <c r="B1467" t="s">
        <v>11</v>
      </c>
      <c r="C1467" t="s">
        <v>120</v>
      </c>
      <c r="D1467" s="9">
        <v>41565.885254629633</v>
      </c>
      <c r="E1467" t="s">
        <v>36</v>
      </c>
      <c r="F1467">
        <f t="shared" ca="1" si="44"/>
        <v>1.2805555555555554</v>
      </c>
      <c r="G1467">
        <f t="shared" ca="1" si="45"/>
        <v>0</v>
      </c>
    </row>
    <row r="1468" spans="1:7">
      <c r="A1468">
        <v>7830</v>
      </c>
      <c r="B1468" t="s">
        <v>37</v>
      </c>
      <c r="C1468" t="s">
        <v>120</v>
      </c>
      <c r="D1468" s="9">
        <v>41572.602951388886</v>
      </c>
      <c r="E1468" t="s">
        <v>112</v>
      </c>
      <c r="F1468">
        <f t="shared" ca="1" si="44"/>
        <v>1.2611111111111111</v>
      </c>
      <c r="G1468">
        <f t="shared" ca="1" si="45"/>
        <v>0</v>
      </c>
    </row>
    <row r="1469" spans="1:7">
      <c r="A1469">
        <v>7843</v>
      </c>
      <c r="B1469" t="s">
        <v>11</v>
      </c>
      <c r="C1469" t="s">
        <v>120</v>
      </c>
      <c r="D1469" s="9">
        <v>41663.794074074074</v>
      </c>
      <c r="E1469" t="s">
        <v>27</v>
      </c>
      <c r="F1469">
        <f t="shared" ca="1" si="44"/>
        <v>1.0138888888888888</v>
      </c>
      <c r="G1469">
        <f t="shared" ca="1" si="45"/>
        <v>0</v>
      </c>
    </row>
    <row r="1470" spans="1:7">
      <c r="A1470">
        <v>7844</v>
      </c>
      <c r="B1470" t="s">
        <v>24</v>
      </c>
      <c r="C1470" t="s">
        <v>120</v>
      </c>
      <c r="D1470" s="9">
        <v>41516.832789351851</v>
      </c>
      <c r="E1470" t="s">
        <v>11</v>
      </c>
      <c r="F1470">
        <f t="shared" ca="1" si="44"/>
        <v>1.413888888888889</v>
      </c>
      <c r="G1470">
        <f t="shared" ca="1" si="45"/>
        <v>0</v>
      </c>
    </row>
    <row r="1471" spans="1:7">
      <c r="A1471">
        <v>7847</v>
      </c>
      <c r="B1471" t="s">
        <v>21</v>
      </c>
      <c r="C1471" t="s">
        <v>120</v>
      </c>
      <c r="D1471" s="9">
        <v>41570.478993055556</v>
      </c>
      <c r="E1471" t="s">
        <v>11</v>
      </c>
      <c r="F1471">
        <f t="shared" ca="1" si="44"/>
        <v>1.2666666666666666</v>
      </c>
      <c r="G1471">
        <f t="shared" ca="1" si="45"/>
        <v>0</v>
      </c>
    </row>
    <row r="1472" spans="1:7">
      <c r="A1472">
        <v>7858</v>
      </c>
      <c r="B1472" t="s">
        <v>20</v>
      </c>
      <c r="C1472" t="s">
        <v>120</v>
      </c>
      <c r="D1472" s="9">
        <v>41521.672939814816</v>
      </c>
      <c r="E1472" t="s">
        <v>11</v>
      </c>
      <c r="F1472">
        <f t="shared" ca="1" si="44"/>
        <v>1.4027777777777777</v>
      </c>
      <c r="G1472">
        <f t="shared" ca="1" si="45"/>
        <v>0</v>
      </c>
    </row>
    <row r="1473" spans="1:7">
      <c r="A1473">
        <v>7865</v>
      </c>
      <c r="B1473" t="s">
        <v>29</v>
      </c>
      <c r="C1473" t="s">
        <v>120</v>
      </c>
      <c r="D1473" s="9">
        <v>41576.375196759262</v>
      </c>
      <c r="E1473" t="s">
        <v>112</v>
      </c>
      <c r="F1473">
        <f t="shared" ca="1" si="44"/>
        <v>1.25</v>
      </c>
      <c r="G1473">
        <f t="shared" ca="1" si="45"/>
        <v>0</v>
      </c>
    </row>
    <row r="1474" spans="1:7">
      <c r="A1474">
        <v>7880</v>
      </c>
      <c r="B1474" t="s">
        <v>21</v>
      </c>
      <c r="C1474" t="s">
        <v>120</v>
      </c>
      <c r="D1474" s="9">
        <v>41570.494791666664</v>
      </c>
      <c r="E1474" t="s">
        <v>32</v>
      </c>
      <c r="F1474">
        <f t="shared" ca="1" si="44"/>
        <v>1.2666666666666666</v>
      </c>
      <c r="G1474">
        <f t="shared" ca="1" si="45"/>
        <v>0</v>
      </c>
    </row>
    <row r="1475" spans="1:7">
      <c r="A1475">
        <v>7889</v>
      </c>
      <c r="B1475" t="s">
        <v>24</v>
      </c>
      <c r="C1475" t="s">
        <v>120</v>
      </c>
      <c r="D1475" s="9">
        <v>41570.483634259261</v>
      </c>
      <c r="E1475" t="s">
        <v>23</v>
      </c>
      <c r="F1475">
        <f t="shared" ref="F1475:F1538" ca="1" si="46">YEARFRAC(TODAY(),$D1475)</f>
        <v>1.2666666666666666</v>
      </c>
      <c r="G1475">
        <f t="shared" ref="G1475:G1538" ca="1" si="47">IF($F1475&lt;1,1,0)</f>
        <v>0</v>
      </c>
    </row>
    <row r="1476" spans="1:7">
      <c r="A1476">
        <v>7891</v>
      </c>
      <c r="B1476" t="s">
        <v>8</v>
      </c>
      <c r="C1476" t="s">
        <v>119</v>
      </c>
      <c r="D1476" s="9">
        <v>41673.4296412037</v>
      </c>
      <c r="E1476" t="s">
        <v>34</v>
      </c>
      <c r="F1476">
        <f t="shared" ca="1" si="46"/>
        <v>0.98888888888888893</v>
      </c>
      <c r="G1476">
        <f t="shared" ca="1" si="47"/>
        <v>1</v>
      </c>
    </row>
    <row r="1477" spans="1:7">
      <c r="A1477">
        <v>7893</v>
      </c>
      <c r="B1477" t="s">
        <v>21</v>
      </c>
      <c r="C1477" t="s">
        <v>120</v>
      </c>
      <c r="D1477" s="9">
        <v>41570.478738425925</v>
      </c>
      <c r="E1477" t="s">
        <v>20</v>
      </c>
      <c r="F1477">
        <f t="shared" ca="1" si="46"/>
        <v>1.2666666666666666</v>
      </c>
      <c r="G1477">
        <f t="shared" ca="1" si="47"/>
        <v>0</v>
      </c>
    </row>
    <row r="1478" spans="1:7">
      <c r="A1478">
        <v>7901</v>
      </c>
      <c r="B1478" t="s">
        <v>14</v>
      </c>
      <c r="C1478" t="s">
        <v>120</v>
      </c>
      <c r="D1478" s="9">
        <v>41533.382719907408</v>
      </c>
      <c r="F1478">
        <f t="shared" ca="1" si="46"/>
        <v>1.3694444444444445</v>
      </c>
      <c r="G1478">
        <f t="shared" ca="1" si="47"/>
        <v>0</v>
      </c>
    </row>
    <row r="1479" spans="1:7">
      <c r="A1479">
        <v>7902</v>
      </c>
      <c r="B1479" t="s">
        <v>34</v>
      </c>
      <c r="C1479" t="s">
        <v>120</v>
      </c>
      <c r="D1479" s="9">
        <v>41530.599456018521</v>
      </c>
      <c r="E1479" t="s">
        <v>8</v>
      </c>
      <c r="F1479">
        <f t="shared" ca="1" si="46"/>
        <v>1.3777777777777778</v>
      </c>
      <c r="G1479">
        <f t="shared" ca="1" si="47"/>
        <v>0</v>
      </c>
    </row>
    <row r="1480" spans="1:7">
      <c r="A1480">
        <v>7918</v>
      </c>
      <c r="B1480" t="s">
        <v>34</v>
      </c>
      <c r="C1480" t="s">
        <v>120</v>
      </c>
      <c r="D1480" s="9">
        <v>41571.576099537036</v>
      </c>
      <c r="E1480" t="s">
        <v>112</v>
      </c>
      <c r="F1480">
        <f t="shared" ca="1" si="46"/>
        <v>1.2638888888888888</v>
      </c>
      <c r="G1480">
        <f t="shared" ca="1" si="47"/>
        <v>0</v>
      </c>
    </row>
    <row r="1481" spans="1:7">
      <c r="A1481">
        <v>7919</v>
      </c>
      <c r="B1481" t="s">
        <v>34</v>
      </c>
      <c r="C1481" t="s">
        <v>120</v>
      </c>
      <c r="D1481" s="9">
        <v>41536.811898148146</v>
      </c>
      <c r="E1481" t="s">
        <v>20</v>
      </c>
      <c r="F1481">
        <f t="shared" ca="1" si="46"/>
        <v>1.3611111111111112</v>
      </c>
      <c r="G1481">
        <f t="shared" ca="1" si="47"/>
        <v>0</v>
      </c>
    </row>
    <row r="1482" spans="1:7">
      <c r="A1482">
        <v>7927</v>
      </c>
      <c r="B1482" t="s">
        <v>34</v>
      </c>
      <c r="C1482" t="s">
        <v>120</v>
      </c>
      <c r="D1482" s="9">
        <v>41530.643807870372</v>
      </c>
      <c r="E1482" t="s">
        <v>30</v>
      </c>
      <c r="F1482">
        <f t="shared" ca="1" si="46"/>
        <v>1.3777777777777778</v>
      </c>
      <c r="G1482">
        <f t="shared" ca="1" si="47"/>
        <v>0</v>
      </c>
    </row>
    <row r="1483" spans="1:7">
      <c r="A1483">
        <v>7928</v>
      </c>
      <c r="B1483" t="s">
        <v>19</v>
      </c>
      <c r="C1483" t="s">
        <v>120</v>
      </c>
      <c r="D1483" s="9">
        <v>41544.602511574078</v>
      </c>
      <c r="E1483" t="s">
        <v>18</v>
      </c>
      <c r="F1483">
        <f t="shared" ca="1" si="46"/>
        <v>1.3388888888888888</v>
      </c>
      <c r="G1483">
        <f t="shared" ca="1" si="47"/>
        <v>0</v>
      </c>
    </row>
    <row r="1484" spans="1:7">
      <c r="A1484">
        <v>7945</v>
      </c>
      <c r="B1484" t="s">
        <v>20</v>
      </c>
      <c r="C1484" t="s">
        <v>120</v>
      </c>
      <c r="D1484" s="9">
        <v>41534.825509259259</v>
      </c>
      <c r="E1484" t="s">
        <v>11</v>
      </c>
      <c r="F1484">
        <f t="shared" ca="1" si="46"/>
        <v>1.3666666666666667</v>
      </c>
      <c r="G1484">
        <f t="shared" ca="1" si="47"/>
        <v>0</v>
      </c>
    </row>
    <row r="1485" spans="1:7">
      <c r="A1485">
        <v>7954</v>
      </c>
      <c r="B1485" t="s">
        <v>34</v>
      </c>
      <c r="C1485" t="s">
        <v>120</v>
      </c>
      <c r="D1485" s="9">
        <v>41575.446759259263</v>
      </c>
      <c r="E1485" t="s">
        <v>112</v>
      </c>
      <c r="F1485">
        <f t="shared" ca="1" si="46"/>
        <v>1.2527777777777778</v>
      </c>
      <c r="G1485">
        <f t="shared" ca="1" si="47"/>
        <v>0</v>
      </c>
    </row>
    <row r="1486" spans="1:7">
      <c r="A1486">
        <v>7968</v>
      </c>
      <c r="B1486" t="s">
        <v>8</v>
      </c>
      <c r="C1486" t="s">
        <v>120</v>
      </c>
      <c r="D1486" s="9">
        <v>41551.56486111111</v>
      </c>
      <c r="E1486" t="s">
        <v>37</v>
      </c>
      <c r="F1486">
        <f t="shared" ca="1" si="46"/>
        <v>1.3194444444444444</v>
      </c>
      <c r="G1486">
        <f t="shared" ca="1" si="47"/>
        <v>0</v>
      </c>
    </row>
    <row r="1487" spans="1:7">
      <c r="A1487">
        <v>7974</v>
      </c>
      <c r="B1487" t="s">
        <v>24</v>
      </c>
      <c r="C1487" t="s">
        <v>120</v>
      </c>
      <c r="D1487" s="9">
        <v>41537.643067129633</v>
      </c>
      <c r="E1487" t="s">
        <v>112</v>
      </c>
      <c r="F1487">
        <f t="shared" ca="1" si="46"/>
        <v>1.3583333333333334</v>
      </c>
      <c r="G1487">
        <f t="shared" ca="1" si="47"/>
        <v>0</v>
      </c>
    </row>
    <row r="1488" spans="1:7">
      <c r="A1488">
        <v>7980</v>
      </c>
      <c r="B1488" t="s">
        <v>38</v>
      </c>
      <c r="C1488" t="s">
        <v>120</v>
      </c>
      <c r="D1488" s="9">
        <v>41563.62122685185</v>
      </c>
      <c r="E1488" t="s">
        <v>11</v>
      </c>
      <c r="F1488">
        <f t="shared" ca="1" si="46"/>
        <v>1.2861111111111112</v>
      </c>
      <c r="G1488">
        <f t="shared" ca="1" si="47"/>
        <v>0</v>
      </c>
    </row>
    <row r="1489" spans="1:7">
      <c r="A1489">
        <v>7982</v>
      </c>
      <c r="B1489" t="s">
        <v>19</v>
      </c>
      <c r="C1489" t="s">
        <v>120</v>
      </c>
      <c r="D1489" s="9">
        <v>41558.663518518515</v>
      </c>
      <c r="E1489" t="s">
        <v>17</v>
      </c>
      <c r="F1489">
        <f t="shared" ca="1" si="46"/>
        <v>1.3</v>
      </c>
      <c r="G1489">
        <f t="shared" ca="1" si="47"/>
        <v>0</v>
      </c>
    </row>
    <row r="1490" spans="1:7">
      <c r="A1490">
        <v>7983</v>
      </c>
      <c r="B1490" t="s">
        <v>19</v>
      </c>
      <c r="C1490" t="s">
        <v>120</v>
      </c>
      <c r="D1490" s="9">
        <v>41544.663831018515</v>
      </c>
      <c r="E1490" t="s">
        <v>21</v>
      </c>
      <c r="F1490">
        <f t="shared" ca="1" si="46"/>
        <v>1.3388888888888888</v>
      </c>
      <c r="G1490">
        <f t="shared" ca="1" si="47"/>
        <v>0</v>
      </c>
    </row>
    <row r="1491" spans="1:7">
      <c r="A1491">
        <v>7987</v>
      </c>
      <c r="B1491" t="s">
        <v>20</v>
      </c>
      <c r="C1491" t="s">
        <v>118</v>
      </c>
      <c r="D1491" s="9">
        <v>41695.836458333331</v>
      </c>
      <c r="E1491" t="s">
        <v>21</v>
      </c>
      <c r="F1491">
        <f t="shared" ca="1" si="46"/>
        <v>0.92777777777777781</v>
      </c>
      <c r="G1491">
        <f t="shared" ca="1" si="47"/>
        <v>1</v>
      </c>
    </row>
    <row r="1492" spans="1:7">
      <c r="A1492">
        <v>8000</v>
      </c>
      <c r="B1492" t="s">
        <v>8</v>
      </c>
      <c r="C1492" t="s">
        <v>120</v>
      </c>
      <c r="D1492" s="9">
        <v>41542.655115740738</v>
      </c>
      <c r="E1492" t="s">
        <v>11</v>
      </c>
      <c r="F1492">
        <f t="shared" ca="1" si="46"/>
        <v>1.3444444444444446</v>
      </c>
      <c r="G1492">
        <f t="shared" ca="1" si="47"/>
        <v>0</v>
      </c>
    </row>
    <row r="1493" spans="1:7">
      <c r="A1493">
        <v>8001</v>
      </c>
      <c r="B1493" t="s">
        <v>24</v>
      </c>
      <c r="C1493" t="s">
        <v>120</v>
      </c>
      <c r="D1493" s="9">
        <v>41541.403055555558</v>
      </c>
      <c r="E1493" t="s">
        <v>8</v>
      </c>
      <c r="F1493">
        <f t="shared" ca="1" si="46"/>
        <v>1.3472222222222223</v>
      </c>
      <c r="G1493">
        <f t="shared" ca="1" si="47"/>
        <v>0</v>
      </c>
    </row>
    <row r="1494" spans="1:7">
      <c r="A1494">
        <v>8006</v>
      </c>
      <c r="B1494" t="s">
        <v>11</v>
      </c>
      <c r="C1494" t="s">
        <v>120</v>
      </c>
      <c r="D1494" s="9">
        <v>41562.831793981481</v>
      </c>
      <c r="E1494" t="s">
        <v>8</v>
      </c>
      <c r="F1494">
        <f t="shared" ca="1" si="46"/>
        <v>1.288888888888889</v>
      </c>
      <c r="G1494">
        <f t="shared" ca="1" si="47"/>
        <v>0</v>
      </c>
    </row>
    <row r="1495" spans="1:7">
      <c r="A1495">
        <v>8018</v>
      </c>
      <c r="B1495" t="s">
        <v>11</v>
      </c>
      <c r="C1495" t="s">
        <v>120</v>
      </c>
      <c r="D1495" s="9">
        <v>41562.707951388889</v>
      </c>
      <c r="E1495" t="s">
        <v>19</v>
      </c>
      <c r="F1495">
        <f t="shared" ca="1" si="46"/>
        <v>1.288888888888889</v>
      </c>
      <c r="G1495">
        <f t="shared" ca="1" si="47"/>
        <v>0</v>
      </c>
    </row>
    <row r="1496" spans="1:7">
      <c r="A1496">
        <v>8032</v>
      </c>
      <c r="B1496" t="s">
        <v>34</v>
      </c>
      <c r="C1496" t="s">
        <v>120</v>
      </c>
      <c r="D1496" s="9">
        <v>41547.617118055554</v>
      </c>
      <c r="E1496" t="s">
        <v>18</v>
      </c>
      <c r="F1496">
        <f t="shared" ca="1" si="46"/>
        <v>1.3305555555555555</v>
      </c>
      <c r="G1496">
        <f t="shared" ca="1" si="47"/>
        <v>0</v>
      </c>
    </row>
    <row r="1497" spans="1:7">
      <c r="A1497">
        <v>8037</v>
      </c>
      <c r="B1497" t="s">
        <v>34</v>
      </c>
      <c r="C1497" t="s">
        <v>120</v>
      </c>
      <c r="D1497" s="9">
        <v>41545.403587962966</v>
      </c>
      <c r="E1497" t="s">
        <v>8</v>
      </c>
      <c r="F1497">
        <f t="shared" ca="1" si="46"/>
        <v>1.336111111111111</v>
      </c>
      <c r="G1497">
        <f t="shared" ca="1" si="47"/>
        <v>0</v>
      </c>
    </row>
    <row r="1498" spans="1:7">
      <c r="A1498">
        <v>8056</v>
      </c>
      <c r="B1498" t="s">
        <v>11</v>
      </c>
      <c r="C1498" t="s">
        <v>120</v>
      </c>
      <c r="D1498" s="9">
        <v>41577.571030092593</v>
      </c>
      <c r="E1498" t="s">
        <v>20</v>
      </c>
      <c r="F1498">
        <f t="shared" ca="1" si="46"/>
        <v>1.2472222222222222</v>
      </c>
      <c r="G1498">
        <f t="shared" ca="1" si="47"/>
        <v>0</v>
      </c>
    </row>
    <row r="1499" spans="1:7">
      <c r="A1499">
        <v>8085</v>
      </c>
      <c r="B1499" t="s">
        <v>213</v>
      </c>
      <c r="C1499" t="s">
        <v>209</v>
      </c>
      <c r="D1499" s="9">
        <v>41936.39947916667</v>
      </c>
      <c r="E1499" t="s">
        <v>211</v>
      </c>
      <c r="F1499">
        <f t="shared" ca="1" si="46"/>
        <v>0.2638888888888889</v>
      </c>
      <c r="G1499">
        <f t="shared" ca="1" si="47"/>
        <v>1</v>
      </c>
    </row>
    <row r="1500" spans="1:7">
      <c r="A1500">
        <v>8086</v>
      </c>
      <c r="B1500" t="s">
        <v>8</v>
      </c>
      <c r="C1500" t="s">
        <v>120</v>
      </c>
      <c r="D1500" s="9">
        <v>41558.583761574075</v>
      </c>
      <c r="E1500" t="s">
        <v>19</v>
      </c>
      <c r="F1500">
        <f t="shared" ca="1" si="46"/>
        <v>1.3</v>
      </c>
      <c r="G1500">
        <f t="shared" ca="1" si="47"/>
        <v>0</v>
      </c>
    </row>
    <row r="1501" spans="1:7">
      <c r="A1501">
        <v>8108</v>
      </c>
      <c r="B1501" t="s">
        <v>11</v>
      </c>
      <c r="C1501" t="s">
        <v>120</v>
      </c>
      <c r="D1501" s="9">
        <v>41568.706122685187</v>
      </c>
      <c r="E1501" t="s">
        <v>36</v>
      </c>
      <c r="F1501">
        <f t="shared" ca="1" si="46"/>
        <v>1.2722222222222221</v>
      </c>
      <c r="G1501">
        <f t="shared" ca="1" si="47"/>
        <v>0</v>
      </c>
    </row>
    <row r="1502" spans="1:7">
      <c r="A1502">
        <v>8110</v>
      </c>
      <c r="B1502" t="s">
        <v>14</v>
      </c>
      <c r="C1502" t="s">
        <v>120</v>
      </c>
      <c r="D1502" s="9">
        <v>41558.607361111113</v>
      </c>
      <c r="E1502" t="s">
        <v>17</v>
      </c>
      <c r="F1502">
        <f t="shared" ca="1" si="46"/>
        <v>1.3</v>
      </c>
      <c r="G1502">
        <f t="shared" ca="1" si="47"/>
        <v>0</v>
      </c>
    </row>
    <row r="1503" spans="1:7">
      <c r="A1503">
        <v>8132</v>
      </c>
      <c r="B1503" t="s">
        <v>19</v>
      </c>
      <c r="C1503" t="s">
        <v>120</v>
      </c>
      <c r="D1503" s="9">
        <v>41565.502662037034</v>
      </c>
      <c r="E1503" t="s">
        <v>17</v>
      </c>
      <c r="F1503">
        <f t="shared" ca="1" si="46"/>
        <v>1.2805555555555554</v>
      </c>
      <c r="G1503">
        <f t="shared" ca="1" si="47"/>
        <v>0</v>
      </c>
    </row>
    <row r="1504" spans="1:7">
      <c r="A1504">
        <v>8148</v>
      </c>
      <c r="B1504" t="s">
        <v>8</v>
      </c>
      <c r="C1504" t="s">
        <v>120</v>
      </c>
      <c r="D1504" s="9">
        <v>41565.760555555556</v>
      </c>
      <c r="E1504" t="s">
        <v>21</v>
      </c>
      <c r="F1504">
        <f t="shared" ca="1" si="46"/>
        <v>1.2805555555555554</v>
      </c>
      <c r="G1504">
        <f t="shared" ca="1" si="47"/>
        <v>0</v>
      </c>
    </row>
    <row r="1505" spans="1:7">
      <c r="A1505">
        <v>8149</v>
      </c>
      <c r="B1505" t="s">
        <v>19</v>
      </c>
      <c r="C1505" t="s">
        <v>120</v>
      </c>
      <c r="D1505" s="9">
        <v>41565.627743055556</v>
      </c>
      <c r="E1505" t="s">
        <v>24</v>
      </c>
      <c r="F1505">
        <f t="shared" ca="1" si="46"/>
        <v>1.2805555555555554</v>
      </c>
      <c r="G1505">
        <f t="shared" ca="1" si="47"/>
        <v>0</v>
      </c>
    </row>
    <row r="1506" spans="1:7">
      <c r="A1506">
        <v>8153</v>
      </c>
      <c r="B1506" t="s">
        <v>17</v>
      </c>
      <c r="C1506" t="s">
        <v>120</v>
      </c>
      <c r="D1506" s="9">
        <v>41583.596655092595</v>
      </c>
      <c r="E1506" t="s">
        <v>11</v>
      </c>
      <c r="F1506">
        <f t="shared" ca="1" si="46"/>
        <v>1.2333333333333334</v>
      </c>
      <c r="G1506">
        <f t="shared" ca="1" si="47"/>
        <v>0</v>
      </c>
    </row>
    <row r="1507" spans="1:7">
      <c r="A1507">
        <v>8157</v>
      </c>
      <c r="B1507" t="s">
        <v>34</v>
      </c>
      <c r="C1507" t="s">
        <v>120</v>
      </c>
      <c r="D1507" s="9">
        <v>41568.650706018518</v>
      </c>
      <c r="E1507" t="s">
        <v>21</v>
      </c>
      <c r="F1507">
        <f t="shared" ca="1" si="46"/>
        <v>1.2722222222222221</v>
      </c>
      <c r="G1507">
        <f t="shared" ca="1" si="47"/>
        <v>0</v>
      </c>
    </row>
    <row r="1508" spans="1:7">
      <c r="A1508">
        <v>8181</v>
      </c>
      <c r="B1508" t="s">
        <v>38</v>
      </c>
      <c r="C1508" t="s">
        <v>120</v>
      </c>
      <c r="D1508" s="9">
        <v>41575.572997685187</v>
      </c>
      <c r="E1508" t="s">
        <v>112</v>
      </c>
      <c r="F1508">
        <f t="shared" ca="1" si="46"/>
        <v>1.2527777777777778</v>
      </c>
      <c r="G1508">
        <f t="shared" ca="1" si="47"/>
        <v>0</v>
      </c>
    </row>
    <row r="1509" spans="1:7">
      <c r="A1509">
        <v>8183</v>
      </c>
      <c r="B1509" t="s">
        <v>19</v>
      </c>
      <c r="C1509" t="s">
        <v>120</v>
      </c>
      <c r="D1509" s="9">
        <v>41572.811921296299</v>
      </c>
      <c r="E1509" t="s">
        <v>36</v>
      </c>
      <c r="F1509">
        <f t="shared" ca="1" si="46"/>
        <v>1.2611111111111111</v>
      </c>
      <c r="G1509">
        <f t="shared" ca="1" si="47"/>
        <v>0</v>
      </c>
    </row>
    <row r="1510" spans="1:7">
      <c r="A1510">
        <v>8186</v>
      </c>
      <c r="B1510" t="s">
        <v>24</v>
      </c>
      <c r="C1510" t="s">
        <v>120</v>
      </c>
      <c r="D1510" s="9">
        <v>41571.588576388887</v>
      </c>
      <c r="E1510" t="s">
        <v>112</v>
      </c>
      <c r="F1510">
        <f t="shared" ca="1" si="46"/>
        <v>1.2638888888888888</v>
      </c>
      <c r="G1510">
        <f t="shared" ca="1" si="47"/>
        <v>0</v>
      </c>
    </row>
    <row r="1511" spans="1:7">
      <c r="A1511">
        <v>8194</v>
      </c>
      <c r="B1511" t="s">
        <v>44</v>
      </c>
      <c r="C1511" t="s">
        <v>120</v>
      </c>
      <c r="D1511" s="9">
        <v>41576.438900462963</v>
      </c>
      <c r="E1511" t="s">
        <v>34</v>
      </c>
      <c r="F1511">
        <f t="shared" ca="1" si="46"/>
        <v>1.25</v>
      </c>
      <c r="G1511">
        <f t="shared" ca="1" si="47"/>
        <v>0</v>
      </c>
    </row>
    <row r="1512" spans="1:7">
      <c r="A1512">
        <v>8206</v>
      </c>
      <c r="B1512" t="s">
        <v>17</v>
      </c>
      <c r="C1512" t="s">
        <v>120</v>
      </c>
      <c r="D1512" s="9">
        <v>41578.618171296293</v>
      </c>
      <c r="E1512" t="s">
        <v>8</v>
      </c>
      <c r="F1512">
        <f t="shared" ca="1" si="46"/>
        <v>1.2472222222222222</v>
      </c>
      <c r="G1512">
        <f t="shared" ca="1" si="47"/>
        <v>0</v>
      </c>
    </row>
    <row r="1513" spans="1:7">
      <c r="A1513">
        <v>8213</v>
      </c>
      <c r="B1513" t="s">
        <v>112</v>
      </c>
      <c r="C1513" t="s">
        <v>120</v>
      </c>
      <c r="D1513" s="9">
        <v>41572.43273148148</v>
      </c>
      <c r="E1513" t="s">
        <v>24</v>
      </c>
      <c r="F1513">
        <f t="shared" ca="1" si="46"/>
        <v>1.2611111111111111</v>
      </c>
      <c r="G1513">
        <f t="shared" ca="1" si="47"/>
        <v>0</v>
      </c>
    </row>
    <row r="1514" spans="1:7">
      <c r="A1514">
        <v>8215</v>
      </c>
      <c r="B1514" t="s">
        <v>20</v>
      </c>
      <c r="C1514" t="s">
        <v>120</v>
      </c>
      <c r="D1514" s="9">
        <v>41572.402407407404</v>
      </c>
      <c r="E1514" t="s">
        <v>30</v>
      </c>
      <c r="F1514">
        <f t="shared" ca="1" si="46"/>
        <v>1.2611111111111111</v>
      </c>
      <c r="G1514">
        <f t="shared" ca="1" si="47"/>
        <v>0</v>
      </c>
    </row>
    <row r="1515" spans="1:7">
      <c r="A1515">
        <v>8216</v>
      </c>
      <c r="B1515" t="s">
        <v>8</v>
      </c>
      <c r="C1515" t="s">
        <v>118</v>
      </c>
      <c r="D1515" s="9">
        <v>41723.635462962964</v>
      </c>
      <c r="E1515" t="s">
        <v>23</v>
      </c>
      <c r="F1515">
        <f t="shared" ca="1" si="46"/>
        <v>0.84444444444444444</v>
      </c>
      <c r="G1515">
        <f t="shared" ca="1" si="47"/>
        <v>1</v>
      </c>
    </row>
    <row r="1516" spans="1:7">
      <c r="A1516">
        <v>8218</v>
      </c>
      <c r="B1516" t="s">
        <v>17</v>
      </c>
      <c r="C1516" t="s">
        <v>120</v>
      </c>
      <c r="D1516" s="9">
        <v>41578.399502314816</v>
      </c>
      <c r="E1516" t="s">
        <v>18</v>
      </c>
      <c r="F1516">
        <f t="shared" ca="1" si="46"/>
        <v>1.2472222222222222</v>
      </c>
      <c r="G1516">
        <f t="shared" ca="1" si="47"/>
        <v>0</v>
      </c>
    </row>
    <row r="1517" spans="1:7">
      <c r="A1517">
        <v>8220</v>
      </c>
      <c r="B1517" t="s">
        <v>11</v>
      </c>
      <c r="C1517" t="s">
        <v>120</v>
      </c>
      <c r="D1517" s="9">
        <v>41572.602939814817</v>
      </c>
      <c r="E1517" t="s">
        <v>14</v>
      </c>
      <c r="F1517">
        <f t="shared" ca="1" si="46"/>
        <v>1.2611111111111111</v>
      </c>
      <c r="G1517">
        <f t="shared" ca="1" si="47"/>
        <v>0</v>
      </c>
    </row>
    <row r="1518" spans="1:7">
      <c r="A1518">
        <v>8222</v>
      </c>
      <c r="B1518" t="s">
        <v>21</v>
      </c>
      <c r="C1518" t="s">
        <v>118</v>
      </c>
      <c r="D1518" s="9">
        <v>41709.631979166668</v>
      </c>
      <c r="E1518" t="s">
        <v>32</v>
      </c>
      <c r="F1518">
        <f t="shared" ca="1" si="46"/>
        <v>0.8833333333333333</v>
      </c>
      <c r="G1518">
        <f t="shared" ca="1" si="47"/>
        <v>1</v>
      </c>
    </row>
    <row r="1519" spans="1:7">
      <c r="A1519">
        <v>8226</v>
      </c>
      <c r="B1519" t="s">
        <v>34</v>
      </c>
      <c r="C1519" t="s">
        <v>119</v>
      </c>
      <c r="D1519" s="9">
        <v>41673.784259259257</v>
      </c>
      <c r="E1519" t="s">
        <v>11</v>
      </c>
      <c r="F1519">
        <f t="shared" ca="1" si="46"/>
        <v>0.98888888888888893</v>
      </c>
      <c r="G1519">
        <f t="shared" ca="1" si="47"/>
        <v>1</v>
      </c>
    </row>
    <row r="1520" spans="1:7">
      <c r="A1520">
        <v>8229</v>
      </c>
      <c r="B1520" t="s">
        <v>18</v>
      </c>
      <c r="C1520" t="s">
        <v>120</v>
      </c>
      <c r="D1520" s="9">
        <v>41575.411446759259</v>
      </c>
      <c r="E1520" t="s">
        <v>29</v>
      </c>
      <c r="F1520">
        <f t="shared" ca="1" si="46"/>
        <v>1.2527777777777778</v>
      </c>
      <c r="G1520">
        <f t="shared" ca="1" si="47"/>
        <v>0</v>
      </c>
    </row>
    <row r="1521" spans="1:7">
      <c r="A1521">
        <v>8232</v>
      </c>
      <c r="B1521" t="s">
        <v>112</v>
      </c>
      <c r="C1521" t="s">
        <v>120</v>
      </c>
      <c r="D1521" s="9">
        <v>41572.930763888886</v>
      </c>
      <c r="E1521" t="s">
        <v>21</v>
      </c>
      <c r="F1521">
        <f t="shared" ca="1" si="46"/>
        <v>1.2611111111111111</v>
      </c>
      <c r="G1521">
        <f t="shared" ca="1" si="47"/>
        <v>0</v>
      </c>
    </row>
    <row r="1522" spans="1:7">
      <c r="A1522">
        <v>8233</v>
      </c>
      <c r="B1522" t="s">
        <v>17</v>
      </c>
      <c r="C1522" t="s">
        <v>120</v>
      </c>
      <c r="D1522" s="9">
        <v>41582.425509259258</v>
      </c>
      <c r="E1522" t="s">
        <v>34</v>
      </c>
      <c r="F1522">
        <f t="shared" ca="1" si="46"/>
        <v>1.2361111111111112</v>
      </c>
      <c r="G1522">
        <f t="shared" ca="1" si="47"/>
        <v>0</v>
      </c>
    </row>
    <row r="1523" spans="1:7">
      <c r="A1523">
        <v>8235</v>
      </c>
      <c r="B1523" t="s">
        <v>11</v>
      </c>
      <c r="C1523" t="s">
        <v>120</v>
      </c>
      <c r="D1523" s="9">
        <v>41575.423750000002</v>
      </c>
      <c r="E1523" t="s">
        <v>8</v>
      </c>
      <c r="F1523">
        <f t="shared" ca="1" si="46"/>
        <v>1.2527777777777778</v>
      </c>
      <c r="G1523">
        <f t="shared" ca="1" si="47"/>
        <v>0</v>
      </c>
    </row>
    <row r="1524" spans="1:7">
      <c r="A1524">
        <v>8243</v>
      </c>
      <c r="B1524" t="s">
        <v>37</v>
      </c>
      <c r="C1524" t="s">
        <v>120</v>
      </c>
      <c r="D1524" s="9">
        <v>41576.400937500002</v>
      </c>
      <c r="E1524" t="s">
        <v>34</v>
      </c>
      <c r="F1524">
        <f t="shared" ca="1" si="46"/>
        <v>1.25</v>
      </c>
      <c r="G1524">
        <f t="shared" ca="1" si="47"/>
        <v>0</v>
      </c>
    </row>
    <row r="1525" spans="1:7">
      <c r="A1525">
        <v>8248</v>
      </c>
      <c r="B1525" t="s">
        <v>29</v>
      </c>
      <c r="C1525" t="s">
        <v>120</v>
      </c>
      <c r="D1525" s="9">
        <v>41575.752314814818</v>
      </c>
      <c r="E1525" t="s">
        <v>36</v>
      </c>
      <c r="F1525">
        <f t="shared" ca="1" si="46"/>
        <v>1.2527777777777778</v>
      </c>
      <c r="G1525">
        <f t="shared" ca="1" si="47"/>
        <v>0</v>
      </c>
    </row>
    <row r="1526" spans="1:7">
      <c r="A1526">
        <v>8254</v>
      </c>
      <c r="B1526" t="s">
        <v>37</v>
      </c>
      <c r="C1526" t="s">
        <v>120</v>
      </c>
      <c r="D1526" s="9">
        <v>41578.498148148145</v>
      </c>
      <c r="E1526" t="s">
        <v>8</v>
      </c>
      <c r="F1526">
        <f t="shared" ca="1" si="46"/>
        <v>1.2472222222222222</v>
      </c>
      <c r="G1526">
        <f t="shared" ca="1" si="47"/>
        <v>0</v>
      </c>
    </row>
    <row r="1527" spans="1:7">
      <c r="A1527">
        <v>8260</v>
      </c>
      <c r="B1527" t="s">
        <v>20</v>
      </c>
      <c r="C1527" t="s">
        <v>120</v>
      </c>
      <c r="D1527" s="9">
        <v>41576.741863425923</v>
      </c>
      <c r="E1527" t="s">
        <v>32</v>
      </c>
      <c r="F1527">
        <f t="shared" ca="1" si="46"/>
        <v>1.25</v>
      </c>
      <c r="G1527">
        <f t="shared" ca="1" si="47"/>
        <v>0</v>
      </c>
    </row>
    <row r="1528" spans="1:7">
      <c r="A1528">
        <v>8270</v>
      </c>
      <c r="B1528" t="s">
        <v>14</v>
      </c>
      <c r="C1528" t="s">
        <v>120</v>
      </c>
      <c r="D1528" s="9">
        <v>41576.467233796298</v>
      </c>
      <c r="E1528" t="s">
        <v>34</v>
      </c>
      <c r="F1528">
        <f t="shared" ca="1" si="46"/>
        <v>1.25</v>
      </c>
      <c r="G1528">
        <f t="shared" ca="1" si="47"/>
        <v>0</v>
      </c>
    </row>
    <row r="1529" spans="1:7">
      <c r="A1529">
        <v>8279</v>
      </c>
      <c r="B1529" t="s">
        <v>37</v>
      </c>
      <c r="C1529" t="s">
        <v>120</v>
      </c>
      <c r="D1529" s="9">
        <v>41577.605081018519</v>
      </c>
      <c r="E1529" t="s">
        <v>30</v>
      </c>
      <c r="F1529">
        <f t="shared" ca="1" si="46"/>
        <v>1.2472222222222222</v>
      </c>
      <c r="G1529">
        <f t="shared" ca="1" si="47"/>
        <v>0</v>
      </c>
    </row>
    <row r="1530" spans="1:7">
      <c r="A1530">
        <v>8280</v>
      </c>
      <c r="B1530" t="s">
        <v>32</v>
      </c>
      <c r="C1530" t="s">
        <v>119</v>
      </c>
      <c r="D1530" s="9">
        <v>41670.577893518515</v>
      </c>
      <c r="E1530" t="s">
        <v>19</v>
      </c>
      <c r="F1530">
        <f t="shared" ca="1" si="46"/>
        <v>0.99722222222222223</v>
      </c>
      <c r="G1530">
        <f t="shared" ca="1" si="47"/>
        <v>1</v>
      </c>
    </row>
    <row r="1531" spans="1:7">
      <c r="A1531">
        <v>8300</v>
      </c>
      <c r="B1531" t="s">
        <v>19</v>
      </c>
      <c r="C1531" t="s">
        <v>119</v>
      </c>
      <c r="D1531" s="9">
        <v>41593.682476851849</v>
      </c>
      <c r="E1531" t="s">
        <v>21</v>
      </c>
      <c r="F1531">
        <f t="shared" ca="1" si="46"/>
        <v>1.2055555555555555</v>
      </c>
      <c r="G1531">
        <f t="shared" ca="1" si="47"/>
        <v>0</v>
      </c>
    </row>
    <row r="1532" spans="1:7">
      <c r="A1532">
        <v>8305</v>
      </c>
      <c r="B1532" t="s">
        <v>27</v>
      </c>
      <c r="C1532" t="s">
        <v>120</v>
      </c>
      <c r="D1532" s="9">
        <v>41577.821493055555</v>
      </c>
      <c r="E1532" t="s">
        <v>36</v>
      </c>
      <c r="F1532">
        <f t="shared" ca="1" si="46"/>
        <v>1.2472222222222222</v>
      </c>
      <c r="G1532">
        <f t="shared" ca="1" si="47"/>
        <v>0</v>
      </c>
    </row>
    <row r="1533" spans="1:7">
      <c r="A1533">
        <v>8314</v>
      </c>
      <c r="B1533" t="s">
        <v>14</v>
      </c>
      <c r="C1533" t="s">
        <v>119</v>
      </c>
      <c r="D1533" s="9">
        <v>41600.622083333335</v>
      </c>
      <c r="E1533" t="s">
        <v>24</v>
      </c>
      <c r="F1533">
        <f t="shared" ca="1" si="46"/>
        <v>1.1861111111111111</v>
      </c>
      <c r="G1533">
        <f t="shared" ca="1" si="47"/>
        <v>0</v>
      </c>
    </row>
    <row r="1534" spans="1:7">
      <c r="A1534">
        <v>8317</v>
      </c>
      <c r="B1534" t="s">
        <v>17</v>
      </c>
      <c r="C1534" t="s">
        <v>120</v>
      </c>
      <c r="D1534" s="9">
        <v>41579.503958333335</v>
      </c>
      <c r="E1534" t="s">
        <v>112</v>
      </c>
      <c r="F1534">
        <f t="shared" ca="1" si="46"/>
        <v>1.2444444444444445</v>
      </c>
      <c r="G1534">
        <f t="shared" ca="1" si="47"/>
        <v>0</v>
      </c>
    </row>
    <row r="1535" spans="1:7">
      <c r="A1535">
        <v>8326</v>
      </c>
      <c r="B1535" t="s">
        <v>11</v>
      </c>
      <c r="C1535" t="s">
        <v>120</v>
      </c>
      <c r="D1535" s="9">
        <v>41579.628877314812</v>
      </c>
      <c r="E1535" t="s">
        <v>27</v>
      </c>
      <c r="F1535">
        <f t="shared" ca="1" si="46"/>
        <v>1.2444444444444445</v>
      </c>
      <c r="G1535">
        <f t="shared" ca="1" si="47"/>
        <v>0</v>
      </c>
    </row>
    <row r="1536" spans="1:7">
      <c r="A1536">
        <v>8328</v>
      </c>
      <c r="B1536" t="s">
        <v>37</v>
      </c>
      <c r="C1536" t="s">
        <v>120</v>
      </c>
      <c r="D1536" s="9">
        <v>41579.376597222225</v>
      </c>
      <c r="E1536" t="s">
        <v>8</v>
      </c>
      <c r="F1536">
        <f t="shared" ca="1" si="46"/>
        <v>1.2444444444444445</v>
      </c>
      <c r="G1536">
        <f t="shared" ca="1" si="47"/>
        <v>0</v>
      </c>
    </row>
    <row r="1537" spans="1:7">
      <c r="A1537">
        <v>8331</v>
      </c>
      <c r="B1537" t="s">
        <v>37</v>
      </c>
      <c r="C1537" t="s">
        <v>120</v>
      </c>
      <c r="D1537" s="9">
        <v>41579.563854166663</v>
      </c>
      <c r="E1537" t="s">
        <v>112</v>
      </c>
      <c r="F1537">
        <f t="shared" ca="1" si="46"/>
        <v>1.2444444444444445</v>
      </c>
      <c r="G1537">
        <f t="shared" ca="1" si="47"/>
        <v>0</v>
      </c>
    </row>
    <row r="1538" spans="1:7">
      <c r="A1538">
        <v>8334</v>
      </c>
      <c r="B1538" t="s">
        <v>34</v>
      </c>
      <c r="C1538" t="s">
        <v>119</v>
      </c>
      <c r="D1538" s="9">
        <v>41586.695115740738</v>
      </c>
      <c r="E1538" t="s">
        <v>24</v>
      </c>
      <c r="F1538">
        <f t="shared" ca="1" si="46"/>
        <v>1.2250000000000001</v>
      </c>
      <c r="G1538">
        <f t="shared" ca="1" si="47"/>
        <v>0</v>
      </c>
    </row>
    <row r="1539" spans="1:7">
      <c r="A1539">
        <v>8337</v>
      </c>
      <c r="B1539" t="s">
        <v>14</v>
      </c>
      <c r="C1539" t="s">
        <v>120</v>
      </c>
      <c r="D1539" s="9">
        <v>41582.639837962961</v>
      </c>
      <c r="E1539" t="s">
        <v>112</v>
      </c>
      <c r="F1539">
        <f t="shared" ref="F1539:F1602" ca="1" si="48">YEARFRAC(TODAY(),$D1539)</f>
        <v>1.2361111111111112</v>
      </c>
      <c r="G1539">
        <f t="shared" ref="G1539:G1602" ca="1" si="49">IF($F1539&lt;1,1,0)</f>
        <v>0</v>
      </c>
    </row>
    <row r="1540" spans="1:7">
      <c r="A1540">
        <v>8340</v>
      </c>
      <c r="B1540" t="s">
        <v>14</v>
      </c>
      <c r="C1540" t="s">
        <v>120</v>
      </c>
      <c r="D1540" s="9">
        <v>41579.628368055557</v>
      </c>
      <c r="E1540" t="s">
        <v>112</v>
      </c>
      <c r="F1540">
        <f t="shared" ca="1" si="48"/>
        <v>1.2444444444444445</v>
      </c>
      <c r="G1540">
        <f t="shared" ca="1" si="49"/>
        <v>0</v>
      </c>
    </row>
    <row r="1541" spans="1:7">
      <c r="A1541">
        <v>8349</v>
      </c>
      <c r="B1541" t="s">
        <v>18</v>
      </c>
      <c r="C1541" t="s">
        <v>119</v>
      </c>
      <c r="D1541" s="9">
        <v>41656.678796296299</v>
      </c>
      <c r="E1541" t="s">
        <v>29</v>
      </c>
      <c r="F1541">
        <f t="shared" ca="1" si="48"/>
        <v>1.0333333333333334</v>
      </c>
      <c r="G1541">
        <f t="shared" ca="1" si="49"/>
        <v>0</v>
      </c>
    </row>
    <row r="1542" spans="1:7">
      <c r="A1542">
        <v>8351</v>
      </c>
      <c r="B1542" t="s">
        <v>11</v>
      </c>
      <c r="C1542" t="s">
        <v>119</v>
      </c>
      <c r="D1542" s="9">
        <v>41590.639374999999</v>
      </c>
      <c r="E1542" t="s">
        <v>36</v>
      </c>
      <c r="F1542">
        <f t="shared" ca="1" si="48"/>
        <v>1.2138888888888888</v>
      </c>
      <c r="G1542">
        <f t="shared" ca="1" si="49"/>
        <v>0</v>
      </c>
    </row>
    <row r="1543" spans="1:7">
      <c r="A1543">
        <v>8353</v>
      </c>
      <c r="B1543" t="s">
        <v>14</v>
      </c>
      <c r="C1543" t="s">
        <v>119</v>
      </c>
      <c r="D1543" s="9">
        <v>41593.697789351849</v>
      </c>
      <c r="E1543" t="s">
        <v>17</v>
      </c>
      <c r="F1543">
        <f t="shared" ca="1" si="48"/>
        <v>1.2055555555555555</v>
      </c>
      <c r="G1543">
        <f t="shared" ca="1" si="49"/>
        <v>0</v>
      </c>
    </row>
    <row r="1544" spans="1:7">
      <c r="A1544">
        <v>8364</v>
      </c>
      <c r="B1544" t="s">
        <v>8</v>
      </c>
      <c r="C1544" t="s">
        <v>119</v>
      </c>
      <c r="D1544" s="9">
        <v>41586.650034722225</v>
      </c>
      <c r="E1544" t="s">
        <v>19</v>
      </c>
      <c r="F1544">
        <f t="shared" ca="1" si="48"/>
        <v>1.2250000000000001</v>
      </c>
      <c r="G1544">
        <f t="shared" ca="1" si="49"/>
        <v>0</v>
      </c>
    </row>
    <row r="1545" spans="1:7">
      <c r="A1545">
        <v>8372</v>
      </c>
      <c r="B1545" t="s">
        <v>19</v>
      </c>
      <c r="C1545" t="s">
        <v>119</v>
      </c>
      <c r="D1545" s="9">
        <v>41604.663449074076</v>
      </c>
      <c r="F1545">
        <f t="shared" ca="1" si="48"/>
        <v>1.175</v>
      </c>
      <c r="G1545">
        <f t="shared" ca="1" si="49"/>
        <v>0</v>
      </c>
    </row>
    <row r="1546" spans="1:7">
      <c r="A1546">
        <v>8374</v>
      </c>
      <c r="B1546" t="s">
        <v>29</v>
      </c>
      <c r="C1546" t="s">
        <v>119</v>
      </c>
      <c r="D1546" s="9">
        <v>41596.925104166665</v>
      </c>
      <c r="E1546" t="s">
        <v>11</v>
      </c>
      <c r="F1546">
        <f t="shared" ca="1" si="48"/>
        <v>1.1972222222222222</v>
      </c>
      <c r="G1546">
        <f t="shared" ca="1" si="49"/>
        <v>0</v>
      </c>
    </row>
    <row r="1547" spans="1:7">
      <c r="A1547">
        <v>8407</v>
      </c>
      <c r="B1547" t="s">
        <v>8</v>
      </c>
      <c r="C1547" t="s">
        <v>119</v>
      </c>
      <c r="D1547" s="9">
        <v>41586.567476851851</v>
      </c>
      <c r="E1547" t="s">
        <v>27</v>
      </c>
      <c r="F1547">
        <f t="shared" ca="1" si="48"/>
        <v>1.2250000000000001</v>
      </c>
      <c r="G1547">
        <f t="shared" ca="1" si="49"/>
        <v>0</v>
      </c>
    </row>
    <row r="1548" spans="1:7">
      <c r="A1548">
        <v>8426</v>
      </c>
      <c r="B1548" t="s">
        <v>11</v>
      </c>
      <c r="C1548" t="s">
        <v>119</v>
      </c>
      <c r="D1548" s="9">
        <v>41600.820810185185</v>
      </c>
      <c r="E1548" t="s">
        <v>27</v>
      </c>
      <c r="F1548">
        <f t="shared" ca="1" si="48"/>
        <v>1.1861111111111111</v>
      </c>
      <c r="G1548">
        <f t="shared" ca="1" si="49"/>
        <v>0</v>
      </c>
    </row>
    <row r="1549" spans="1:7">
      <c r="A1549">
        <v>8432</v>
      </c>
      <c r="B1549" t="s">
        <v>20</v>
      </c>
      <c r="C1549" t="s">
        <v>119</v>
      </c>
      <c r="D1549" s="9">
        <v>41617.897106481483</v>
      </c>
      <c r="E1549" t="s">
        <v>32</v>
      </c>
      <c r="F1549">
        <f t="shared" ca="1" si="48"/>
        <v>1.1388888888888888</v>
      </c>
      <c r="G1549">
        <f t="shared" ca="1" si="49"/>
        <v>0</v>
      </c>
    </row>
    <row r="1550" spans="1:7">
      <c r="A1550">
        <v>8447</v>
      </c>
      <c r="B1550" t="s">
        <v>20</v>
      </c>
      <c r="C1550" t="s">
        <v>119</v>
      </c>
      <c r="D1550" s="9">
        <v>41593.599780092591</v>
      </c>
      <c r="E1550" t="s">
        <v>27</v>
      </c>
      <c r="F1550">
        <f t="shared" ca="1" si="48"/>
        <v>1.2055555555555555</v>
      </c>
      <c r="G1550">
        <f t="shared" ca="1" si="49"/>
        <v>0</v>
      </c>
    </row>
    <row r="1551" spans="1:7">
      <c r="A1551">
        <v>8458</v>
      </c>
      <c r="B1551" t="s">
        <v>37</v>
      </c>
      <c r="C1551" t="s">
        <v>119</v>
      </c>
      <c r="D1551" s="9">
        <v>41670.879444444443</v>
      </c>
      <c r="E1551" t="s">
        <v>36</v>
      </c>
      <c r="F1551">
        <f t="shared" ca="1" si="48"/>
        <v>0.99722222222222223</v>
      </c>
      <c r="G1551">
        <f t="shared" ca="1" si="49"/>
        <v>1</v>
      </c>
    </row>
    <row r="1552" spans="1:7">
      <c r="A1552">
        <v>8475</v>
      </c>
      <c r="B1552" t="s">
        <v>29</v>
      </c>
      <c r="C1552" t="s">
        <v>119</v>
      </c>
      <c r="D1552" s="9">
        <v>41670.578148148146</v>
      </c>
      <c r="E1552" t="s">
        <v>19</v>
      </c>
      <c r="F1552">
        <f t="shared" ca="1" si="48"/>
        <v>0.99722222222222223</v>
      </c>
      <c r="G1552">
        <f t="shared" ca="1" si="49"/>
        <v>1</v>
      </c>
    </row>
    <row r="1553" spans="1:7">
      <c r="A1553">
        <v>8498</v>
      </c>
      <c r="B1553" t="s">
        <v>44</v>
      </c>
      <c r="C1553" t="s">
        <v>119</v>
      </c>
      <c r="D1553" s="9">
        <v>41599.753645833334</v>
      </c>
      <c r="E1553" t="s">
        <v>20</v>
      </c>
      <c r="F1553">
        <f t="shared" ca="1" si="48"/>
        <v>1.1888888888888889</v>
      </c>
      <c r="G1553">
        <f t="shared" ca="1" si="49"/>
        <v>0</v>
      </c>
    </row>
    <row r="1554" spans="1:7">
      <c r="A1554">
        <v>8514</v>
      </c>
      <c r="B1554" t="s">
        <v>29</v>
      </c>
      <c r="C1554" t="s">
        <v>119</v>
      </c>
      <c r="D1554" s="9">
        <v>41666.562442129631</v>
      </c>
      <c r="E1554" t="s">
        <v>19</v>
      </c>
      <c r="F1554">
        <f t="shared" ca="1" si="48"/>
        <v>1.0055555555555555</v>
      </c>
      <c r="G1554">
        <f t="shared" ca="1" si="49"/>
        <v>0</v>
      </c>
    </row>
    <row r="1555" spans="1:7">
      <c r="A1555">
        <v>8520</v>
      </c>
      <c r="B1555" t="s">
        <v>19</v>
      </c>
      <c r="C1555" t="s">
        <v>119</v>
      </c>
      <c r="D1555" s="9">
        <v>41624.40048611111</v>
      </c>
      <c r="E1555" t="s">
        <v>37</v>
      </c>
      <c r="F1555">
        <f t="shared" ca="1" si="48"/>
        <v>1.1194444444444445</v>
      </c>
      <c r="G1555">
        <f t="shared" ca="1" si="49"/>
        <v>0</v>
      </c>
    </row>
    <row r="1556" spans="1:7">
      <c r="A1556">
        <v>8524</v>
      </c>
      <c r="B1556" t="s">
        <v>21</v>
      </c>
      <c r="C1556" t="s">
        <v>119</v>
      </c>
      <c r="D1556" s="9">
        <v>41613.773958333331</v>
      </c>
      <c r="E1556" t="s">
        <v>20</v>
      </c>
      <c r="F1556">
        <f t="shared" ca="1" si="48"/>
        <v>1.1499999999999999</v>
      </c>
      <c r="G1556">
        <f t="shared" ca="1" si="49"/>
        <v>0</v>
      </c>
    </row>
    <row r="1557" spans="1:7">
      <c r="A1557">
        <v>8540</v>
      </c>
      <c r="B1557" t="s">
        <v>21</v>
      </c>
      <c r="C1557" t="s">
        <v>119</v>
      </c>
      <c r="D1557" s="9">
        <v>41611.796678240738</v>
      </c>
      <c r="E1557" t="s">
        <v>20</v>
      </c>
      <c r="F1557">
        <f t="shared" ca="1" si="48"/>
        <v>1.1555555555555554</v>
      </c>
      <c r="G1557">
        <f t="shared" ca="1" si="49"/>
        <v>0</v>
      </c>
    </row>
    <row r="1558" spans="1:7">
      <c r="A1558">
        <v>8542</v>
      </c>
      <c r="B1558" t="s">
        <v>11</v>
      </c>
      <c r="C1558" t="s">
        <v>119</v>
      </c>
      <c r="D1558" s="9">
        <v>41614.626192129632</v>
      </c>
      <c r="E1558" t="s">
        <v>27</v>
      </c>
      <c r="F1558">
        <f t="shared" ca="1" si="48"/>
        <v>1.1472222222222221</v>
      </c>
      <c r="G1558">
        <f t="shared" ca="1" si="49"/>
        <v>0</v>
      </c>
    </row>
    <row r="1559" spans="1:7">
      <c r="A1559">
        <v>8547</v>
      </c>
      <c r="B1559" t="s">
        <v>18</v>
      </c>
      <c r="C1559" t="s">
        <v>118</v>
      </c>
      <c r="D1559" s="9">
        <v>41712.669537037036</v>
      </c>
      <c r="E1559" t="s">
        <v>34</v>
      </c>
      <c r="F1559">
        <f t="shared" ca="1" si="48"/>
        <v>0.875</v>
      </c>
      <c r="G1559">
        <f t="shared" ca="1" si="49"/>
        <v>1</v>
      </c>
    </row>
    <row r="1560" spans="1:7">
      <c r="A1560">
        <v>8559</v>
      </c>
      <c r="B1560" t="s">
        <v>24</v>
      </c>
      <c r="C1560" t="s">
        <v>119</v>
      </c>
      <c r="D1560" s="9">
        <v>41617.405219907407</v>
      </c>
      <c r="E1560" t="s">
        <v>37</v>
      </c>
      <c r="F1560">
        <f t="shared" ca="1" si="48"/>
        <v>1.1388888888888888</v>
      </c>
      <c r="G1560">
        <f t="shared" ca="1" si="49"/>
        <v>0</v>
      </c>
    </row>
    <row r="1561" spans="1:7">
      <c r="A1561">
        <v>8562</v>
      </c>
      <c r="B1561" t="s">
        <v>37</v>
      </c>
      <c r="C1561" t="s">
        <v>118</v>
      </c>
      <c r="D1561" s="9">
        <v>41795.648715277777</v>
      </c>
      <c r="E1561" t="s">
        <v>17</v>
      </c>
      <c r="F1561">
        <f t="shared" ca="1" si="48"/>
        <v>0.65</v>
      </c>
      <c r="G1561">
        <f t="shared" ca="1" si="49"/>
        <v>1</v>
      </c>
    </row>
    <row r="1562" spans="1:7">
      <c r="A1562">
        <v>8564</v>
      </c>
      <c r="B1562" t="s">
        <v>11</v>
      </c>
      <c r="C1562" t="s">
        <v>119</v>
      </c>
      <c r="D1562" s="9">
        <v>41613.908645833333</v>
      </c>
      <c r="E1562" t="s">
        <v>45</v>
      </c>
      <c r="F1562">
        <f t="shared" ca="1" si="48"/>
        <v>1.1499999999999999</v>
      </c>
      <c r="G1562">
        <f t="shared" ca="1" si="49"/>
        <v>0</v>
      </c>
    </row>
    <row r="1563" spans="1:7">
      <c r="A1563">
        <v>8570</v>
      </c>
      <c r="B1563" t="s">
        <v>18</v>
      </c>
      <c r="C1563" t="s">
        <v>119</v>
      </c>
      <c r="D1563" s="9">
        <v>41670.46197916667</v>
      </c>
      <c r="E1563" t="s">
        <v>112</v>
      </c>
      <c r="F1563">
        <f t="shared" ca="1" si="48"/>
        <v>0.99722222222222223</v>
      </c>
      <c r="G1563">
        <f t="shared" ca="1" si="49"/>
        <v>1</v>
      </c>
    </row>
    <row r="1564" spans="1:7">
      <c r="A1564">
        <v>8578</v>
      </c>
      <c r="B1564" t="s">
        <v>23</v>
      </c>
      <c r="C1564" t="s">
        <v>119</v>
      </c>
      <c r="D1564" s="9">
        <v>41673.463078703702</v>
      </c>
      <c r="E1564" t="s">
        <v>8</v>
      </c>
      <c r="F1564">
        <f t="shared" ca="1" si="48"/>
        <v>0.98888888888888893</v>
      </c>
      <c r="G1564">
        <f t="shared" ca="1" si="49"/>
        <v>1</v>
      </c>
    </row>
    <row r="1565" spans="1:7">
      <c r="A1565">
        <v>8582</v>
      </c>
      <c r="B1565" t="s">
        <v>8</v>
      </c>
      <c r="C1565" t="s">
        <v>119</v>
      </c>
      <c r="D1565" s="9">
        <v>41618.684872685182</v>
      </c>
      <c r="F1565">
        <f t="shared" ca="1" si="48"/>
        <v>1.1361111111111111</v>
      </c>
      <c r="G1565">
        <f t="shared" ca="1" si="49"/>
        <v>0</v>
      </c>
    </row>
    <row r="1566" spans="1:7">
      <c r="A1566">
        <v>8584</v>
      </c>
      <c r="B1566" t="s">
        <v>29</v>
      </c>
      <c r="C1566" t="s">
        <v>119</v>
      </c>
      <c r="D1566" s="9">
        <v>41652.453969907408</v>
      </c>
      <c r="E1566" t="s">
        <v>37</v>
      </c>
      <c r="F1566">
        <f t="shared" ca="1" si="48"/>
        <v>1.0444444444444445</v>
      </c>
      <c r="G1566">
        <f t="shared" ca="1" si="49"/>
        <v>0</v>
      </c>
    </row>
    <row r="1567" spans="1:7">
      <c r="A1567">
        <v>8589</v>
      </c>
      <c r="B1567" t="s">
        <v>19</v>
      </c>
      <c r="C1567" t="s">
        <v>119</v>
      </c>
      <c r="D1567" s="9">
        <v>41624.381747685184</v>
      </c>
      <c r="E1567" t="s">
        <v>37</v>
      </c>
      <c r="F1567">
        <f t="shared" ca="1" si="48"/>
        <v>1.1194444444444445</v>
      </c>
      <c r="G1567">
        <f t="shared" ca="1" si="49"/>
        <v>0</v>
      </c>
    </row>
    <row r="1568" spans="1:7">
      <c r="A1568">
        <v>8590</v>
      </c>
      <c r="B1568" t="s">
        <v>29</v>
      </c>
      <c r="C1568" t="s">
        <v>119</v>
      </c>
      <c r="D1568" s="9">
        <v>41669.660219907404</v>
      </c>
      <c r="E1568" t="s">
        <v>19</v>
      </c>
      <c r="F1568">
        <f t="shared" ca="1" si="48"/>
        <v>0.99722222222222223</v>
      </c>
      <c r="G1568">
        <f t="shared" ca="1" si="49"/>
        <v>1</v>
      </c>
    </row>
    <row r="1569" spans="1:7">
      <c r="A1569">
        <v>8593</v>
      </c>
      <c r="B1569" t="s">
        <v>8</v>
      </c>
      <c r="C1569" t="s">
        <v>119</v>
      </c>
      <c r="D1569" s="9">
        <v>41619.590856481482</v>
      </c>
      <c r="E1569" t="s">
        <v>18</v>
      </c>
      <c r="F1569">
        <f t="shared" ca="1" si="48"/>
        <v>1.1333333333333333</v>
      </c>
      <c r="G1569">
        <f t="shared" ca="1" si="49"/>
        <v>0</v>
      </c>
    </row>
    <row r="1570" spans="1:7">
      <c r="A1570">
        <v>8598</v>
      </c>
      <c r="B1570" t="s">
        <v>8</v>
      </c>
      <c r="C1570" t="s">
        <v>119</v>
      </c>
      <c r="D1570" s="9">
        <v>41656.64634259259</v>
      </c>
      <c r="E1570" t="s">
        <v>14</v>
      </c>
      <c r="F1570">
        <f t="shared" ca="1" si="48"/>
        <v>1.0333333333333334</v>
      </c>
      <c r="G1570">
        <f t="shared" ca="1" si="49"/>
        <v>0</v>
      </c>
    </row>
    <row r="1571" spans="1:7">
      <c r="A1571">
        <v>8607</v>
      </c>
      <c r="B1571" t="s">
        <v>17</v>
      </c>
      <c r="C1571" t="s">
        <v>119</v>
      </c>
      <c r="D1571" s="9">
        <v>41666.562465277777</v>
      </c>
      <c r="E1571" t="s">
        <v>37</v>
      </c>
      <c r="F1571">
        <f t="shared" ca="1" si="48"/>
        <v>1.0055555555555555</v>
      </c>
      <c r="G1571">
        <f t="shared" ca="1" si="49"/>
        <v>0</v>
      </c>
    </row>
    <row r="1572" spans="1:7">
      <c r="A1572">
        <v>8608</v>
      </c>
      <c r="B1572" t="s">
        <v>44</v>
      </c>
      <c r="C1572" t="s">
        <v>119</v>
      </c>
      <c r="D1572" s="9">
        <v>41653.442060185182</v>
      </c>
      <c r="E1572" t="s">
        <v>29</v>
      </c>
      <c r="F1572">
        <f t="shared" ca="1" si="48"/>
        <v>1.0416666666666667</v>
      </c>
      <c r="G1572">
        <f t="shared" ca="1" si="49"/>
        <v>0</v>
      </c>
    </row>
    <row r="1573" spans="1:7">
      <c r="A1573">
        <v>8615</v>
      </c>
      <c r="B1573" t="s">
        <v>8</v>
      </c>
      <c r="C1573" t="s">
        <v>119</v>
      </c>
      <c r="D1573" s="9">
        <v>41621.601504629631</v>
      </c>
      <c r="E1573" t="s">
        <v>19</v>
      </c>
      <c r="F1573">
        <f t="shared" ca="1" si="48"/>
        <v>1.1277777777777778</v>
      </c>
      <c r="G1573">
        <f t="shared" ca="1" si="49"/>
        <v>0</v>
      </c>
    </row>
    <row r="1574" spans="1:7">
      <c r="A1574">
        <v>8616</v>
      </c>
      <c r="B1574" t="s">
        <v>19</v>
      </c>
      <c r="C1574" t="s">
        <v>119</v>
      </c>
      <c r="D1574" s="9">
        <v>41631.41002314815</v>
      </c>
      <c r="E1574" t="s">
        <v>30</v>
      </c>
      <c r="F1574">
        <f t="shared" ca="1" si="48"/>
        <v>1.1000000000000001</v>
      </c>
      <c r="G1574">
        <f t="shared" ca="1" si="49"/>
        <v>0</v>
      </c>
    </row>
    <row r="1575" spans="1:7">
      <c r="A1575">
        <v>8625</v>
      </c>
      <c r="B1575" t="s">
        <v>38</v>
      </c>
      <c r="C1575" t="s">
        <v>119</v>
      </c>
      <c r="D1575" s="9">
        <v>41626.620891203704</v>
      </c>
      <c r="E1575" t="s">
        <v>11</v>
      </c>
      <c r="F1575">
        <f t="shared" ca="1" si="48"/>
        <v>1.1138888888888889</v>
      </c>
      <c r="G1575">
        <f t="shared" ca="1" si="49"/>
        <v>0</v>
      </c>
    </row>
    <row r="1576" spans="1:7">
      <c r="A1576">
        <v>8633</v>
      </c>
      <c r="B1576" t="s">
        <v>29</v>
      </c>
      <c r="C1576" t="s">
        <v>119</v>
      </c>
      <c r="D1576" s="9">
        <v>41647.643888888888</v>
      </c>
      <c r="E1576" t="s">
        <v>19</v>
      </c>
      <c r="F1576">
        <f t="shared" ca="1" si="48"/>
        <v>1.0583333333333333</v>
      </c>
      <c r="G1576">
        <f t="shared" ca="1" si="49"/>
        <v>0</v>
      </c>
    </row>
    <row r="1577" spans="1:7">
      <c r="A1577">
        <v>8639</v>
      </c>
      <c r="B1577" t="s">
        <v>19</v>
      </c>
      <c r="C1577" t="s">
        <v>119</v>
      </c>
      <c r="D1577" s="9">
        <v>41631.487719907411</v>
      </c>
      <c r="E1577" t="s">
        <v>30</v>
      </c>
      <c r="F1577">
        <f t="shared" ca="1" si="48"/>
        <v>1.1000000000000001</v>
      </c>
      <c r="G1577">
        <f t="shared" ca="1" si="49"/>
        <v>0</v>
      </c>
    </row>
    <row r="1578" spans="1:7">
      <c r="A1578">
        <v>8643</v>
      </c>
      <c r="B1578" t="s">
        <v>19</v>
      </c>
      <c r="C1578" t="s">
        <v>119</v>
      </c>
      <c r="D1578" s="9">
        <v>41670.578298611108</v>
      </c>
      <c r="E1578" t="s">
        <v>29</v>
      </c>
      <c r="F1578">
        <f t="shared" ca="1" si="48"/>
        <v>0.99722222222222223</v>
      </c>
      <c r="G1578">
        <f t="shared" ca="1" si="49"/>
        <v>1</v>
      </c>
    </row>
    <row r="1579" spans="1:7">
      <c r="A1579">
        <v>8644</v>
      </c>
      <c r="B1579" t="s">
        <v>19</v>
      </c>
      <c r="C1579" t="s">
        <v>119</v>
      </c>
      <c r="D1579" s="9">
        <v>41638.77107638889</v>
      </c>
      <c r="E1579" t="s">
        <v>43</v>
      </c>
      <c r="F1579">
        <f t="shared" ca="1" si="48"/>
        <v>1.0805555555555555</v>
      </c>
      <c r="G1579">
        <f t="shared" ca="1" si="49"/>
        <v>0</v>
      </c>
    </row>
    <row r="1580" spans="1:7">
      <c r="A1580">
        <v>8645</v>
      </c>
      <c r="B1580" t="s">
        <v>19</v>
      </c>
      <c r="C1580" t="s">
        <v>119</v>
      </c>
      <c r="D1580" s="9">
        <v>41647.623182870368</v>
      </c>
      <c r="E1580" t="s">
        <v>29</v>
      </c>
      <c r="F1580">
        <f t="shared" ca="1" si="48"/>
        <v>1.0583333333333333</v>
      </c>
      <c r="G1580">
        <f t="shared" ca="1" si="49"/>
        <v>0</v>
      </c>
    </row>
    <row r="1581" spans="1:7">
      <c r="A1581">
        <v>8656</v>
      </c>
      <c r="B1581" t="s">
        <v>19</v>
      </c>
      <c r="C1581" t="s">
        <v>119</v>
      </c>
      <c r="D1581" s="9">
        <v>41642.66028935185</v>
      </c>
      <c r="E1581" t="s">
        <v>30</v>
      </c>
      <c r="F1581">
        <f t="shared" ca="1" si="48"/>
        <v>1.0722222222222222</v>
      </c>
      <c r="G1581">
        <f t="shared" ca="1" si="49"/>
        <v>0</v>
      </c>
    </row>
    <row r="1582" spans="1:7">
      <c r="A1582">
        <v>8663</v>
      </c>
      <c r="B1582" t="s">
        <v>38</v>
      </c>
      <c r="C1582" t="s">
        <v>119</v>
      </c>
      <c r="D1582" s="9">
        <v>41641.996863425928</v>
      </c>
      <c r="E1582" t="s">
        <v>36</v>
      </c>
      <c r="F1582">
        <f t="shared" ca="1" si="48"/>
        <v>1.075</v>
      </c>
      <c r="G1582">
        <f t="shared" ca="1" si="49"/>
        <v>0</v>
      </c>
    </row>
    <row r="1583" spans="1:7">
      <c r="A1583">
        <v>8678</v>
      </c>
      <c r="B1583" t="s">
        <v>18</v>
      </c>
      <c r="C1583" t="s">
        <v>119</v>
      </c>
      <c r="D1583" s="9">
        <v>41670.578402777777</v>
      </c>
      <c r="E1583" t="s">
        <v>14</v>
      </c>
      <c r="F1583">
        <f t="shared" ca="1" si="48"/>
        <v>0.99722222222222223</v>
      </c>
      <c r="G1583">
        <f t="shared" ca="1" si="49"/>
        <v>1</v>
      </c>
    </row>
    <row r="1584" spans="1:7">
      <c r="A1584">
        <v>8680</v>
      </c>
      <c r="B1584" t="s">
        <v>8</v>
      </c>
      <c r="C1584" t="s">
        <v>119</v>
      </c>
      <c r="D1584" s="9">
        <v>41647.931759259256</v>
      </c>
      <c r="E1584" t="s">
        <v>11</v>
      </c>
      <c r="F1584">
        <f t="shared" ca="1" si="48"/>
        <v>1.0583333333333333</v>
      </c>
      <c r="G1584">
        <f t="shared" ca="1" si="49"/>
        <v>0</v>
      </c>
    </row>
    <row r="1585" spans="1:7">
      <c r="A1585">
        <v>8701</v>
      </c>
      <c r="B1585" t="s">
        <v>18</v>
      </c>
      <c r="C1585" t="s">
        <v>119</v>
      </c>
      <c r="D1585" s="9">
        <v>41668.535752314812</v>
      </c>
      <c r="E1585" t="s">
        <v>17</v>
      </c>
      <c r="F1585">
        <f t="shared" ca="1" si="48"/>
        <v>1</v>
      </c>
      <c r="G1585">
        <f t="shared" ca="1" si="49"/>
        <v>0</v>
      </c>
    </row>
    <row r="1586" spans="1:7">
      <c r="A1586">
        <v>8708</v>
      </c>
      <c r="B1586" t="s">
        <v>112</v>
      </c>
      <c r="C1586" t="s">
        <v>118</v>
      </c>
      <c r="D1586" s="9">
        <v>41822.573946759258</v>
      </c>
      <c r="E1586" t="s">
        <v>44</v>
      </c>
      <c r="F1586">
        <f t="shared" ca="1" si="48"/>
        <v>0.57499999999999996</v>
      </c>
      <c r="G1586">
        <f t="shared" ca="1" si="49"/>
        <v>1</v>
      </c>
    </row>
    <row r="1587" spans="1:7">
      <c r="A1587">
        <v>8715</v>
      </c>
      <c r="B1587" t="s">
        <v>17</v>
      </c>
      <c r="C1587" t="s">
        <v>118</v>
      </c>
      <c r="D1587" s="9">
        <v>41754.554675925923</v>
      </c>
      <c r="E1587" t="s">
        <v>19</v>
      </c>
      <c r="F1587">
        <f t="shared" ca="1" si="48"/>
        <v>0.76111111111111107</v>
      </c>
      <c r="G1587">
        <f t="shared" ca="1" si="49"/>
        <v>1</v>
      </c>
    </row>
    <row r="1588" spans="1:7">
      <c r="A1588">
        <v>8719</v>
      </c>
      <c r="B1588" t="s">
        <v>17</v>
      </c>
      <c r="C1588" t="s">
        <v>119</v>
      </c>
      <c r="D1588" s="9">
        <v>41666.562523148146</v>
      </c>
      <c r="E1588" t="s">
        <v>37</v>
      </c>
      <c r="F1588">
        <f t="shared" ca="1" si="48"/>
        <v>1.0055555555555555</v>
      </c>
      <c r="G1588">
        <f t="shared" ca="1" si="49"/>
        <v>0</v>
      </c>
    </row>
    <row r="1589" spans="1:7">
      <c r="A1589">
        <v>8725</v>
      </c>
      <c r="B1589" t="s">
        <v>17</v>
      </c>
      <c r="C1589" t="s">
        <v>119</v>
      </c>
      <c r="D1589" s="9">
        <v>41656.562731481485</v>
      </c>
      <c r="E1589" t="s">
        <v>18</v>
      </c>
      <c r="F1589">
        <f t="shared" ca="1" si="48"/>
        <v>1.0333333333333334</v>
      </c>
      <c r="G1589">
        <f t="shared" ca="1" si="49"/>
        <v>0</v>
      </c>
    </row>
    <row r="1590" spans="1:7">
      <c r="A1590">
        <v>8727</v>
      </c>
      <c r="B1590" t="s">
        <v>17</v>
      </c>
      <c r="C1590" t="s">
        <v>119</v>
      </c>
      <c r="D1590" s="9">
        <v>41673.666828703703</v>
      </c>
      <c r="E1590" t="s">
        <v>18</v>
      </c>
      <c r="F1590">
        <f t="shared" ca="1" si="48"/>
        <v>0.98888888888888893</v>
      </c>
      <c r="G1590">
        <f t="shared" ca="1" si="49"/>
        <v>1</v>
      </c>
    </row>
    <row r="1591" spans="1:7">
      <c r="A1591">
        <v>8731</v>
      </c>
      <c r="B1591" t="s">
        <v>18</v>
      </c>
      <c r="C1591" t="s">
        <v>119</v>
      </c>
      <c r="D1591" s="9">
        <v>41660.6719212963</v>
      </c>
      <c r="E1591" t="s">
        <v>17</v>
      </c>
      <c r="F1591">
        <f t="shared" ca="1" si="48"/>
        <v>1.0222222222222221</v>
      </c>
      <c r="G1591">
        <f t="shared" ca="1" si="49"/>
        <v>0</v>
      </c>
    </row>
    <row r="1592" spans="1:7">
      <c r="A1592">
        <v>8734</v>
      </c>
      <c r="B1592" t="s">
        <v>17</v>
      </c>
      <c r="C1592" t="s">
        <v>119</v>
      </c>
      <c r="D1592" s="9">
        <v>41673.482141203705</v>
      </c>
      <c r="E1592" t="s">
        <v>37</v>
      </c>
      <c r="F1592">
        <f t="shared" ca="1" si="48"/>
        <v>0.98888888888888893</v>
      </c>
      <c r="G1592">
        <f t="shared" ca="1" si="49"/>
        <v>1</v>
      </c>
    </row>
    <row r="1593" spans="1:7">
      <c r="A1593">
        <v>8741</v>
      </c>
      <c r="B1593" t="s">
        <v>18</v>
      </c>
      <c r="C1593" t="s">
        <v>119</v>
      </c>
      <c r="D1593" s="9">
        <v>41663.896331018521</v>
      </c>
      <c r="E1593" t="s">
        <v>11</v>
      </c>
      <c r="F1593">
        <f t="shared" ca="1" si="48"/>
        <v>1.0138888888888888</v>
      </c>
      <c r="G1593">
        <f t="shared" ca="1" si="49"/>
        <v>0</v>
      </c>
    </row>
    <row r="1594" spans="1:7">
      <c r="A1594">
        <v>8756</v>
      </c>
      <c r="B1594" t="s">
        <v>29</v>
      </c>
      <c r="C1594" t="s">
        <v>119</v>
      </c>
      <c r="D1594" s="9">
        <v>41670.501805555556</v>
      </c>
      <c r="E1594" t="s">
        <v>112</v>
      </c>
      <c r="F1594">
        <f t="shared" ca="1" si="48"/>
        <v>0.99722222222222223</v>
      </c>
      <c r="G1594">
        <f t="shared" ca="1" si="49"/>
        <v>1</v>
      </c>
    </row>
    <row r="1595" spans="1:7">
      <c r="A1595">
        <v>8757</v>
      </c>
      <c r="B1595" t="s">
        <v>17</v>
      </c>
      <c r="C1595" t="s">
        <v>119</v>
      </c>
      <c r="D1595" s="9">
        <v>41673.677673611113</v>
      </c>
      <c r="E1595" t="s">
        <v>37</v>
      </c>
      <c r="F1595">
        <f t="shared" ca="1" si="48"/>
        <v>0.98888888888888893</v>
      </c>
      <c r="G1595">
        <f t="shared" ca="1" si="49"/>
        <v>1</v>
      </c>
    </row>
    <row r="1596" spans="1:7">
      <c r="A1596">
        <v>8774</v>
      </c>
      <c r="B1596" t="s">
        <v>34</v>
      </c>
      <c r="C1596" t="s">
        <v>118</v>
      </c>
      <c r="D1596" s="9">
        <v>41696.885300925926</v>
      </c>
      <c r="E1596" t="s">
        <v>21</v>
      </c>
      <c r="F1596">
        <f t="shared" ca="1" si="48"/>
        <v>0.92500000000000004</v>
      </c>
      <c r="G1596">
        <f t="shared" ca="1" si="49"/>
        <v>1</v>
      </c>
    </row>
    <row r="1597" spans="1:7">
      <c r="A1597">
        <v>8783</v>
      </c>
      <c r="B1597" t="s">
        <v>29</v>
      </c>
      <c r="C1597" t="s">
        <v>119</v>
      </c>
      <c r="D1597" s="9">
        <v>41753.497986111113</v>
      </c>
      <c r="E1597" t="s">
        <v>19</v>
      </c>
      <c r="F1597">
        <f t="shared" ca="1" si="48"/>
        <v>0.76388888888888884</v>
      </c>
      <c r="G1597">
        <f t="shared" ca="1" si="49"/>
        <v>1</v>
      </c>
    </row>
    <row r="1598" spans="1:7">
      <c r="A1598">
        <v>8785</v>
      </c>
      <c r="B1598" t="s">
        <v>18</v>
      </c>
      <c r="C1598" t="s">
        <v>119</v>
      </c>
      <c r="D1598" s="9">
        <v>41675.481805555559</v>
      </c>
      <c r="E1598" t="s">
        <v>37</v>
      </c>
      <c r="F1598">
        <f t="shared" ca="1" si="48"/>
        <v>0.98333333333333328</v>
      </c>
      <c r="G1598">
        <f t="shared" ca="1" si="49"/>
        <v>1</v>
      </c>
    </row>
    <row r="1599" spans="1:7">
      <c r="A1599">
        <v>8815</v>
      </c>
      <c r="B1599" t="s">
        <v>30</v>
      </c>
      <c r="C1599" t="s">
        <v>119</v>
      </c>
      <c r="D1599" s="9">
        <v>41674.647870370369</v>
      </c>
      <c r="E1599" t="s">
        <v>29</v>
      </c>
      <c r="F1599">
        <f t="shared" ca="1" si="48"/>
        <v>0.98611111111111116</v>
      </c>
      <c r="G1599">
        <f t="shared" ca="1" si="49"/>
        <v>1</v>
      </c>
    </row>
    <row r="1600" spans="1:7">
      <c r="A1600">
        <v>8818</v>
      </c>
      <c r="B1600" t="s">
        <v>44</v>
      </c>
      <c r="C1600" t="s">
        <v>119</v>
      </c>
      <c r="D1600" s="9">
        <v>41673.593807870369</v>
      </c>
      <c r="E1600" t="s">
        <v>30</v>
      </c>
      <c r="F1600">
        <f t="shared" ca="1" si="48"/>
        <v>0.98888888888888893</v>
      </c>
      <c r="G1600">
        <f t="shared" ca="1" si="49"/>
        <v>1</v>
      </c>
    </row>
    <row r="1601" spans="1:7">
      <c r="A1601">
        <v>8834</v>
      </c>
      <c r="B1601" t="s">
        <v>34</v>
      </c>
      <c r="C1601" t="s">
        <v>119</v>
      </c>
      <c r="D1601" s="9">
        <v>41674.602395833332</v>
      </c>
      <c r="E1601" t="s">
        <v>112</v>
      </c>
      <c r="F1601">
        <f t="shared" ca="1" si="48"/>
        <v>0.98611111111111116</v>
      </c>
      <c r="G1601">
        <f t="shared" ca="1" si="49"/>
        <v>1</v>
      </c>
    </row>
    <row r="1602" spans="1:7">
      <c r="A1602">
        <v>8844</v>
      </c>
      <c r="B1602" t="s">
        <v>44</v>
      </c>
      <c r="C1602" t="s">
        <v>118</v>
      </c>
      <c r="D1602" s="9">
        <v>41696.421851851854</v>
      </c>
      <c r="E1602" t="s">
        <v>30</v>
      </c>
      <c r="F1602">
        <f t="shared" ca="1" si="48"/>
        <v>0.92500000000000004</v>
      </c>
      <c r="G1602">
        <f t="shared" ca="1" si="49"/>
        <v>1</v>
      </c>
    </row>
    <row r="1603" spans="1:7">
      <c r="A1603">
        <v>8850</v>
      </c>
      <c r="B1603" t="s">
        <v>32</v>
      </c>
      <c r="C1603" t="s">
        <v>118</v>
      </c>
      <c r="D1603" s="9">
        <v>41681.681585648148</v>
      </c>
      <c r="E1603" t="s">
        <v>43</v>
      </c>
      <c r="F1603">
        <f t="shared" ref="F1603:F1666" ca="1" si="50">YEARFRAC(TODAY(),$D1603)</f>
        <v>0.96666666666666667</v>
      </c>
      <c r="G1603">
        <f t="shared" ref="G1603:G1666" ca="1" si="51">IF($F1603&lt;1,1,0)</f>
        <v>1</v>
      </c>
    </row>
    <row r="1604" spans="1:7">
      <c r="A1604">
        <v>8862</v>
      </c>
      <c r="B1604" t="s">
        <v>18</v>
      </c>
      <c r="C1604" t="s">
        <v>119</v>
      </c>
      <c r="D1604" s="9">
        <v>41674.608738425923</v>
      </c>
      <c r="E1604" t="s">
        <v>44</v>
      </c>
      <c r="F1604">
        <f t="shared" ca="1" si="50"/>
        <v>0.98611111111111116</v>
      </c>
      <c r="G1604">
        <f t="shared" ca="1" si="51"/>
        <v>1</v>
      </c>
    </row>
    <row r="1605" spans="1:7">
      <c r="A1605">
        <v>8867</v>
      </c>
      <c r="B1605" t="s">
        <v>8</v>
      </c>
      <c r="C1605" t="s">
        <v>119</v>
      </c>
      <c r="D1605" s="9">
        <v>41674.603958333333</v>
      </c>
      <c r="E1605" t="s">
        <v>30</v>
      </c>
      <c r="F1605">
        <f t="shared" ca="1" si="50"/>
        <v>0.98611111111111116</v>
      </c>
      <c r="G1605">
        <f t="shared" ca="1" si="51"/>
        <v>1</v>
      </c>
    </row>
    <row r="1606" spans="1:7">
      <c r="A1606">
        <v>8877</v>
      </c>
      <c r="B1606" t="s">
        <v>11</v>
      </c>
      <c r="C1606" t="s">
        <v>119</v>
      </c>
      <c r="D1606" s="9">
        <v>41674.768703703703</v>
      </c>
      <c r="E1606" t="s">
        <v>36</v>
      </c>
      <c r="F1606">
        <f t="shared" ca="1" si="50"/>
        <v>0.98611111111111116</v>
      </c>
      <c r="G1606">
        <f t="shared" ca="1" si="51"/>
        <v>1</v>
      </c>
    </row>
    <row r="1607" spans="1:7">
      <c r="A1607">
        <v>8880</v>
      </c>
      <c r="B1607" t="s">
        <v>21</v>
      </c>
      <c r="C1607" t="s">
        <v>118</v>
      </c>
      <c r="D1607" s="9">
        <v>41681.652303240742</v>
      </c>
      <c r="E1607" t="s">
        <v>8</v>
      </c>
      <c r="F1607">
        <f t="shared" ca="1" si="50"/>
        <v>0.96666666666666667</v>
      </c>
      <c r="G1607">
        <f t="shared" ca="1" si="51"/>
        <v>1</v>
      </c>
    </row>
    <row r="1608" spans="1:7">
      <c r="A1608">
        <v>8881</v>
      </c>
      <c r="B1608" t="s">
        <v>21</v>
      </c>
      <c r="C1608" t="s">
        <v>118</v>
      </c>
      <c r="D1608" s="9">
        <v>41681.653495370374</v>
      </c>
      <c r="E1608" t="s">
        <v>8</v>
      </c>
      <c r="F1608">
        <f t="shared" ca="1" si="50"/>
        <v>0.96666666666666667</v>
      </c>
      <c r="G1608">
        <f t="shared" ca="1" si="51"/>
        <v>1</v>
      </c>
    </row>
    <row r="1609" spans="1:7">
      <c r="A1609">
        <v>8884</v>
      </c>
      <c r="B1609" t="s">
        <v>24</v>
      </c>
      <c r="C1609" t="s">
        <v>119</v>
      </c>
      <c r="D1609" s="9">
        <v>41676.430451388886</v>
      </c>
      <c r="E1609" t="s">
        <v>37</v>
      </c>
      <c r="F1609">
        <f t="shared" ca="1" si="50"/>
        <v>0.98055555555555551</v>
      </c>
      <c r="G1609">
        <f t="shared" ca="1" si="51"/>
        <v>1</v>
      </c>
    </row>
    <row r="1610" spans="1:7">
      <c r="A1610">
        <v>8902</v>
      </c>
      <c r="B1610" t="s">
        <v>19</v>
      </c>
      <c r="C1610" t="s">
        <v>119</v>
      </c>
      <c r="D1610" s="9">
        <v>41676.783125000002</v>
      </c>
      <c r="E1610" t="s">
        <v>27</v>
      </c>
      <c r="F1610">
        <f t="shared" ca="1" si="50"/>
        <v>0.98055555555555551</v>
      </c>
      <c r="G1610">
        <f t="shared" ca="1" si="51"/>
        <v>1</v>
      </c>
    </row>
    <row r="1611" spans="1:7">
      <c r="A1611">
        <v>8906</v>
      </c>
      <c r="B1611" t="s">
        <v>37</v>
      </c>
      <c r="C1611" t="s">
        <v>164</v>
      </c>
      <c r="D1611" s="9">
        <v>41696.723356481481</v>
      </c>
      <c r="E1611" t="s">
        <v>24</v>
      </c>
      <c r="F1611">
        <f t="shared" ca="1" si="50"/>
        <v>0.92500000000000004</v>
      </c>
      <c r="G1611">
        <f t="shared" ca="1" si="51"/>
        <v>1</v>
      </c>
    </row>
    <row r="1612" spans="1:7">
      <c r="A1612">
        <v>8919</v>
      </c>
      <c r="B1612" t="s">
        <v>44</v>
      </c>
      <c r="C1612" t="s">
        <v>118</v>
      </c>
      <c r="D1612" s="9">
        <v>41810.568460648145</v>
      </c>
      <c r="E1612" t="s">
        <v>112</v>
      </c>
      <c r="F1612">
        <f t="shared" ca="1" si="50"/>
        <v>0.60833333333333328</v>
      </c>
      <c r="G1612">
        <f t="shared" ca="1" si="51"/>
        <v>1</v>
      </c>
    </row>
    <row r="1613" spans="1:7">
      <c r="A1613">
        <v>8931</v>
      </c>
      <c r="B1613" t="s">
        <v>37</v>
      </c>
      <c r="C1613" t="s">
        <v>118</v>
      </c>
      <c r="D1613" s="9">
        <v>41813.642256944448</v>
      </c>
      <c r="E1613" t="s">
        <v>44</v>
      </c>
      <c r="F1613">
        <f t="shared" ca="1" si="50"/>
        <v>0.6</v>
      </c>
      <c r="G1613">
        <f t="shared" ca="1" si="51"/>
        <v>1</v>
      </c>
    </row>
    <row r="1614" spans="1:7">
      <c r="A1614">
        <v>8933</v>
      </c>
      <c r="B1614" t="s">
        <v>112</v>
      </c>
      <c r="C1614" t="s">
        <v>118</v>
      </c>
      <c r="D1614" s="9">
        <v>41705.735659722224</v>
      </c>
      <c r="E1614" t="s">
        <v>11</v>
      </c>
      <c r="F1614">
        <f t="shared" ca="1" si="50"/>
        <v>0.89444444444444449</v>
      </c>
      <c r="G1614">
        <f t="shared" ca="1" si="51"/>
        <v>1</v>
      </c>
    </row>
    <row r="1615" spans="1:7">
      <c r="A1615">
        <v>8936</v>
      </c>
      <c r="B1615" t="s">
        <v>18</v>
      </c>
      <c r="C1615" t="s">
        <v>164</v>
      </c>
      <c r="D1615" s="9">
        <v>41696.770694444444</v>
      </c>
      <c r="E1615" t="s">
        <v>8</v>
      </c>
      <c r="F1615">
        <f t="shared" ca="1" si="50"/>
        <v>0.92500000000000004</v>
      </c>
      <c r="G1615">
        <f t="shared" ca="1" si="51"/>
        <v>1</v>
      </c>
    </row>
    <row r="1616" spans="1:7">
      <c r="A1616">
        <v>8937</v>
      </c>
      <c r="B1616" t="s">
        <v>19</v>
      </c>
      <c r="C1616" t="s">
        <v>209</v>
      </c>
      <c r="D1616" s="9">
        <v>41936.427731481483</v>
      </c>
      <c r="E1616" t="s">
        <v>213</v>
      </c>
      <c r="F1616">
        <f t="shared" ca="1" si="50"/>
        <v>0.2638888888888889</v>
      </c>
      <c r="G1616">
        <f t="shared" ca="1" si="51"/>
        <v>1</v>
      </c>
    </row>
    <row r="1617" spans="1:7">
      <c r="A1617">
        <v>8948</v>
      </c>
      <c r="B1617" t="s">
        <v>8</v>
      </c>
      <c r="C1617" t="s">
        <v>118</v>
      </c>
      <c r="D1617" s="9">
        <v>41813.895127314812</v>
      </c>
      <c r="E1617" t="s">
        <v>27</v>
      </c>
      <c r="F1617">
        <f t="shared" ca="1" si="50"/>
        <v>0.6</v>
      </c>
      <c r="G1617">
        <f t="shared" ca="1" si="51"/>
        <v>1</v>
      </c>
    </row>
    <row r="1618" spans="1:7">
      <c r="A1618">
        <v>8956</v>
      </c>
      <c r="B1618" t="s">
        <v>44</v>
      </c>
      <c r="C1618" t="s">
        <v>118</v>
      </c>
      <c r="D1618" s="9">
        <v>41810.644884259258</v>
      </c>
      <c r="E1618" t="s">
        <v>112</v>
      </c>
      <c r="F1618">
        <f t="shared" ca="1" si="50"/>
        <v>0.60833333333333328</v>
      </c>
      <c r="G1618">
        <f t="shared" ca="1" si="51"/>
        <v>1</v>
      </c>
    </row>
    <row r="1619" spans="1:7">
      <c r="A1619">
        <v>8962</v>
      </c>
      <c r="B1619" t="s">
        <v>29</v>
      </c>
      <c r="C1619" t="s">
        <v>118</v>
      </c>
      <c r="D1619" s="9">
        <v>41753.532268518517</v>
      </c>
      <c r="E1619" t="s">
        <v>19</v>
      </c>
      <c r="F1619">
        <f t="shared" ca="1" si="50"/>
        <v>0.76388888888888884</v>
      </c>
      <c r="G1619">
        <f t="shared" ca="1" si="51"/>
        <v>1</v>
      </c>
    </row>
    <row r="1620" spans="1:7">
      <c r="A1620">
        <v>8967</v>
      </c>
      <c r="B1620" t="s">
        <v>27</v>
      </c>
      <c r="C1620" t="s">
        <v>164</v>
      </c>
      <c r="D1620" s="9">
        <v>41695.82136574074</v>
      </c>
      <c r="E1620" t="s">
        <v>20</v>
      </c>
      <c r="F1620">
        <f t="shared" ca="1" si="50"/>
        <v>0.92777777777777781</v>
      </c>
      <c r="G1620">
        <f t="shared" ca="1" si="51"/>
        <v>1</v>
      </c>
    </row>
    <row r="1621" spans="1:7">
      <c r="A1621">
        <v>8971</v>
      </c>
      <c r="B1621" t="s">
        <v>8</v>
      </c>
      <c r="C1621" t="s">
        <v>118</v>
      </c>
      <c r="D1621" s="9">
        <v>41711.623356481483</v>
      </c>
      <c r="E1621" t="s">
        <v>11</v>
      </c>
      <c r="F1621">
        <f t="shared" ca="1" si="50"/>
        <v>0.87777777777777777</v>
      </c>
      <c r="G1621">
        <f t="shared" ca="1" si="51"/>
        <v>1</v>
      </c>
    </row>
    <row r="1622" spans="1:7">
      <c r="A1622">
        <v>8984</v>
      </c>
      <c r="B1622" t="s">
        <v>18</v>
      </c>
      <c r="C1622" t="s">
        <v>118</v>
      </c>
      <c r="D1622" s="9">
        <v>41697.657523148147</v>
      </c>
      <c r="E1622" t="s">
        <v>112</v>
      </c>
      <c r="F1622">
        <f t="shared" ca="1" si="50"/>
        <v>0.92222222222222228</v>
      </c>
      <c r="G1622">
        <f t="shared" ca="1" si="51"/>
        <v>1</v>
      </c>
    </row>
    <row r="1623" spans="1:7">
      <c r="A1623">
        <v>8994</v>
      </c>
      <c r="B1623" t="s">
        <v>21</v>
      </c>
      <c r="C1623" t="s">
        <v>118</v>
      </c>
      <c r="D1623" s="9">
        <v>41698.862824074073</v>
      </c>
      <c r="E1623" t="s">
        <v>20</v>
      </c>
      <c r="F1623">
        <f t="shared" ca="1" si="50"/>
        <v>0.91388888888888886</v>
      </c>
      <c r="G1623">
        <f t="shared" ca="1" si="51"/>
        <v>1</v>
      </c>
    </row>
    <row r="1624" spans="1:7">
      <c r="A1624">
        <v>8996</v>
      </c>
      <c r="B1624" t="s">
        <v>8</v>
      </c>
      <c r="C1624" t="s">
        <v>118</v>
      </c>
      <c r="D1624" s="9">
        <v>41694.587314814817</v>
      </c>
      <c r="E1624" t="s">
        <v>19</v>
      </c>
      <c r="F1624">
        <f t="shared" ca="1" si="50"/>
        <v>0.93055555555555558</v>
      </c>
      <c r="G1624">
        <f t="shared" ca="1" si="51"/>
        <v>1</v>
      </c>
    </row>
    <row r="1625" spans="1:7">
      <c r="A1625">
        <v>8997</v>
      </c>
      <c r="B1625" t="s">
        <v>34</v>
      </c>
      <c r="C1625" t="s">
        <v>118</v>
      </c>
      <c r="D1625" s="9">
        <v>41698.662118055552</v>
      </c>
      <c r="E1625" t="s">
        <v>27</v>
      </c>
      <c r="F1625">
        <f t="shared" ca="1" si="50"/>
        <v>0.91388888888888886</v>
      </c>
      <c r="G1625">
        <f t="shared" ca="1" si="51"/>
        <v>1</v>
      </c>
    </row>
    <row r="1626" spans="1:7">
      <c r="A1626">
        <v>8999</v>
      </c>
      <c r="B1626" t="s">
        <v>19</v>
      </c>
      <c r="C1626" t="s">
        <v>164</v>
      </c>
      <c r="D1626" s="9">
        <v>41695.831261574072</v>
      </c>
      <c r="E1626" t="s">
        <v>27</v>
      </c>
      <c r="F1626">
        <f t="shared" ca="1" si="50"/>
        <v>0.92777777777777781</v>
      </c>
      <c r="G1626">
        <f t="shared" ca="1" si="51"/>
        <v>1</v>
      </c>
    </row>
    <row r="1627" spans="1:7">
      <c r="A1627">
        <v>9009</v>
      </c>
      <c r="B1627" t="s">
        <v>19</v>
      </c>
      <c r="C1627" t="s">
        <v>164</v>
      </c>
      <c r="D1627" s="9">
        <v>41695.912997685184</v>
      </c>
      <c r="E1627" t="s">
        <v>37</v>
      </c>
      <c r="F1627">
        <f t="shared" ca="1" si="50"/>
        <v>0.92777777777777781</v>
      </c>
      <c r="G1627">
        <f t="shared" ca="1" si="51"/>
        <v>1</v>
      </c>
    </row>
    <row r="1628" spans="1:7">
      <c r="A1628">
        <v>9020</v>
      </c>
      <c r="B1628" t="s">
        <v>21</v>
      </c>
      <c r="C1628" t="s">
        <v>118</v>
      </c>
      <c r="D1628" s="9">
        <v>41688.69222222222</v>
      </c>
      <c r="E1628" t="s">
        <v>20</v>
      </c>
      <c r="F1628">
        <f t="shared" ca="1" si="50"/>
        <v>0.94722222222222219</v>
      </c>
      <c r="G1628">
        <f t="shared" ca="1" si="51"/>
        <v>1</v>
      </c>
    </row>
    <row r="1629" spans="1:7">
      <c r="A1629">
        <v>9025</v>
      </c>
      <c r="B1629" t="s">
        <v>14</v>
      </c>
      <c r="C1629" t="s">
        <v>118</v>
      </c>
      <c r="D1629" s="9">
        <v>41688.376030092593</v>
      </c>
      <c r="E1629" t="s">
        <v>20</v>
      </c>
      <c r="F1629">
        <f t="shared" ca="1" si="50"/>
        <v>0.94722222222222219</v>
      </c>
      <c r="G1629">
        <f t="shared" ca="1" si="51"/>
        <v>1</v>
      </c>
    </row>
    <row r="1630" spans="1:7">
      <c r="A1630">
        <v>9033</v>
      </c>
      <c r="B1630" t="s">
        <v>21</v>
      </c>
      <c r="C1630" t="s">
        <v>118</v>
      </c>
      <c r="D1630" s="9">
        <v>41690.77553240741</v>
      </c>
      <c r="F1630">
        <f t="shared" ca="1" si="50"/>
        <v>0.94166666666666665</v>
      </c>
      <c r="G1630">
        <f t="shared" ca="1" si="51"/>
        <v>1</v>
      </c>
    </row>
    <row r="1631" spans="1:7">
      <c r="A1631">
        <v>9034</v>
      </c>
      <c r="B1631" t="s">
        <v>21</v>
      </c>
      <c r="C1631" t="s">
        <v>118</v>
      </c>
      <c r="D1631" s="9">
        <v>41696.911909722221</v>
      </c>
      <c r="E1631" t="s">
        <v>20</v>
      </c>
      <c r="F1631">
        <f t="shared" ca="1" si="50"/>
        <v>0.92500000000000004</v>
      </c>
      <c r="G1631">
        <f t="shared" ca="1" si="51"/>
        <v>1</v>
      </c>
    </row>
    <row r="1632" spans="1:7">
      <c r="A1632">
        <v>9036</v>
      </c>
      <c r="B1632" t="s">
        <v>111</v>
      </c>
      <c r="C1632" t="s">
        <v>164</v>
      </c>
      <c r="D1632" s="9">
        <v>41695.629641203705</v>
      </c>
      <c r="E1632" t="s">
        <v>38</v>
      </c>
      <c r="F1632">
        <f t="shared" ca="1" si="50"/>
        <v>0.92777777777777781</v>
      </c>
      <c r="G1632">
        <f t="shared" ca="1" si="51"/>
        <v>1</v>
      </c>
    </row>
    <row r="1633" spans="1:7">
      <c r="A1633">
        <v>9038</v>
      </c>
      <c r="B1633" t="s">
        <v>29</v>
      </c>
      <c r="C1633" t="s">
        <v>118</v>
      </c>
      <c r="D1633" s="9">
        <v>41723.620636574073</v>
      </c>
      <c r="E1633" t="s">
        <v>19</v>
      </c>
      <c r="F1633">
        <f t="shared" ca="1" si="50"/>
        <v>0.84444444444444444</v>
      </c>
      <c r="G1633">
        <f t="shared" ca="1" si="51"/>
        <v>1</v>
      </c>
    </row>
    <row r="1634" spans="1:7">
      <c r="A1634">
        <v>9039</v>
      </c>
      <c r="B1634" t="s">
        <v>29</v>
      </c>
      <c r="C1634" t="s">
        <v>118</v>
      </c>
      <c r="D1634" s="9">
        <v>41718.382708333331</v>
      </c>
      <c r="E1634" t="s">
        <v>8</v>
      </c>
      <c r="F1634">
        <f t="shared" ca="1" si="50"/>
        <v>0.85833333333333328</v>
      </c>
      <c r="G1634">
        <f t="shared" ca="1" si="51"/>
        <v>1</v>
      </c>
    </row>
    <row r="1635" spans="1:7">
      <c r="A1635">
        <v>9040</v>
      </c>
      <c r="B1635" t="s">
        <v>19</v>
      </c>
      <c r="C1635" t="s">
        <v>164</v>
      </c>
      <c r="D1635" s="9">
        <v>41694.95107638889</v>
      </c>
      <c r="E1635" t="s">
        <v>44</v>
      </c>
      <c r="F1635">
        <f t="shared" ca="1" si="50"/>
        <v>0.93055555555555558</v>
      </c>
      <c r="G1635">
        <f t="shared" ca="1" si="51"/>
        <v>1</v>
      </c>
    </row>
    <row r="1636" spans="1:7">
      <c r="A1636">
        <v>9041</v>
      </c>
      <c r="B1636" t="s">
        <v>29</v>
      </c>
      <c r="C1636" t="s">
        <v>118</v>
      </c>
      <c r="D1636" s="9">
        <v>41708.373564814814</v>
      </c>
      <c r="E1636" t="s">
        <v>19</v>
      </c>
      <c r="F1636">
        <f t="shared" ca="1" si="50"/>
        <v>0.88611111111111107</v>
      </c>
      <c r="G1636">
        <f t="shared" ca="1" si="51"/>
        <v>1</v>
      </c>
    </row>
    <row r="1637" spans="1:7">
      <c r="A1637">
        <v>9043</v>
      </c>
      <c r="B1637" t="s">
        <v>29</v>
      </c>
      <c r="C1637" t="s">
        <v>118</v>
      </c>
      <c r="D1637" s="9">
        <v>41717.647037037037</v>
      </c>
      <c r="E1637" t="s">
        <v>8</v>
      </c>
      <c r="F1637">
        <f t="shared" ca="1" si="50"/>
        <v>0.86111111111111116</v>
      </c>
      <c r="G1637">
        <f t="shared" ca="1" si="51"/>
        <v>1</v>
      </c>
    </row>
    <row r="1638" spans="1:7">
      <c r="A1638">
        <v>9044</v>
      </c>
      <c r="B1638" t="s">
        <v>19</v>
      </c>
      <c r="C1638" t="s">
        <v>118</v>
      </c>
      <c r="D1638" s="9">
        <v>41740.375648148147</v>
      </c>
      <c r="E1638" t="s">
        <v>8</v>
      </c>
      <c r="F1638">
        <f t="shared" ca="1" si="50"/>
        <v>0.8</v>
      </c>
      <c r="G1638">
        <f t="shared" ca="1" si="51"/>
        <v>1</v>
      </c>
    </row>
    <row r="1639" spans="1:7">
      <c r="A1639">
        <v>9075</v>
      </c>
      <c r="B1639" t="s">
        <v>36</v>
      </c>
      <c r="C1639" t="s">
        <v>164</v>
      </c>
      <c r="D1639" s="9">
        <v>41695.790590277778</v>
      </c>
      <c r="E1639" t="s">
        <v>11</v>
      </c>
      <c r="F1639">
        <f t="shared" ca="1" si="50"/>
        <v>0.92777777777777781</v>
      </c>
      <c r="G1639">
        <f t="shared" ca="1" si="51"/>
        <v>1</v>
      </c>
    </row>
    <row r="1640" spans="1:7">
      <c r="A1640">
        <v>9082</v>
      </c>
      <c r="B1640" t="s">
        <v>23</v>
      </c>
      <c r="C1640" t="s">
        <v>118</v>
      </c>
      <c r="D1640" s="9">
        <v>41754.571446759262</v>
      </c>
      <c r="E1640" t="s">
        <v>30</v>
      </c>
      <c r="F1640">
        <f t="shared" ca="1" si="50"/>
        <v>0.76111111111111107</v>
      </c>
      <c r="G1640">
        <f t="shared" ca="1" si="51"/>
        <v>1</v>
      </c>
    </row>
    <row r="1641" spans="1:7">
      <c r="A1641">
        <v>9092</v>
      </c>
      <c r="B1641" t="s">
        <v>27</v>
      </c>
      <c r="C1641" t="s">
        <v>118</v>
      </c>
      <c r="D1641" s="9">
        <v>41697.358078703706</v>
      </c>
      <c r="E1641" t="s">
        <v>8</v>
      </c>
      <c r="F1641">
        <f t="shared" ca="1" si="50"/>
        <v>0.92222222222222228</v>
      </c>
      <c r="G1641">
        <f t="shared" ca="1" si="51"/>
        <v>1</v>
      </c>
    </row>
    <row r="1642" spans="1:7">
      <c r="A1642">
        <v>9132</v>
      </c>
      <c r="B1642" t="s">
        <v>112</v>
      </c>
      <c r="C1642" t="s">
        <v>118</v>
      </c>
      <c r="D1642" s="9">
        <v>41708.374884259261</v>
      </c>
      <c r="E1642" t="s">
        <v>19</v>
      </c>
      <c r="F1642">
        <f t="shared" ca="1" si="50"/>
        <v>0.88611111111111107</v>
      </c>
      <c r="G1642">
        <f t="shared" ca="1" si="51"/>
        <v>1</v>
      </c>
    </row>
    <row r="1643" spans="1:7">
      <c r="A1643">
        <v>9143</v>
      </c>
      <c r="B1643" t="s">
        <v>32</v>
      </c>
      <c r="C1643" t="s">
        <v>118</v>
      </c>
      <c r="D1643" s="9">
        <v>41708.376504629632</v>
      </c>
      <c r="E1643" t="s">
        <v>19</v>
      </c>
      <c r="F1643">
        <f t="shared" ca="1" si="50"/>
        <v>0.88611111111111107</v>
      </c>
      <c r="G1643">
        <f t="shared" ca="1" si="51"/>
        <v>1</v>
      </c>
    </row>
    <row r="1644" spans="1:7">
      <c r="A1644">
        <v>9166</v>
      </c>
      <c r="B1644" t="s">
        <v>8</v>
      </c>
      <c r="C1644" t="s">
        <v>118</v>
      </c>
      <c r="D1644" s="9">
        <v>41719.67931712963</v>
      </c>
      <c r="E1644" t="s">
        <v>29</v>
      </c>
      <c r="F1644">
        <f t="shared" ca="1" si="50"/>
        <v>0.85555555555555551</v>
      </c>
      <c r="G1644">
        <f t="shared" ca="1" si="51"/>
        <v>1</v>
      </c>
    </row>
    <row r="1645" spans="1:7">
      <c r="A1645">
        <v>9168</v>
      </c>
      <c r="B1645" t="s">
        <v>29</v>
      </c>
      <c r="C1645" t="s">
        <v>118</v>
      </c>
      <c r="D1645" s="9">
        <v>41729.363912037035</v>
      </c>
      <c r="E1645" t="s">
        <v>44</v>
      </c>
      <c r="F1645">
        <f t="shared" ca="1" si="50"/>
        <v>0.8305555555555556</v>
      </c>
      <c r="G1645">
        <f t="shared" ca="1" si="51"/>
        <v>1</v>
      </c>
    </row>
    <row r="1646" spans="1:7">
      <c r="A1646">
        <v>9171</v>
      </c>
      <c r="B1646" t="s">
        <v>19</v>
      </c>
      <c r="C1646" t="s">
        <v>118</v>
      </c>
      <c r="D1646" s="9">
        <v>41754.656377314815</v>
      </c>
      <c r="E1646" t="s">
        <v>37</v>
      </c>
      <c r="F1646">
        <f t="shared" ca="1" si="50"/>
        <v>0.76111111111111107</v>
      </c>
      <c r="G1646">
        <f t="shared" ca="1" si="51"/>
        <v>1</v>
      </c>
    </row>
    <row r="1647" spans="1:7">
      <c r="A1647">
        <v>9173</v>
      </c>
      <c r="B1647" t="s">
        <v>20</v>
      </c>
      <c r="C1647" t="s">
        <v>118</v>
      </c>
      <c r="D1647" s="9">
        <v>41711.845995370371</v>
      </c>
      <c r="E1647" t="s">
        <v>27</v>
      </c>
      <c r="F1647">
        <f t="shared" ca="1" si="50"/>
        <v>0.87777777777777777</v>
      </c>
      <c r="G1647">
        <f t="shared" ca="1" si="51"/>
        <v>1</v>
      </c>
    </row>
    <row r="1648" spans="1:7">
      <c r="A1648">
        <v>9181</v>
      </c>
      <c r="B1648" t="s">
        <v>8</v>
      </c>
      <c r="C1648" t="s">
        <v>118</v>
      </c>
      <c r="D1648" s="9">
        <v>41712.593773148146</v>
      </c>
      <c r="E1648" t="s">
        <v>19</v>
      </c>
      <c r="F1648">
        <f t="shared" ca="1" si="50"/>
        <v>0.875</v>
      </c>
      <c r="G1648">
        <f t="shared" ca="1" si="51"/>
        <v>1</v>
      </c>
    </row>
    <row r="1649" spans="1:7">
      <c r="A1649">
        <v>9184</v>
      </c>
      <c r="B1649" t="s">
        <v>19</v>
      </c>
      <c r="C1649" t="s">
        <v>118</v>
      </c>
      <c r="D1649" s="9">
        <v>41799.684525462966</v>
      </c>
      <c r="E1649" t="s">
        <v>29</v>
      </c>
      <c r="F1649">
        <f t="shared" ca="1" si="50"/>
        <v>0.63888888888888884</v>
      </c>
      <c r="G1649">
        <f t="shared" ca="1" si="51"/>
        <v>1</v>
      </c>
    </row>
    <row r="1650" spans="1:7">
      <c r="A1650">
        <v>9187</v>
      </c>
      <c r="B1650" t="s">
        <v>23</v>
      </c>
      <c r="C1650" t="s">
        <v>118</v>
      </c>
      <c r="D1650" s="9">
        <v>41718.404791666668</v>
      </c>
      <c r="F1650">
        <f t="shared" ca="1" si="50"/>
        <v>0.85833333333333328</v>
      </c>
      <c r="G1650">
        <f t="shared" ca="1" si="51"/>
        <v>1</v>
      </c>
    </row>
    <row r="1651" spans="1:7">
      <c r="A1651">
        <v>9196</v>
      </c>
      <c r="B1651" t="s">
        <v>27</v>
      </c>
      <c r="C1651" t="s">
        <v>118</v>
      </c>
      <c r="D1651" s="9">
        <v>41715.698923611111</v>
      </c>
      <c r="E1651" t="s">
        <v>8</v>
      </c>
      <c r="F1651">
        <f t="shared" ca="1" si="50"/>
        <v>0.8666666666666667</v>
      </c>
      <c r="G1651">
        <f t="shared" ca="1" si="51"/>
        <v>1</v>
      </c>
    </row>
    <row r="1652" spans="1:7">
      <c r="A1652">
        <v>9204</v>
      </c>
      <c r="B1652" t="s">
        <v>37</v>
      </c>
      <c r="C1652" t="s">
        <v>118</v>
      </c>
      <c r="D1652" s="9">
        <v>41768.441192129627</v>
      </c>
      <c r="E1652" t="s">
        <v>44</v>
      </c>
      <c r="F1652">
        <f t="shared" ca="1" si="50"/>
        <v>0.72222222222222221</v>
      </c>
      <c r="G1652">
        <f t="shared" ca="1" si="51"/>
        <v>1</v>
      </c>
    </row>
    <row r="1653" spans="1:7">
      <c r="A1653">
        <v>9205</v>
      </c>
      <c r="B1653" t="s">
        <v>37</v>
      </c>
      <c r="C1653" t="s">
        <v>118</v>
      </c>
      <c r="D1653" s="9">
        <v>41765.655081018522</v>
      </c>
      <c r="E1653" t="s">
        <v>17</v>
      </c>
      <c r="F1653">
        <f t="shared" ca="1" si="50"/>
        <v>0.73055555555555551</v>
      </c>
      <c r="G1653">
        <f t="shared" ca="1" si="51"/>
        <v>1</v>
      </c>
    </row>
    <row r="1654" spans="1:7">
      <c r="A1654">
        <v>9208</v>
      </c>
      <c r="B1654" t="s">
        <v>17</v>
      </c>
      <c r="C1654" t="s">
        <v>118</v>
      </c>
      <c r="D1654" s="9">
        <v>41737.489305555559</v>
      </c>
      <c r="E1654" t="s">
        <v>8</v>
      </c>
      <c r="F1654">
        <f t="shared" ca="1" si="50"/>
        <v>0.80833333333333335</v>
      </c>
      <c r="G1654">
        <f t="shared" ca="1" si="51"/>
        <v>1</v>
      </c>
    </row>
    <row r="1655" spans="1:7">
      <c r="A1655">
        <v>9227</v>
      </c>
      <c r="B1655" t="s">
        <v>8</v>
      </c>
      <c r="C1655" t="s">
        <v>118</v>
      </c>
      <c r="D1655" s="9">
        <v>41732.879884259259</v>
      </c>
      <c r="E1655" t="s">
        <v>11</v>
      </c>
      <c r="F1655">
        <f t="shared" ca="1" si="50"/>
        <v>0.82222222222222219</v>
      </c>
      <c r="G1655">
        <f t="shared" ca="1" si="51"/>
        <v>1</v>
      </c>
    </row>
    <row r="1656" spans="1:7">
      <c r="A1656">
        <v>9232</v>
      </c>
      <c r="B1656" t="s">
        <v>215</v>
      </c>
      <c r="C1656" t="s">
        <v>209</v>
      </c>
      <c r="D1656" s="9">
        <v>41843.590532407405</v>
      </c>
      <c r="E1656" t="s">
        <v>44</v>
      </c>
      <c r="F1656">
        <f t="shared" ca="1" si="50"/>
        <v>0.51666666666666672</v>
      </c>
      <c r="G1656">
        <f t="shared" ca="1" si="51"/>
        <v>1</v>
      </c>
    </row>
    <row r="1657" spans="1:7">
      <c r="A1657">
        <v>9255</v>
      </c>
      <c r="B1657" t="s">
        <v>38</v>
      </c>
      <c r="C1657" t="s">
        <v>118</v>
      </c>
      <c r="D1657" s="9">
        <v>41823.780717592592</v>
      </c>
      <c r="E1657" t="s">
        <v>20</v>
      </c>
      <c r="F1657">
        <f t="shared" ca="1" si="50"/>
        <v>0.57222222222222219</v>
      </c>
      <c r="G1657">
        <f t="shared" ca="1" si="51"/>
        <v>1</v>
      </c>
    </row>
    <row r="1658" spans="1:7">
      <c r="A1658">
        <v>9333</v>
      </c>
      <c r="B1658" t="s">
        <v>37</v>
      </c>
      <c r="C1658" t="s">
        <v>118</v>
      </c>
      <c r="D1658" s="9">
        <v>41751.508622685185</v>
      </c>
      <c r="E1658" t="s">
        <v>44</v>
      </c>
      <c r="F1658">
        <f t="shared" ca="1" si="50"/>
        <v>0.76944444444444449</v>
      </c>
      <c r="G1658">
        <f t="shared" ca="1" si="51"/>
        <v>1</v>
      </c>
    </row>
    <row r="1659" spans="1:7">
      <c r="A1659">
        <v>9361</v>
      </c>
      <c r="B1659" t="s">
        <v>37</v>
      </c>
      <c r="C1659" t="s">
        <v>118</v>
      </c>
      <c r="D1659" s="9">
        <v>41801.447997685187</v>
      </c>
      <c r="E1659" t="s">
        <v>14</v>
      </c>
      <c r="F1659">
        <f t="shared" ca="1" si="50"/>
        <v>0.6333333333333333</v>
      </c>
      <c r="G1659">
        <f t="shared" ca="1" si="51"/>
        <v>1</v>
      </c>
    </row>
    <row r="1660" spans="1:7">
      <c r="A1660">
        <v>9363</v>
      </c>
      <c r="B1660" t="s">
        <v>21</v>
      </c>
      <c r="C1660" t="s">
        <v>118</v>
      </c>
      <c r="D1660" s="9">
        <v>41752.888761574075</v>
      </c>
      <c r="E1660" t="s">
        <v>32</v>
      </c>
      <c r="F1660">
        <f t="shared" ca="1" si="50"/>
        <v>0.76666666666666672</v>
      </c>
      <c r="G1660">
        <f t="shared" ca="1" si="51"/>
        <v>1</v>
      </c>
    </row>
    <row r="1661" spans="1:7">
      <c r="A1661">
        <v>9368</v>
      </c>
      <c r="B1661" t="s">
        <v>215</v>
      </c>
      <c r="C1661" t="s">
        <v>209</v>
      </c>
      <c r="D1661" s="9">
        <v>41935.421180555553</v>
      </c>
      <c r="E1661" t="s">
        <v>19</v>
      </c>
      <c r="F1661">
        <f t="shared" ca="1" si="50"/>
        <v>0.26666666666666666</v>
      </c>
      <c r="G1661">
        <f t="shared" ca="1" si="51"/>
        <v>1</v>
      </c>
    </row>
    <row r="1662" spans="1:7">
      <c r="A1662">
        <v>9394</v>
      </c>
      <c r="B1662" t="s">
        <v>44</v>
      </c>
      <c r="C1662" t="s">
        <v>118</v>
      </c>
      <c r="D1662" s="9">
        <v>41816.402037037034</v>
      </c>
      <c r="E1662" t="s">
        <v>30</v>
      </c>
      <c r="F1662">
        <f t="shared" ca="1" si="50"/>
        <v>0.59166666666666667</v>
      </c>
      <c r="G1662">
        <f t="shared" ca="1" si="51"/>
        <v>1</v>
      </c>
    </row>
    <row r="1663" spans="1:7">
      <c r="A1663">
        <v>9406</v>
      </c>
      <c r="B1663" t="s">
        <v>44</v>
      </c>
      <c r="C1663" t="s">
        <v>118</v>
      </c>
      <c r="D1663" s="9">
        <v>41768.657210648147</v>
      </c>
      <c r="E1663" t="s">
        <v>18</v>
      </c>
      <c r="F1663">
        <f t="shared" ca="1" si="50"/>
        <v>0.72222222222222221</v>
      </c>
      <c r="G1663">
        <f t="shared" ca="1" si="51"/>
        <v>1</v>
      </c>
    </row>
    <row r="1664" spans="1:7">
      <c r="A1664">
        <v>9408</v>
      </c>
      <c r="B1664" t="s">
        <v>44</v>
      </c>
      <c r="C1664" t="s">
        <v>118</v>
      </c>
      <c r="D1664" s="9">
        <v>41761.623842592591</v>
      </c>
      <c r="E1664" t="s">
        <v>23</v>
      </c>
      <c r="F1664">
        <f t="shared" ca="1" si="50"/>
        <v>0.7416666666666667</v>
      </c>
      <c r="G1664">
        <f t="shared" ca="1" si="51"/>
        <v>1</v>
      </c>
    </row>
    <row r="1665" spans="1:7">
      <c r="A1665">
        <v>9419</v>
      </c>
      <c r="B1665" t="s">
        <v>11</v>
      </c>
      <c r="C1665" t="s">
        <v>118</v>
      </c>
      <c r="D1665" s="9">
        <v>41789.720208333332</v>
      </c>
      <c r="E1665" t="s">
        <v>37</v>
      </c>
      <c r="F1665">
        <f t="shared" ca="1" si="50"/>
        <v>0.66388888888888886</v>
      </c>
      <c r="G1665">
        <f t="shared" ca="1" si="51"/>
        <v>1</v>
      </c>
    </row>
    <row r="1666" spans="1:7">
      <c r="A1666">
        <v>9426</v>
      </c>
      <c r="B1666" t="s">
        <v>34</v>
      </c>
      <c r="C1666" t="s">
        <v>118</v>
      </c>
      <c r="D1666" s="9">
        <v>41773.341597222221</v>
      </c>
      <c r="E1666" t="s">
        <v>69</v>
      </c>
      <c r="F1666">
        <f t="shared" ca="1" si="50"/>
        <v>0.70833333333333337</v>
      </c>
      <c r="G1666">
        <f t="shared" ca="1" si="51"/>
        <v>1</v>
      </c>
    </row>
    <row r="1667" spans="1:7">
      <c r="A1667">
        <v>9430</v>
      </c>
      <c r="B1667" t="s">
        <v>37</v>
      </c>
      <c r="C1667" t="s">
        <v>118</v>
      </c>
      <c r="D1667" s="9">
        <v>41775.552164351851</v>
      </c>
      <c r="E1667" t="s">
        <v>44</v>
      </c>
      <c r="F1667">
        <f t="shared" ref="F1667:F1730" ca="1" si="52">YEARFRAC(TODAY(),$D1667)</f>
        <v>0.70277777777777772</v>
      </c>
      <c r="G1667">
        <f t="shared" ref="G1667:G1730" ca="1" si="53">IF($F1667&lt;1,1,0)</f>
        <v>1</v>
      </c>
    </row>
    <row r="1668" spans="1:7">
      <c r="A1668">
        <v>9435</v>
      </c>
      <c r="B1668" t="s">
        <v>8</v>
      </c>
      <c r="C1668" t="s">
        <v>118</v>
      </c>
      <c r="D1668" s="9">
        <v>41775.634664351855</v>
      </c>
      <c r="E1668" t="s">
        <v>19</v>
      </c>
      <c r="F1668">
        <f t="shared" ca="1" si="52"/>
        <v>0.70277777777777772</v>
      </c>
      <c r="G1668">
        <f t="shared" ca="1" si="53"/>
        <v>1</v>
      </c>
    </row>
    <row r="1669" spans="1:7">
      <c r="A1669">
        <v>9440</v>
      </c>
      <c r="B1669" t="s">
        <v>19</v>
      </c>
      <c r="C1669" t="s">
        <v>118</v>
      </c>
      <c r="D1669" s="9">
        <v>41795.624976851854</v>
      </c>
      <c r="E1669" t="s">
        <v>29</v>
      </c>
      <c r="F1669">
        <f t="shared" ca="1" si="52"/>
        <v>0.65</v>
      </c>
      <c r="G1669">
        <f t="shared" ca="1" si="53"/>
        <v>1</v>
      </c>
    </row>
    <row r="1670" spans="1:7">
      <c r="A1670">
        <v>9458</v>
      </c>
      <c r="B1670" t="s">
        <v>37</v>
      </c>
      <c r="C1670" t="s">
        <v>118</v>
      </c>
      <c r="D1670" s="9">
        <v>41774.518252314818</v>
      </c>
      <c r="E1670" t="s">
        <v>44</v>
      </c>
      <c r="F1670">
        <f t="shared" ca="1" si="52"/>
        <v>0.7055555555555556</v>
      </c>
      <c r="G1670">
        <f t="shared" ca="1" si="53"/>
        <v>1</v>
      </c>
    </row>
    <row r="1671" spans="1:7">
      <c r="A1671">
        <v>9464</v>
      </c>
      <c r="B1671" t="s">
        <v>20</v>
      </c>
      <c r="C1671" t="s">
        <v>118</v>
      </c>
      <c r="D1671" s="9">
        <v>41827.655486111114</v>
      </c>
      <c r="E1671" t="s">
        <v>21</v>
      </c>
      <c r="F1671">
        <f t="shared" ca="1" si="52"/>
        <v>0.56111111111111112</v>
      </c>
      <c r="G1671">
        <f t="shared" ca="1" si="53"/>
        <v>1</v>
      </c>
    </row>
    <row r="1672" spans="1:7">
      <c r="A1672">
        <v>9467</v>
      </c>
      <c r="B1672" t="s">
        <v>44</v>
      </c>
      <c r="C1672" t="s">
        <v>209</v>
      </c>
      <c r="D1672" s="9">
        <v>41869.471747685187</v>
      </c>
      <c r="E1672" t="s">
        <v>23</v>
      </c>
      <c r="F1672">
        <f t="shared" ca="1" si="52"/>
        <v>0.44722222222222224</v>
      </c>
      <c r="G1672">
        <f t="shared" ca="1" si="53"/>
        <v>1</v>
      </c>
    </row>
    <row r="1673" spans="1:7">
      <c r="A1673">
        <v>9470</v>
      </c>
      <c r="B1673" t="s">
        <v>19</v>
      </c>
      <c r="C1673" t="s">
        <v>118</v>
      </c>
      <c r="D1673" s="9">
        <v>41824.433136574073</v>
      </c>
      <c r="E1673" t="s">
        <v>37</v>
      </c>
      <c r="F1673">
        <f t="shared" ca="1" si="52"/>
        <v>0.56944444444444442</v>
      </c>
      <c r="G1673">
        <f t="shared" ca="1" si="53"/>
        <v>1</v>
      </c>
    </row>
    <row r="1674" spans="1:7">
      <c r="A1674">
        <v>9475</v>
      </c>
      <c r="B1674" t="s">
        <v>29</v>
      </c>
      <c r="C1674" t="s">
        <v>118</v>
      </c>
      <c r="D1674" s="9">
        <v>41794.611192129632</v>
      </c>
      <c r="E1674" t="s">
        <v>19</v>
      </c>
      <c r="F1674">
        <f t="shared" ca="1" si="52"/>
        <v>0.65277777777777779</v>
      </c>
      <c r="G1674">
        <f t="shared" ca="1" si="53"/>
        <v>1</v>
      </c>
    </row>
    <row r="1675" spans="1:7">
      <c r="A1675">
        <v>9478</v>
      </c>
      <c r="B1675" t="s">
        <v>8</v>
      </c>
      <c r="C1675" t="s">
        <v>118</v>
      </c>
      <c r="D1675" s="9">
        <v>41796.551666666666</v>
      </c>
      <c r="E1675" t="s">
        <v>30</v>
      </c>
      <c r="F1675">
        <f t="shared" ca="1" si="52"/>
        <v>0.64722222222222225</v>
      </c>
      <c r="G1675">
        <f t="shared" ca="1" si="53"/>
        <v>1</v>
      </c>
    </row>
    <row r="1676" spans="1:7">
      <c r="A1676">
        <v>9479</v>
      </c>
      <c r="B1676" t="s">
        <v>8</v>
      </c>
      <c r="C1676" t="s">
        <v>118</v>
      </c>
      <c r="D1676" s="9">
        <v>41778.531921296293</v>
      </c>
      <c r="E1676" t="s">
        <v>37</v>
      </c>
      <c r="F1676">
        <f t="shared" ca="1" si="52"/>
        <v>0.69444444444444442</v>
      </c>
      <c r="G1676">
        <f t="shared" ca="1" si="53"/>
        <v>1</v>
      </c>
    </row>
    <row r="1677" spans="1:7">
      <c r="A1677">
        <v>9484</v>
      </c>
      <c r="B1677" t="s">
        <v>37</v>
      </c>
      <c r="C1677" t="s">
        <v>118</v>
      </c>
      <c r="D1677" s="9">
        <v>41780.620949074073</v>
      </c>
      <c r="E1677" t="s">
        <v>44</v>
      </c>
      <c r="F1677">
        <f t="shared" ca="1" si="52"/>
        <v>0.68888888888888888</v>
      </c>
      <c r="G1677">
        <f t="shared" ca="1" si="53"/>
        <v>1</v>
      </c>
    </row>
    <row r="1678" spans="1:7">
      <c r="A1678">
        <v>9491</v>
      </c>
      <c r="B1678" t="s">
        <v>18</v>
      </c>
      <c r="C1678" t="s">
        <v>118</v>
      </c>
      <c r="D1678" s="9">
        <v>41782.578333333331</v>
      </c>
      <c r="E1678" t="s">
        <v>30</v>
      </c>
      <c r="F1678">
        <f t="shared" ca="1" si="52"/>
        <v>0.68333333333333335</v>
      </c>
      <c r="G1678">
        <f t="shared" ca="1" si="53"/>
        <v>1</v>
      </c>
    </row>
    <row r="1679" spans="1:7">
      <c r="A1679">
        <v>9494</v>
      </c>
      <c r="B1679" t="s">
        <v>18</v>
      </c>
      <c r="C1679" t="s">
        <v>118</v>
      </c>
      <c r="D1679" s="9">
        <v>41789.703877314816</v>
      </c>
      <c r="E1679" t="s">
        <v>44</v>
      </c>
      <c r="F1679">
        <f t="shared" ca="1" si="52"/>
        <v>0.66388888888888886</v>
      </c>
      <c r="G1679">
        <f t="shared" ca="1" si="53"/>
        <v>1</v>
      </c>
    </row>
    <row r="1680" spans="1:7">
      <c r="A1680">
        <v>9501</v>
      </c>
      <c r="B1680" t="s">
        <v>29</v>
      </c>
      <c r="C1680" t="s">
        <v>118</v>
      </c>
      <c r="D1680" s="9">
        <v>41815.429849537039</v>
      </c>
      <c r="E1680" t="s">
        <v>34</v>
      </c>
      <c r="F1680">
        <f t="shared" ca="1" si="52"/>
        <v>0.59444444444444444</v>
      </c>
      <c r="G1680">
        <f t="shared" ca="1" si="53"/>
        <v>1</v>
      </c>
    </row>
    <row r="1681" spans="1:7">
      <c r="A1681">
        <v>9502</v>
      </c>
      <c r="B1681" t="s">
        <v>23</v>
      </c>
      <c r="C1681" t="s">
        <v>118</v>
      </c>
      <c r="D1681" s="9">
        <v>41815.472349537034</v>
      </c>
      <c r="E1681" t="s">
        <v>8</v>
      </c>
      <c r="F1681">
        <f t="shared" ca="1" si="52"/>
        <v>0.59444444444444444</v>
      </c>
      <c r="G1681">
        <f t="shared" ca="1" si="53"/>
        <v>1</v>
      </c>
    </row>
    <row r="1682" spans="1:7">
      <c r="A1682">
        <v>9511</v>
      </c>
      <c r="B1682" t="s">
        <v>20</v>
      </c>
      <c r="C1682" t="s">
        <v>118</v>
      </c>
      <c r="D1682" s="9">
        <v>41823.712025462963</v>
      </c>
      <c r="E1682" t="s">
        <v>32</v>
      </c>
      <c r="F1682">
        <f t="shared" ca="1" si="52"/>
        <v>0.57222222222222219</v>
      </c>
      <c r="G1682">
        <f t="shared" ca="1" si="53"/>
        <v>1</v>
      </c>
    </row>
    <row r="1683" spans="1:7">
      <c r="A1683">
        <v>9513</v>
      </c>
      <c r="B1683" t="s">
        <v>8</v>
      </c>
      <c r="C1683" t="s">
        <v>209</v>
      </c>
      <c r="D1683" s="9">
        <v>41858.831296296295</v>
      </c>
      <c r="F1683">
        <f t="shared" ca="1" si="52"/>
        <v>0.4777777777777778</v>
      </c>
      <c r="G1683">
        <f t="shared" ca="1" si="53"/>
        <v>1</v>
      </c>
    </row>
    <row r="1684" spans="1:7">
      <c r="A1684">
        <v>9514</v>
      </c>
      <c r="B1684" t="s">
        <v>8</v>
      </c>
      <c r="C1684" t="s">
        <v>118</v>
      </c>
      <c r="D1684" s="9">
        <v>41782.611979166664</v>
      </c>
      <c r="E1684" t="s">
        <v>27</v>
      </c>
      <c r="F1684">
        <f t="shared" ca="1" si="52"/>
        <v>0.68333333333333335</v>
      </c>
      <c r="G1684">
        <f t="shared" ca="1" si="53"/>
        <v>1</v>
      </c>
    </row>
    <row r="1685" spans="1:7">
      <c r="A1685">
        <v>9521</v>
      </c>
      <c r="B1685" t="s">
        <v>8</v>
      </c>
      <c r="C1685" t="s">
        <v>118</v>
      </c>
      <c r="D1685" s="9">
        <v>41792.360509259262</v>
      </c>
      <c r="E1685" t="s">
        <v>112</v>
      </c>
      <c r="F1685">
        <f t="shared" ca="1" si="52"/>
        <v>0.65833333333333333</v>
      </c>
      <c r="G1685">
        <f t="shared" ca="1" si="53"/>
        <v>1</v>
      </c>
    </row>
    <row r="1686" spans="1:7">
      <c r="A1686">
        <v>9523</v>
      </c>
      <c r="B1686" t="s">
        <v>112</v>
      </c>
      <c r="C1686" t="s">
        <v>118</v>
      </c>
      <c r="D1686" s="9">
        <v>41789.672731481478</v>
      </c>
      <c r="E1686" t="s">
        <v>8</v>
      </c>
      <c r="F1686">
        <f t="shared" ca="1" si="52"/>
        <v>0.66388888888888886</v>
      </c>
      <c r="G1686">
        <f t="shared" ca="1" si="53"/>
        <v>1</v>
      </c>
    </row>
    <row r="1687" spans="1:7">
      <c r="A1687">
        <v>9524</v>
      </c>
      <c r="B1687" t="s">
        <v>19</v>
      </c>
      <c r="C1687" t="s">
        <v>118</v>
      </c>
      <c r="D1687" s="9">
        <v>41820.6640625</v>
      </c>
      <c r="E1687" t="s">
        <v>27</v>
      </c>
      <c r="F1687">
        <f t="shared" ca="1" si="52"/>
        <v>0.5805555555555556</v>
      </c>
      <c r="G1687">
        <f t="shared" ca="1" si="53"/>
        <v>1</v>
      </c>
    </row>
    <row r="1688" spans="1:7">
      <c r="A1688">
        <v>9525</v>
      </c>
      <c r="B1688" t="s">
        <v>112</v>
      </c>
      <c r="C1688" t="s">
        <v>118</v>
      </c>
      <c r="D1688" s="9">
        <v>41786.643923611111</v>
      </c>
      <c r="E1688" t="s">
        <v>44</v>
      </c>
      <c r="F1688">
        <f t="shared" ca="1" si="52"/>
        <v>0.67222222222222228</v>
      </c>
      <c r="G1688">
        <f t="shared" ca="1" si="53"/>
        <v>1</v>
      </c>
    </row>
    <row r="1689" spans="1:7">
      <c r="A1689">
        <v>9526</v>
      </c>
      <c r="B1689" t="s">
        <v>18</v>
      </c>
      <c r="C1689" t="s">
        <v>118</v>
      </c>
      <c r="D1689" s="9">
        <v>41787.499155092592</v>
      </c>
      <c r="E1689" t="s">
        <v>34</v>
      </c>
      <c r="F1689">
        <f t="shared" ca="1" si="52"/>
        <v>0.6694444444444444</v>
      </c>
      <c r="G1689">
        <f t="shared" ca="1" si="53"/>
        <v>1</v>
      </c>
    </row>
    <row r="1690" spans="1:7">
      <c r="A1690">
        <v>9536</v>
      </c>
      <c r="B1690" t="s">
        <v>14</v>
      </c>
      <c r="C1690" t="s">
        <v>118</v>
      </c>
      <c r="D1690" s="9">
        <v>41806.571400462963</v>
      </c>
      <c r="E1690" t="s">
        <v>19</v>
      </c>
      <c r="F1690">
        <f t="shared" ca="1" si="52"/>
        <v>0.61944444444444446</v>
      </c>
      <c r="G1690">
        <f t="shared" ca="1" si="53"/>
        <v>1</v>
      </c>
    </row>
    <row r="1691" spans="1:7">
      <c r="A1691">
        <v>9539</v>
      </c>
      <c r="B1691" t="s">
        <v>19</v>
      </c>
      <c r="C1691" t="s">
        <v>210</v>
      </c>
      <c r="D1691" s="9">
        <v>41870.580590277779</v>
      </c>
      <c r="F1691">
        <f t="shared" ca="1" si="52"/>
        <v>0.44444444444444442</v>
      </c>
      <c r="G1691">
        <f t="shared" ca="1" si="53"/>
        <v>1</v>
      </c>
    </row>
    <row r="1692" spans="1:7">
      <c r="A1692">
        <v>9541</v>
      </c>
      <c r="B1692" t="s">
        <v>11</v>
      </c>
      <c r="C1692" t="s">
        <v>118</v>
      </c>
      <c r="D1692" s="9">
        <v>41796.616736111115</v>
      </c>
      <c r="E1692" t="s">
        <v>23</v>
      </c>
      <c r="F1692">
        <f t="shared" ca="1" si="52"/>
        <v>0.64722222222222225</v>
      </c>
      <c r="G1692">
        <f t="shared" ca="1" si="53"/>
        <v>1</v>
      </c>
    </row>
    <row r="1693" spans="1:7">
      <c r="A1693">
        <v>9542</v>
      </c>
      <c r="B1693" t="s">
        <v>11</v>
      </c>
      <c r="C1693" t="s">
        <v>118</v>
      </c>
      <c r="D1693" s="9">
        <v>41799.798877314817</v>
      </c>
      <c r="E1693" t="s">
        <v>45</v>
      </c>
      <c r="F1693">
        <f t="shared" ca="1" si="52"/>
        <v>0.63888888888888884</v>
      </c>
      <c r="G1693">
        <f t="shared" ca="1" si="53"/>
        <v>1</v>
      </c>
    </row>
    <row r="1694" spans="1:7">
      <c r="A1694">
        <v>9543</v>
      </c>
      <c r="B1694" t="s">
        <v>11</v>
      </c>
      <c r="C1694" t="s">
        <v>118</v>
      </c>
      <c r="D1694" s="9">
        <v>41803.880567129629</v>
      </c>
      <c r="E1694" t="s">
        <v>36</v>
      </c>
      <c r="F1694">
        <f t="shared" ca="1" si="52"/>
        <v>0.62777777777777777</v>
      </c>
      <c r="G1694">
        <f t="shared" ca="1" si="53"/>
        <v>1</v>
      </c>
    </row>
    <row r="1695" spans="1:7">
      <c r="A1695">
        <v>9550</v>
      </c>
      <c r="B1695" t="s">
        <v>37</v>
      </c>
      <c r="C1695" t="s">
        <v>118</v>
      </c>
      <c r="D1695" s="9">
        <v>41799.401122685187</v>
      </c>
      <c r="E1695" t="s">
        <v>17</v>
      </c>
      <c r="F1695">
        <f t="shared" ca="1" si="52"/>
        <v>0.63888888888888884</v>
      </c>
      <c r="G1695">
        <f t="shared" ca="1" si="53"/>
        <v>1</v>
      </c>
    </row>
    <row r="1696" spans="1:7">
      <c r="A1696">
        <v>9559</v>
      </c>
      <c r="B1696" t="s">
        <v>8</v>
      </c>
      <c r="C1696" t="s">
        <v>118</v>
      </c>
      <c r="D1696" s="9">
        <v>41792.660462962966</v>
      </c>
      <c r="F1696">
        <f t="shared" ca="1" si="52"/>
        <v>0.65833333333333333</v>
      </c>
      <c r="G1696">
        <f t="shared" ca="1" si="53"/>
        <v>1</v>
      </c>
    </row>
    <row r="1697" spans="1:7">
      <c r="A1697">
        <v>9566</v>
      </c>
      <c r="B1697" t="s">
        <v>29</v>
      </c>
      <c r="C1697" t="s">
        <v>118</v>
      </c>
      <c r="D1697" s="9">
        <v>41794.572500000002</v>
      </c>
      <c r="E1697" t="s">
        <v>14</v>
      </c>
      <c r="F1697">
        <f t="shared" ca="1" si="52"/>
        <v>0.65277777777777779</v>
      </c>
      <c r="G1697">
        <f t="shared" ca="1" si="53"/>
        <v>1</v>
      </c>
    </row>
    <row r="1698" spans="1:7">
      <c r="A1698">
        <v>9567</v>
      </c>
      <c r="B1698" t="s">
        <v>30</v>
      </c>
      <c r="C1698" t="s">
        <v>118</v>
      </c>
      <c r="D1698" s="9">
        <v>41814.501620370371</v>
      </c>
      <c r="E1698" t="s">
        <v>34</v>
      </c>
      <c r="F1698">
        <f t="shared" ca="1" si="52"/>
        <v>0.59722222222222221</v>
      </c>
      <c r="G1698">
        <f t="shared" ca="1" si="53"/>
        <v>1</v>
      </c>
    </row>
    <row r="1699" spans="1:7">
      <c r="A1699">
        <v>9569</v>
      </c>
      <c r="B1699" t="s">
        <v>19</v>
      </c>
      <c r="C1699" t="s">
        <v>118</v>
      </c>
      <c r="D1699" s="9">
        <v>41848.550706018519</v>
      </c>
      <c r="E1699" t="s">
        <v>34</v>
      </c>
      <c r="F1699">
        <f t="shared" ca="1" si="52"/>
        <v>0.50277777777777777</v>
      </c>
      <c r="G1699">
        <f t="shared" ca="1" si="53"/>
        <v>1</v>
      </c>
    </row>
    <row r="1700" spans="1:7">
      <c r="A1700">
        <v>9570</v>
      </c>
      <c r="B1700" t="s">
        <v>29</v>
      </c>
      <c r="C1700" t="s">
        <v>118</v>
      </c>
      <c r="D1700" s="9">
        <v>41808.358807870369</v>
      </c>
      <c r="E1700" t="s">
        <v>8</v>
      </c>
      <c r="F1700">
        <f t="shared" ca="1" si="52"/>
        <v>0.61388888888888893</v>
      </c>
      <c r="G1700">
        <f t="shared" ca="1" si="53"/>
        <v>1</v>
      </c>
    </row>
    <row r="1701" spans="1:7">
      <c r="A1701">
        <v>9571</v>
      </c>
      <c r="B1701" t="s">
        <v>36</v>
      </c>
      <c r="C1701" t="s">
        <v>118</v>
      </c>
      <c r="D1701" s="9">
        <v>41823.712071759262</v>
      </c>
      <c r="E1701" t="s">
        <v>112</v>
      </c>
      <c r="F1701">
        <f t="shared" ca="1" si="52"/>
        <v>0.57222222222222219</v>
      </c>
      <c r="G1701">
        <f t="shared" ca="1" si="53"/>
        <v>1</v>
      </c>
    </row>
    <row r="1702" spans="1:7">
      <c r="A1702">
        <v>9572</v>
      </c>
      <c r="B1702" t="s">
        <v>20</v>
      </c>
      <c r="C1702" t="s">
        <v>118</v>
      </c>
      <c r="D1702" s="9">
        <v>41823.712060185186</v>
      </c>
      <c r="E1702" t="s">
        <v>30</v>
      </c>
      <c r="F1702">
        <f t="shared" ca="1" si="52"/>
        <v>0.57222222222222219</v>
      </c>
      <c r="G1702">
        <f t="shared" ca="1" si="53"/>
        <v>1</v>
      </c>
    </row>
    <row r="1703" spans="1:7">
      <c r="A1703">
        <v>9573</v>
      </c>
      <c r="B1703" t="s">
        <v>21</v>
      </c>
      <c r="C1703" t="s">
        <v>118</v>
      </c>
      <c r="D1703" s="9">
        <v>41813.56590277778</v>
      </c>
      <c r="E1703" t="s">
        <v>112</v>
      </c>
      <c r="F1703">
        <f t="shared" ca="1" si="52"/>
        <v>0.6</v>
      </c>
      <c r="G1703">
        <f t="shared" ca="1" si="53"/>
        <v>1</v>
      </c>
    </row>
    <row r="1704" spans="1:7">
      <c r="A1704">
        <v>9574</v>
      </c>
      <c r="B1704" t="s">
        <v>8</v>
      </c>
      <c r="C1704" t="s">
        <v>118</v>
      </c>
      <c r="D1704" s="9">
        <v>41823.712025462963</v>
      </c>
      <c r="E1704" t="s">
        <v>20</v>
      </c>
      <c r="F1704">
        <f t="shared" ca="1" si="52"/>
        <v>0.57222222222222219</v>
      </c>
      <c r="G1704">
        <f t="shared" ca="1" si="53"/>
        <v>1</v>
      </c>
    </row>
    <row r="1705" spans="1:7">
      <c r="A1705">
        <v>9575</v>
      </c>
      <c r="B1705" t="s">
        <v>112</v>
      </c>
      <c r="C1705" t="s">
        <v>118</v>
      </c>
      <c r="D1705" s="9">
        <v>41795.706504629627</v>
      </c>
      <c r="E1705" t="s">
        <v>8</v>
      </c>
      <c r="F1705">
        <f t="shared" ca="1" si="52"/>
        <v>0.65</v>
      </c>
      <c r="G1705">
        <f t="shared" ca="1" si="53"/>
        <v>1</v>
      </c>
    </row>
    <row r="1706" spans="1:7">
      <c r="A1706">
        <v>9576</v>
      </c>
      <c r="B1706" t="s">
        <v>19</v>
      </c>
      <c r="C1706" t="s">
        <v>118</v>
      </c>
      <c r="D1706" s="9">
        <v>41799.535590277781</v>
      </c>
      <c r="E1706" t="s">
        <v>112</v>
      </c>
      <c r="F1706">
        <f t="shared" ca="1" si="52"/>
        <v>0.63888888888888884</v>
      </c>
      <c r="G1706">
        <f t="shared" ca="1" si="53"/>
        <v>1</v>
      </c>
    </row>
    <row r="1707" spans="1:7">
      <c r="A1707">
        <v>9577</v>
      </c>
      <c r="B1707" t="s">
        <v>38</v>
      </c>
      <c r="C1707" t="s">
        <v>118</v>
      </c>
      <c r="D1707" s="9">
        <v>41800.942349537036</v>
      </c>
      <c r="E1707" t="s">
        <v>20</v>
      </c>
      <c r="F1707">
        <f t="shared" ca="1" si="52"/>
        <v>0.63611111111111107</v>
      </c>
      <c r="G1707">
        <f t="shared" ca="1" si="53"/>
        <v>1</v>
      </c>
    </row>
    <row r="1708" spans="1:7">
      <c r="A1708">
        <v>9578</v>
      </c>
      <c r="B1708" t="s">
        <v>111</v>
      </c>
      <c r="C1708" t="s">
        <v>118</v>
      </c>
      <c r="D1708" s="9">
        <v>41823.712060185186</v>
      </c>
      <c r="E1708" t="s">
        <v>112</v>
      </c>
      <c r="F1708">
        <f t="shared" ca="1" si="52"/>
        <v>0.57222222222222219</v>
      </c>
      <c r="G1708">
        <f t="shared" ca="1" si="53"/>
        <v>1</v>
      </c>
    </row>
    <row r="1709" spans="1:7">
      <c r="A1709">
        <v>9579</v>
      </c>
      <c r="B1709" t="s">
        <v>34</v>
      </c>
      <c r="C1709" t="s">
        <v>118</v>
      </c>
      <c r="D1709" s="9">
        <v>41810.463310185187</v>
      </c>
      <c r="E1709" t="s">
        <v>14</v>
      </c>
      <c r="F1709">
        <f t="shared" ca="1" si="52"/>
        <v>0.60833333333333328</v>
      </c>
      <c r="G1709">
        <f t="shared" ca="1" si="53"/>
        <v>1</v>
      </c>
    </row>
    <row r="1710" spans="1:7">
      <c r="A1710">
        <v>9580</v>
      </c>
      <c r="B1710" t="s">
        <v>27</v>
      </c>
      <c r="C1710" t="s">
        <v>118</v>
      </c>
      <c r="D1710" s="9">
        <v>41803.460763888892</v>
      </c>
      <c r="E1710" t="s">
        <v>112</v>
      </c>
      <c r="F1710">
        <f t="shared" ca="1" si="52"/>
        <v>0.62777777777777777</v>
      </c>
      <c r="G1710">
        <f t="shared" ca="1" si="53"/>
        <v>1</v>
      </c>
    </row>
    <row r="1711" spans="1:7">
      <c r="A1711">
        <v>9581</v>
      </c>
      <c r="B1711" t="s">
        <v>23</v>
      </c>
      <c r="C1711" t="s">
        <v>118</v>
      </c>
      <c r="D1711" s="9">
        <v>41823.712071759262</v>
      </c>
      <c r="E1711" t="s">
        <v>112</v>
      </c>
      <c r="F1711">
        <f t="shared" ca="1" si="52"/>
        <v>0.57222222222222219</v>
      </c>
      <c r="G1711">
        <f t="shared" ca="1" si="53"/>
        <v>1</v>
      </c>
    </row>
    <row r="1712" spans="1:7">
      <c r="A1712">
        <v>9583</v>
      </c>
      <c r="B1712" t="s">
        <v>32</v>
      </c>
      <c r="C1712" t="s">
        <v>118</v>
      </c>
      <c r="D1712" s="9">
        <v>41817.060034722221</v>
      </c>
      <c r="E1712" t="s">
        <v>112</v>
      </c>
      <c r="F1712">
        <f t="shared" ca="1" si="52"/>
        <v>0.58888888888888891</v>
      </c>
      <c r="G1712">
        <f t="shared" ca="1" si="53"/>
        <v>1</v>
      </c>
    </row>
    <row r="1713" spans="1:7">
      <c r="A1713">
        <v>9584</v>
      </c>
      <c r="B1713" t="s">
        <v>14</v>
      </c>
      <c r="C1713" t="s">
        <v>118</v>
      </c>
      <c r="D1713" s="9">
        <v>41808.581180555557</v>
      </c>
      <c r="E1713" t="s">
        <v>8</v>
      </c>
      <c r="F1713">
        <f t="shared" ca="1" si="52"/>
        <v>0.61388888888888893</v>
      </c>
      <c r="G1713">
        <f t="shared" ca="1" si="53"/>
        <v>1</v>
      </c>
    </row>
    <row r="1714" spans="1:7">
      <c r="A1714">
        <v>9585</v>
      </c>
      <c r="B1714" t="s">
        <v>17</v>
      </c>
      <c r="C1714" t="s">
        <v>118</v>
      </c>
      <c r="D1714" s="9">
        <v>41803.450127314813</v>
      </c>
      <c r="E1714" t="s">
        <v>112</v>
      </c>
      <c r="F1714">
        <f t="shared" ca="1" si="52"/>
        <v>0.62777777777777777</v>
      </c>
      <c r="G1714">
        <f t="shared" ca="1" si="53"/>
        <v>1</v>
      </c>
    </row>
    <row r="1715" spans="1:7">
      <c r="A1715">
        <v>9587</v>
      </c>
      <c r="B1715" t="s">
        <v>37</v>
      </c>
      <c r="C1715" t="s">
        <v>118</v>
      </c>
      <c r="D1715" s="9">
        <v>41823.712083333332</v>
      </c>
      <c r="E1715" t="s">
        <v>44</v>
      </c>
      <c r="F1715">
        <f t="shared" ca="1" si="52"/>
        <v>0.57222222222222219</v>
      </c>
      <c r="G1715">
        <f t="shared" ca="1" si="53"/>
        <v>1</v>
      </c>
    </row>
    <row r="1716" spans="1:7">
      <c r="A1716">
        <v>9588</v>
      </c>
      <c r="B1716" t="s">
        <v>50</v>
      </c>
      <c r="C1716" t="s">
        <v>118</v>
      </c>
      <c r="D1716" s="9">
        <v>41800.45925925926</v>
      </c>
      <c r="E1716" t="s">
        <v>112</v>
      </c>
      <c r="F1716">
        <f t="shared" ca="1" si="52"/>
        <v>0.63611111111111107</v>
      </c>
      <c r="G1716">
        <f t="shared" ca="1" si="53"/>
        <v>1</v>
      </c>
    </row>
    <row r="1717" spans="1:7">
      <c r="A1717">
        <v>9589</v>
      </c>
      <c r="B1717" t="s">
        <v>69</v>
      </c>
      <c r="C1717" t="s">
        <v>118</v>
      </c>
      <c r="D1717" s="9">
        <v>41803.467916666668</v>
      </c>
      <c r="E1717" t="s">
        <v>112</v>
      </c>
      <c r="F1717">
        <f t="shared" ca="1" si="52"/>
        <v>0.62777777777777777</v>
      </c>
      <c r="G1717">
        <f t="shared" ca="1" si="53"/>
        <v>1</v>
      </c>
    </row>
    <row r="1718" spans="1:7">
      <c r="A1718">
        <v>9590</v>
      </c>
      <c r="B1718" t="s">
        <v>112</v>
      </c>
      <c r="C1718" t="s">
        <v>118</v>
      </c>
      <c r="D1718" s="9">
        <v>41810.614421296297</v>
      </c>
      <c r="E1718" t="s">
        <v>30</v>
      </c>
      <c r="F1718">
        <f t="shared" ca="1" si="52"/>
        <v>0.60833333333333328</v>
      </c>
      <c r="G1718">
        <f t="shared" ca="1" si="53"/>
        <v>1</v>
      </c>
    </row>
    <row r="1719" spans="1:7">
      <c r="A1719">
        <v>9601</v>
      </c>
      <c r="B1719" t="s">
        <v>112</v>
      </c>
      <c r="C1719" t="s">
        <v>118</v>
      </c>
      <c r="D1719" s="9">
        <v>41806.577916666669</v>
      </c>
      <c r="E1719" t="s">
        <v>14</v>
      </c>
      <c r="F1719">
        <f t="shared" ca="1" si="52"/>
        <v>0.61944444444444446</v>
      </c>
      <c r="G1719">
        <f t="shared" ca="1" si="53"/>
        <v>1</v>
      </c>
    </row>
    <row r="1720" spans="1:7">
      <c r="A1720">
        <v>9604</v>
      </c>
      <c r="B1720" t="s">
        <v>112</v>
      </c>
      <c r="C1720" t="s">
        <v>118</v>
      </c>
      <c r="D1720" s="9">
        <v>41800.669976851852</v>
      </c>
      <c r="E1720" t="s">
        <v>69</v>
      </c>
      <c r="F1720">
        <f t="shared" ca="1" si="52"/>
        <v>0.63611111111111107</v>
      </c>
      <c r="G1720">
        <f t="shared" ca="1" si="53"/>
        <v>1</v>
      </c>
    </row>
    <row r="1721" spans="1:7">
      <c r="A1721">
        <v>9608</v>
      </c>
      <c r="B1721" t="s">
        <v>112</v>
      </c>
      <c r="C1721" t="s">
        <v>118</v>
      </c>
      <c r="D1721" s="9">
        <v>41803.723391203705</v>
      </c>
      <c r="E1721" t="s">
        <v>30</v>
      </c>
      <c r="F1721">
        <f t="shared" ca="1" si="52"/>
        <v>0.62777777777777777</v>
      </c>
      <c r="G1721">
        <f t="shared" ca="1" si="53"/>
        <v>1</v>
      </c>
    </row>
    <row r="1722" spans="1:7">
      <c r="A1722">
        <v>9609</v>
      </c>
      <c r="B1722" t="s">
        <v>20</v>
      </c>
      <c r="C1722" t="s">
        <v>118</v>
      </c>
      <c r="D1722" s="9">
        <v>41803.884780092594</v>
      </c>
      <c r="E1722" t="s">
        <v>36</v>
      </c>
      <c r="F1722">
        <f t="shared" ca="1" si="52"/>
        <v>0.62777777777777777</v>
      </c>
      <c r="G1722">
        <f t="shared" ca="1" si="53"/>
        <v>1</v>
      </c>
    </row>
    <row r="1723" spans="1:7">
      <c r="A1723">
        <v>9612</v>
      </c>
      <c r="B1723" t="s">
        <v>112</v>
      </c>
      <c r="C1723" t="s">
        <v>118</v>
      </c>
      <c r="D1723" s="9">
        <v>41814.438888888886</v>
      </c>
      <c r="E1723" t="s">
        <v>8</v>
      </c>
      <c r="F1723">
        <f t="shared" ca="1" si="52"/>
        <v>0.59722222222222221</v>
      </c>
      <c r="G1723">
        <f t="shared" ca="1" si="53"/>
        <v>1</v>
      </c>
    </row>
    <row r="1724" spans="1:7">
      <c r="A1724">
        <v>9614</v>
      </c>
      <c r="B1724" t="s">
        <v>27</v>
      </c>
      <c r="C1724" t="s">
        <v>118</v>
      </c>
      <c r="D1724" s="9">
        <v>41823.712025462963</v>
      </c>
      <c r="F1724">
        <f t="shared" ca="1" si="52"/>
        <v>0.57222222222222219</v>
      </c>
      <c r="G1724">
        <f t="shared" ca="1" si="53"/>
        <v>1</v>
      </c>
    </row>
    <row r="1725" spans="1:7">
      <c r="A1725">
        <v>9615</v>
      </c>
      <c r="B1725" t="s">
        <v>27</v>
      </c>
      <c r="C1725" t="s">
        <v>118</v>
      </c>
      <c r="D1725" s="9">
        <v>41810.388749999998</v>
      </c>
      <c r="E1725" t="s">
        <v>112</v>
      </c>
      <c r="F1725">
        <f t="shared" ca="1" si="52"/>
        <v>0.60833333333333328</v>
      </c>
      <c r="G1725">
        <f t="shared" ca="1" si="53"/>
        <v>1</v>
      </c>
    </row>
    <row r="1726" spans="1:7">
      <c r="A1726">
        <v>9616</v>
      </c>
      <c r="B1726" t="s">
        <v>17</v>
      </c>
      <c r="C1726" t="s">
        <v>118</v>
      </c>
      <c r="D1726" s="9">
        <v>41813.523182870369</v>
      </c>
      <c r="E1726" t="s">
        <v>37</v>
      </c>
      <c r="F1726">
        <f t="shared" ca="1" si="52"/>
        <v>0.6</v>
      </c>
      <c r="G1726">
        <f t="shared" ca="1" si="53"/>
        <v>1</v>
      </c>
    </row>
    <row r="1727" spans="1:7">
      <c r="A1727">
        <v>9621</v>
      </c>
      <c r="B1727" t="s">
        <v>14</v>
      </c>
      <c r="C1727" t="s">
        <v>118</v>
      </c>
      <c r="D1727" s="9">
        <v>41813.415081018517</v>
      </c>
      <c r="E1727" t="s">
        <v>37</v>
      </c>
      <c r="F1727">
        <f t="shared" ca="1" si="52"/>
        <v>0.6</v>
      </c>
      <c r="G1727">
        <f t="shared" ca="1" si="53"/>
        <v>1</v>
      </c>
    </row>
    <row r="1728" spans="1:7">
      <c r="A1728">
        <v>9628</v>
      </c>
      <c r="B1728" t="s">
        <v>37</v>
      </c>
      <c r="C1728" t="s">
        <v>118</v>
      </c>
      <c r="D1728" s="9">
        <v>41810.577974537038</v>
      </c>
      <c r="E1728" t="s">
        <v>14</v>
      </c>
      <c r="F1728">
        <f t="shared" ca="1" si="52"/>
        <v>0.60833333333333328</v>
      </c>
      <c r="G1728">
        <f t="shared" ca="1" si="53"/>
        <v>1</v>
      </c>
    </row>
    <row r="1729" spans="1:7">
      <c r="A1729">
        <v>9634</v>
      </c>
      <c r="B1729" t="s">
        <v>37</v>
      </c>
      <c r="C1729" t="s">
        <v>118</v>
      </c>
      <c r="D1729" s="9">
        <v>41810.663171296299</v>
      </c>
      <c r="E1729" t="s">
        <v>14</v>
      </c>
      <c r="F1729">
        <f t="shared" ca="1" si="52"/>
        <v>0.60833333333333328</v>
      </c>
      <c r="G1729">
        <f t="shared" ca="1" si="53"/>
        <v>1</v>
      </c>
    </row>
    <row r="1730" spans="1:7">
      <c r="A1730">
        <v>9639</v>
      </c>
      <c r="B1730" t="s">
        <v>8</v>
      </c>
      <c r="C1730" t="s">
        <v>209</v>
      </c>
      <c r="D1730" s="9">
        <v>41869.575115740743</v>
      </c>
      <c r="E1730" t="s">
        <v>19</v>
      </c>
      <c r="F1730">
        <f t="shared" ca="1" si="52"/>
        <v>0.44722222222222224</v>
      </c>
      <c r="G1730">
        <f t="shared" ca="1" si="53"/>
        <v>1</v>
      </c>
    </row>
    <row r="1731" spans="1:7">
      <c r="A1731">
        <v>9641</v>
      </c>
      <c r="B1731" t="s">
        <v>37</v>
      </c>
      <c r="C1731" t="s">
        <v>118</v>
      </c>
      <c r="D1731" s="9">
        <v>41803.424942129626</v>
      </c>
      <c r="E1731" t="s">
        <v>8</v>
      </c>
      <c r="F1731">
        <f t="shared" ref="F1731:F1794" ca="1" si="54">YEARFRAC(TODAY(),$D1731)</f>
        <v>0.62777777777777777</v>
      </c>
      <c r="G1731">
        <f t="shared" ref="G1731:G1794" ca="1" si="55">IF($F1731&lt;1,1,0)</f>
        <v>1</v>
      </c>
    </row>
    <row r="1732" spans="1:7">
      <c r="A1732">
        <v>9647</v>
      </c>
      <c r="B1732" t="s">
        <v>20</v>
      </c>
      <c r="C1732" t="s">
        <v>118</v>
      </c>
      <c r="D1732" s="9">
        <v>41808.671793981484</v>
      </c>
      <c r="E1732" t="s">
        <v>27</v>
      </c>
      <c r="F1732">
        <f t="shared" ca="1" si="54"/>
        <v>0.61388888888888893</v>
      </c>
      <c r="G1732">
        <f t="shared" ca="1" si="55"/>
        <v>1</v>
      </c>
    </row>
    <row r="1733" spans="1:7">
      <c r="A1733">
        <v>9654</v>
      </c>
      <c r="B1733" t="s">
        <v>8</v>
      </c>
      <c r="C1733" t="s">
        <v>118</v>
      </c>
      <c r="D1733" s="9">
        <v>41807.552534722221</v>
      </c>
      <c r="E1733" t="s">
        <v>32</v>
      </c>
      <c r="F1733">
        <f t="shared" ca="1" si="54"/>
        <v>0.6166666666666667</v>
      </c>
      <c r="G1733">
        <f t="shared" ca="1" si="55"/>
        <v>1</v>
      </c>
    </row>
    <row r="1734" spans="1:7">
      <c r="A1734">
        <v>9657</v>
      </c>
      <c r="B1734" t="s">
        <v>45</v>
      </c>
      <c r="C1734" t="s">
        <v>118</v>
      </c>
      <c r="D1734" s="9">
        <v>41807.878437500003</v>
      </c>
      <c r="E1734" t="s">
        <v>11</v>
      </c>
      <c r="F1734">
        <f t="shared" ca="1" si="54"/>
        <v>0.6166666666666667</v>
      </c>
      <c r="G1734">
        <f t="shared" ca="1" si="55"/>
        <v>1</v>
      </c>
    </row>
    <row r="1735" spans="1:7">
      <c r="A1735">
        <v>9660</v>
      </c>
      <c r="B1735" t="s">
        <v>112</v>
      </c>
      <c r="C1735" t="s">
        <v>118</v>
      </c>
      <c r="D1735" s="9">
        <v>41815.590740740743</v>
      </c>
      <c r="E1735" t="s">
        <v>30</v>
      </c>
      <c r="F1735">
        <f t="shared" ca="1" si="54"/>
        <v>0.59444444444444444</v>
      </c>
      <c r="G1735">
        <f t="shared" ca="1" si="55"/>
        <v>1</v>
      </c>
    </row>
    <row r="1736" spans="1:7">
      <c r="A1736">
        <v>9668</v>
      </c>
      <c r="B1736" t="s">
        <v>37</v>
      </c>
      <c r="C1736" t="s">
        <v>118</v>
      </c>
      <c r="D1736" s="9">
        <v>41810.441261574073</v>
      </c>
      <c r="E1736" t="s">
        <v>14</v>
      </c>
      <c r="F1736">
        <f t="shared" ca="1" si="54"/>
        <v>0.60833333333333328</v>
      </c>
      <c r="G1736">
        <f t="shared" ca="1" si="55"/>
        <v>1</v>
      </c>
    </row>
    <row r="1737" spans="1:7">
      <c r="A1737">
        <v>9671</v>
      </c>
      <c r="B1737" t="s">
        <v>112</v>
      </c>
      <c r="C1737" t="s">
        <v>210</v>
      </c>
      <c r="D1737" s="9">
        <v>41870.49015046296</v>
      </c>
      <c r="E1737" t="s">
        <v>8</v>
      </c>
      <c r="F1737">
        <f t="shared" ca="1" si="54"/>
        <v>0.44444444444444442</v>
      </c>
      <c r="G1737">
        <f t="shared" ca="1" si="55"/>
        <v>1</v>
      </c>
    </row>
    <row r="1738" spans="1:7">
      <c r="A1738">
        <v>9673</v>
      </c>
      <c r="B1738" t="s">
        <v>29</v>
      </c>
      <c r="C1738" t="s">
        <v>118</v>
      </c>
      <c r="D1738" s="9">
        <v>41820.50984953704</v>
      </c>
      <c r="E1738" t="s">
        <v>112</v>
      </c>
      <c r="F1738">
        <f t="shared" ca="1" si="54"/>
        <v>0.5805555555555556</v>
      </c>
      <c r="G1738">
        <f t="shared" ca="1" si="55"/>
        <v>1</v>
      </c>
    </row>
    <row r="1739" spans="1:7">
      <c r="A1739">
        <v>9677</v>
      </c>
      <c r="B1739" t="s">
        <v>20</v>
      </c>
      <c r="C1739" t="s">
        <v>118</v>
      </c>
      <c r="D1739" s="9">
        <v>41817.898032407407</v>
      </c>
      <c r="E1739" t="s">
        <v>38</v>
      </c>
      <c r="F1739">
        <f t="shared" ca="1" si="54"/>
        <v>0.58888888888888891</v>
      </c>
      <c r="G1739">
        <f t="shared" ca="1" si="55"/>
        <v>1</v>
      </c>
    </row>
    <row r="1740" spans="1:7">
      <c r="A1740">
        <v>9680</v>
      </c>
      <c r="B1740" t="s">
        <v>27</v>
      </c>
      <c r="C1740" t="s">
        <v>118</v>
      </c>
      <c r="D1740" s="9">
        <v>41820.661990740744</v>
      </c>
      <c r="E1740" t="s">
        <v>112</v>
      </c>
      <c r="F1740">
        <f t="shared" ca="1" si="54"/>
        <v>0.5805555555555556</v>
      </c>
      <c r="G1740">
        <f t="shared" ca="1" si="55"/>
        <v>1</v>
      </c>
    </row>
    <row r="1741" spans="1:7">
      <c r="A1741">
        <v>9686</v>
      </c>
      <c r="B1741" t="s">
        <v>44</v>
      </c>
      <c r="C1741" t="s">
        <v>118</v>
      </c>
      <c r="D1741" s="9">
        <v>41873.699305555558</v>
      </c>
      <c r="E1741" t="s">
        <v>30</v>
      </c>
      <c r="F1741">
        <f t="shared" ca="1" si="54"/>
        <v>0.43611111111111112</v>
      </c>
      <c r="G1741">
        <f t="shared" ca="1" si="55"/>
        <v>1</v>
      </c>
    </row>
    <row r="1742" spans="1:7">
      <c r="A1742">
        <v>9690</v>
      </c>
      <c r="B1742" t="s">
        <v>44</v>
      </c>
      <c r="C1742" t="s">
        <v>209</v>
      </c>
      <c r="D1742" s="9">
        <v>41866.446203703701</v>
      </c>
      <c r="E1742" t="s">
        <v>23</v>
      </c>
      <c r="F1742">
        <f t="shared" ca="1" si="54"/>
        <v>0.45555555555555555</v>
      </c>
      <c r="G1742">
        <f t="shared" ca="1" si="55"/>
        <v>1</v>
      </c>
    </row>
    <row r="1743" spans="1:7">
      <c r="A1743">
        <v>9705</v>
      </c>
      <c r="B1743" t="s">
        <v>21</v>
      </c>
      <c r="C1743" t="s">
        <v>209</v>
      </c>
      <c r="D1743" s="9">
        <v>41845.670162037037</v>
      </c>
      <c r="E1743" t="s">
        <v>34</v>
      </c>
      <c r="F1743">
        <f t="shared" ca="1" si="54"/>
        <v>0.51111111111111107</v>
      </c>
      <c r="G1743">
        <f t="shared" ca="1" si="55"/>
        <v>1</v>
      </c>
    </row>
    <row r="1744" spans="1:7">
      <c r="A1744">
        <v>9710</v>
      </c>
      <c r="B1744" t="s">
        <v>37</v>
      </c>
      <c r="C1744" t="s">
        <v>118</v>
      </c>
      <c r="D1744" s="9">
        <v>41810.592511574076</v>
      </c>
      <c r="E1744" t="s">
        <v>44</v>
      </c>
      <c r="F1744">
        <f t="shared" ca="1" si="54"/>
        <v>0.60833333333333328</v>
      </c>
      <c r="G1744">
        <f t="shared" ca="1" si="55"/>
        <v>1</v>
      </c>
    </row>
    <row r="1745" spans="1:7">
      <c r="A1745">
        <v>9716</v>
      </c>
      <c r="B1745" t="s">
        <v>8</v>
      </c>
      <c r="C1745" t="s">
        <v>118</v>
      </c>
      <c r="D1745" s="9">
        <v>41831.402245370373</v>
      </c>
      <c r="E1745" t="s">
        <v>37</v>
      </c>
      <c r="F1745">
        <f t="shared" ca="1" si="54"/>
        <v>0.55000000000000004</v>
      </c>
      <c r="G1745">
        <f t="shared" ca="1" si="55"/>
        <v>1</v>
      </c>
    </row>
    <row r="1746" spans="1:7">
      <c r="A1746">
        <v>9717</v>
      </c>
      <c r="B1746" t="s">
        <v>8</v>
      </c>
      <c r="C1746" t="s">
        <v>118</v>
      </c>
      <c r="D1746" s="9">
        <v>41813.660578703704</v>
      </c>
      <c r="E1746" t="s">
        <v>34</v>
      </c>
      <c r="F1746">
        <f t="shared" ca="1" si="54"/>
        <v>0.6</v>
      </c>
      <c r="G1746">
        <f t="shared" ca="1" si="55"/>
        <v>1</v>
      </c>
    </row>
    <row r="1747" spans="1:7">
      <c r="A1747">
        <v>9720</v>
      </c>
      <c r="B1747" t="s">
        <v>14</v>
      </c>
      <c r="C1747" t="s">
        <v>118</v>
      </c>
      <c r="D1747" s="9">
        <v>41828.406886574077</v>
      </c>
      <c r="E1747" t="s">
        <v>37</v>
      </c>
      <c r="F1747">
        <f t="shared" ca="1" si="54"/>
        <v>0.55833333333333335</v>
      </c>
      <c r="G1747">
        <f t="shared" ca="1" si="55"/>
        <v>1</v>
      </c>
    </row>
    <row r="1748" spans="1:7">
      <c r="A1748">
        <v>9724</v>
      </c>
      <c r="B1748" t="s">
        <v>8</v>
      </c>
      <c r="C1748" t="s">
        <v>118</v>
      </c>
      <c r="D1748" s="9">
        <v>41814.692002314812</v>
      </c>
      <c r="E1748" t="s">
        <v>36</v>
      </c>
      <c r="F1748">
        <f t="shared" ca="1" si="54"/>
        <v>0.59722222222222221</v>
      </c>
      <c r="G1748">
        <f t="shared" ca="1" si="55"/>
        <v>1</v>
      </c>
    </row>
    <row r="1749" spans="1:7">
      <c r="A1749">
        <v>9725</v>
      </c>
      <c r="B1749" t="s">
        <v>44</v>
      </c>
      <c r="C1749" t="s">
        <v>118</v>
      </c>
      <c r="D1749" s="9">
        <v>41817.543599537035</v>
      </c>
      <c r="E1749" t="s">
        <v>37</v>
      </c>
      <c r="F1749">
        <f t="shared" ca="1" si="54"/>
        <v>0.58888888888888891</v>
      </c>
      <c r="G1749">
        <f t="shared" ca="1" si="55"/>
        <v>1</v>
      </c>
    </row>
    <row r="1750" spans="1:7">
      <c r="A1750">
        <v>9735</v>
      </c>
      <c r="B1750" t="s">
        <v>14</v>
      </c>
      <c r="C1750" t="s">
        <v>118</v>
      </c>
      <c r="D1750" s="9">
        <v>41814.675347222219</v>
      </c>
      <c r="E1750" t="s">
        <v>34</v>
      </c>
      <c r="F1750">
        <f t="shared" ca="1" si="54"/>
        <v>0.59722222222222221</v>
      </c>
      <c r="G1750">
        <f t="shared" ca="1" si="55"/>
        <v>1</v>
      </c>
    </row>
    <row r="1751" spans="1:7">
      <c r="A1751">
        <v>9736</v>
      </c>
      <c r="B1751" t="s">
        <v>14</v>
      </c>
      <c r="C1751" t="s">
        <v>118</v>
      </c>
      <c r="D1751" s="9">
        <v>41816.680844907409</v>
      </c>
      <c r="E1751" t="s">
        <v>30</v>
      </c>
      <c r="F1751">
        <f t="shared" ca="1" si="54"/>
        <v>0.59166666666666667</v>
      </c>
      <c r="G1751">
        <f t="shared" ca="1" si="55"/>
        <v>1</v>
      </c>
    </row>
    <row r="1752" spans="1:7">
      <c r="A1752">
        <v>9737</v>
      </c>
      <c r="B1752" t="s">
        <v>112</v>
      </c>
      <c r="C1752" t="s">
        <v>118</v>
      </c>
      <c r="D1752" s="9">
        <v>41817.577928240738</v>
      </c>
      <c r="E1752" t="s">
        <v>30</v>
      </c>
      <c r="F1752">
        <f t="shared" ca="1" si="54"/>
        <v>0.58888888888888891</v>
      </c>
      <c r="G1752">
        <f t="shared" ca="1" si="55"/>
        <v>1</v>
      </c>
    </row>
    <row r="1753" spans="1:7">
      <c r="A1753">
        <v>9739</v>
      </c>
      <c r="B1753" t="s">
        <v>14</v>
      </c>
      <c r="C1753" t="s">
        <v>118</v>
      </c>
      <c r="D1753" s="9">
        <v>41815.860324074078</v>
      </c>
      <c r="E1753" t="s">
        <v>20</v>
      </c>
      <c r="F1753">
        <f t="shared" ca="1" si="54"/>
        <v>0.59444444444444444</v>
      </c>
      <c r="G1753">
        <f t="shared" ca="1" si="55"/>
        <v>1</v>
      </c>
    </row>
    <row r="1754" spans="1:7">
      <c r="A1754">
        <v>9740</v>
      </c>
      <c r="B1754" t="s">
        <v>8</v>
      </c>
      <c r="C1754" t="s">
        <v>209</v>
      </c>
      <c r="D1754" s="9">
        <v>41859.405312499999</v>
      </c>
      <c r="E1754" t="s">
        <v>44</v>
      </c>
      <c r="F1754">
        <f t="shared" ca="1" si="54"/>
        <v>0.47499999999999998</v>
      </c>
      <c r="G1754">
        <f t="shared" ca="1" si="55"/>
        <v>1</v>
      </c>
    </row>
    <row r="1755" spans="1:7">
      <c r="A1755">
        <v>9754</v>
      </c>
      <c r="B1755" t="s">
        <v>20</v>
      </c>
      <c r="C1755" t="s">
        <v>118</v>
      </c>
      <c r="D1755" s="9">
        <v>41822.810879629629</v>
      </c>
      <c r="E1755" t="s">
        <v>27</v>
      </c>
      <c r="F1755">
        <f t="shared" ca="1" si="54"/>
        <v>0.57499999999999996</v>
      </c>
      <c r="G1755">
        <f t="shared" ca="1" si="55"/>
        <v>1</v>
      </c>
    </row>
    <row r="1756" spans="1:7">
      <c r="A1756">
        <v>9756</v>
      </c>
      <c r="B1756" t="s">
        <v>8</v>
      </c>
      <c r="C1756" t="s">
        <v>118</v>
      </c>
      <c r="D1756" s="9">
        <v>41823.712071759262</v>
      </c>
      <c r="E1756" t="s">
        <v>112</v>
      </c>
      <c r="F1756">
        <f t="shared" ca="1" si="54"/>
        <v>0.57222222222222219</v>
      </c>
      <c r="G1756">
        <f t="shared" ca="1" si="55"/>
        <v>1</v>
      </c>
    </row>
    <row r="1757" spans="1:7">
      <c r="A1757">
        <v>9760</v>
      </c>
      <c r="B1757" t="s">
        <v>32</v>
      </c>
      <c r="C1757" t="s">
        <v>118</v>
      </c>
      <c r="D1757" s="9">
        <v>41816.692881944444</v>
      </c>
      <c r="E1757" t="s">
        <v>27</v>
      </c>
      <c r="F1757">
        <f t="shared" ca="1" si="54"/>
        <v>0.59166666666666667</v>
      </c>
      <c r="G1757">
        <f t="shared" ca="1" si="55"/>
        <v>1</v>
      </c>
    </row>
    <row r="1758" spans="1:7">
      <c r="A1758">
        <v>9761</v>
      </c>
      <c r="B1758" t="s">
        <v>8</v>
      </c>
      <c r="C1758" t="s">
        <v>118</v>
      </c>
      <c r="D1758" s="9">
        <v>41817.690196759257</v>
      </c>
      <c r="E1758" t="s">
        <v>29</v>
      </c>
      <c r="F1758">
        <f t="shared" ca="1" si="54"/>
        <v>0.58888888888888891</v>
      </c>
      <c r="G1758">
        <f t="shared" ca="1" si="55"/>
        <v>1</v>
      </c>
    </row>
    <row r="1759" spans="1:7">
      <c r="A1759">
        <v>9765</v>
      </c>
      <c r="B1759" t="s">
        <v>29</v>
      </c>
      <c r="C1759" t="s">
        <v>118</v>
      </c>
      <c r="D1759" s="9">
        <v>41817.402060185188</v>
      </c>
      <c r="E1759" t="s">
        <v>34</v>
      </c>
      <c r="F1759">
        <f t="shared" ca="1" si="54"/>
        <v>0.58888888888888891</v>
      </c>
      <c r="G1759">
        <f t="shared" ca="1" si="55"/>
        <v>1</v>
      </c>
    </row>
    <row r="1760" spans="1:7">
      <c r="A1760">
        <v>9766</v>
      </c>
      <c r="B1760" t="s">
        <v>21</v>
      </c>
      <c r="C1760" t="s">
        <v>118</v>
      </c>
      <c r="D1760" s="9">
        <v>41828.61922453704</v>
      </c>
      <c r="E1760" t="s">
        <v>112</v>
      </c>
      <c r="F1760">
        <f t="shared" ca="1" si="54"/>
        <v>0.55833333333333335</v>
      </c>
      <c r="G1760">
        <f t="shared" ca="1" si="55"/>
        <v>1</v>
      </c>
    </row>
    <row r="1761" spans="1:7">
      <c r="A1761">
        <v>9769</v>
      </c>
      <c r="B1761" t="s">
        <v>23</v>
      </c>
      <c r="C1761" t="s">
        <v>118</v>
      </c>
      <c r="D1761" s="9">
        <v>41820.653078703705</v>
      </c>
      <c r="E1761" t="s">
        <v>112</v>
      </c>
      <c r="F1761">
        <f t="shared" ca="1" si="54"/>
        <v>0.5805555555555556</v>
      </c>
      <c r="G1761">
        <f t="shared" ca="1" si="55"/>
        <v>1</v>
      </c>
    </row>
    <row r="1762" spans="1:7">
      <c r="A1762">
        <v>9779</v>
      </c>
      <c r="B1762" t="s">
        <v>19</v>
      </c>
      <c r="C1762" t="s">
        <v>118</v>
      </c>
      <c r="D1762" s="9">
        <v>41820.662708333337</v>
      </c>
      <c r="E1762" t="s">
        <v>27</v>
      </c>
      <c r="F1762">
        <f t="shared" ca="1" si="54"/>
        <v>0.5805555555555556</v>
      </c>
      <c r="G1762">
        <f t="shared" ca="1" si="55"/>
        <v>1</v>
      </c>
    </row>
    <row r="1763" spans="1:7">
      <c r="A1763">
        <v>9780</v>
      </c>
      <c r="B1763" t="s">
        <v>14</v>
      </c>
      <c r="C1763" t="s">
        <v>118</v>
      </c>
      <c r="D1763" s="9">
        <v>41822.571527777778</v>
      </c>
      <c r="E1763" t="s">
        <v>112</v>
      </c>
      <c r="F1763">
        <f t="shared" ca="1" si="54"/>
        <v>0.57499999999999996</v>
      </c>
      <c r="G1763">
        <f t="shared" ca="1" si="55"/>
        <v>1</v>
      </c>
    </row>
    <row r="1764" spans="1:7">
      <c r="A1764">
        <v>9783</v>
      </c>
      <c r="B1764" t="s">
        <v>30</v>
      </c>
      <c r="C1764" t="s">
        <v>118</v>
      </c>
      <c r="D1764" s="9">
        <v>41821.468854166669</v>
      </c>
      <c r="E1764" t="s">
        <v>44</v>
      </c>
      <c r="F1764">
        <f t="shared" ca="1" si="54"/>
        <v>0.57777777777777772</v>
      </c>
      <c r="G1764">
        <f t="shared" ca="1" si="55"/>
        <v>1</v>
      </c>
    </row>
    <row r="1765" spans="1:7">
      <c r="A1765">
        <v>9784</v>
      </c>
      <c r="B1765" t="s">
        <v>30</v>
      </c>
      <c r="C1765" t="s">
        <v>118</v>
      </c>
      <c r="D1765" s="9">
        <v>41828.362557870372</v>
      </c>
      <c r="E1765" t="s">
        <v>44</v>
      </c>
      <c r="F1765">
        <f t="shared" ca="1" si="54"/>
        <v>0.55833333333333335</v>
      </c>
      <c r="G1765">
        <f t="shared" ca="1" si="55"/>
        <v>1</v>
      </c>
    </row>
    <row r="1766" spans="1:7">
      <c r="A1766">
        <v>9792</v>
      </c>
      <c r="B1766" t="s">
        <v>112</v>
      </c>
      <c r="C1766" t="s">
        <v>118</v>
      </c>
      <c r="D1766" s="9">
        <v>41823.464571759258</v>
      </c>
      <c r="E1766" t="s">
        <v>8</v>
      </c>
      <c r="F1766">
        <f t="shared" ca="1" si="54"/>
        <v>0.57222222222222219</v>
      </c>
      <c r="G1766">
        <f t="shared" ca="1" si="55"/>
        <v>1</v>
      </c>
    </row>
    <row r="1767" spans="1:7">
      <c r="A1767">
        <v>9796</v>
      </c>
      <c r="B1767" t="s">
        <v>112</v>
      </c>
      <c r="C1767" t="s">
        <v>118</v>
      </c>
      <c r="D1767" s="9">
        <v>41824.472245370373</v>
      </c>
      <c r="E1767" t="s">
        <v>37</v>
      </c>
      <c r="F1767">
        <f t="shared" ca="1" si="54"/>
        <v>0.56944444444444442</v>
      </c>
      <c r="G1767">
        <f t="shared" ca="1" si="55"/>
        <v>1</v>
      </c>
    </row>
    <row r="1768" spans="1:7">
      <c r="A1768">
        <v>9799</v>
      </c>
      <c r="B1768" t="s">
        <v>23</v>
      </c>
      <c r="C1768" t="s">
        <v>118</v>
      </c>
      <c r="D1768" s="9">
        <v>41827.633472222224</v>
      </c>
      <c r="E1768" t="s">
        <v>34</v>
      </c>
      <c r="F1768">
        <f t="shared" ca="1" si="54"/>
        <v>0.56111111111111112</v>
      </c>
      <c r="G1768">
        <f t="shared" ca="1" si="55"/>
        <v>1</v>
      </c>
    </row>
    <row r="1769" spans="1:7">
      <c r="A1769">
        <v>9802</v>
      </c>
      <c r="B1769" t="s">
        <v>8</v>
      </c>
      <c r="C1769" t="s">
        <v>118</v>
      </c>
      <c r="D1769" s="9">
        <v>41823.621180555558</v>
      </c>
      <c r="E1769" t="s">
        <v>34</v>
      </c>
      <c r="F1769">
        <f t="shared" ca="1" si="54"/>
        <v>0.57222222222222219</v>
      </c>
      <c r="G1769">
        <f t="shared" ca="1" si="55"/>
        <v>1</v>
      </c>
    </row>
    <row r="1770" spans="1:7">
      <c r="A1770">
        <v>9805</v>
      </c>
      <c r="B1770" t="s">
        <v>44</v>
      </c>
      <c r="C1770" t="s">
        <v>118</v>
      </c>
      <c r="D1770" s="9">
        <v>41827.674039351848</v>
      </c>
      <c r="E1770" t="s">
        <v>112</v>
      </c>
      <c r="F1770">
        <f t="shared" ca="1" si="54"/>
        <v>0.56111111111111112</v>
      </c>
      <c r="G1770">
        <f t="shared" ca="1" si="55"/>
        <v>1</v>
      </c>
    </row>
    <row r="1771" spans="1:7">
      <c r="A1771">
        <v>9808</v>
      </c>
      <c r="B1771" t="s">
        <v>8</v>
      </c>
      <c r="C1771" t="s">
        <v>118</v>
      </c>
      <c r="D1771" s="9">
        <v>41827.659479166665</v>
      </c>
      <c r="E1771" t="s">
        <v>27</v>
      </c>
      <c r="F1771">
        <f t="shared" ca="1" si="54"/>
        <v>0.56111111111111112</v>
      </c>
      <c r="G1771">
        <f t="shared" ca="1" si="55"/>
        <v>1</v>
      </c>
    </row>
    <row r="1772" spans="1:7">
      <c r="A1772">
        <v>9812</v>
      </c>
      <c r="B1772" t="s">
        <v>19</v>
      </c>
      <c r="C1772" t="s">
        <v>118</v>
      </c>
      <c r="D1772" s="9">
        <v>41828.691354166665</v>
      </c>
      <c r="E1772" t="s">
        <v>27</v>
      </c>
      <c r="F1772">
        <f t="shared" ca="1" si="54"/>
        <v>0.55833333333333335</v>
      </c>
      <c r="G1772">
        <f t="shared" ca="1" si="55"/>
        <v>1</v>
      </c>
    </row>
    <row r="1773" spans="1:7">
      <c r="A1773">
        <v>9813</v>
      </c>
      <c r="B1773" t="s">
        <v>112</v>
      </c>
      <c r="C1773" t="s">
        <v>118</v>
      </c>
      <c r="D1773" s="9">
        <v>41824.482499999998</v>
      </c>
      <c r="E1773" t="s">
        <v>30</v>
      </c>
      <c r="F1773">
        <f t="shared" ca="1" si="54"/>
        <v>0.56944444444444442</v>
      </c>
      <c r="G1773">
        <f t="shared" ca="1" si="55"/>
        <v>1</v>
      </c>
    </row>
    <row r="1774" spans="1:7">
      <c r="A1774">
        <v>9824</v>
      </c>
      <c r="B1774" t="s">
        <v>19</v>
      </c>
      <c r="C1774" t="s">
        <v>118</v>
      </c>
      <c r="D1774" s="9">
        <v>41827.44222222222</v>
      </c>
      <c r="E1774" t="s">
        <v>37</v>
      </c>
      <c r="F1774">
        <f t="shared" ca="1" si="54"/>
        <v>0.56111111111111112</v>
      </c>
      <c r="G1774">
        <f t="shared" ca="1" si="55"/>
        <v>1</v>
      </c>
    </row>
    <row r="1775" spans="1:7">
      <c r="A1775">
        <v>9826</v>
      </c>
      <c r="B1775" t="s">
        <v>19</v>
      </c>
      <c r="C1775" t="s">
        <v>118</v>
      </c>
      <c r="D1775" s="9">
        <v>41828.600775462961</v>
      </c>
      <c r="E1775" t="s">
        <v>37</v>
      </c>
      <c r="F1775">
        <f t="shared" ca="1" si="54"/>
        <v>0.55833333333333335</v>
      </c>
      <c r="G1775">
        <f t="shared" ca="1" si="55"/>
        <v>1</v>
      </c>
    </row>
    <row r="1776" spans="1:7">
      <c r="A1776">
        <v>9839</v>
      </c>
      <c r="B1776" t="s">
        <v>14</v>
      </c>
      <c r="C1776" t="s">
        <v>118</v>
      </c>
      <c r="D1776" s="9">
        <v>41829.688449074078</v>
      </c>
      <c r="E1776" t="s">
        <v>112</v>
      </c>
      <c r="F1776">
        <f t="shared" ca="1" si="54"/>
        <v>0.55555555555555558</v>
      </c>
      <c r="G1776">
        <f t="shared" ca="1" si="55"/>
        <v>1</v>
      </c>
    </row>
    <row r="1777" spans="1:7">
      <c r="A1777">
        <v>9873</v>
      </c>
      <c r="B1777" t="s">
        <v>37</v>
      </c>
      <c r="C1777" t="s">
        <v>209</v>
      </c>
      <c r="D1777" s="9">
        <v>41845.580879629626</v>
      </c>
      <c r="E1777" t="s">
        <v>44</v>
      </c>
      <c r="F1777">
        <f t="shared" ca="1" si="54"/>
        <v>0.51111111111111107</v>
      </c>
      <c r="G1777">
        <f t="shared" ca="1" si="55"/>
        <v>1</v>
      </c>
    </row>
    <row r="1778" spans="1:7">
      <c r="A1778">
        <v>9874</v>
      </c>
      <c r="B1778" t="s">
        <v>8</v>
      </c>
      <c r="C1778" t="s">
        <v>209</v>
      </c>
      <c r="D1778" s="9">
        <v>41863.583437499998</v>
      </c>
      <c r="E1778" t="s">
        <v>23</v>
      </c>
      <c r="F1778">
        <f t="shared" ca="1" si="54"/>
        <v>0.46388888888888891</v>
      </c>
      <c r="G1778">
        <f t="shared" ca="1" si="55"/>
        <v>1</v>
      </c>
    </row>
    <row r="1779" spans="1:7">
      <c r="A1779">
        <v>9907</v>
      </c>
      <c r="B1779" t="s">
        <v>44</v>
      </c>
      <c r="C1779" t="s">
        <v>209</v>
      </c>
      <c r="D1779" s="9">
        <v>41898.582152777781</v>
      </c>
      <c r="E1779" t="s">
        <v>30</v>
      </c>
      <c r="F1779">
        <f t="shared" ca="1" si="54"/>
        <v>0.36944444444444446</v>
      </c>
      <c r="G1779">
        <f t="shared" ca="1" si="55"/>
        <v>1</v>
      </c>
    </row>
    <row r="1780" spans="1:7">
      <c r="A1780">
        <v>9925</v>
      </c>
      <c r="B1780" t="s">
        <v>34</v>
      </c>
      <c r="C1780" t="s">
        <v>209</v>
      </c>
      <c r="D1780" s="9">
        <v>41918.629537037035</v>
      </c>
      <c r="E1780" t="s">
        <v>27</v>
      </c>
      <c r="F1780">
        <f t="shared" ca="1" si="54"/>
        <v>0.31388888888888888</v>
      </c>
      <c r="G1780">
        <f t="shared" ca="1" si="55"/>
        <v>1</v>
      </c>
    </row>
    <row r="1781" spans="1:7">
      <c r="A1781">
        <v>9926</v>
      </c>
      <c r="B1781" t="s">
        <v>8</v>
      </c>
      <c r="C1781" t="s">
        <v>209</v>
      </c>
      <c r="D1781" s="9">
        <v>41859.554930555554</v>
      </c>
      <c r="E1781" t="s">
        <v>44</v>
      </c>
      <c r="F1781">
        <f t="shared" ca="1" si="54"/>
        <v>0.47499999999999998</v>
      </c>
      <c r="G1781">
        <f t="shared" ca="1" si="55"/>
        <v>1</v>
      </c>
    </row>
    <row r="1782" spans="1:7">
      <c r="A1782">
        <v>9927</v>
      </c>
      <c r="B1782" t="s">
        <v>14</v>
      </c>
      <c r="C1782" t="s">
        <v>209</v>
      </c>
      <c r="D1782" s="9">
        <v>41859.58935185185</v>
      </c>
      <c r="E1782" t="s">
        <v>44</v>
      </c>
      <c r="F1782">
        <f t="shared" ca="1" si="54"/>
        <v>0.47499999999999998</v>
      </c>
      <c r="G1782">
        <f t="shared" ca="1" si="55"/>
        <v>1</v>
      </c>
    </row>
    <row r="1783" spans="1:7">
      <c r="A1783">
        <v>9928</v>
      </c>
      <c r="B1783" t="s">
        <v>44</v>
      </c>
      <c r="C1783" t="s">
        <v>209</v>
      </c>
      <c r="D1783" s="9">
        <v>41850.569444444445</v>
      </c>
      <c r="E1783" t="s">
        <v>8</v>
      </c>
      <c r="F1783">
        <f t="shared" ca="1" si="54"/>
        <v>0.49722222222222223</v>
      </c>
      <c r="G1783">
        <f t="shared" ca="1" si="55"/>
        <v>1</v>
      </c>
    </row>
    <row r="1784" spans="1:7">
      <c r="A1784">
        <v>9936</v>
      </c>
      <c r="B1784" t="s">
        <v>8</v>
      </c>
      <c r="C1784" t="s">
        <v>209</v>
      </c>
      <c r="D1784" s="9">
        <v>41865.865659722222</v>
      </c>
      <c r="E1784" t="s">
        <v>27</v>
      </c>
      <c r="F1784">
        <f t="shared" ca="1" si="54"/>
        <v>0.45833333333333331</v>
      </c>
      <c r="G1784">
        <f t="shared" ca="1" si="55"/>
        <v>1</v>
      </c>
    </row>
    <row r="1785" spans="1:7">
      <c r="A1785">
        <v>9939</v>
      </c>
      <c r="B1785" t="s">
        <v>36</v>
      </c>
      <c r="C1785" t="s">
        <v>209</v>
      </c>
      <c r="D1785" s="9">
        <v>41845.605393518519</v>
      </c>
      <c r="E1785" t="s">
        <v>34</v>
      </c>
      <c r="F1785">
        <f t="shared" ca="1" si="54"/>
        <v>0.51111111111111107</v>
      </c>
      <c r="G1785">
        <f t="shared" ca="1" si="55"/>
        <v>1</v>
      </c>
    </row>
    <row r="1786" spans="1:7">
      <c r="A1786">
        <v>9940</v>
      </c>
      <c r="B1786" t="s">
        <v>27</v>
      </c>
      <c r="C1786" t="s">
        <v>209</v>
      </c>
      <c r="D1786" s="9">
        <v>41859.578472222223</v>
      </c>
      <c r="E1786" t="s">
        <v>112</v>
      </c>
      <c r="F1786">
        <f t="shared" ca="1" si="54"/>
        <v>0.47499999999999998</v>
      </c>
      <c r="G1786">
        <f t="shared" ca="1" si="55"/>
        <v>1</v>
      </c>
    </row>
    <row r="1787" spans="1:7">
      <c r="A1787">
        <v>9941</v>
      </c>
      <c r="B1787" t="s">
        <v>21</v>
      </c>
      <c r="C1787" t="s">
        <v>209</v>
      </c>
      <c r="D1787" s="9">
        <v>41845.63071759259</v>
      </c>
      <c r="E1787" t="s">
        <v>44</v>
      </c>
      <c r="F1787">
        <f t="shared" ca="1" si="54"/>
        <v>0.51111111111111107</v>
      </c>
      <c r="G1787">
        <f t="shared" ca="1" si="55"/>
        <v>1</v>
      </c>
    </row>
    <row r="1788" spans="1:7">
      <c r="A1788">
        <v>9943</v>
      </c>
      <c r="B1788" t="s">
        <v>112</v>
      </c>
      <c r="C1788" t="s">
        <v>209</v>
      </c>
      <c r="D1788" s="9">
        <v>41848.360567129632</v>
      </c>
      <c r="E1788" t="s">
        <v>44</v>
      </c>
      <c r="F1788">
        <f t="shared" ca="1" si="54"/>
        <v>0.50277777777777777</v>
      </c>
      <c r="G1788">
        <f t="shared" ca="1" si="55"/>
        <v>1</v>
      </c>
    </row>
    <row r="1789" spans="1:7">
      <c r="A1789">
        <v>9944</v>
      </c>
      <c r="B1789" t="s">
        <v>27</v>
      </c>
      <c r="C1789" t="s">
        <v>209</v>
      </c>
      <c r="D1789" s="9">
        <v>41859.594780092593</v>
      </c>
      <c r="E1789" t="s">
        <v>112</v>
      </c>
      <c r="F1789">
        <f t="shared" ca="1" si="54"/>
        <v>0.47499999999999998</v>
      </c>
      <c r="G1789">
        <f t="shared" ca="1" si="55"/>
        <v>1</v>
      </c>
    </row>
    <row r="1790" spans="1:7">
      <c r="A1790">
        <v>9945</v>
      </c>
      <c r="B1790" t="s">
        <v>8</v>
      </c>
      <c r="C1790" t="s">
        <v>209</v>
      </c>
      <c r="D1790" s="9">
        <v>41852.645405092589</v>
      </c>
      <c r="E1790" t="s">
        <v>44</v>
      </c>
      <c r="F1790">
        <f t="shared" ca="1" si="54"/>
        <v>0.49444444444444446</v>
      </c>
      <c r="G1790">
        <f t="shared" ca="1" si="55"/>
        <v>1</v>
      </c>
    </row>
    <row r="1791" spans="1:7">
      <c r="A1791">
        <v>9946</v>
      </c>
      <c r="B1791" t="s">
        <v>8</v>
      </c>
      <c r="C1791" t="s">
        <v>209</v>
      </c>
      <c r="D1791" s="9">
        <v>41852.666990740741</v>
      </c>
      <c r="E1791" t="s">
        <v>44</v>
      </c>
      <c r="F1791">
        <f t="shared" ca="1" si="54"/>
        <v>0.49444444444444446</v>
      </c>
      <c r="G1791">
        <f t="shared" ca="1" si="55"/>
        <v>1</v>
      </c>
    </row>
    <row r="1792" spans="1:7">
      <c r="A1792">
        <v>9949</v>
      </c>
      <c r="B1792" t="s">
        <v>21</v>
      </c>
      <c r="C1792" t="s">
        <v>209</v>
      </c>
      <c r="D1792" s="9">
        <v>41865.366851851853</v>
      </c>
      <c r="E1792" t="s">
        <v>8</v>
      </c>
      <c r="F1792">
        <f t="shared" ca="1" si="54"/>
        <v>0.45833333333333331</v>
      </c>
      <c r="G1792">
        <f t="shared" ca="1" si="55"/>
        <v>1</v>
      </c>
    </row>
    <row r="1793" spans="1:7">
      <c r="A1793">
        <v>9950</v>
      </c>
      <c r="B1793" t="s">
        <v>8</v>
      </c>
      <c r="C1793" t="s">
        <v>209</v>
      </c>
      <c r="D1793" s="9">
        <v>41852.597604166665</v>
      </c>
      <c r="E1793" t="s">
        <v>21</v>
      </c>
      <c r="F1793">
        <f t="shared" ca="1" si="54"/>
        <v>0.49444444444444446</v>
      </c>
      <c r="G1793">
        <f t="shared" ca="1" si="55"/>
        <v>1</v>
      </c>
    </row>
    <row r="1794" spans="1:7">
      <c r="A1794">
        <v>9958</v>
      </c>
      <c r="B1794" t="s">
        <v>34</v>
      </c>
      <c r="C1794" t="s">
        <v>209</v>
      </c>
      <c r="D1794" s="9">
        <v>41918.629537037035</v>
      </c>
      <c r="E1794" t="s">
        <v>44</v>
      </c>
      <c r="F1794">
        <f t="shared" ca="1" si="54"/>
        <v>0.31388888888888888</v>
      </c>
      <c r="G1794">
        <f t="shared" ca="1" si="55"/>
        <v>1</v>
      </c>
    </row>
    <row r="1795" spans="1:7">
      <c r="A1795">
        <v>9960</v>
      </c>
      <c r="B1795" t="s">
        <v>8</v>
      </c>
      <c r="C1795" t="s">
        <v>209</v>
      </c>
      <c r="D1795" s="9">
        <v>41884.886817129627</v>
      </c>
      <c r="E1795" t="s">
        <v>34</v>
      </c>
      <c r="F1795">
        <f t="shared" ref="F1795:F1858" ca="1" si="56">YEARFRAC(TODAY(),$D1795)</f>
        <v>0.40833333333333333</v>
      </c>
      <c r="G1795">
        <f t="shared" ref="G1795:G1858" ca="1" si="57">IF($F1795&lt;1,1,0)</f>
        <v>1</v>
      </c>
    </row>
    <row r="1796" spans="1:7">
      <c r="A1796">
        <v>10004</v>
      </c>
      <c r="B1796" t="s">
        <v>215</v>
      </c>
      <c r="C1796" t="s">
        <v>209</v>
      </c>
      <c r="D1796" s="9">
        <v>41857.414143518516</v>
      </c>
      <c r="E1796" t="s">
        <v>19</v>
      </c>
      <c r="F1796">
        <f t="shared" ca="1" si="56"/>
        <v>0.48055555555555557</v>
      </c>
      <c r="G1796">
        <f t="shared" ca="1" si="57"/>
        <v>1</v>
      </c>
    </row>
    <row r="1797" spans="1:7">
      <c r="A1797">
        <v>10007</v>
      </c>
      <c r="B1797" t="s">
        <v>215</v>
      </c>
      <c r="C1797" t="s">
        <v>209</v>
      </c>
      <c r="D1797" s="9">
        <v>41873.660983796297</v>
      </c>
      <c r="E1797" t="s">
        <v>19</v>
      </c>
      <c r="F1797">
        <f t="shared" ca="1" si="56"/>
        <v>0.43611111111111112</v>
      </c>
      <c r="G1797">
        <f t="shared" ca="1" si="57"/>
        <v>1</v>
      </c>
    </row>
    <row r="1798" spans="1:7">
      <c r="A1798">
        <v>10013</v>
      </c>
      <c r="B1798" t="s">
        <v>21</v>
      </c>
      <c r="C1798" t="s">
        <v>209</v>
      </c>
      <c r="D1798" s="9">
        <v>41856.598275462966</v>
      </c>
      <c r="E1798" t="s">
        <v>32</v>
      </c>
      <c r="F1798">
        <f t="shared" ca="1" si="56"/>
        <v>0.48333333333333334</v>
      </c>
      <c r="G1798">
        <f t="shared" ca="1" si="57"/>
        <v>1</v>
      </c>
    </row>
    <row r="1799" spans="1:7">
      <c r="A1799">
        <v>10017</v>
      </c>
      <c r="B1799" t="s">
        <v>34</v>
      </c>
      <c r="C1799" t="s">
        <v>209</v>
      </c>
      <c r="D1799" s="9">
        <v>41940.379502314812</v>
      </c>
      <c r="E1799" t="s">
        <v>211</v>
      </c>
      <c r="F1799">
        <f t="shared" ca="1" si="56"/>
        <v>0.25277777777777777</v>
      </c>
      <c r="G1799">
        <f t="shared" ca="1" si="57"/>
        <v>1</v>
      </c>
    </row>
    <row r="1800" spans="1:7">
      <c r="A1800">
        <v>10019</v>
      </c>
      <c r="B1800" t="s">
        <v>19</v>
      </c>
      <c r="C1800" t="s">
        <v>209</v>
      </c>
      <c r="D1800" s="9">
        <v>41859.760995370372</v>
      </c>
      <c r="E1800" t="s">
        <v>36</v>
      </c>
      <c r="F1800">
        <f t="shared" ca="1" si="56"/>
        <v>0.47499999999999998</v>
      </c>
      <c r="G1800">
        <f t="shared" ca="1" si="57"/>
        <v>1</v>
      </c>
    </row>
    <row r="1801" spans="1:7">
      <c r="A1801">
        <v>10028</v>
      </c>
      <c r="B1801" t="s">
        <v>21</v>
      </c>
      <c r="C1801" t="s">
        <v>210</v>
      </c>
      <c r="D1801" s="9">
        <v>41872.446157407408</v>
      </c>
      <c r="E1801" t="s">
        <v>19</v>
      </c>
      <c r="F1801">
        <f t="shared" ca="1" si="56"/>
        <v>0.43888888888888888</v>
      </c>
      <c r="G1801">
        <f t="shared" ca="1" si="57"/>
        <v>1</v>
      </c>
    </row>
    <row r="1802" spans="1:7">
      <c r="A1802">
        <v>10037</v>
      </c>
      <c r="B1802" t="s">
        <v>215</v>
      </c>
      <c r="C1802" t="s">
        <v>209</v>
      </c>
      <c r="D1802" s="9">
        <v>41866.642106481479</v>
      </c>
      <c r="E1802" t="s">
        <v>19</v>
      </c>
      <c r="F1802">
        <f t="shared" ca="1" si="56"/>
        <v>0.45555555555555555</v>
      </c>
      <c r="G1802">
        <f t="shared" ca="1" si="57"/>
        <v>1</v>
      </c>
    </row>
    <row r="1803" spans="1:7">
      <c r="A1803">
        <v>10052</v>
      </c>
      <c r="B1803" t="s">
        <v>30</v>
      </c>
      <c r="C1803" t="s">
        <v>209</v>
      </c>
      <c r="D1803" s="9">
        <v>41918.629618055558</v>
      </c>
      <c r="E1803" t="s">
        <v>34</v>
      </c>
      <c r="F1803">
        <f t="shared" ca="1" si="56"/>
        <v>0.31388888888888888</v>
      </c>
      <c r="G1803">
        <f t="shared" ca="1" si="57"/>
        <v>1</v>
      </c>
    </row>
    <row r="1804" spans="1:7">
      <c r="A1804">
        <v>10066</v>
      </c>
      <c r="B1804" t="s">
        <v>112</v>
      </c>
      <c r="C1804" t="s">
        <v>209</v>
      </c>
      <c r="D1804" s="9">
        <v>41871.758321759262</v>
      </c>
      <c r="E1804" t="s">
        <v>36</v>
      </c>
      <c r="F1804">
        <f t="shared" ca="1" si="56"/>
        <v>0.44166666666666665</v>
      </c>
      <c r="G1804">
        <f t="shared" ca="1" si="57"/>
        <v>1</v>
      </c>
    </row>
    <row r="1805" spans="1:7">
      <c r="A1805">
        <v>10088</v>
      </c>
      <c r="B1805" t="s">
        <v>23</v>
      </c>
      <c r="C1805" t="s">
        <v>210</v>
      </c>
      <c r="D1805" s="9">
        <v>41871.502268518518</v>
      </c>
      <c r="E1805" t="s">
        <v>8</v>
      </c>
      <c r="F1805">
        <f t="shared" ca="1" si="56"/>
        <v>0.44166666666666665</v>
      </c>
      <c r="G1805">
        <f t="shared" ca="1" si="57"/>
        <v>1</v>
      </c>
    </row>
    <row r="1806" spans="1:7">
      <c r="A1806">
        <v>10097</v>
      </c>
      <c r="B1806" t="s">
        <v>215</v>
      </c>
      <c r="C1806" t="s">
        <v>210</v>
      </c>
      <c r="D1806" s="9">
        <v>41871.590196759258</v>
      </c>
      <c r="E1806" t="s">
        <v>19</v>
      </c>
      <c r="F1806">
        <f t="shared" ca="1" si="56"/>
        <v>0.44166666666666665</v>
      </c>
      <c r="G1806">
        <f t="shared" ca="1" si="57"/>
        <v>1</v>
      </c>
    </row>
    <row r="1807" spans="1:7">
      <c r="A1807">
        <v>10102</v>
      </c>
      <c r="B1807" t="s">
        <v>19</v>
      </c>
      <c r="C1807" t="s">
        <v>209</v>
      </c>
      <c r="D1807" s="9">
        <v>41869.650266203702</v>
      </c>
      <c r="E1807" t="s">
        <v>21</v>
      </c>
      <c r="F1807">
        <f t="shared" ca="1" si="56"/>
        <v>0.44722222222222224</v>
      </c>
      <c r="G1807">
        <f t="shared" ca="1" si="57"/>
        <v>1</v>
      </c>
    </row>
    <row r="1808" spans="1:7">
      <c r="A1808">
        <v>10107</v>
      </c>
      <c r="B1808" t="s">
        <v>30</v>
      </c>
      <c r="C1808" t="s">
        <v>209</v>
      </c>
      <c r="D1808" s="9">
        <v>41893.507048611114</v>
      </c>
      <c r="F1808">
        <f t="shared" ca="1" si="56"/>
        <v>0.38333333333333336</v>
      </c>
      <c r="G1808">
        <f t="shared" ca="1" si="57"/>
        <v>1</v>
      </c>
    </row>
    <row r="1809" spans="1:7">
      <c r="A1809">
        <v>10122</v>
      </c>
      <c r="B1809" t="s">
        <v>215</v>
      </c>
      <c r="C1809" t="s">
        <v>209</v>
      </c>
      <c r="D1809" s="9">
        <v>41872.382187499999</v>
      </c>
      <c r="E1809" t="s">
        <v>19</v>
      </c>
      <c r="F1809">
        <f t="shared" ca="1" si="56"/>
        <v>0.43888888888888888</v>
      </c>
      <c r="G1809">
        <f t="shared" ca="1" si="57"/>
        <v>1</v>
      </c>
    </row>
    <row r="1810" spans="1:7">
      <c r="A1810">
        <v>10154</v>
      </c>
      <c r="B1810" t="s">
        <v>27</v>
      </c>
      <c r="C1810" t="s">
        <v>210</v>
      </c>
      <c r="D1810" s="9">
        <v>41872.901493055557</v>
      </c>
      <c r="E1810" t="s">
        <v>20</v>
      </c>
      <c r="F1810">
        <f t="shared" ca="1" si="56"/>
        <v>0.43888888888888888</v>
      </c>
      <c r="G1810">
        <f t="shared" ca="1" si="57"/>
        <v>1</v>
      </c>
    </row>
    <row r="1811" spans="1:7">
      <c r="A1811">
        <v>10159</v>
      </c>
      <c r="B1811" t="s">
        <v>20</v>
      </c>
      <c r="C1811" t="s">
        <v>209</v>
      </c>
      <c r="D1811" s="9">
        <v>41879.531319444446</v>
      </c>
      <c r="E1811" t="s">
        <v>8</v>
      </c>
      <c r="F1811">
        <f t="shared" ca="1" si="56"/>
        <v>0.41944444444444445</v>
      </c>
      <c r="G1811">
        <f t="shared" ca="1" si="57"/>
        <v>1</v>
      </c>
    </row>
    <row r="1812" spans="1:7">
      <c r="A1812">
        <v>10162</v>
      </c>
      <c r="B1812" t="s">
        <v>215</v>
      </c>
      <c r="C1812" t="s">
        <v>209</v>
      </c>
      <c r="D1812" s="9">
        <v>41876.58017361111</v>
      </c>
      <c r="E1812" t="s">
        <v>27</v>
      </c>
      <c r="F1812">
        <f t="shared" ca="1" si="56"/>
        <v>0.42777777777777776</v>
      </c>
      <c r="G1812">
        <f t="shared" ca="1" si="57"/>
        <v>1</v>
      </c>
    </row>
    <row r="1813" spans="1:7">
      <c r="A1813">
        <v>10168</v>
      </c>
      <c r="B1813" t="s">
        <v>8</v>
      </c>
      <c r="C1813" t="s">
        <v>209</v>
      </c>
      <c r="D1813" s="9">
        <v>41879.544166666667</v>
      </c>
      <c r="E1813" t="s">
        <v>19</v>
      </c>
      <c r="F1813">
        <f t="shared" ca="1" si="56"/>
        <v>0.41944444444444445</v>
      </c>
      <c r="G1813">
        <f t="shared" ca="1" si="57"/>
        <v>1</v>
      </c>
    </row>
    <row r="1814" spans="1:7">
      <c r="A1814">
        <v>10169</v>
      </c>
      <c r="B1814" t="s">
        <v>8</v>
      </c>
      <c r="C1814" t="s">
        <v>209</v>
      </c>
      <c r="D1814" s="9">
        <v>41943.60292824074</v>
      </c>
      <c r="E1814" t="s">
        <v>34</v>
      </c>
      <c r="F1814">
        <f t="shared" ca="1" si="56"/>
        <v>0.24722222222222223</v>
      </c>
      <c r="G1814">
        <f t="shared" ca="1" si="57"/>
        <v>1</v>
      </c>
    </row>
    <row r="1815" spans="1:7">
      <c r="A1815">
        <v>10173</v>
      </c>
      <c r="B1815" t="s">
        <v>215</v>
      </c>
      <c r="C1815" t="s">
        <v>209</v>
      </c>
      <c r="D1815" s="9">
        <v>41879.486932870372</v>
      </c>
      <c r="E1815" t="s">
        <v>19</v>
      </c>
      <c r="F1815">
        <f t="shared" ca="1" si="56"/>
        <v>0.41944444444444445</v>
      </c>
      <c r="G1815">
        <f t="shared" ca="1" si="57"/>
        <v>1</v>
      </c>
    </row>
    <row r="1816" spans="1:7">
      <c r="A1816">
        <v>10178</v>
      </c>
      <c r="B1816" t="s">
        <v>8</v>
      </c>
      <c r="C1816" t="s">
        <v>209</v>
      </c>
      <c r="D1816" s="9">
        <v>41887.455034722225</v>
      </c>
      <c r="F1816">
        <f t="shared" ca="1" si="56"/>
        <v>0.4</v>
      </c>
      <c r="G1816">
        <f t="shared" ca="1" si="57"/>
        <v>1</v>
      </c>
    </row>
    <row r="1817" spans="1:7">
      <c r="A1817">
        <v>10186</v>
      </c>
      <c r="B1817" t="s">
        <v>212</v>
      </c>
      <c r="C1817" t="s">
        <v>209</v>
      </c>
      <c r="D1817" s="9">
        <v>41908.593969907408</v>
      </c>
      <c r="E1817" t="s">
        <v>44</v>
      </c>
      <c r="F1817">
        <f t="shared" ca="1" si="56"/>
        <v>0.34166666666666667</v>
      </c>
      <c r="G1817">
        <f t="shared" ca="1" si="57"/>
        <v>1</v>
      </c>
    </row>
    <row r="1818" spans="1:7">
      <c r="A1818">
        <v>10187</v>
      </c>
      <c r="B1818" t="s">
        <v>19</v>
      </c>
      <c r="C1818" t="s">
        <v>209</v>
      </c>
      <c r="D1818" s="9">
        <v>41921.768379629626</v>
      </c>
      <c r="E1818" t="s">
        <v>216</v>
      </c>
      <c r="F1818">
        <f t="shared" ca="1" si="56"/>
        <v>0.30555555555555558</v>
      </c>
      <c r="G1818">
        <f t="shared" ca="1" si="57"/>
        <v>1</v>
      </c>
    </row>
    <row r="1819" spans="1:7">
      <c r="A1819">
        <v>10200</v>
      </c>
      <c r="B1819" t="s">
        <v>21</v>
      </c>
      <c r="C1819" t="s">
        <v>209</v>
      </c>
      <c r="D1819" s="9">
        <v>41918.629618055558</v>
      </c>
      <c r="E1819" t="s">
        <v>34</v>
      </c>
      <c r="F1819">
        <f t="shared" ca="1" si="56"/>
        <v>0.31388888888888888</v>
      </c>
      <c r="G1819">
        <f t="shared" ca="1" si="57"/>
        <v>1</v>
      </c>
    </row>
    <row r="1820" spans="1:7">
      <c r="A1820">
        <v>10201</v>
      </c>
      <c r="B1820" t="s">
        <v>215</v>
      </c>
      <c r="C1820" t="s">
        <v>209</v>
      </c>
      <c r="D1820" s="9">
        <v>41886.731469907405</v>
      </c>
      <c r="E1820" t="s">
        <v>19</v>
      </c>
      <c r="F1820">
        <f t="shared" ca="1" si="56"/>
        <v>0.40277777777777779</v>
      </c>
      <c r="G1820">
        <f t="shared" ca="1" si="57"/>
        <v>1</v>
      </c>
    </row>
    <row r="1821" spans="1:7">
      <c r="A1821">
        <v>10208</v>
      </c>
      <c r="B1821" t="s">
        <v>19</v>
      </c>
      <c r="C1821" t="s">
        <v>209</v>
      </c>
      <c r="D1821" s="9">
        <v>41897.568078703705</v>
      </c>
      <c r="E1821" t="s">
        <v>34</v>
      </c>
      <c r="F1821">
        <f t="shared" ca="1" si="56"/>
        <v>0.37222222222222223</v>
      </c>
      <c r="G1821">
        <f t="shared" ca="1" si="57"/>
        <v>1</v>
      </c>
    </row>
    <row r="1822" spans="1:7">
      <c r="A1822">
        <v>10223</v>
      </c>
      <c r="B1822" t="s">
        <v>215</v>
      </c>
      <c r="C1822" t="s">
        <v>209</v>
      </c>
      <c r="D1822" s="9">
        <v>41906.654965277776</v>
      </c>
      <c r="E1822" t="s">
        <v>44</v>
      </c>
      <c r="F1822">
        <f t="shared" ca="1" si="56"/>
        <v>0.34722222222222221</v>
      </c>
      <c r="G1822">
        <f t="shared" ca="1" si="57"/>
        <v>1</v>
      </c>
    </row>
    <row r="1823" spans="1:7">
      <c r="A1823">
        <v>10228</v>
      </c>
      <c r="B1823" t="s">
        <v>8</v>
      </c>
      <c r="C1823" t="s">
        <v>209</v>
      </c>
      <c r="D1823" s="9">
        <v>41901.674375000002</v>
      </c>
      <c r="E1823" t="s">
        <v>38</v>
      </c>
      <c r="F1823">
        <f t="shared" ca="1" si="56"/>
        <v>0.3611111111111111</v>
      </c>
      <c r="G1823">
        <f t="shared" ca="1" si="57"/>
        <v>1</v>
      </c>
    </row>
    <row r="1824" spans="1:7">
      <c r="A1824">
        <v>10236</v>
      </c>
      <c r="B1824" t="s">
        <v>215</v>
      </c>
      <c r="C1824" t="s">
        <v>209</v>
      </c>
      <c r="D1824" s="9">
        <v>41918.629606481481</v>
      </c>
      <c r="E1824" t="s">
        <v>19</v>
      </c>
      <c r="F1824">
        <f t="shared" ca="1" si="56"/>
        <v>0.31388888888888888</v>
      </c>
      <c r="G1824">
        <f t="shared" ca="1" si="57"/>
        <v>1</v>
      </c>
    </row>
    <row r="1825" spans="1:7">
      <c r="A1825">
        <v>10237</v>
      </c>
      <c r="B1825" t="s">
        <v>215</v>
      </c>
      <c r="C1825" t="s">
        <v>209</v>
      </c>
      <c r="D1825" s="9">
        <v>41942.419722222221</v>
      </c>
      <c r="E1825" t="s">
        <v>213</v>
      </c>
      <c r="F1825">
        <f t="shared" ca="1" si="56"/>
        <v>0.24722222222222223</v>
      </c>
      <c r="G1825">
        <f t="shared" ca="1" si="57"/>
        <v>1</v>
      </c>
    </row>
    <row r="1826" spans="1:7">
      <c r="A1826">
        <v>10245</v>
      </c>
      <c r="B1826" t="s">
        <v>112</v>
      </c>
      <c r="C1826" t="s">
        <v>209</v>
      </c>
      <c r="D1826" s="9">
        <v>41899.604375000003</v>
      </c>
      <c r="E1826" t="s">
        <v>44</v>
      </c>
      <c r="F1826">
        <f t="shared" ca="1" si="56"/>
        <v>0.36666666666666664</v>
      </c>
      <c r="G1826">
        <f t="shared" ca="1" si="57"/>
        <v>1</v>
      </c>
    </row>
    <row r="1827" spans="1:7">
      <c r="A1827">
        <v>10249</v>
      </c>
      <c r="B1827" t="s">
        <v>34</v>
      </c>
      <c r="C1827" t="s">
        <v>209</v>
      </c>
      <c r="D1827" s="9">
        <v>41940.375914351855</v>
      </c>
      <c r="E1827" t="s">
        <v>211</v>
      </c>
      <c r="F1827">
        <f t="shared" ca="1" si="56"/>
        <v>0.25277777777777777</v>
      </c>
      <c r="G1827">
        <f t="shared" ca="1" si="57"/>
        <v>1</v>
      </c>
    </row>
    <row r="1828" spans="1:7">
      <c r="A1828">
        <v>10270</v>
      </c>
      <c r="B1828" t="s">
        <v>212</v>
      </c>
      <c r="C1828" t="s">
        <v>209</v>
      </c>
      <c r="D1828" s="9">
        <v>41919.690312500003</v>
      </c>
      <c r="E1828" t="s">
        <v>214</v>
      </c>
      <c r="F1828">
        <f t="shared" ca="1" si="56"/>
        <v>0.31111111111111112</v>
      </c>
      <c r="G1828">
        <f t="shared" ca="1" si="57"/>
        <v>1</v>
      </c>
    </row>
    <row r="1829" spans="1:7">
      <c r="A1829">
        <v>10276</v>
      </c>
      <c r="B1829" t="s">
        <v>215</v>
      </c>
      <c r="C1829" t="s">
        <v>209</v>
      </c>
      <c r="D1829" s="9">
        <v>41907.556273148148</v>
      </c>
      <c r="E1829" t="s">
        <v>44</v>
      </c>
      <c r="F1829">
        <f t="shared" ca="1" si="56"/>
        <v>0.34444444444444444</v>
      </c>
      <c r="G1829">
        <f t="shared" ca="1" si="57"/>
        <v>1</v>
      </c>
    </row>
    <row r="1830" spans="1:7">
      <c r="A1830">
        <v>10292</v>
      </c>
      <c r="B1830" t="s">
        <v>212</v>
      </c>
      <c r="C1830" t="s">
        <v>209</v>
      </c>
      <c r="D1830" s="9">
        <v>41919.493842592594</v>
      </c>
      <c r="E1830" t="s">
        <v>214</v>
      </c>
      <c r="F1830">
        <f t="shared" ca="1" si="56"/>
        <v>0.31111111111111112</v>
      </c>
      <c r="G1830">
        <f t="shared" ca="1" si="57"/>
        <v>1</v>
      </c>
    </row>
    <row r="1831" spans="1:7">
      <c r="A1831">
        <v>10311</v>
      </c>
      <c r="B1831" t="s">
        <v>20</v>
      </c>
      <c r="C1831" t="s">
        <v>209</v>
      </c>
      <c r="D1831" s="9">
        <v>41922.63622685185</v>
      </c>
      <c r="E1831" t="s">
        <v>216</v>
      </c>
      <c r="F1831">
        <f t="shared" ca="1" si="56"/>
        <v>0.30277777777777776</v>
      </c>
      <c r="G1831">
        <f t="shared" ca="1" si="57"/>
        <v>1</v>
      </c>
    </row>
    <row r="1832" spans="1:7">
      <c r="A1832">
        <v>10322</v>
      </c>
      <c r="B1832" t="s">
        <v>112</v>
      </c>
      <c r="C1832" t="s">
        <v>209</v>
      </c>
      <c r="D1832" s="9">
        <v>41950.477037037039</v>
      </c>
      <c r="E1832" t="s">
        <v>213</v>
      </c>
      <c r="F1832">
        <f t="shared" ca="1" si="56"/>
        <v>0.22777777777777777</v>
      </c>
      <c r="G1832">
        <f t="shared" ca="1" si="57"/>
        <v>1</v>
      </c>
    </row>
    <row r="1833" spans="1:7">
      <c r="A1833">
        <v>10329</v>
      </c>
      <c r="B1833" t="s">
        <v>217</v>
      </c>
      <c r="C1833" t="s">
        <v>218</v>
      </c>
      <c r="D1833" s="9">
        <v>41960.647997685184</v>
      </c>
      <c r="E1833" t="s">
        <v>80</v>
      </c>
      <c r="F1833">
        <f t="shared" ca="1" si="56"/>
        <v>0.2</v>
      </c>
      <c r="G1833">
        <f t="shared" ca="1" si="57"/>
        <v>1</v>
      </c>
    </row>
    <row r="1834" spans="1:7">
      <c r="A1834">
        <v>10340</v>
      </c>
      <c r="B1834" t="s">
        <v>211</v>
      </c>
      <c r="C1834" t="s">
        <v>209</v>
      </c>
      <c r="D1834" s="9">
        <v>41962.574560185189</v>
      </c>
      <c r="E1834" t="s">
        <v>215</v>
      </c>
      <c r="F1834">
        <f t="shared" ca="1" si="56"/>
        <v>0.19444444444444445</v>
      </c>
      <c r="G1834">
        <f t="shared" ca="1" si="57"/>
        <v>1</v>
      </c>
    </row>
    <row r="1835" spans="1:7">
      <c r="A1835">
        <v>10350</v>
      </c>
      <c r="B1835" t="s">
        <v>211</v>
      </c>
      <c r="C1835" t="s">
        <v>209</v>
      </c>
      <c r="D1835" s="9">
        <v>41925.656817129631</v>
      </c>
      <c r="E1835" t="s">
        <v>8</v>
      </c>
      <c r="F1835">
        <f t="shared" ca="1" si="56"/>
        <v>0.29444444444444445</v>
      </c>
      <c r="G1835">
        <f t="shared" ca="1" si="57"/>
        <v>1</v>
      </c>
    </row>
    <row r="1836" spans="1:7">
      <c r="A1836">
        <v>10393</v>
      </c>
      <c r="B1836" t="s">
        <v>44</v>
      </c>
      <c r="C1836" t="s">
        <v>209</v>
      </c>
      <c r="D1836" s="9">
        <v>41957.729444444441</v>
      </c>
      <c r="E1836" t="s">
        <v>213</v>
      </c>
      <c r="F1836">
        <f t="shared" ca="1" si="56"/>
        <v>0.20833333333333334</v>
      </c>
      <c r="G1836">
        <f t="shared" ca="1" si="57"/>
        <v>1</v>
      </c>
    </row>
    <row r="1837" spans="1:7">
      <c r="A1837">
        <v>10405</v>
      </c>
      <c r="B1837" t="s">
        <v>212</v>
      </c>
      <c r="C1837" t="s">
        <v>209</v>
      </c>
      <c r="D1837" s="9">
        <v>41935.638668981483</v>
      </c>
      <c r="E1837" t="s">
        <v>44</v>
      </c>
      <c r="F1837">
        <f t="shared" ca="1" si="56"/>
        <v>0.26666666666666666</v>
      </c>
      <c r="G1837">
        <f t="shared" ca="1" si="57"/>
        <v>1</v>
      </c>
    </row>
    <row r="1838" spans="1:7">
      <c r="A1838">
        <v>10414</v>
      </c>
      <c r="B1838" t="s">
        <v>212</v>
      </c>
      <c r="C1838" t="s">
        <v>209</v>
      </c>
      <c r="D1838" s="9">
        <v>41954.437824074077</v>
      </c>
      <c r="E1838" t="s">
        <v>44</v>
      </c>
      <c r="F1838">
        <f t="shared" ca="1" si="56"/>
        <v>0.21666666666666667</v>
      </c>
      <c r="G1838">
        <f t="shared" ca="1" si="57"/>
        <v>1</v>
      </c>
    </row>
    <row r="1839" spans="1:7">
      <c r="A1839">
        <v>10427</v>
      </c>
      <c r="B1839" t="s">
        <v>20</v>
      </c>
      <c r="C1839" t="s">
        <v>209</v>
      </c>
      <c r="D1839" s="9">
        <v>41936.654618055552</v>
      </c>
      <c r="E1839" t="s">
        <v>111</v>
      </c>
      <c r="F1839">
        <f t="shared" ca="1" si="56"/>
        <v>0.2638888888888889</v>
      </c>
      <c r="G1839">
        <f t="shared" ca="1" si="57"/>
        <v>1</v>
      </c>
    </row>
    <row r="1840" spans="1:7">
      <c r="A1840">
        <v>10434</v>
      </c>
      <c r="B1840" t="s">
        <v>20</v>
      </c>
      <c r="C1840" t="s">
        <v>209</v>
      </c>
      <c r="D1840" s="9">
        <v>41939.656331018516</v>
      </c>
      <c r="F1840">
        <f t="shared" ca="1" si="56"/>
        <v>0.25555555555555554</v>
      </c>
      <c r="G1840">
        <f t="shared" ca="1" si="57"/>
        <v>1</v>
      </c>
    </row>
    <row r="1841" spans="1:7">
      <c r="A1841">
        <v>10438</v>
      </c>
      <c r="B1841" t="s">
        <v>20</v>
      </c>
      <c r="C1841" t="s">
        <v>209</v>
      </c>
      <c r="D1841" s="9">
        <v>41953.947488425925</v>
      </c>
      <c r="E1841" t="s">
        <v>80</v>
      </c>
      <c r="F1841">
        <f t="shared" ca="1" si="56"/>
        <v>0.21944444444444444</v>
      </c>
      <c r="G1841">
        <f t="shared" ca="1" si="57"/>
        <v>1</v>
      </c>
    </row>
    <row r="1842" spans="1:7">
      <c r="A1842">
        <v>10453</v>
      </c>
      <c r="B1842" t="s">
        <v>212</v>
      </c>
      <c r="C1842" t="s">
        <v>209</v>
      </c>
      <c r="D1842" s="9">
        <v>41946.68540509259</v>
      </c>
      <c r="E1842" t="s">
        <v>44</v>
      </c>
      <c r="F1842">
        <f t="shared" ca="1" si="56"/>
        <v>0.2388888888888889</v>
      </c>
      <c r="G1842">
        <f t="shared" ca="1" si="57"/>
        <v>1</v>
      </c>
    </row>
    <row r="1843" spans="1:7">
      <c r="A1843">
        <v>10464</v>
      </c>
      <c r="B1843" t="s">
        <v>8</v>
      </c>
      <c r="C1843" t="s">
        <v>209</v>
      </c>
      <c r="D1843" s="9">
        <v>41948.324976851851</v>
      </c>
      <c r="E1843" t="s">
        <v>69</v>
      </c>
      <c r="F1843">
        <f t="shared" ca="1" si="56"/>
        <v>0.23333333333333334</v>
      </c>
      <c r="G1843">
        <f t="shared" ca="1" si="57"/>
        <v>1</v>
      </c>
    </row>
    <row r="1844" spans="1:7">
      <c r="A1844">
        <v>10485</v>
      </c>
      <c r="B1844" t="s">
        <v>215</v>
      </c>
      <c r="C1844" t="s">
        <v>209</v>
      </c>
      <c r="D1844" s="9">
        <v>41946.73128472222</v>
      </c>
      <c r="E1844" t="s">
        <v>213</v>
      </c>
      <c r="F1844">
        <f t="shared" ca="1" si="56"/>
        <v>0.2388888888888889</v>
      </c>
      <c r="G1844">
        <f t="shared" ca="1" si="57"/>
        <v>1</v>
      </c>
    </row>
    <row r="1845" spans="1:7">
      <c r="A1845">
        <v>10494</v>
      </c>
      <c r="B1845" t="s">
        <v>8</v>
      </c>
      <c r="C1845" t="s">
        <v>209</v>
      </c>
      <c r="D1845" s="9">
        <v>41954.434918981482</v>
      </c>
      <c r="F1845">
        <f t="shared" ca="1" si="56"/>
        <v>0.21666666666666667</v>
      </c>
      <c r="G1845">
        <f t="shared" ca="1" si="57"/>
        <v>1</v>
      </c>
    </row>
    <row r="1846" spans="1:7">
      <c r="A1846">
        <v>10516</v>
      </c>
      <c r="B1846" t="s">
        <v>215</v>
      </c>
      <c r="C1846" t="s">
        <v>209</v>
      </c>
      <c r="D1846" s="9">
        <v>41960.423379629632</v>
      </c>
      <c r="E1846" t="s">
        <v>19</v>
      </c>
      <c r="F1846">
        <f t="shared" ca="1" si="56"/>
        <v>0.2</v>
      </c>
      <c r="G1846">
        <f t="shared" ca="1" si="57"/>
        <v>1</v>
      </c>
    </row>
    <row r="1847" spans="1:7">
      <c r="A1847">
        <v>10563</v>
      </c>
      <c r="B1847" t="s">
        <v>215</v>
      </c>
      <c r="C1847" t="s">
        <v>209</v>
      </c>
      <c r="D1847" s="9">
        <v>41962.73909722222</v>
      </c>
      <c r="E1847" t="s">
        <v>19</v>
      </c>
      <c r="F1847">
        <f t="shared" ca="1" si="56"/>
        <v>0.19444444444444445</v>
      </c>
      <c r="G1847">
        <f t="shared" ca="1" si="57"/>
        <v>1</v>
      </c>
    </row>
    <row r="1848" spans="1:7">
      <c r="A1848">
        <v>10593</v>
      </c>
      <c r="B1848" t="s">
        <v>20</v>
      </c>
      <c r="C1848" t="s">
        <v>209</v>
      </c>
      <c r="D1848" s="9">
        <v>41963.638935185183</v>
      </c>
      <c r="E1848" t="s">
        <v>217</v>
      </c>
      <c r="F1848">
        <f t="shared" ca="1" si="56"/>
        <v>0.19166666666666668</v>
      </c>
      <c r="G1848">
        <f t="shared" ca="1" si="57"/>
        <v>1</v>
      </c>
    </row>
    <row r="1849" spans="1:7">
      <c r="A1849">
        <v>1</v>
      </c>
      <c r="B1849" t="s">
        <v>77</v>
      </c>
      <c r="D1849" s="9">
        <v>39297.394583333335</v>
      </c>
      <c r="F1849">
        <f t="shared" ca="1" si="56"/>
        <v>7.4888888888888889</v>
      </c>
      <c r="G1849">
        <f t="shared" ca="1" si="57"/>
        <v>0</v>
      </c>
    </row>
    <row r="1850" spans="1:7">
      <c r="A1850">
        <v>3</v>
      </c>
      <c r="B1850" t="s">
        <v>93</v>
      </c>
      <c r="C1850" t="s">
        <v>139</v>
      </c>
      <c r="D1850" s="9">
        <v>39318.436064814814</v>
      </c>
      <c r="F1850">
        <f t="shared" ca="1" si="56"/>
        <v>7.4305555555555554</v>
      </c>
      <c r="G1850">
        <f t="shared" ca="1" si="57"/>
        <v>0</v>
      </c>
    </row>
    <row r="1851" spans="1:7">
      <c r="A1851">
        <v>4</v>
      </c>
      <c r="B1851" t="s">
        <v>93</v>
      </c>
      <c r="C1851" t="s">
        <v>139</v>
      </c>
      <c r="D1851" s="9">
        <v>39318.43650462963</v>
      </c>
      <c r="F1851">
        <f t="shared" ca="1" si="56"/>
        <v>7.4305555555555554</v>
      </c>
      <c r="G1851">
        <f t="shared" ca="1" si="57"/>
        <v>0</v>
      </c>
    </row>
    <row r="1852" spans="1:7">
      <c r="A1852">
        <v>5</v>
      </c>
      <c r="B1852" t="s">
        <v>98</v>
      </c>
      <c r="C1852" t="s">
        <v>139</v>
      </c>
      <c r="D1852" s="9">
        <v>39343.620150462964</v>
      </c>
      <c r="F1852">
        <f t="shared" ca="1" si="56"/>
        <v>7.3638888888888889</v>
      </c>
      <c r="G1852">
        <f t="shared" ca="1" si="57"/>
        <v>0</v>
      </c>
    </row>
    <row r="1853" spans="1:7">
      <c r="A1853">
        <v>6</v>
      </c>
      <c r="B1853" t="s">
        <v>98</v>
      </c>
      <c r="C1853" t="s">
        <v>139</v>
      </c>
      <c r="D1853" s="9">
        <v>39343.620555555557</v>
      </c>
      <c r="F1853">
        <f t="shared" ca="1" si="56"/>
        <v>7.3638888888888889</v>
      </c>
      <c r="G1853">
        <f t="shared" ca="1" si="57"/>
        <v>0</v>
      </c>
    </row>
    <row r="1854" spans="1:7">
      <c r="A1854">
        <v>7</v>
      </c>
      <c r="B1854" t="s">
        <v>44</v>
      </c>
      <c r="C1854" t="s">
        <v>139</v>
      </c>
      <c r="D1854" s="9">
        <v>39325.496828703705</v>
      </c>
      <c r="F1854">
        <f t="shared" ca="1" si="56"/>
        <v>7.4138888888888888</v>
      </c>
      <c r="G1854">
        <f t="shared" ca="1" si="57"/>
        <v>0</v>
      </c>
    </row>
    <row r="1855" spans="1:7">
      <c r="A1855">
        <v>9</v>
      </c>
      <c r="B1855" t="s">
        <v>91</v>
      </c>
      <c r="C1855" t="s">
        <v>139</v>
      </c>
      <c r="D1855" s="9">
        <v>40345.385972222219</v>
      </c>
      <c r="F1855">
        <f t="shared" ca="1" si="56"/>
        <v>4.6194444444444445</v>
      </c>
      <c r="G1855">
        <f t="shared" ca="1" si="57"/>
        <v>0</v>
      </c>
    </row>
    <row r="1856" spans="1:7">
      <c r="A1856">
        <v>10</v>
      </c>
      <c r="B1856" t="s">
        <v>112</v>
      </c>
      <c r="D1856" s="9">
        <v>39703.631851851853</v>
      </c>
      <c r="F1856">
        <f t="shared" ca="1" si="56"/>
        <v>6.3805555555555555</v>
      </c>
      <c r="G1856">
        <f t="shared" ca="1" si="57"/>
        <v>0</v>
      </c>
    </row>
    <row r="1857" spans="1:7">
      <c r="A1857">
        <v>11</v>
      </c>
      <c r="B1857" t="s">
        <v>112</v>
      </c>
      <c r="D1857" s="9">
        <v>39636.614837962959</v>
      </c>
      <c r="F1857">
        <f t="shared" ca="1" si="56"/>
        <v>6.5611111111111109</v>
      </c>
      <c r="G1857">
        <f t="shared" ca="1" si="57"/>
        <v>0</v>
      </c>
    </row>
    <row r="1858" spans="1:7">
      <c r="A1858">
        <v>12</v>
      </c>
      <c r="B1858" t="s">
        <v>77</v>
      </c>
      <c r="C1858" t="s">
        <v>139</v>
      </c>
      <c r="D1858" s="9">
        <v>39297.394282407404</v>
      </c>
      <c r="F1858">
        <f t="shared" ca="1" si="56"/>
        <v>7.4888888888888889</v>
      </c>
      <c r="G1858">
        <f t="shared" ca="1" si="57"/>
        <v>0</v>
      </c>
    </row>
    <row r="1859" spans="1:7">
      <c r="A1859">
        <v>14</v>
      </c>
      <c r="B1859" t="s">
        <v>77</v>
      </c>
      <c r="D1859" s="9">
        <v>39363.369687500002</v>
      </c>
      <c r="F1859">
        <f t="shared" ref="F1859:F1922" ca="1" si="58">YEARFRAC(TODAY(),$D1859)</f>
        <v>7.3083333333333336</v>
      </c>
      <c r="G1859">
        <f t="shared" ref="G1859:G1922" ca="1" si="59">IF($F1859&lt;1,1,0)</f>
        <v>0</v>
      </c>
    </row>
    <row r="1860" spans="1:7">
      <c r="A1860">
        <v>16</v>
      </c>
      <c r="B1860" t="s">
        <v>44</v>
      </c>
      <c r="C1860" t="s">
        <v>139</v>
      </c>
      <c r="D1860" s="9">
        <v>39335.690925925926</v>
      </c>
      <c r="F1860">
        <f t="shared" ca="1" si="58"/>
        <v>7.3861111111111111</v>
      </c>
      <c r="G1860">
        <f t="shared" ca="1" si="59"/>
        <v>0</v>
      </c>
    </row>
    <row r="1861" spans="1:7">
      <c r="A1861">
        <v>17</v>
      </c>
      <c r="B1861" t="s">
        <v>112</v>
      </c>
      <c r="D1861" s="9">
        <v>40085.699097222219</v>
      </c>
      <c r="F1861">
        <f t="shared" ca="1" si="58"/>
        <v>5.333333333333333</v>
      </c>
      <c r="G1861">
        <f t="shared" ca="1" si="59"/>
        <v>0</v>
      </c>
    </row>
    <row r="1862" spans="1:7">
      <c r="A1862">
        <v>18</v>
      </c>
      <c r="B1862" t="s">
        <v>11</v>
      </c>
      <c r="C1862" t="s">
        <v>162</v>
      </c>
      <c r="D1862" s="9">
        <v>39335.71806712963</v>
      </c>
      <c r="F1862">
        <f t="shared" ca="1" si="58"/>
        <v>7.3861111111111111</v>
      </c>
      <c r="G1862">
        <f t="shared" ca="1" si="59"/>
        <v>0</v>
      </c>
    </row>
    <row r="1863" spans="1:7">
      <c r="A1863">
        <v>19</v>
      </c>
      <c r="B1863" t="s">
        <v>11</v>
      </c>
      <c r="C1863" t="s">
        <v>162</v>
      </c>
      <c r="D1863" s="9">
        <v>39357.480393518519</v>
      </c>
      <c r="F1863">
        <f t="shared" ca="1" si="58"/>
        <v>7.3250000000000002</v>
      </c>
      <c r="G1863">
        <f t="shared" ca="1" si="59"/>
        <v>0</v>
      </c>
    </row>
    <row r="1864" spans="1:7">
      <c r="A1864">
        <v>21</v>
      </c>
      <c r="B1864" t="s">
        <v>112</v>
      </c>
      <c r="C1864" t="s">
        <v>161</v>
      </c>
      <c r="D1864" s="9">
        <v>39384.388865740744</v>
      </c>
      <c r="F1864">
        <f t="shared" ca="1" si="58"/>
        <v>7.25</v>
      </c>
      <c r="G1864">
        <f t="shared" ca="1" si="59"/>
        <v>0</v>
      </c>
    </row>
    <row r="1865" spans="1:7">
      <c r="A1865">
        <v>22</v>
      </c>
      <c r="B1865" t="s">
        <v>91</v>
      </c>
      <c r="C1865" t="s">
        <v>162</v>
      </c>
      <c r="D1865" s="9">
        <v>39359.49318287037</v>
      </c>
      <c r="F1865">
        <f t="shared" ca="1" si="58"/>
        <v>7.3194444444444446</v>
      </c>
      <c r="G1865">
        <f t="shared" ca="1" si="59"/>
        <v>0</v>
      </c>
    </row>
    <row r="1866" spans="1:7">
      <c r="A1866">
        <v>23</v>
      </c>
      <c r="B1866" t="s">
        <v>91</v>
      </c>
      <c r="C1866" t="s">
        <v>162</v>
      </c>
      <c r="D1866" s="9">
        <v>39360.599178240744</v>
      </c>
      <c r="F1866">
        <f t="shared" ca="1" si="58"/>
        <v>7.3166666666666664</v>
      </c>
      <c r="G1866">
        <f t="shared" ca="1" si="59"/>
        <v>0</v>
      </c>
    </row>
    <row r="1867" spans="1:7">
      <c r="A1867">
        <v>24</v>
      </c>
      <c r="B1867" t="s">
        <v>91</v>
      </c>
      <c r="C1867" t="s">
        <v>162</v>
      </c>
      <c r="D1867" s="9">
        <v>39360.599340277775</v>
      </c>
      <c r="F1867">
        <f t="shared" ca="1" si="58"/>
        <v>7.3166666666666664</v>
      </c>
      <c r="G1867">
        <f t="shared" ca="1" si="59"/>
        <v>0</v>
      </c>
    </row>
    <row r="1868" spans="1:7">
      <c r="A1868">
        <v>25</v>
      </c>
      <c r="B1868" t="s">
        <v>11</v>
      </c>
      <c r="C1868" t="s">
        <v>162</v>
      </c>
      <c r="D1868" s="9">
        <v>39363.466516203705</v>
      </c>
      <c r="F1868">
        <f t="shared" ca="1" si="58"/>
        <v>7.3083333333333336</v>
      </c>
      <c r="G1868">
        <f t="shared" ca="1" si="59"/>
        <v>0</v>
      </c>
    </row>
    <row r="1869" spans="1:7">
      <c r="A1869">
        <v>26</v>
      </c>
      <c r="B1869" t="s">
        <v>44</v>
      </c>
      <c r="C1869" t="s">
        <v>169</v>
      </c>
      <c r="D1869" s="9">
        <v>39419.632615740738</v>
      </c>
      <c r="F1869">
        <f t="shared" ca="1" si="58"/>
        <v>7.1555555555555559</v>
      </c>
      <c r="G1869">
        <f t="shared" ca="1" si="59"/>
        <v>0</v>
      </c>
    </row>
    <row r="1870" spans="1:7">
      <c r="A1870">
        <v>27</v>
      </c>
      <c r="B1870" t="s">
        <v>11</v>
      </c>
      <c r="C1870" t="s">
        <v>162</v>
      </c>
      <c r="D1870" s="9">
        <v>39365.715868055559</v>
      </c>
      <c r="F1870">
        <f t="shared" ca="1" si="58"/>
        <v>7.302777777777778</v>
      </c>
      <c r="G1870">
        <f t="shared" ca="1" si="59"/>
        <v>0</v>
      </c>
    </row>
    <row r="1871" spans="1:7">
      <c r="A1871">
        <v>28</v>
      </c>
      <c r="B1871" t="s">
        <v>11</v>
      </c>
      <c r="C1871" t="s">
        <v>162</v>
      </c>
      <c r="D1871" s="9">
        <v>39360.598043981481</v>
      </c>
      <c r="F1871">
        <f t="shared" ca="1" si="58"/>
        <v>7.3166666666666664</v>
      </c>
      <c r="G1871">
        <f t="shared" ca="1" si="59"/>
        <v>0</v>
      </c>
    </row>
    <row r="1872" spans="1:7">
      <c r="A1872">
        <v>30</v>
      </c>
      <c r="B1872" t="s">
        <v>11</v>
      </c>
      <c r="C1872" t="s">
        <v>162</v>
      </c>
      <c r="D1872" s="9">
        <v>39366.694074074076</v>
      </c>
      <c r="F1872">
        <f t="shared" ca="1" si="58"/>
        <v>7.3</v>
      </c>
      <c r="G1872">
        <f t="shared" ca="1" si="59"/>
        <v>0</v>
      </c>
    </row>
    <row r="1873" spans="1:7">
      <c r="A1873">
        <v>31</v>
      </c>
      <c r="B1873" t="s">
        <v>93</v>
      </c>
      <c r="D1873" s="9">
        <v>39451.598553240743</v>
      </c>
      <c r="F1873">
        <f t="shared" ca="1" si="58"/>
        <v>7.0694444444444446</v>
      </c>
      <c r="G1873">
        <f t="shared" ca="1" si="59"/>
        <v>0</v>
      </c>
    </row>
    <row r="1874" spans="1:7">
      <c r="A1874">
        <v>32</v>
      </c>
      <c r="B1874" t="s">
        <v>11</v>
      </c>
      <c r="C1874" t="s">
        <v>161</v>
      </c>
      <c r="D1874" s="9">
        <v>39384.625416666669</v>
      </c>
      <c r="F1874">
        <f t="shared" ca="1" si="58"/>
        <v>7.25</v>
      </c>
      <c r="G1874">
        <f t="shared" ca="1" si="59"/>
        <v>0</v>
      </c>
    </row>
    <row r="1875" spans="1:7">
      <c r="A1875">
        <v>33</v>
      </c>
      <c r="B1875" t="s">
        <v>98</v>
      </c>
      <c r="C1875" t="s">
        <v>161</v>
      </c>
      <c r="D1875" s="9">
        <v>39388.647476851853</v>
      </c>
      <c r="F1875">
        <f t="shared" ca="1" si="58"/>
        <v>7.2416666666666663</v>
      </c>
      <c r="G1875">
        <f t="shared" ca="1" si="59"/>
        <v>0</v>
      </c>
    </row>
    <row r="1876" spans="1:7">
      <c r="A1876">
        <v>34</v>
      </c>
      <c r="B1876" t="s">
        <v>93</v>
      </c>
      <c r="C1876" t="s">
        <v>141</v>
      </c>
      <c r="D1876" s="9">
        <v>39483.588923611111</v>
      </c>
      <c r="F1876">
        <f t="shared" ca="1" si="58"/>
        <v>6.9833333333333334</v>
      </c>
      <c r="G1876">
        <f t="shared" ca="1" si="59"/>
        <v>0</v>
      </c>
    </row>
    <row r="1877" spans="1:7">
      <c r="A1877">
        <v>35</v>
      </c>
      <c r="B1877" t="s">
        <v>91</v>
      </c>
      <c r="C1877" t="s">
        <v>169</v>
      </c>
      <c r="D1877" s="9">
        <v>39419.624895833331</v>
      </c>
      <c r="F1877">
        <f t="shared" ca="1" si="58"/>
        <v>7.1555555555555559</v>
      </c>
      <c r="G1877">
        <f t="shared" ca="1" si="59"/>
        <v>0</v>
      </c>
    </row>
    <row r="1878" spans="1:7">
      <c r="A1878">
        <v>36</v>
      </c>
      <c r="B1878" t="s">
        <v>93</v>
      </c>
      <c r="C1878" t="s">
        <v>141</v>
      </c>
      <c r="D1878" s="9">
        <v>39456.500138888892</v>
      </c>
      <c r="F1878">
        <f t="shared" ca="1" si="58"/>
        <v>7.0555555555555554</v>
      </c>
      <c r="G1878">
        <f t="shared" ca="1" si="59"/>
        <v>0</v>
      </c>
    </row>
    <row r="1879" spans="1:7">
      <c r="A1879">
        <v>38</v>
      </c>
      <c r="B1879" t="s">
        <v>11</v>
      </c>
      <c r="C1879" t="s">
        <v>162</v>
      </c>
      <c r="D1879" s="9">
        <v>39360.40898148148</v>
      </c>
      <c r="F1879">
        <f t="shared" ca="1" si="58"/>
        <v>7.3166666666666664</v>
      </c>
      <c r="G1879">
        <f t="shared" ca="1" si="59"/>
        <v>0</v>
      </c>
    </row>
    <row r="1880" spans="1:7">
      <c r="A1880">
        <v>39</v>
      </c>
      <c r="B1880" t="s">
        <v>11</v>
      </c>
      <c r="C1880" t="s">
        <v>162</v>
      </c>
      <c r="D1880" s="9">
        <v>39363.621354166666</v>
      </c>
      <c r="F1880">
        <f t="shared" ca="1" si="58"/>
        <v>7.3083333333333336</v>
      </c>
      <c r="G1880">
        <f t="shared" ca="1" si="59"/>
        <v>0</v>
      </c>
    </row>
    <row r="1881" spans="1:7">
      <c r="A1881">
        <v>40</v>
      </c>
      <c r="B1881" t="s">
        <v>11</v>
      </c>
      <c r="C1881" t="s">
        <v>162</v>
      </c>
      <c r="D1881" s="9">
        <v>39366.377685185187</v>
      </c>
      <c r="F1881">
        <f t="shared" ca="1" si="58"/>
        <v>7.3</v>
      </c>
      <c r="G1881">
        <f t="shared" ca="1" si="59"/>
        <v>0</v>
      </c>
    </row>
    <row r="1882" spans="1:7">
      <c r="A1882">
        <v>41</v>
      </c>
      <c r="B1882" t="s">
        <v>11</v>
      </c>
      <c r="C1882" t="s">
        <v>169</v>
      </c>
      <c r="D1882" s="9">
        <v>39416.51798611111</v>
      </c>
      <c r="F1882">
        <f t="shared" ca="1" si="58"/>
        <v>7.1638888888888888</v>
      </c>
      <c r="G1882">
        <f t="shared" ca="1" si="59"/>
        <v>0</v>
      </c>
    </row>
    <row r="1883" spans="1:7">
      <c r="A1883">
        <v>42</v>
      </c>
      <c r="B1883" t="s">
        <v>112</v>
      </c>
      <c r="C1883" t="s">
        <v>161</v>
      </c>
      <c r="D1883" s="9">
        <v>39388.645925925928</v>
      </c>
      <c r="F1883">
        <f t="shared" ca="1" si="58"/>
        <v>7.2416666666666663</v>
      </c>
      <c r="G1883">
        <f t="shared" ca="1" si="59"/>
        <v>0</v>
      </c>
    </row>
    <row r="1884" spans="1:7">
      <c r="A1884">
        <v>43</v>
      </c>
      <c r="B1884" t="s">
        <v>11</v>
      </c>
      <c r="C1884" t="s">
        <v>161</v>
      </c>
      <c r="D1884" s="9">
        <v>39385.687222222223</v>
      </c>
      <c r="F1884">
        <f t="shared" ca="1" si="58"/>
        <v>7.2472222222222218</v>
      </c>
      <c r="G1884">
        <f t="shared" ca="1" si="59"/>
        <v>0</v>
      </c>
    </row>
    <row r="1885" spans="1:7">
      <c r="A1885">
        <v>46</v>
      </c>
      <c r="B1885" t="s">
        <v>93</v>
      </c>
      <c r="C1885" t="s">
        <v>160</v>
      </c>
      <c r="D1885" s="9">
        <v>39489.543217592596</v>
      </c>
      <c r="F1885">
        <f t="shared" ca="1" si="58"/>
        <v>6.9666666666666668</v>
      </c>
      <c r="G1885">
        <f t="shared" ca="1" si="59"/>
        <v>0</v>
      </c>
    </row>
    <row r="1886" spans="1:7">
      <c r="A1886">
        <v>47</v>
      </c>
      <c r="B1886" t="s">
        <v>11</v>
      </c>
      <c r="C1886" t="s">
        <v>169</v>
      </c>
      <c r="D1886" s="9">
        <v>39409.697199074071</v>
      </c>
      <c r="F1886">
        <f t="shared" ca="1" si="58"/>
        <v>7.1833333333333336</v>
      </c>
      <c r="G1886">
        <f t="shared" ca="1" si="59"/>
        <v>0</v>
      </c>
    </row>
    <row r="1887" spans="1:7">
      <c r="A1887">
        <v>48</v>
      </c>
      <c r="B1887" t="s">
        <v>11</v>
      </c>
      <c r="C1887" t="s">
        <v>169</v>
      </c>
      <c r="D1887" s="9">
        <v>39393.678807870368</v>
      </c>
      <c r="F1887">
        <f t="shared" ca="1" si="58"/>
        <v>7.2277777777777779</v>
      </c>
      <c r="G1887">
        <f t="shared" ca="1" si="59"/>
        <v>0</v>
      </c>
    </row>
    <row r="1888" spans="1:7">
      <c r="A1888">
        <v>50</v>
      </c>
      <c r="B1888" t="s">
        <v>44</v>
      </c>
      <c r="C1888" t="s">
        <v>169</v>
      </c>
      <c r="D1888" s="9">
        <v>39401.344490740739</v>
      </c>
      <c r="F1888">
        <f t="shared" ca="1" si="58"/>
        <v>7.2055555555555557</v>
      </c>
      <c r="G1888">
        <f t="shared" ca="1" si="59"/>
        <v>0</v>
      </c>
    </row>
    <row r="1889" spans="1:7">
      <c r="A1889">
        <v>51</v>
      </c>
      <c r="B1889" t="s">
        <v>93</v>
      </c>
      <c r="C1889" t="s">
        <v>141</v>
      </c>
      <c r="D1889" s="9">
        <v>39427.406469907408</v>
      </c>
      <c r="F1889">
        <f t="shared" ca="1" si="58"/>
        <v>7.1333333333333337</v>
      </c>
      <c r="G1889">
        <f t="shared" ca="1" si="59"/>
        <v>0</v>
      </c>
    </row>
    <row r="1890" spans="1:7">
      <c r="A1890">
        <v>54</v>
      </c>
      <c r="B1890" t="s">
        <v>11</v>
      </c>
      <c r="C1890" t="s">
        <v>169</v>
      </c>
      <c r="D1890" s="9">
        <v>39409.654675925929</v>
      </c>
      <c r="F1890">
        <f t="shared" ca="1" si="58"/>
        <v>7.1833333333333336</v>
      </c>
      <c r="G1890">
        <f t="shared" ca="1" si="59"/>
        <v>0</v>
      </c>
    </row>
    <row r="1891" spans="1:7">
      <c r="A1891">
        <v>56</v>
      </c>
      <c r="B1891" t="s">
        <v>44</v>
      </c>
      <c r="C1891" t="s">
        <v>141</v>
      </c>
      <c r="D1891" s="9">
        <v>39478.460393518515</v>
      </c>
      <c r="F1891">
        <f t="shared" ca="1" si="58"/>
        <v>6.9972222222222218</v>
      </c>
      <c r="G1891">
        <f t="shared" ca="1" si="59"/>
        <v>0</v>
      </c>
    </row>
    <row r="1892" spans="1:7">
      <c r="A1892">
        <v>57</v>
      </c>
      <c r="B1892" t="s">
        <v>90</v>
      </c>
      <c r="C1892" t="s">
        <v>141</v>
      </c>
      <c r="D1892" s="9">
        <v>39456.476655092592</v>
      </c>
      <c r="F1892">
        <f t="shared" ca="1" si="58"/>
        <v>7.0555555555555554</v>
      </c>
      <c r="G1892">
        <f t="shared" ca="1" si="59"/>
        <v>0</v>
      </c>
    </row>
    <row r="1893" spans="1:7">
      <c r="A1893">
        <v>60</v>
      </c>
      <c r="B1893" t="s">
        <v>112</v>
      </c>
      <c r="C1893" t="s">
        <v>169</v>
      </c>
      <c r="D1893" s="9">
        <v>39398.566863425927</v>
      </c>
      <c r="F1893">
        <f t="shared" ca="1" si="58"/>
        <v>7.2138888888888886</v>
      </c>
      <c r="G1893">
        <f t="shared" ca="1" si="59"/>
        <v>0</v>
      </c>
    </row>
    <row r="1894" spans="1:7">
      <c r="A1894">
        <v>61</v>
      </c>
      <c r="B1894" t="s">
        <v>112</v>
      </c>
      <c r="C1894" t="s">
        <v>169</v>
      </c>
      <c r="D1894" s="9">
        <v>39400.695104166669</v>
      </c>
      <c r="F1894">
        <f t="shared" ca="1" si="58"/>
        <v>7.208333333333333</v>
      </c>
      <c r="G1894">
        <f t="shared" ca="1" si="59"/>
        <v>0</v>
      </c>
    </row>
    <row r="1895" spans="1:7">
      <c r="A1895">
        <v>63</v>
      </c>
      <c r="B1895" t="s">
        <v>112</v>
      </c>
      <c r="C1895" t="s">
        <v>169</v>
      </c>
      <c r="D1895" s="9">
        <v>39548.431307870371</v>
      </c>
      <c r="F1895">
        <f t="shared" ca="1" si="58"/>
        <v>6.802777777777778</v>
      </c>
      <c r="G1895">
        <f t="shared" ca="1" si="59"/>
        <v>0</v>
      </c>
    </row>
    <row r="1896" spans="1:7">
      <c r="A1896">
        <v>65</v>
      </c>
      <c r="B1896" t="s">
        <v>11</v>
      </c>
      <c r="C1896" t="s">
        <v>141</v>
      </c>
      <c r="D1896" s="9">
        <v>39420.686666666668</v>
      </c>
      <c r="F1896">
        <f t="shared" ca="1" si="58"/>
        <v>7.1527777777777777</v>
      </c>
      <c r="G1896">
        <f t="shared" ca="1" si="59"/>
        <v>0</v>
      </c>
    </row>
    <row r="1897" spans="1:7">
      <c r="A1897">
        <v>66</v>
      </c>
      <c r="B1897" t="s">
        <v>11</v>
      </c>
      <c r="C1897" t="s">
        <v>141</v>
      </c>
      <c r="D1897" s="9">
        <v>39455.385289351849</v>
      </c>
      <c r="F1897">
        <f t="shared" ca="1" si="58"/>
        <v>7.0583333333333336</v>
      </c>
      <c r="G1897">
        <f t="shared" ca="1" si="59"/>
        <v>0</v>
      </c>
    </row>
    <row r="1898" spans="1:7">
      <c r="A1898">
        <v>67</v>
      </c>
      <c r="B1898" t="s">
        <v>77</v>
      </c>
      <c r="C1898" t="s">
        <v>141</v>
      </c>
      <c r="D1898" s="9">
        <v>39456.4762962963</v>
      </c>
      <c r="F1898">
        <f t="shared" ca="1" si="58"/>
        <v>7.0555555555555554</v>
      </c>
      <c r="G1898">
        <f t="shared" ca="1" si="59"/>
        <v>0</v>
      </c>
    </row>
    <row r="1899" spans="1:7">
      <c r="A1899">
        <v>68</v>
      </c>
      <c r="B1899" t="s">
        <v>112</v>
      </c>
      <c r="C1899" t="s">
        <v>141</v>
      </c>
      <c r="D1899" s="9">
        <v>39456.476469907408</v>
      </c>
      <c r="F1899">
        <f t="shared" ca="1" si="58"/>
        <v>7.0555555555555554</v>
      </c>
      <c r="G1899">
        <f t="shared" ca="1" si="59"/>
        <v>0</v>
      </c>
    </row>
    <row r="1900" spans="1:7">
      <c r="A1900">
        <v>69</v>
      </c>
      <c r="B1900" t="s">
        <v>98</v>
      </c>
      <c r="C1900" t="s">
        <v>141</v>
      </c>
      <c r="D1900" s="9">
        <v>39450.606180555558</v>
      </c>
      <c r="F1900">
        <f t="shared" ca="1" si="58"/>
        <v>7.072222222222222</v>
      </c>
      <c r="G1900">
        <f t="shared" ca="1" si="59"/>
        <v>0</v>
      </c>
    </row>
    <row r="1901" spans="1:7">
      <c r="A1901">
        <v>70</v>
      </c>
      <c r="B1901" t="s">
        <v>112</v>
      </c>
      <c r="C1901" t="s">
        <v>141</v>
      </c>
      <c r="D1901" s="9">
        <v>39427.435682870368</v>
      </c>
      <c r="F1901">
        <f t="shared" ca="1" si="58"/>
        <v>7.1333333333333337</v>
      </c>
      <c r="G1901">
        <f t="shared" ca="1" si="59"/>
        <v>0</v>
      </c>
    </row>
    <row r="1902" spans="1:7">
      <c r="A1902">
        <v>71</v>
      </c>
      <c r="B1902" t="s">
        <v>11</v>
      </c>
      <c r="C1902" t="s">
        <v>141</v>
      </c>
      <c r="D1902" s="9">
        <v>39456.499328703707</v>
      </c>
      <c r="F1902">
        <f t="shared" ca="1" si="58"/>
        <v>7.0555555555555554</v>
      </c>
      <c r="G1902">
        <f t="shared" ca="1" si="59"/>
        <v>0</v>
      </c>
    </row>
    <row r="1903" spans="1:7">
      <c r="A1903">
        <v>74</v>
      </c>
      <c r="B1903" t="s">
        <v>11</v>
      </c>
      <c r="C1903" t="s">
        <v>160</v>
      </c>
      <c r="D1903" s="9">
        <v>39489.544907407406</v>
      </c>
      <c r="F1903">
        <f t="shared" ca="1" si="58"/>
        <v>6.9666666666666668</v>
      </c>
      <c r="G1903">
        <f t="shared" ca="1" si="59"/>
        <v>0</v>
      </c>
    </row>
    <row r="1904" spans="1:7">
      <c r="A1904">
        <v>75</v>
      </c>
      <c r="B1904" t="s">
        <v>112</v>
      </c>
      <c r="C1904" t="s">
        <v>160</v>
      </c>
      <c r="D1904" s="9">
        <v>39483.608738425923</v>
      </c>
      <c r="F1904">
        <f t="shared" ca="1" si="58"/>
        <v>6.9833333333333334</v>
      </c>
      <c r="G1904">
        <f t="shared" ca="1" si="59"/>
        <v>0</v>
      </c>
    </row>
    <row r="1905" spans="1:7">
      <c r="A1905">
        <v>77</v>
      </c>
      <c r="B1905" t="s">
        <v>44</v>
      </c>
      <c r="C1905" t="s">
        <v>159</v>
      </c>
      <c r="D1905" s="9">
        <v>39517.523379629631</v>
      </c>
      <c r="F1905">
        <f t="shared" ca="1" si="58"/>
        <v>6.8861111111111111</v>
      </c>
      <c r="G1905">
        <f t="shared" ca="1" si="59"/>
        <v>0</v>
      </c>
    </row>
    <row r="1906" spans="1:7">
      <c r="A1906">
        <v>78</v>
      </c>
      <c r="B1906" t="s">
        <v>44</v>
      </c>
      <c r="C1906" t="s">
        <v>159</v>
      </c>
      <c r="D1906" s="9">
        <v>39517.590312499997</v>
      </c>
      <c r="F1906">
        <f t="shared" ca="1" si="58"/>
        <v>6.8861111111111111</v>
      </c>
      <c r="G1906">
        <f t="shared" ca="1" si="59"/>
        <v>0</v>
      </c>
    </row>
    <row r="1907" spans="1:7">
      <c r="A1907">
        <v>79</v>
      </c>
      <c r="B1907" t="s">
        <v>34</v>
      </c>
      <c r="C1907" t="s">
        <v>157</v>
      </c>
      <c r="D1907" s="9">
        <v>39587.615104166667</v>
      </c>
      <c r="F1907">
        <f t="shared" ca="1" si="58"/>
        <v>6.6944444444444446</v>
      </c>
      <c r="G1907">
        <f t="shared" ca="1" si="59"/>
        <v>0</v>
      </c>
    </row>
    <row r="1908" spans="1:7">
      <c r="A1908">
        <v>80</v>
      </c>
      <c r="B1908" t="s">
        <v>93</v>
      </c>
      <c r="C1908" t="s">
        <v>160</v>
      </c>
      <c r="D1908" s="9">
        <v>39489.544386574074</v>
      </c>
      <c r="F1908">
        <f t="shared" ca="1" si="58"/>
        <v>6.9666666666666668</v>
      </c>
      <c r="G1908">
        <f t="shared" ca="1" si="59"/>
        <v>0</v>
      </c>
    </row>
    <row r="1909" spans="1:7">
      <c r="A1909">
        <v>81</v>
      </c>
      <c r="B1909" t="s">
        <v>93</v>
      </c>
      <c r="C1909" t="s">
        <v>158</v>
      </c>
      <c r="D1909" s="9">
        <v>39562.433506944442</v>
      </c>
      <c r="F1909">
        <f t="shared" ca="1" si="58"/>
        <v>6.7638888888888893</v>
      </c>
      <c r="G1909">
        <f t="shared" ca="1" si="59"/>
        <v>0</v>
      </c>
    </row>
    <row r="1910" spans="1:7">
      <c r="A1910">
        <v>82</v>
      </c>
      <c r="B1910" t="s">
        <v>98</v>
      </c>
      <c r="C1910" t="s">
        <v>160</v>
      </c>
      <c r="D1910" s="9">
        <v>39470.70685185185</v>
      </c>
      <c r="F1910">
        <f t="shared" ca="1" si="58"/>
        <v>7.0166666666666666</v>
      </c>
      <c r="G1910">
        <f t="shared" ca="1" si="59"/>
        <v>0</v>
      </c>
    </row>
    <row r="1911" spans="1:7">
      <c r="A1911">
        <v>85</v>
      </c>
      <c r="B1911" t="s">
        <v>77</v>
      </c>
      <c r="C1911" t="s">
        <v>160</v>
      </c>
      <c r="D1911" s="9">
        <v>39489.544641203705</v>
      </c>
      <c r="F1911">
        <f t="shared" ca="1" si="58"/>
        <v>6.9666666666666668</v>
      </c>
      <c r="G1911">
        <f t="shared" ca="1" si="59"/>
        <v>0</v>
      </c>
    </row>
    <row r="1912" spans="1:7">
      <c r="A1912">
        <v>87</v>
      </c>
      <c r="B1912" t="s">
        <v>11</v>
      </c>
      <c r="C1912" t="s">
        <v>159</v>
      </c>
      <c r="D1912" s="9">
        <v>39512.394386574073</v>
      </c>
      <c r="F1912">
        <f t="shared" ca="1" si="58"/>
        <v>6.9</v>
      </c>
      <c r="G1912">
        <f t="shared" ca="1" si="59"/>
        <v>0</v>
      </c>
    </row>
    <row r="1913" spans="1:7">
      <c r="A1913">
        <v>88</v>
      </c>
      <c r="B1913" t="s">
        <v>112</v>
      </c>
      <c r="C1913" t="s">
        <v>159</v>
      </c>
      <c r="D1913" s="9">
        <v>39514.596724537034</v>
      </c>
      <c r="F1913">
        <f t="shared" ca="1" si="58"/>
        <v>6.8944444444444448</v>
      </c>
      <c r="G1913">
        <f t="shared" ca="1" si="59"/>
        <v>0</v>
      </c>
    </row>
    <row r="1914" spans="1:7">
      <c r="A1914">
        <v>89</v>
      </c>
      <c r="B1914" t="s">
        <v>112</v>
      </c>
      <c r="C1914" t="s">
        <v>159</v>
      </c>
      <c r="D1914" s="9">
        <v>39511.421319444446</v>
      </c>
      <c r="F1914">
        <f t="shared" ca="1" si="58"/>
        <v>6.9027777777777777</v>
      </c>
      <c r="G1914">
        <f t="shared" ca="1" si="59"/>
        <v>0</v>
      </c>
    </row>
    <row r="1915" spans="1:7">
      <c r="A1915">
        <v>90</v>
      </c>
      <c r="B1915" t="s">
        <v>77</v>
      </c>
      <c r="C1915" t="s">
        <v>160</v>
      </c>
      <c r="D1915" s="9">
        <v>39489.545034722221</v>
      </c>
      <c r="F1915">
        <f t="shared" ca="1" si="58"/>
        <v>6.9666666666666668</v>
      </c>
      <c r="G1915">
        <f t="shared" ca="1" si="59"/>
        <v>0</v>
      </c>
    </row>
    <row r="1916" spans="1:7">
      <c r="A1916">
        <v>91</v>
      </c>
      <c r="B1916" t="s">
        <v>112</v>
      </c>
      <c r="C1916" t="s">
        <v>160</v>
      </c>
      <c r="D1916" s="9">
        <v>39503.401620370372</v>
      </c>
      <c r="F1916">
        <f t="shared" ca="1" si="58"/>
        <v>6.927777777777778</v>
      </c>
      <c r="G1916">
        <f t="shared" ca="1" si="59"/>
        <v>0</v>
      </c>
    </row>
    <row r="1917" spans="1:7">
      <c r="A1917">
        <v>92</v>
      </c>
      <c r="B1917" t="s">
        <v>77</v>
      </c>
      <c r="C1917" t="s">
        <v>160</v>
      </c>
      <c r="D1917" s="9">
        <v>39490.580648148149</v>
      </c>
      <c r="F1917">
        <f t="shared" ca="1" si="58"/>
        <v>6.9638888888888886</v>
      </c>
      <c r="G1917">
        <f t="shared" ca="1" si="59"/>
        <v>0</v>
      </c>
    </row>
    <row r="1918" spans="1:7">
      <c r="A1918">
        <v>93</v>
      </c>
      <c r="B1918" t="s">
        <v>98</v>
      </c>
      <c r="C1918" t="s">
        <v>159</v>
      </c>
      <c r="D1918" s="9">
        <v>39514.697569444441</v>
      </c>
      <c r="F1918">
        <f t="shared" ca="1" si="58"/>
        <v>6.8944444444444448</v>
      </c>
      <c r="G1918">
        <f t="shared" ca="1" si="59"/>
        <v>0</v>
      </c>
    </row>
    <row r="1919" spans="1:7">
      <c r="A1919">
        <v>94</v>
      </c>
      <c r="B1919" t="s">
        <v>11</v>
      </c>
      <c r="C1919" t="s">
        <v>158</v>
      </c>
      <c r="D1919" s="9">
        <v>39553.414456018516</v>
      </c>
      <c r="F1919">
        <f t="shared" ca="1" si="58"/>
        <v>6.7888888888888888</v>
      </c>
      <c r="G1919">
        <f t="shared" ca="1" si="59"/>
        <v>0</v>
      </c>
    </row>
    <row r="1920" spans="1:7">
      <c r="A1920">
        <v>95</v>
      </c>
      <c r="B1920" t="s">
        <v>93</v>
      </c>
      <c r="C1920" t="s">
        <v>159</v>
      </c>
      <c r="D1920" s="9">
        <v>39512.394780092596</v>
      </c>
      <c r="F1920">
        <f t="shared" ca="1" si="58"/>
        <v>6.9</v>
      </c>
      <c r="G1920">
        <f t="shared" ca="1" si="59"/>
        <v>0</v>
      </c>
    </row>
    <row r="1921" spans="1:7">
      <c r="A1921">
        <v>96</v>
      </c>
      <c r="B1921" t="s">
        <v>112</v>
      </c>
      <c r="C1921" t="s">
        <v>159</v>
      </c>
      <c r="D1921" s="9">
        <v>39517.591886574075</v>
      </c>
      <c r="F1921">
        <f t="shared" ca="1" si="58"/>
        <v>6.8861111111111111</v>
      </c>
      <c r="G1921">
        <f t="shared" ca="1" si="59"/>
        <v>0</v>
      </c>
    </row>
    <row r="1922" spans="1:7">
      <c r="A1922">
        <v>97</v>
      </c>
      <c r="B1922" t="s">
        <v>77</v>
      </c>
      <c r="C1922" t="s">
        <v>159</v>
      </c>
      <c r="D1922" s="9">
        <v>39517.592048611114</v>
      </c>
      <c r="F1922">
        <f t="shared" ca="1" si="58"/>
        <v>6.8861111111111111</v>
      </c>
      <c r="G1922">
        <f t="shared" ca="1" si="59"/>
        <v>0</v>
      </c>
    </row>
    <row r="1923" spans="1:7">
      <c r="A1923">
        <v>98</v>
      </c>
      <c r="B1923" t="s">
        <v>77</v>
      </c>
      <c r="C1923" t="s">
        <v>159</v>
      </c>
      <c r="D1923" s="9">
        <v>39504.447650462964</v>
      </c>
      <c r="F1923">
        <f t="shared" ref="F1923:F1986" ca="1" si="60">YEARFRAC(TODAY(),$D1923)</f>
        <v>6.9249999999999998</v>
      </c>
      <c r="G1923">
        <f t="shared" ref="G1923:G1986" ca="1" si="61">IF($F1923&lt;1,1,0)</f>
        <v>0</v>
      </c>
    </row>
    <row r="1924" spans="1:7">
      <c r="A1924">
        <v>99</v>
      </c>
      <c r="B1924" t="s">
        <v>11</v>
      </c>
      <c r="C1924" t="s">
        <v>159</v>
      </c>
      <c r="D1924" s="9">
        <v>39512.394108796296</v>
      </c>
      <c r="F1924">
        <f t="shared" ca="1" si="60"/>
        <v>6.9</v>
      </c>
      <c r="G1924">
        <f t="shared" ca="1" si="61"/>
        <v>0</v>
      </c>
    </row>
    <row r="1925" spans="1:7">
      <c r="A1925">
        <v>102</v>
      </c>
      <c r="B1925" t="s">
        <v>112</v>
      </c>
      <c r="C1925" t="s">
        <v>159</v>
      </c>
      <c r="D1925" s="9">
        <v>39511.663032407407</v>
      </c>
      <c r="F1925">
        <f t="shared" ca="1" si="60"/>
        <v>6.9027777777777777</v>
      </c>
      <c r="G1925">
        <f t="shared" ca="1" si="61"/>
        <v>0</v>
      </c>
    </row>
    <row r="1926" spans="1:7">
      <c r="A1926">
        <v>103</v>
      </c>
      <c r="B1926" t="s">
        <v>11</v>
      </c>
      <c r="C1926" t="s">
        <v>158</v>
      </c>
      <c r="D1926" s="9">
        <v>39561.667222222219</v>
      </c>
      <c r="F1926">
        <f t="shared" ca="1" si="60"/>
        <v>6.7666666666666666</v>
      </c>
      <c r="G1926">
        <f t="shared" ca="1" si="61"/>
        <v>0</v>
      </c>
    </row>
    <row r="1927" spans="1:7">
      <c r="A1927">
        <v>104</v>
      </c>
      <c r="B1927" t="s">
        <v>11</v>
      </c>
      <c r="C1927" t="s">
        <v>158</v>
      </c>
      <c r="D1927" s="9">
        <v>39561.667708333334</v>
      </c>
      <c r="F1927">
        <f t="shared" ca="1" si="60"/>
        <v>6.7666666666666666</v>
      </c>
      <c r="G1927">
        <f t="shared" ca="1" si="61"/>
        <v>0</v>
      </c>
    </row>
    <row r="1928" spans="1:7">
      <c r="A1928">
        <v>105</v>
      </c>
      <c r="B1928" t="s">
        <v>11</v>
      </c>
      <c r="C1928" t="s">
        <v>158</v>
      </c>
      <c r="D1928" s="9">
        <v>39561.667916666665</v>
      </c>
      <c r="F1928">
        <f t="shared" ca="1" si="60"/>
        <v>6.7666666666666666</v>
      </c>
      <c r="G1928">
        <f t="shared" ca="1" si="61"/>
        <v>0</v>
      </c>
    </row>
    <row r="1929" spans="1:7">
      <c r="A1929">
        <v>109</v>
      </c>
      <c r="C1929" t="s">
        <v>159</v>
      </c>
      <c r="D1929" s="9">
        <v>39581.757476851853</v>
      </c>
      <c r="F1929">
        <f t="shared" ca="1" si="60"/>
        <v>6.7111111111111112</v>
      </c>
      <c r="G1929">
        <f t="shared" ca="1" si="61"/>
        <v>0</v>
      </c>
    </row>
    <row r="1930" spans="1:7">
      <c r="A1930">
        <v>110</v>
      </c>
      <c r="B1930" t="s">
        <v>98</v>
      </c>
      <c r="C1930" t="s">
        <v>158</v>
      </c>
      <c r="D1930" s="9">
        <v>39555.716215277775</v>
      </c>
      <c r="F1930">
        <f t="shared" ca="1" si="60"/>
        <v>6.7833333333333332</v>
      </c>
      <c r="G1930">
        <f t="shared" ca="1" si="61"/>
        <v>0</v>
      </c>
    </row>
    <row r="1931" spans="1:7">
      <c r="A1931">
        <v>111</v>
      </c>
      <c r="B1931" t="s">
        <v>93</v>
      </c>
      <c r="C1931" t="s">
        <v>158</v>
      </c>
      <c r="D1931" s="9">
        <v>39553.41646990741</v>
      </c>
      <c r="F1931">
        <f t="shared" ca="1" si="60"/>
        <v>6.7888888888888888</v>
      </c>
      <c r="G1931">
        <f t="shared" ca="1" si="61"/>
        <v>0</v>
      </c>
    </row>
    <row r="1932" spans="1:7">
      <c r="A1932">
        <v>115</v>
      </c>
      <c r="B1932" t="s">
        <v>105</v>
      </c>
      <c r="C1932" t="s">
        <v>157</v>
      </c>
      <c r="D1932" s="9">
        <v>39587.426828703705</v>
      </c>
      <c r="F1932">
        <f t="shared" ca="1" si="60"/>
        <v>6.6944444444444446</v>
      </c>
      <c r="G1932">
        <f t="shared" ca="1" si="61"/>
        <v>0</v>
      </c>
    </row>
    <row r="1933" spans="1:7">
      <c r="A1933">
        <v>117</v>
      </c>
      <c r="B1933" t="s">
        <v>34</v>
      </c>
      <c r="C1933" t="s">
        <v>157</v>
      </c>
      <c r="D1933" s="9">
        <v>39587.620416666665</v>
      </c>
      <c r="F1933">
        <f t="shared" ca="1" si="60"/>
        <v>6.6944444444444446</v>
      </c>
      <c r="G1933">
        <f t="shared" ca="1" si="61"/>
        <v>0</v>
      </c>
    </row>
    <row r="1934" spans="1:7">
      <c r="A1934">
        <v>118</v>
      </c>
      <c r="B1934" t="s">
        <v>95</v>
      </c>
      <c r="C1934" t="s">
        <v>155</v>
      </c>
      <c r="D1934" s="9">
        <v>39724.619467592594</v>
      </c>
      <c r="F1934">
        <f t="shared" ca="1" si="60"/>
        <v>6.322222222222222</v>
      </c>
      <c r="G1934">
        <f t="shared" ca="1" si="61"/>
        <v>0</v>
      </c>
    </row>
    <row r="1935" spans="1:7">
      <c r="A1935">
        <v>119</v>
      </c>
      <c r="B1935" t="s">
        <v>44</v>
      </c>
      <c r="C1935" t="s">
        <v>157</v>
      </c>
      <c r="D1935" s="9">
        <v>39587.658553240741</v>
      </c>
      <c r="F1935">
        <f t="shared" ca="1" si="60"/>
        <v>6.6944444444444446</v>
      </c>
      <c r="G1935">
        <f t="shared" ca="1" si="61"/>
        <v>0</v>
      </c>
    </row>
    <row r="1936" spans="1:7">
      <c r="A1936">
        <v>120</v>
      </c>
      <c r="B1936" t="s">
        <v>93</v>
      </c>
      <c r="C1936" t="s">
        <v>157</v>
      </c>
      <c r="D1936" s="9">
        <v>39598.443738425929</v>
      </c>
      <c r="F1936">
        <f t="shared" ca="1" si="60"/>
        <v>6.6638888888888888</v>
      </c>
      <c r="G1936">
        <f t="shared" ca="1" si="61"/>
        <v>0</v>
      </c>
    </row>
    <row r="1937" spans="1:7">
      <c r="A1937">
        <v>121</v>
      </c>
      <c r="B1937" t="s">
        <v>98</v>
      </c>
      <c r="C1937" t="s">
        <v>157</v>
      </c>
      <c r="D1937" s="9">
        <v>39570.460810185185</v>
      </c>
      <c r="F1937">
        <f t="shared" ca="1" si="60"/>
        <v>6.7416666666666663</v>
      </c>
      <c r="G1937">
        <f t="shared" ca="1" si="61"/>
        <v>0</v>
      </c>
    </row>
    <row r="1938" spans="1:7">
      <c r="A1938">
        <v>122</v>
      </c>
      <c r="B1938" t="s">
        <v>98</v>
      </c>
      <c r="C1938" t="s">
        <v>157</v>
      </c>
      <c r="D1938" s="9">
        <v>39577.447581018518</v>
      </c>
      <c r="F1938">
        <f t="shared" ca="1" si="60"/>
        <v>6.7222222222222223</v>
      </c>
      <c r="G1938">
        <f t="shared" ca="1" si="61"/>
        <v>0</v>
      </c>
    </row>
    <row r="1939" spans="1:7">
      <c r="A1939">
        <v>124</v>
      </c>
      <c r="B1939" t="s">
        <v>104</v>
      </c>
      <c r="C1939" t="s">
        <v>154</v>
      </c>
      <c r="D1939" s="9">
        <v>39654.381863425922</v>
      </c>
      <c r="F1939">
        <f t="shared" ca="1" si="60"/>
        <v>6.5111111111111111</v>
      </c>
      <c r="G1939">
        <f t="shared" ca="1" si="61"/>
        <v>0</v>
      </c>
    </row>
    <row r="1940" spans="1:7">
      <c r="A1940">
        <v>125</v>
      </c>
      <c r="B1940" t="s">
        <v>112</v>
      </c>
      <c r="C1940" t="s">
        <v>157</v>
      </c>
      <c r="D1940" s="9">
        <v>39568.599374999998</v>
      </c>
      <c r="F1940">
        <f t="shared" ca="1" si="60"/>
        <v>6.7472222222222218</v>
      </c>
      <c r="G1940">
        <f t="shared" ca="1" si="61"/>
        <v>0</v>
      </c>
    </row>
    <row r="1941" spans="1:7">
      <c r="A1941">
        <v>128</v>
      </c>
      <c r="B1941" t="s">
        <v>11</v>
      </c>
      <c r="C1941" t="s">
        <v>157</v>
      </c>
      <c r="D1941" s="9">
        <v>39576.6559375</v>
      </c>
      <c r="F1941">
        <f t="shared" ca="1" si="60"/>
        <v>6.7249999999999996</v>
      </c>
      <c r="G1941">
        <f t="shared" ca="1" si="61"/>
        <v>0</v>
      </c>
    </row>
    <row r="1942" spans="1:7">
      <c r="A1942">
        <v>131</v>
      </c>
      <c r="B1942" t="s">
        <v>11</v>
      </c>
      <c r="C1942" t="s">
        <v>157</v>
      </c>
      <c r="D1942" s="9">
        <v>39583.694016203706</v>
      </c>
      <c r="F1942">
        <f t="shared" ca="1" si="60"/>
        <v>6.7055555555555557</v>
      </c>
      <c r="G1942">
        <f t="shared" ca="1" si="61"/>
        <v>0</v>
      </c>
    </row>
    <row r="1943" spans="1:7">
      <c r="A1943">
        <v>132</v>
      </c>
      <c r="B1943" t="s">
        <v>34</v>
      </c>
      <c r="C1943" t="s">
        <v>157</v>
      </c>
      <c r="D1943" s="9">
        <v>39587.615324074075</v>
      </c>
      <c r="F1943">
        <f t="shared" ca="1" si="60"/>
        <v>6.6944444444444446</v>
      </c>
      <c r="G1943">
        <f t="shared" ca="1" si="61"/>
        <v>0</v>
      </c>
    </row>
    <row r="1944" spans="1:7">
      <c r="A1944">
        <v>133</v>
      </c>
      <c r="B1944" t="s">
        <v>112</v>
      </c>
      <c r="C1944" t="s">
        <v>157</v>
      </c>
      <c r="D1944" s="9">
        <v>39583.513749999998</v>
      </c>
      <c r="F1944">
        <f t="shared" ca="1" si="60"/>
        <v>6.7055555555555557</v>
      </c>
      <c r="G1944">
        <f t="shared" ca="1" si="61"/>
        <v>0</v>
      </c>
    </row>
    <row r="1945" spans="1:7">
      <c r="A1945">
        <v>135</v>
      </c>
      <c r="B1945" t="s">
        <v>11</v>
      </c>
      <c r="C1945" t="s">
        <v>156</v>
      </c>
      <c r="D1945" s="9">
        <v>39601.47619212963</v>
      </c>
      <c r="F1945">
        <f t="shared" ca="1" si="60"/>
        <v>6.6583333333333332</v>
      </c>
      <c r="G1945">
        <f t="shared" ca="1" si="61"/>
        <v>0</v>
      </c>
    </row>
    <row r="1946" spans="1:7">
      <c r="A1946">
        <v>138</v>
      </c>
      <c r="B1946" t="s">
        <v>93</v>
      </c>
      <c r="C1946" t="s">
        <v>151</v>
      </c>
      <c r="D1946" s="9">
        <v>39822.537106481483</v>
      </c>
      <c r="F1946">
        <f t="shared" ca="1" si="60"/>
        <v>6.0555555555555554</v>
      </c>
      <c r="G1946">
        <f t="shared" ca="1" si="61"/>
        <v>0</v>
      </c>
    </row>
    <row r="1947" spans="1:7">
      <c r="A1947">
        <v>142</v>
      </c>
      <c r="B1947" t="s">
        <v>34</v>
      </c>
      <c r="C1947" t="s">
        <v>156</v>
      </c>
      <c r="D1947" s="9">
        <v>39608.713993055557</v>
      </c>
      <c r="F1947">
        <f t="shared" ca="1" si="60"/>
        <v>6.6388888888888893</v>
      </c>
      <c r="G1947">
        <f t="shared" ca="1" si="61"/>
        <v>0</v>
      </c>
    </row>
    <row r="1948" spans="1:7">
      <c r="A1948">
        <v>144</v>
      </c>
      <c r="B1948" t="s">
        <v>11</v>
      </c>
      <c r="C1948" t="s">
        <v>151</v>
      </c>
      <c r="D1948" s="9">
        <v>39821.500393518516</v>
      </c>
      <c r="F1948">
        <f t="shared" ca="1" si="60"/>
        <v>6.0583333333333336</v>
      </c>
      <c r="G1948">
        <f t="shared" ca="1" si="61"/>
        <v>0</v>
      </c>
    </row>
    <row r="1949" spans="1:7">
      <c r="A1949">
        <v>145</v>
      </c>
      <c r="B1949" t="s">
        <v>34</v>
      </c>
      <c r="C1949" t="s">
        <v>156</v>
      </c>
      <c r="D1949" s="9">
        <v>39624.384745370371</v>
      </c>
      <c r="F1949">
        <f t="shared" ca="1" si="60"/>
        <v>6.5944444444444441</v>
      </c>
      <c r="G1949">
        <f t="shared" ca="1" si="61"/>
        <v>0</v>
      </c>
    </row>
    <row r="1950" spans="1:7">
      <c r="A1950">
        <v>146</v>
      </c>
      <c r="B1950" t="s">
        <v>34</v>
      </c>
      <c r="C1950" t="s">
        <v>156</v>
      </c>
      <c r="D1950" s="9">
        <v>39608.711921296293</v>
      </c>
      <c r="F1950">
        <f t="shared" ca="1" si="60"/>
        <v>6.6388888888888893</v>
      </c>
      <c r="G1950">
        <f t="shared" ca="1" si="61"/>
        <v>0</v>
      </c>
    </row>
    <row r="1951" spans="1:7">
      <c r="A1951">
        <v>147</v>
      </c>
      <c r="C1951" t="s">
        <v>138</v>
      </c>
      <c r="D1951" s="9">
        <v>39773.66684027778</v>
      </c>
      <c r="F1951">
        <f t="shared" ca="1" si="60"/>
        <v>6.1888888888888891</v>
      </c>
      <c r="G1951">
        <f t="shared" ca="1" si="61"/>
        <v>0</v>
      </c>
    </row>
    <row r="1952" spans="1:7">
      <c r="A1952">
        <v>149</v>
      </c>
      <c r="B1952" t="s">
        <v>91</v>
      </c>
      <c r="C1952" t="s">
        <v>156</v>
      </c>
      <c r="D1952" s="9">
        <v>39608.715775462966</v>
      </c>
      <c r="F1952">
        <f t="shared" ca="1" si="60"/>
        <v>6.6388888888888893</v>
      </c>
      <c r="G1952">
        <f t="shared" ca="1" si="61"/>
        <v>0</v>
      </c>
    </row>
    <row r="1953" spans="1:7">
      <c r="A1953">
        <v>150</v>
      </c>
      <c r="B1953" t="s">
        <v>11</v>
      </c>
      <c r="C1953" t="s">
        <v>156</v>
      </c>
      <c r="D1953" s="9">
        <v>39623.707060185188</v>
      </c>
      <c r="F1953">
        <f t="shared" ca="1" si="60"/>
        <v>6.5972222222222223</v>
      </c>
      <c r="G1953">
        <f t="shared" ca="1" si="61"/>
        <v>0</v>
      </c>
    </row>
    <row r="1954" spans="1:7">
      <c r="A1954">
        <v>151</v>
      </c>
      <c r="B1954" t="s">
        <v>34</v>
      </c>
      <c r="C1954" t="s">
        <v>156</v>
      </c>
      <c r="D1954" s="9">
        <v>39624.386423611111</v>
      </c>
      <c r="F1954">
        <f t="shared" ca="1" si="60"/>
        <v>6.5944444444444441</v>
      </c>
      <c r="G1954">
        <f t="shared" ca="1" si="61"/>
        <v>0</v>
      </c>
    </row>
    <row r="1955" spans="1:7">
      <c r="A1955">
        <v>154</v>
      </c>
      <c r="B1955" t="s">
        <v>93</v>
      </c>
      <c r="C1955" t="s">
        <v>154</v>
      </c>
      <c r="D1955" s="9">
        <v>39654.382037037038</v>
      </c>
      <c r="F1955">
        <f t="shared" ca="1" si="60"/>
        <v>6.5111111111111111</v>
      </c>
      <c r="G1955">
        <f t="shared" ca="1" si="61"/>
        <v>0</v>
      </c>
    </row>
    <row r="1956" spans="1:7">
      <c r="A1956">
        <v>155</v>
      </c>
      <c r="B1956" t="s">
        <v>34</v>
      </c>
      <c r="C1956" t="s">
        <v>156</v>
      </c>
      <c r="D1956" s="9">
        <v>39624.661805555559</v>
      </c>
      <c r="F1956">
        <f t="shared" ca="1" si="60"/>
        <v>6.5944444444444441</v>
      </c>
      <c r="G1956">
        <f t="shared" ca="1" si="61"/>
        <v>0</v>
      </c>
    </row>
    <row r="1957" spans="1:7">
      <c r="A1957">
        <v>156</v>
      </c>
      <c r="B1957" t="s">
        <v>93</v>
      </c>
      <c r="C1957" t="s">
        <v>153</v>
      </c>
      <c r="D1957" s="9">
        <v>39657.404965277776</v>
      </c>
      <c r="F1957">
        <f t="shared" ca="1" si="60"/>
        <v>6.5027777777777782</v>
      </c>
      <c r="G1957">
        <f t="shared" ca="1" si="61"/>
        <v>0</v>
      </c>
    </row>
    <row r="1958" spans="1:7">
      <c r="A1958">
        <v>160</v>
      </c>
      <c r="B1958" t="s">
        <v>34</v>
      </c>
      <c r="C1958" t="s">
        <v>151</v>
      </c>
      <c r="D1958" s="9">
        <v>39826.643819444442</v>
      </c>
      <c r="F1958">
        <f t="shared" ca="1" si="60"/>
        <v>6.0444444444444443</v>
      </c>
      <c r="G1958">
        <f t="shared" ca="1" si="61"/>
        <v>0</v>
      </c>
    </row>
    <row r="1959" spans="1:7">
      <c r="A1959">
        <v>163</v>
      </c>
      <c r="B1959" t="s">
        <v>34</v>
      </c>
      <c r="C1959" t="s">
        <v>156</v>
      </c>
      <c r="D1959" s="9">
        <v>39624.662002314813</v>
      </c>
      <c r="F1959">
        <f t="shared" ca="1" si="60"/>
        <v>6.5944444444444441</v>
      </c>
      <c r="G1959">
        <f t="shared" ca="1" si="61"/>
        <v>0</v>
      </c>
    </row>
    <row r="1960" spans="1:7">
      <c r="A1960">
        <v>165</v>
      </c>
      <c r="C1960" t="s">
        <v>156</v>
      </c>
      <c r="D1960" s="9">
        <v>39624.662754629629</v>
      </c>
      <c r="F1960">
        <f t="shared" ca="1" si="60"/>
        <v>6.5944444444444441</v>
      </c>
      <c r="G1960">
        <f t="shared" ca="1" si="61"/>
        <v>0</v>
      </c>
    </row>
    <row r="1961" spans="1:7">
      <c r="A1961">
        <v>166</v>
      </c>
      <c r="B1961" t="s">
        <v>34</v>
      </c>
      <c r="C1961" t="s">
        <v>156</v>
      </c>
      <c r="D1961" s="9">
        <v>39624.662256944444</v>
      </c>
      <c r="F1961">
        <f t="shared" ca="1" si="60"/>
        <v>6.5944444444444441</v>
      </c>
      <c r="G1961">
        <f t="shared" ca="1" si="61"/>
        <v>0</v>
      </c>
    </row>
    <row r="1962" spans="1:7">
      <c r="A1962">
        <v>168</v>
      </c>
      <c r="B1962" t="s">
        <v>34</v>
      </c>
      <c r="C1962" t="s">
        <v>154</v>
      </c>
      <c r="D1962" s="9">
        <v>39647.437314814815</v>
      </c>
      <c r="F1962">
        <f t="shared" ca="1" si="60"/>
        <v>6.5305555555555559</v>
      </c>
      <c r="G1962">
        <f t="shared" ca="1" si="61"/>
        <v>0</v>
      </c>
    </row>
    <row r="1963" spans="1:7">
      <c r="A1963">
        <v>169</v>
      </c>
      <c r="B1963" t="s">
        <v>34</v>
      </c>
      <c r="C1963" t="s">
        <v>154</v>
      </c>
      <c r="D1963" s="9">
        <v>39636.635937500003</v>
      </c>
      <c r="F1963">
        <f t="shared" ca="1" si="60"/>
        <v>6.5611111111111109</v>
      </c>
      <c r="G1963">
        <f t="shared" ca="1" si="61"/>
        <v>0</v>
      </c>
    </row>
    <row r="1964" spans="1:7">
      <c r="A1964">
        <v>170</v>
      </c>
      <c r="B1964" t="s">
        <v>95</v>
      </c>
      <c r="C1964" t="s">
        <v>154</v>
      </c>
      <c r="D1964" s="9">
        <v>39657.482361111113</v>
      </c>
      <c r="F1964">
        <f t="shared" ca="1" si="60"/>
        <v>6.5027777777777782</v>
      </c>
      <c r="G1964">
        <f t="shared" ca="1" si="61"/>
        <v>0</v>
      </c>
    </row>
    <row r="1965" spans="1:7">
      <c r="A1965">
        <v>172</v>
      </c>
      <c r="B1965" t="s">
        <v>104</v>
      </c>
      <c r="C1965" t="s">
        <v>154</v>
      </c>
      <c r="D1965" s="9">
        <v>39644.39912037037</v>
      </c>
      <c r="F1965">
        <f t="shared" ca="1" si="60"/>
        <v>6.5388888888888888</v>
      </c>
      <c r="G1965">
        <f t="shared" ca="1" si="61"/>
        <v>0</v>
      </c>
    </row>
    <row r="1966" spans="1:7">
      <c r="A1966">
        <v>173</v>
      </c>
      <c r="B1966" t="s">
        <v>112</v>
      </c>
      <c r="C1966" t="s">
        <v>138</v>
      </c>
      <c r="D1966" s="9">
        <v>40085.702465277776</v>
      </c>
      <c r="F1966">
        <f t="shared" ca="1" si="60"/>
        <v>5.333333333333333</v>
      </c>
      <c r="G1966">
        <f t="shared" ca="1" si="61"/>
        <v>0</v>
      </c>
    </row>
    <row r="1967" spans="1:7">
      <c r="A1967">
        <v>174</v>
      </c>
      <c r="B1967" t="s">
        <v>11</v>
      </c>
      <c r="C1967" t="s">
        <v>155</v>
      </c>
      <c r="D1967" s="9">
        <v>39713.518449074072</v>
      </c>
      <c r="F1967">
        <f t="shared" ca="1" si="60"/>
        <v>6.3527777777777779</v>
      </c>
      <c r="G1967">
        <f t="shared" ca="1" si="61"/>
        <v>0</v>
      </c>
    </row>
    <row r="1968" spans="1:7">
      <c r="A1968">
        <v>175</v>
      </c>
      <c r="C1968" t="s">
        <v>154</v>
      </c>
      <c r="D1968" s="9">
        <v>39657.482789351852</v>
      </c>
      <c r="F1968">
        <f t="shared" ca="1" si="60"/>
        <v>6.5027777777777782</v>
      </c>
      <c r="G1968">
        <f t="shared" ca="1" si="61"/>
        <v>0</v>
      </c>
    </row>
    <row r="1969" spans="1:7">
      <c r="A1969">
        <v>177</v>
      </c>
      <c r="B1969" t="s">
        <v>11</v>
      </c>
      <c r="C1969" t="s">
        <v>153</v>
      </c>
      <c r="D1969" s="9">
        <v>39699.546261574076</v>
      </c>
      <c r="F1969">
        <f t="shared" ca="1" si="60"/>
        <v>6.3916666666666666</v>
      </c>
      <c r="G1969">
        <f t="shared" ca="1" si="61"/>
        <v>0</v>
      </c>
    </row>
    <row r="1970" spans="1:7">
      <c r="A1970">
        <v>179</v>
      </c>
      <c r="B1970" t="s">
        <v>11</v>
      </c>
      <c r="C1970" t="s">
        <v>154</v>
      </c>
      <c r="D1970" s="9">
        <v>39654.38144675926</v>
      </c>
      <c r="F1970">
        <f t="shared" ca="1" si="60"/>
        <v>6.5111111111111111</v>
      </c>
      <c r="G1970">
        <f t="shared" ca="1" si="61"/>
        <v>0</v>
      </c>
    </row>
    <row r="1971" spans="1:7">
      <c r="A1971">
        <v>180</v>
      </c>
      <c r="B1971" t="s">
        <v>112</v>
      </c>
      <c r="C1971" t="s">
        <v>154</v>
      </c>
      <c r="D1971" s="9">
        <v>39637.64576388889</v>
      </c>
      <c r="F1971">
        <f t="shared" ca="1" si="60"/>
        <v>6.5583333333333336</v>
      </c>
      <c r="G1971">
        <f t="shared" ca="1" si="61"/>
        <v>0</v>
      </c>
    </row>
    <row r="1972" spans="1:7">
      <c r="A1972">
        <v>181</v>
      </c>
      <c r="B1972" t="s">
        <v>34</v>
      </c>
      <c r="C1972" t="s">
        <v>154</v>
      </c>
      <c r="D1972" s="9">
        <v>39657.482986111114</v>
      </c>
      <c r="F1972">
        <f t="shared" ca="1" si="60"/>
        <v>6.5027777777777782</v>
      </c>
      <c r="G1972">
        <f t="shared" ca="1" si="61"/>
        <v>0</v>
      </c>
    </row>
    <row r="1973" spans="1:7">
      <c r="A1973">
        <v>182</v>
      </c>
      <c r="B1973" t="s">
        <v>104</v>
      </c>
      <c r="C1973" t="s">
        <v>153</v>
      </c>
      <c r="D1973" s="9">
        <v>39695.664849537039</v>
      </c>
      <c r="F1973">
        <f t="shared" ca="1" si="60"/>
        <v>6.4027777777777777</v>
      </c>
      <c r="G1973">
        <f t="shared" ca="1" si="61"/>
        <v>0</v>
      </c>
    </row>
    <row r="1974" spans="1:7">
      <c r="A1974">
        <v>183</v>
      </c>
      <c r="B1974" t="s">
        <v>112</v>
      </c>
      <c r="C1974" t="s">
        <v>154</v>
      </c>
      <c r="D1974" s="9">
        <v>39658.66574074074</v>
      </c>
      <c r="F1974">
        <f t="shared" ca="1" si="60"/>
        <v>6.5</v>
      </c>
      <c r="G1974">
        <f t="shared" ca="1" si="61"/>
        <v>0</v>
      </c>
    </row>
    <row r="1975" spans="1:7">
      <c r="A1975">
        <v>184</v>
      </c>
      <c r="C1975" t="s">
        <v>153</v>
      </c>
      <c r="D1975" s="9">
        <v>39658.668923611112</v>
      </c>
      <c r="F1975">
        <f t="shared" ca="1" si="60"/>
        <v>6.5</v>
      </c>
      <c r="G1975">
        <f t="shared" ca="1" si="61"/>
        <v>0</v>
      </c>
    </row>
    <row r="1976" spans="1:7">
      <c r="A1976">
        <v>185</v>
      </c>
      <c r="B1976" t="s">
        <v>34</v>
      </c>
      <c r="C1976" t="s">
        <v>153</v>
      </c>
      <c r="D1976" s="9">
        <v>39671.40761574074</v>
      </c>
      <c r="F1976">
        <f t="shared" ca="1" si="60"/>
        <v>6.4666666666666668</v>
      </c>
      <c r="G1976">
        <f t="shared" ca="1" si="61"/>
        <v>0</v>
      </c>
    </row>
    <row r="1977" spans="1:7">
      <c r="A1977">
        <v>186</v>
      </c>
      <c r="B1977" t="s">
        <v>11</v>
      </c>
      <c r="C1977" t="s">
        <v>153</v>
      </c>
      <c r="D1977" s="9">
        <v>39696.372187499997</v>
      </c>
      <c r="F1977">
        <f t="shared" ca="1" si="60"/>
        <v>6.4</v>
      </c>
      <c r="G1977">
        <f t="shared" ca="1" si="61"/>
        <v>0</v>
      </c>
    </row>
    <row r="1978" spans="1:7">
      <c r="A1978">
        <v>187</v>
      </c>
      <c r="B1978" t="s">
        <v>93</v>
      </c>
      <c r="C1978" t="s">
        <v>153</v>
      </c>
      <c r="D1978" s="9">
        <v>39660.573252314818</v>
      </c>
      <c r="F1978">
        <f t="shared" ca="1" si="60"/>
        <v>6.4972222222222218</v>
      </c>
      <c r="G1978">
        <f t="shared" ca="1" si="61"/>
        <v>0</v>
      </c>
    </row>
    <row r="1979" spans="1:7">
      <c r="A1979">
        <v>188</v>
      </c>
      <c r="B1979" t="s">
        <v>93</v>
      </c>
      <c r="C1979" t="s">
        <v>153</v>
      </c>
      <c r="D1979" s="9">
        <v>39696.372395833336</v>
      </c>
      <c r="F1979">
        <f t="shared" ca="1" si="60"/>
        <v>6.4</v>
      </c>
      <c r="G1979">
        <f t="shared" ca="1" si="61"/>
        <v>0</v>
      </c>
    </row>
    <row r="1980" spans="1:7">
      <c r="A1980">
        <v>189</v>
      </c>
      <c r="B1980" t="s">
        <v>34</v>
      </c>
      <c r="C1980" t="s">
        <v>153</v>
      </c>
      <c r="D1980" s="9">
        <v>39680.619166666664</v>
      </c>
      <c r="F1980">
        <f t="shared" ca="1" si="60"/>
        <v>6.4416666666666664</v>
      </c>
      <c r="G1980">
        <f t="shared" ca="1" si="61"/>
        <v>0</v>
      </c>
    </row>
    <row r="1981" spans="1:7">
      <c r="A1981">
        <v>190</v>
      </c>
      <c r="B1981" t="s">
        <v>34</v>
      </c>
      <c r="C1981" t="s">
        <v>152</v>
      </c>
      <c r="D1981" s="9">
        <v>39765.580335648148</v>
      </c>
      <c r="F1981">
        <f t="shared" ca="1" si="60"/>
        <v>6.2111111111111112</v>
      </c>
      <c r="G1981">
        <f t="shared" ca="1" si="61"/>
        <v>0</v>
      </c>
    </row>
    <row r="1982" spans="1:7">
      <c r="A1982">
        <v>191</v>
      </c>
      <c r="C1982" t="s">
        <v>138</v>
      </c>
      <c r="D1982" s="9">
        <v>39773.666180555556</v>
      </c>
      <c r="F1982">
        <f t="shared" ca="1" si="60"/>
        <v>6.1888888888888891</v>
      </c>
      <c r="G1982">
        <f t="shared" ca="1" si="61"/>
        <v>0</v>
      </c>
    </row>
    <row r="1983" spans="1:7">
      <c r="A1983">
        <v>193</v>
      </c>
      <c r="B1983" t="s">
        <v>44</v>
      </c>
      <c r="C1983" t="s">
        <v>152</v>
      </c>
      <c r="D1983" s="9">
        <v>39764.643541666665</v>
      </c>
      <c r="F1983">
        <f t="shared" ca="1" si="60"/>
        <v>6.2138888888888886</v>
      </c>
      <c r="G1983">
        <f t="shared" ca="1" si="61"/>
        <v>0</v>
      </c>
    </row>
    <row r="1984" spans="1:7">
      <c r="A1984">
        <v>195</v>
      </c>
      <c r="B1984" t="s">
        <v>34</v>
      </c>
      <c r="C1984" t="s">
        <v>153</v>
      </c>
      <c r="D1984" s="9">
        <v>39671.407337962963</v>
      </c>
      <c r="F1984">
        <f t="shared" ca="1" si="60"/>
        <v>6.4666666666666668</v>
      </c>
      <c r="G1984">
        <f t="shared" ca="1" si="61"/>
        <v>0</v>
      </c>
    </row>
    <row r="1985" spans="1:7">
      <c r="A1985">
        <v>196</v>
      </c>
      <c r="B1985" t="s">
        <v>34</v>
      </c>
      <c r="C1985" t="s">
        <v>153</v>
      </c>
      <c r="D1985" s="9">
        <v>39724.487557870372</v>
      </c>
      <c r="F1985">
        <f t="shared" ca="1" si="60"/>
        <v>6.322222222222222</v>
      </c>
      <c r="G1985">
        <f t="shared" ca="1" si="61"/>
        <v>0</v>
      </c>
    </row>
    <row r="1986" spans="1:7">
      <c r="A1986">
        <v>198</v>
      </c>
      <c r="B1986" t="s">
        <v>93</v>
      </c>
      <c r="C1986" t="s">
        <v>153</v>
      </c>
      <c r="D1986" s="9">
        <v>39665.455243055556</v>
      </c>
      <c r="F1986">
        <f t="shared" ca="1" si="60"/>
        <v>6.4833333333333334</v>
      </c>
      <c r="G1986">
        <f t="shared" ca="1" si="61"/>
        <v>0</v>
      </c>
    </row>
    <row r="1987" spans="1:7">
      <c r="A1987">
        <v>199</v>
      </c>
      <c r="B1987" t="s">
        <v>34</v>
      </c>
      <c r="C1987" t="s">
        <v>153</v>
      </c>
      <c r="D1987" s="9">
        <v>39680.61787037037</v>
      </c>
      <c r="F1987">
        <f t="shared" ref="F1987:F2050" ca="1" si="62">YEARFRAC(TODAY(),$D1987)</f>
        <v>6.4416666666666664</v>
      </c>
      <c r="G1987">
        <f t="shared" ref="G1987:G2050" ca="1" si="63">IF($F1987&lt;1,1,0)</f>
        <v>0</v>
      </c>
    </row>
    <row r="1988" spans="1:7">
      <c r="A1988">
        <v>201</v>
      </c>
      <c r="B1988" t="s">
        <v>11</v>
      </c>
      <c r="C1988" t="s">
        <v>153</v>
      </c>
      <c r="D1988" s="9">
        <v>39671.397152777776</v>
      </c>
      <c r="F1988">
        <f t="shared" ca="1" si="62"/>
        <v>6.4666666666666668</v>
      </c>
      <c r="G1988">
        <f t="shared" ca="1" si="63"/>
        <v>0</v>
      </c>
    </row>
    <row r="1989" spans="1:7">
      <c r="A1989">
        <v>202</v>
      </c>
      <c r="B1989" t="s">
        <v>34</v>
      </c>
      <c r="C1989" t="s">
        <v>153</v>
      </c>
      <c r="D1989" s="9">
        <v>39680.619768518518</v>
      </c>
      <c r="F1989">
        <f t="shared" ca="1" si="62"/>
        <v>6.4416666666666664</v>
      </c>
      <c r="G1989">
        <f t="shared" ca="1" si="63"/>
        <v>0</v>
      </c>
    </row>
    <row r="1990" spans="1:7">
      <c r="A1990">
        <v>203</v>
      </c>
      <c r="B1990" t="s">
        <v>34</v>
      </c>
      <c r="C1990" t="s">
        <v>153</v>
      </c>
      <c r="D1990" s="9">
        <v>39696.371979166666</v>
      </c>
      <c r="F1990">
        <f t="shared" ca="1" si="62"/>
        <v>6.4</v>
      </c>
      <c r="G1990">
        <f t="shared" ca="1" si="63"/>
        <v>0</v>
      </c>
    </row>
    <row r="1991" spans="1:7">
      <c r="A1991">
        <v>204</v>
      </c>
      <c r="B1991" t="s">
        <v>34</v>
      </c>
      <c r="C1991" t="s">
        <v>153</v>
      </c>
      <c r="D1991" s="9">
        <v>39680.618715277778</v>
      </c>
      <c r="F1991">
        <f t="shared" ca="1" si="62"/>
        <v>6.4416666666666664</v>
      </c>
      <c r="G1991">
        <f t="shared" ca="1" si="63"/>
        <v>0</v>
      </c>
    </row>
    <row r="1992" spans="1:7">
      <c r="A1992">
        <v>205</v>
      </c>
      <c r="B1992" t="s">
        <v>34</v>
      </c>
      <c r="C1992" t="s">
        <v>153</v>
      </c>
      <c r="D1992" s="9">
        <v>39695.691435185188</v>
      </c>
      <c r="F1992">
        <f t="shared" ca="1" si="62"/>
        <v>6.4027777777777777</v>
      </c>
      <c r="G1992">
        <f t="shared" ca="1" si="63"/>
        <v>0</v>
      </c>
    </row>
    <row r="1993" spans="1:7">
      <c r="A1993">
        <v>206</v>
      </c>
      <c r="B1993" t="s">
        <v>34</v>
      </c>
      <c r="C1993" t="s">
        <v>153</v>
      </c>
      <c r="D1993" s="9">
        <v>39695.691840277781</v>
      </c>
      <c r="F1993">
        <f t="shared" ca="1" si="62"/>
        <v>6.4027777777777777</v>
      </c>
      <c r="G1993">
        <f t="shared" ca="1" si="63"/>
        <v>0</v>
      </c>
    </row>
    <row r="1994" spans="1:7">
      <c r="A1994">
        <v>209</v>
      </c>
      <c r="B1994" t="s">
        <v>34</v>
      </c>
      <c r="C1994" t="s">
        <v>155</v>
      </c>
      <c r="D1994" s="9">
        <v>39724.548009259262</v>
      </c>
      <c r="F1994">
        <f t="shared" ca="1" si="62"/>
        <v>6.322222222222222</v>
      </c>
      <c r="G1994">
        <f t="shared" ca="1" si="63"/>
        <v>0</v>
      </c>
    </row>
    <row r="1995" spans="1:7">
      <c r="A1995">
        <v>210</v>
      </c>
      <c r="B1995" t="s">
        <v>11</v>
      </c>
      <c r="C1995" t="s">
        <v>153</v>
      </c>
      <c r="D1995" s="9">
        <v>39689.626643518517</v>
      </c>
      <c r="F1995">
        <f t="shared" ca="1" si="62"/>
        <v>6.416666666666667</v>
      </c>
      <c r="G1995">
        <f t="shared" ca="1" si="63"/>
        <v>0</v>
      </c>
    </row>
    <row r="1996" spans="1:7">
      <c r="A1996">
        <v>211</v>
      </c>
      <c r="B1996" t="s">
        <v>104</v>
      </c>
      <c r="C1996" t="s">
        <v>153</v>
      </c>
      <c r="D1996" s="9">
        <v>39687.448067129626</v>
      </c>
      <c r="F1996">
        <f t="shared" ca="1" si="62"/>
        <v>6.4222222222222225</v>
      </c>
      <c r="G1996">
        <f t="shared" ca="1" si="63"/>
        <v>0</v>
      </c>
    </row>
    <row r="1997" spans="1:7">
      <c r="A1997">
        <v>212</v>
      </c>
      <c r="B1997" t="s">
        <v>11</v>
      </c>
      <c r="C1997" t="s">
        <v>153</v>
      </c>
      <c r="D1997" s="9">
        <v>39695.669976851852</v>
      </c>
      <c r="F1997">
        <f t="shared" ca="1" si="62"/>
        <v>6.4027777777777777</v>
      </c>
      <c r="G1997">
        <f t="shared" ca="1" si="63"/>
        <v>0</v>
      </c>
    </row>
    <row r="1998" spans="1:7">
      <c r="A1998">
        <v>213</v>
      </c>
      <c r="B1998" t="s">
        <v>34</v>
      </c>
      <c r="C1998" t="s">
        <v>153</v>
      </c>
      <c r="D1998" s="9">
        <v>39686.365624999999</v>
      </c>
      <c r="F1998">
        <f t="shared" ca="1" si="62"/>
        <v>6.4249999999999998</v>
      </c>
      <c r="G1998">
        <f t="shared" ca="1" si="63"/>
        <v>0</v>
      </c>
    </row>
    <row r="1999" spans="1:7">
      <c r="A1999">
        <v>215</v>
      </c>
      <c r="B1999" t="s">
        <v>104</v>
      </c>
      <c r="C1999" t="s">
        <v>151</v>
      </c>
      <c r="D1999" s="9">
        <v>39799.673425925925</v>
      </c>
      <c r="F1999">
        <f t="shared" ca="1" si="62"/>
        <v>6.1166666666666663</v>
      </c>
      <c r="G1999">
        <f t="shared" ca="1" si="63"/>
        <v>0</v>
      </c>
    </row>
    <row r="2000" spans="1:7">
      <c r="A2000">
        <v>218</v>
      </c>
      <c r="B2000" t="s">
        <v>34</v>
      </c>
      <c r="C2000" t="s">
        <v>155</v>
      </c>
      <c r="D2000" s="9">
        <v>39708.67763888889</v>
      </c>
      <c r="F2000">
        <f t="shared" ca="1" si="62"/>
        <v>6.3666666666666663</v>
      </c>
      <c r="G2000">
        <f t="shared" ca="1" si="63"/>
        <v>0</v>
      </c>
    </row>
    <row r="2001" spans="1:7">
      <c r="A2001">
        <v>219</v>
      </c>
      <c r="B2001" t="s">
        <v>34</v>
      </c>
      <c r="C2001" t="s">
        <v>155</v>
      </c>
      <c r="D2001" s="9">
        <v>39724.548159722224</v>
      </c>
      <c r="F2001">
        <f t="shared" ca="1" si="62"/>
        <v>6.322222222222222</v>
      </c>
      <c r="G2001">
        <f t="shared" ca="1" si="63"/>
        <v>0</v>
      </c>
    </row>
    <row r="2002" spans="1:7">
      <c r="A2002">
        <v>220</v>
      </c>
      <c r="B2002" t="s">
        <v>104</v>
      </c>
      <c r="C2002" t="s">
        <v>155</v>
      </c>
      <c r="D2002" s="9">
        <v>39720.433136574073</v>
      </c>
      <c r="F2002">
        <f t="shared" ca="1" si="62"/>
        <v>6.333333333333333</v>
      </c>
      <c r="G2002">
        <f t="shared" ca="1" si="63"/>
        <v>0</v>
      </c>
    </row>
    <row r="2003" spans="1:7">
      <c r="A2003">
        <v>221</v>
      </c>
      <c r="B2003" t="s">
        <v>34</v>
      </c>
      <c r="C2003" t="s">
        <v>155</v>
      </c>
      <c r="D2003" s="9">
        <v>39708.678159722222</v>
      </c>
      <c r="F2003">
        <f t="shared" ca="1" si="62"/>
        <v>6.3666666666666663</v>
      </c>
      <c r="G2003">
        <f t="shared" ca="1" si="63"/>
        <v>0</v>
      </c>
    </row>
    <row r="2004" spans="1:7">
      <c r="A2004">
        <v>222</v>
      </c>
      <c r="B2004" t="s">
        <v>77</v>
      </c>
      <c r="C2004" t="s">
        <v>155</v>
      </c>
      <c r="D2004" s="9">
        <v>39706.686053240737</v>
      </c>
      <c r="F2004">
        <f t="shared" ca="1" si="62"/>
        <v>6.3722222222222218</v>
      </c>
      <c r="G2004">
        <f t="shared" ca="1" si="63"/>
        <v>0</v>
      </c>
    </row>
    <row r="2005" spans="1:7">
      <c r="A2005">
        <v>223</v>
      </c>
      <c r="B2005" t="s">
        <v>34</v>
      </c>
      <c r="C2005" t="s">
        <v>155</v>
      </c>
      <c r="D2005" s="9">
        <v>39708.399675925924</v>
      </c>
      <c r="F2005">
        <f t="shared" ca="1" si="62"/>
        <v>6.3666666666666663</v>
      </c>
      <c r="G2005">
        <f t="shared" ca="1" si="63"/>
        <v>0</v>
      </c>
    </row>
    <row r="2006" spans="1:7">
      <c r="A2006">
        <v>225</v>
      </c>
      <c r="B2006" t="s">
        <v>11</v>
      </c>
      <c r="C2006" t="s">
        <v>155</v>
      </c>
      <c r="D2006" s="9">
        <v>39720.676076388889</v>
      </c>
      <c r="F2006">
        <f t="shared" ca="1" si="62"/>
        <v>6.333333333333333</v>
      </c>
      <c r="G2006">
        <f t="shared" ca="1" si="63"/>
        <v>0</v>
      </c>
    </row>
    <row r="2007" spans="1:7">
      <c r="A2007">
        <v>226</v>
      </c>
      <c r="B2007" t="s">
        <v>11</v>
      </c>
      <c r="C2007" t="s">
        <v>155</v>
      </c>
      <c r="D2007" s="9">
        <v>39724.501817129632</v>
      </c>
      <c r="F2007">
        <f t="shared" ca="1" si="62"/>
        <v>6.322222222222222</v>
      </c>
      <c r="G2007">
        <f t="shared" ca="1" si="63"/>
        <v>0</v>
      </c>
    </row>
    <row r="2008" spans="1:7">
      <c r="A2008">
        <v>227</v>
      </c>
      <c r="B2008" t="s">
        <v>11</v>
      </c>
      <c r="C2008" t="s">
        <v>151</v>
      </c>
      <c r="D2008" s="9">
        <v>39822.537326388891</v>
      </c>
      <c r="F2008">
        <f t="shared" ca="1" si="62"/>
        <v>6.0555555555555554</v>
      </c>
      <c r="G2008">
        <f t="shared" ca="1" si="63"/>
        <v>0</v>
      </c>
    </row>
    <row r="2009" spans="1:7">
      <c r="A2009">
        <v>228</v>
      </c>
      <c r="B2009" t="s">
        <v>11</v>
      </c>
      <c r="C2009" t="s">
        <v>151</v>
      </c>
      <c r="D2009" s="9">
        <v>39822.540775462963</v>
      </c>
      <c r="F2009">
        <f t="shared" ca="1" si="62"/>
        <v>6.0555555555555554</v>
      </c>
      <c r="G2009">
        <f t="shared" ca="1" si="63"/>
        <v>0</v>
      </c>
    </row>
    <row r="2010" spans="1:7">
      <c r="A2010">
        <v>230</v>
      </c>
      <c r="B2010" t="s">
        <v>11</v>
      </c>
      <c r="C2010" t="s">
        <v>155</v>
      </c>
      <c r="D2010" s="9">
        <v>39721.570474537039</v>
      </c>
      <c r="F2010">
        <f t="shared" ca="1" si="62"/>
        <v>6.3305555555555557</v>
      </c>
      <c r="G2010">
        <f t="shared" ca="1" si="63"/>
        <v>0</v>
      </c>
    </row>
    <row r="2011" spans="1:7">
      <c r="A2011">
        <v>232</v>
      </c>
      <c r="B2011" t="s">
        <v>34</v>
      </c>
      <c r="C2011" t="s">
        <v>155</v>
      </c>
      <c r="D2011" s="9">
        <v>39720.434467592589</v>
      </c>
      <c r="F2011">
        <f t="shared" ca="1" si="62"/>
        <v>6.333333333333333</v>
      </c>
      <c r="G2011">
        <f t="shared" ca="1" si="63"/>
        <v>0</v>
      </c>
    </row>
    <row r="2012" spans="1:7">
      <c r="A2012">
        <v>233</v>
      </c>
      <c r="B2012" t="s">
        <v>34</v>
      </c>
      <c r="C2012" t="s">
        <v>155</v>
      </c>
      <c r="D2012" s="9">
        <v>39722.593472222223</v>
      </c>
      <c r="F2012">
        <f t="shared" ca="1" si="62"/>
        <v>6.3277777777777775</v>
      </c>
      <c r="G2012">
        <f t="shared" ca="1" si="63"/>
        <v>0</v>
      </c>
    </row>
    <row r="2013" spans="1:7">
      <c r="A2013">
        <v>234</v>
      </c>
      <c r="B2013" t="s">
        <v>11</v>
      </c>
      <c r="C2013" t="s">
        <v>155</v>
      </c>
      <c r="D2013" s="9">
        <v>39713.495983796296</v>
      </c>
      <c r="F2013">
        <f t="shared" ca="1" si="62"/>
        <v>6.3527777777777779</v>
      </c>
      <c r="G2013">
        <f t="shared" ca="1" si="63"/>
        <v>0</v>
      </c>
    </row>
    <row r="2014" spans="1:7">
      <c r="A2014">
        <v>235</v>
      </c>
      <c r="B2014" t="s">
        <v>11</v>
      </c>
      <c r="C2014" t="s">
        <v>155</v>
      </c>
      <c r="D2014" s="9">
        <v>39720.675081018519</v>
      </c>
      <c r="F2014">
        <f t="shared" ca="1" si="62"/>
        <v>6.333333333333333</v>
      </c>
      <c r="G2014">
        <f t="shared" ca="1" si="63"/>
        <v>0</v>
      </c>
    </row>
    <row r="2015" spans="1:7">
      <c r="A2015">
        <v>236</v>
      </c>
      <c r="B2015" t="s">
        <v>104</v>
      </c>
      <c r="C2015" t="s">
        <v>152</v>
      </c>
      <c r="D2015" s="9">
        <v>39765.580578703702</v>
      </c>
      <c r="F2015">
        <f t="shared" ca="1" si="62"/>
        <v>6.2111111111111112</v>
      </c>
      <c r="G2015">
        <f t="shared" ca="1" si="63"/>
        <v>0</v>
      </c>
    </row>
    <row r="2016" spans="1:7">
      <c r="A2016">
        <v>237</v>
      </c>
      <c r="B2016" t="s">
        <v>112</v>
      </c>
      <c r="C2016" t="s">
        <v>155</v>
      </c>
      <c r="D2016" s="9">
        <v>39724.423518518517</v>
      </c>
      <c r="F2016">
        <f t="shared" ca="1" si="62"/>
        <v>6.322222222222222</v>
      </c>
      <c r="G2016">
        <f t="shared" ca="1" si="63"/>
        <v>0</v>
      </c>
    </row>
    <row r="2017" spans="1:7">
      <c r="A2017">
        <v>238</v>
      </c>
      <c r="B2017" t="s">
        <v>11</v>
      </c>
      <c r="C2017" t="s">
        <v>155</v>
      </c>
      <c r="D2017" s="9">
        <v>39715.579571759263</v>
      </c>
      <c r="F2017">
        <f t="shared" ca="1" si="62"/>
        <v>6.3472222222222223</v>
      </c>
      <c r="G2017">
        <f t="shared" ca="1" si="63"/>
        <v>0</v>
      </c>
    </row>
    <row r="2018" spans="1:7">
      <c r="A2018">
        <v>239</v>
      </c>
      <c r="B2018" t="s">
        <v>34</v>
      </c>
      <c r="C2018" t="s">
        <v>155</v>
      </c>
      <c r="D2018" s="9">
        <v>39723.689988425926</v>
      </c>
      <c r="F2018">
        <f t="shared" ca="1" si="62"/>
        <v>6.3250000000000002</v>
      </c>
      <c r="G2018">
        <f t="shared" ca="1" si="63"/>
        <v>0</v>
      </c>
    </row>
    <row r="2019" spans="1:7">
      <c r="A2019">
        <v>240</v>
      </c>
      <c r="B2019" t="s">
        <v>11</v>
      </c>
      <c r="C2019" t="s">
        <v>155</v>
      </c>
      <c r="D2019" s="9">
        <v>39724.518692129626</v>
      </c>
      <c r="F2019">
        <f t="shared" ca="1" si="62"/>
        <v>6.322222222222222</v>
      </c>
      <c r="G2019">
        <f t="shared" ca="1" si="63"/>
        <v>0</v>
      </c>
    </row>
    <row r="2020" spans="1:7">
      <c r="A2020">
        <v>241</v>
      </c>
      <c r="B2020" t="s">
        <v>34</v>
      </c>
      <c r="C2020" t="s">
        <v>155</v>
      </c>
      <c r="D2020" s="9">
        <v>39722.593124999999</v>
      </c>
      <c r="F2020">
        <f t="shared" ca="1" si="62"/>
        <v>6.3277777777777775</v>
      </c>
      <c r="G2020">
        <f t="shared" ca="1" si="63"/>
        <v>0</v>
      </c>
    </row>
    <row r="2021" spans="1:7">
      <c r="A2021">
        <v>242</v>
      </c>
      <c r="B2021" t="s">
        <v>34</v>
      </c>
      <c r="C2021" t="s">
        <v>155</v>
      </c>
      <c r="D2021" s="9">
        <v>39727.490960648145</v>
      </c>
      <c r="F2021">
        <f t="shared" ca="1" si="62"/>
        <v>6.3138888888888891</v>
      </c>
      <c r="G2021">
        <f t="shared" ca="1" si="63"/>
        <v>0</v>
      </c>
    </row>
    <row r="2022" spans="1:7">
      <c r="A2022">
        <v>243</v>
      </c>
      <c r="B2022" t="s">
        <v>77</v>
      </c>
      <c r="C2022" t="s">
        <v>155</v>
      </c>
      <c r="D2022" s="9">
        <v>39724.492256944446</v>
      </c>
      <c r="F2022">
        <f t="shared" ca="1" si="62"/>
        <v>6.322222222222222</v>
      </c>
      <c r="G2022">
        <f t="shared" ca="1" si="63"/>
        <v>0</v>
      </c>
    </row>
    <row r="2023" spans="1:7">
      <c r="A2023">
        <v>244</v>
      </c>
      <c r="B2023" t="s">
        <v>112</v>
      </c>
      <c r="C2023" t="s">
        <v>155</v>
      </c>
      <c r="D2023" s="9">
        <v>39727.458298611113</v>
      </c>
      <c r="F2023">
        <f t="shared" ca="1" si="62"/>
        <v>6.3138888888888891</v>
      </c>
      <c r="G2023">
        <f t="shared" ca="1" si="63"/>
        <v>0</v>
      </c>
    </row>
    <row r="2024" spans="1:7">
      <c r="A2024">
        <v>245</v>
      </c>
      <c r="B2024" t="s">
        <v>93</v>
      </c>
      <c r="C2024" t="s">
        <v>151</v>
      </c>
      <c r="D2024" s="9">
        <v>39822.535879629628</v>
      </c>
      <c r="F2024">
        <f t="shared" ca="1" si="62"/>
        <v>6.0555555555555554</v>
      </c>
      <c r="G2024">
        <f t="shared" ca="1" si="63"/>
        <v>0</v>
      </c>
    </row>
    <row r="2025" spans="1:7">
      <c r="A2025">
        <v>246</v>
      </c>
      <c r="B2025" t="s">
        <v>93</v>
      </c>
      <c r="C2025" t="s">
        <v>151</v>
      </c>
      <c r="D2025" s="9">
        <v>39822.537569444445</v>
      </c>
      <c r="F2025">
        <f t="shared" ca="1" si="62"/>
        <v>6.0555555555555554</v>
      </c>
      <c r="G2025">
        <f t="shared" ca="1" si="63"/>
        <v>0</v>
      </c>
    </row>
    <row r="2026" spans="1:7">
      <c r="A2026">
        <v>247</v>
      </c>
      <c r="B2026" t="s">
        <v>93</v>
      </c>
      <c r="C2026" t="s">
        <v>149</v>
      </c>
      <c r="D2026" s="9">
        <v>39884.527696759258</v>
      </c>
      <c r="F2026">
        <f t="shared" ca="1" si="62"/>
        <v>5.8805555555555555</v>
      </c>
      <c r="G2026">
        <f t="shared" ca="1" si="63"/>
        <v>0</v>
      </c>
    </row>
    <row r="2027" spans="1:7">
      <c r="A2027">
        <v>248</v>
      </c>
      <c r="B2027" t="s">
        <v>34</v>
      </c>
      <c r="C2027" t="s">
        <v>152</v>
      </c>
      <c r="D2027" s="9">
        <v>39745.693854166668</v>
      </c>
      <c r="F2027">
        <f t="shared" ca="1" si="62"/>
        <v>6.2638888888888893</v>
      </c>
      <c r="G2027">
        <f t="shared" ca="1" si="63"/>
        <v>0</v>
      </c>
    </row>
    <row r="2028" spans="1:7">
      <c r="A2028">
        <v>249</v>
      </c>
      <c r="B2028" t="s">
        <v>77</v>
      </c>
      <c r="C2028" t="s">
        <v>152</v>
      </c>
      <c r="D2028" s="9">
        <v>39765.582245370373</v>
      </c>
      <c r="F2028">
        <f t="shared" ca="1" si="62"/>
        <v>6.2111111111111112</v>
      </c>
      <c r="G2028">
        <f t="shared" ca="1" si="63"/>
        <v>0</v>
      </c>
    </row>
    <row r="2029" spans="1:7">
      <c r="A2029">
        <v>250</v>
      </c>
      <c r="B2029" t="s">
        <v>34</v>
      </c>
      <c r="C2029" t="s">
        <v>152</v>
      </c>
      <c r="D2029" s="9">
        <v>39727.491296296299</v>
      </c>
      <c r="F2029">
        <f t="shared" ca="1" si="62"/>
        <v>6.3138888888888891</v>
      </c>
      <c r="G2029">
        <f t="shared" ca="1" si="63"/>
        <v>0</v>
      </c>
    </row>
    <row r="2030" spans="1:7">
      <c r="A2030">
        <v>251</v>
      </c>
      <c r="B2030" t="s">
        <v>34</v>
      </c>
      <c r="C2030" t="s">
        <v>152</v>
      </c>
      <c r="D2030" s="9">
        <v>39728.440787037034</v>
      </c>
      <c r="F2030">
        <f t="shared" ca="1" si="62"/>
        <v>6.3111111111111109</v>
      </c>
      <c r="G2030">
        <f t="shared" ca="1" si="63"/>
        <v>0</v>
      </c>
    </row>
    <row r="2031" spans="1:7">
      <c r="A2031">
        <v>253</v>
      </c>
      <c r="B2031" t="s">
        <v>34</v>
      </c>
      <c r="C2031" t="s">
        <v>152</v>
      </c>
      <c r="D2031" s="9">
        <v>39745.694143518522</v>
      </c>
      <c r="F2031">
        <f t="shared" ca="1" si="62"/>
        <v>6.2638888888888893</v>
      </c>
      <c r="G2031">
        <f t="shared" ca="1" si="63"/>
        <v>0</v>
      </c>
    </row>
    <row r="2032" spans="1:7">
      <c r="A2032">
        <v>256</v>
      </c>
      <c r="B2032" t="s">
        <v>11</v>
      </c>
      <c r="C2032" t="s">
        <v>152</v>
      </c>
      <c r="D2032" s="9">
        <v>39735.654675925929</v>
      </c>
      <c r="F2032">
        <f t="shared" ca="1" si="62"/>
        <v>6.291666666666667</v>
      </c>
      <c r="G2032">
        <f t="shared" ca="1" si="63"/>
        <v>0</v>
      </c>
    </row>
    <row r="2033" spans="1:7">
      <c r="A2033">
        <v>257</v>
      </c>
      <c r="B2033" t="s">
        <v>93</v>
      </c>
      <c r="C2033" t="s">
        <v>152</v>
      </c>
      <c r="D2033" s="9">
        <v>39765.625324074077</v>
      </c>
      <c r="F2033">
        <f t="shared" ca="1" si="62"/>
        <v>6.2111111111111112</v>
      </c>
      <c r="G2033">
        <f t="shared" ca="1" si="63"/>
        <v>0</v>
      </c>
    </row>
    <row r="2034" spans="1:7">
      <c r="A2034">
        <v>258</v>
      </c>
      <c r="B2034" t="s">
        <v>93</v>
      </c>
      <c r="C2034" t="s">
        <v>152</v>
      </c>
      <c r="D2034" s="9">
        <v>39765.625138888892</v>
      </c>
      <c r="F2034">
        <f t="shared" ca="1" si="62"/>
        <v>6.2111111111111112</v>
      </c>
      <c r="G2034">
        <f t="shared" ca="1" si="63"/>
        <v>0</v>
      </c>
    </row>
    <row r="2035" spans="1:7">
      <c r="A2035">
        <v>259</v>
      </c>
      <c r="B2035" t="s">
        <v>8</v>
      </c>
      <c r="C2035" t="s">
        <v>151</v>
      </c>
      <c r="D2035" s="9">
        <v>39822.537939814814</v>
      </c>
      <c r="F2035">
        <f t="shared" ca="1" si="62"/>
        <v>6.0555555555555554</v>
      </c>
      <c r="G2035">
        <f t="shared" ca="1" si="63"/>
        <v>0</v>
      </c>
    </row>
    <row r="2036" spans="1:7">
      <c r="A2036">
        <v>260</v>
      </c>
      <c r="B2036" t="s">
        <v>34</v>
      </c>
      <c r="C2036" t="s">
        <v>152</v>
      </c>
      <c r="D2036" s="9">
        <v>39728.440532407411</v>
      </c>
      <c r="F2036">
        <f t="shared" ca="1" si="62"/>
        <v>6.3111111111111109</v>
      </c>
      <c r="G2036">
        <f t="shared" ca="1" si="63"/>
        <v>0</v>
      </c>
    </row>
    <row r="2037" spans="1:7">
      <c r="A2037">
        <v>261</v>
      </c>
      <c r="B2037" t="s">
        <v>44</v>
      </c>
      <c r="C2037" t="s">
        <v>150</v>
      </c>
      <c r="D2037" s="9">
        <v>39834.739212962966</v>
      </c>
      <c r="F2037">
        <f t="shared" ca="1" si="62"/>
        <v>6.0222222222222221</v>
      </c>
      <c r="G2037">
        <f t="shared" ca="1" si="63"/>
        <v>0</v>
      </c>
    </row>
    <row r="2038" spans="1:7">
      <c r="A2038">
        <v>263</v>
      </c>
      <c r="B2038" t="s">
        <v>11</v>
      </c>
      <c r="C2038" t="s">
        <v>152</v>
      </c>
      <c r="D2038" s="9">
        <v>39745.732245370367</v>
      </c>
      <c r="F2038">
        <f t="shared" ca="1" si="62"/>
        <v>6.2638888888888893</v>
      </c>
      <c r="G2038">
        <f t="shared" ca="1" si="63"/>
        <v>0</v>
      </c>
    </row>
    <row r="2039" spans="1:7">
      <c r="A2039">
        <v>266</v>
      </c>
      <c r="B2039" t="s">
        <v>11</v>
      </c>
      <c r="C2039" t="s">
        <v>152</v>
      </c>
      <c r="D2039" s="9">
        <v>39735.429363425923</v>
      </c>
      <c r="F2039">
        <f t="shared" ca="1" si="62"/>
        <v>6.291666666666667</v>
      </c>
      <c r="G2039">
        <f t="shared" ca="1" si="63"/>
        <v>0</v>
      </c>
    </row>
    <row r="2040" spans="1:7">
      <c r="A2040">
        <v>267</v>
      </c>
      <c r="B2040" t="s">
        <v>8</v>
      </c>
      <c r="C2040" t="s">
        <v>152</v>
      </c>
      <c r="D2040" s="9">
        <v>39765.62327546296</v>
      </c>
      <c r="F2040">
        <f t="shared" ca="1" si="62"/>
        <v>6.2111111111111112</v>
      </c>
      <c r="G2040">
        <f t="shared" ca="1" si="63"/>
        <v>0</v>
      </c>
    </row>
    <row r="2041" spans="1:7">
      <c r="A2041">
        <v>268</v>
      </c>
      <c r="B2041" t="s">
        <v>8</v>
      </c>
      <c r="C2041" t="s">
        <v>152</v>
      </c>
      <c r="D2041" s="9">
        <v>39765.761365740742</v>
      </c>
      <c r="F2041">
        <f t="shared" ca="1" si="62"/>
        <v>6.2111111111111112</v>
      </c>
      <c r="G2041">
        <f t="shared" ca="1" si="63"/>
        <v>0</v>
      </c>
    </row>
    <row r="2042" spans="1:7">
      <c r="A2042">
        <v>269</v>
      </c>
      <c r="B2042" t="s">
        <v>11</v>
      </c>
      <c r="C2042" t="s">
        <v>152</v>
      </c>
      <c r="D2042" s="9">
        <v>39738.631319444445</v>
      </c>
      <c r="F2042">
        <f t="shared" ca="1" si="62"/>
        <v>6.2833333333333332</v>
      </c>
      <c r="G2042">
        <f t="shared" ca="1" si="63"/>
        <v>0</v>
      </c>
    </row>
    <row r="2043" spans="1:7">
      <c r="A2043">
        <v>271</v>
      </c>
      <c r="B2043" t="s">
        <v>34</v>
      </c>
      <c r="C2043" t="s">
        <v>152</v>
      </c>
      <c r="D2043" s="9">
        <v>39773.660011574073</v>
      </c>
      <c r="F2043">
        <f t="shared" ca="1" si="62"/>
        <v>6.1888888888888891</v>
      </c>
      <c r="G2043">
        <f t="shared" ca="1" si="63"/>
        <v>0</v>
      </c>
    </row>
    <row r="2044" spans="1:7">
      <c r="A2044">
        <v>272</v>
      </c>
      <c r="B2044" t="s">
        <v>34</v>
      </c>
      <c r="C2044" t="s">
        <v>152</v>
      </c>
      <c r="D2044" s="9">
        <v>39765.581458333334</v>
      </c>
      <c r="F2044">
        <f t="shared" ca="1" si="62"/>
        <v>6.2111111111111112</v>
      </c>
      <c r="G2044">
        <f t="shared" ca="1" si="63"/>
        <v>0</v>
      </c>
    </row>
    <row r="2045" spans="1:7">
      <c r="A2045">
        <v>274</v>
      </c>
      <c r="B2045" t="s">
        <v>11</v>
      </c>
      <c r="C2045" t="s">
        <v>150</v>
      </c>
      <c r="D2045" s="9">
        <v>39839.589722222219</v>
      </c>
      <c r="F2045">
        <f t="shared" ca="1" si="62"/>
        <v>6.0083333333333337</v>
      </c>
      <c r="G2045">
        <f t="shared" ca="1" si="63"/>
        <v>0</v>
      </c>
    </row>
    <row r="2046" spans="1:7">
      <c r="A2046">
        <v>275</v>
      </c>
      <c r="B2046" t="s">
        <v>95</v>
      </c>
      <c r="C2046" t="s">
        <v>151</v>
      </c>
      <c r="D2046" s="9">
        <v>39791.382048611114</v>
      </c>
      <c r="F2046">
        <f t="shared" ca="1" si="62"/>
        <v>6.1388888888888893</v>
      </c>
      <c r="G2046">
        <f t="shared" ca="1" si="63"/>
        <v>0</v>
      </c>
    </row>
    <row r="2047" spans="1:7">
      <c r="A2047">
        <v>276</v>
      </c>
      <c r="B2047" t="s">
        <v>95</v>
      </c>
      <c r="C2047" t="s">
        <v>151</v>
      </c>
      <c r="D2047" s="9">
        <v>39791.383321759262</v>
      </c>
      <c r="F2047">
        <f t="shared" ca="1" si="62"/>
        <v>6.1388888888888893</v>
      </c>
      <c r="G2047">
        <f t="shared" ca="1" si="63"/>
        <v>0</v>
      </c>
    </row>
    <row r="2048" spans="1:7">
      <c r="A2048">
        <v>277</v>
      </c>
      <c r="B2048" t="s">
        <v>95</v>
      </c>
      <c r="C2048" t="s">
        <v>138</v>
      </c>
      <c r="D2048" s="9">
        <v>39791.620532407411</v>
      </c>
      <c r="F2048">
        <f t="shared" ca="1" si="62"/>
        <v>6.1388888888888893</v>
      </c>
      <c r="G2048">
        <f t="shared" ca="1" si="63"/>
        <v>0</v>
      </c>
    </row>
    <row r="2049" spans="1:7">
      <c r="A2049">
        <v>283</v>
      </c>
      <c r="B2049" t="s">
        <v>8</v>
      </c>
      <c r="C2049" t="s">
        <v>151</v>
      </c>
      <c r="D2049" s="9">
        <v>39822.539282407408</v>
      </c>
      <c r="F2049">
        <f t="shared" ca="1" si="62"/>
        <v>6.0555555555555554</v>
      </c>
      <c r="G2049">
        <f t="shared" ca="1" si="63"/>
        <v>0</v>
      </c>
    </row>
    <row r="2050" spans="1:7">
      <c r="A2050">
        <v>284</v>
      </c>
      <c r="B2050" t="s">
        <v>34</v>
      </c>
      <c r="C2050" t="s">
        <v>151</v>
      </c>
      <c r="D2050" s="9">
        <v>39805.579768518517</v>
      </c>
      <c r="F2050">
        <f t="shared" ca="1" si="62"/>
        <v>6.1</v>
      </c>
      <c r="G2050">
        <f t="shared" ca="1" si="63"/>
        <v>0</v>
      </c>
    </row>
    <row r="2051" spans="1:7">
      <c r="A2051">
        <v>286</v>
      </c>
      <c r="B2051" t="s">
        <v>34</v>
      </c>
      <c r="C2051" t="s">
        <v>151</v>
      </c>
      <c r="D2051" s="9">
        <v>39765.706990740742</v>
      </c>
      <c r="F2051">
        <f t="shared" ref="F2051:F2114" ca="1" si="64">YEARFRAC(TODAY(),$D2051)</f>
        <v>6.2111111111111112</v>
      </c>
      <c r="G2051">
        <f t="shared" ref="G2051:G2114" ca="1" si="65">IF($F2051&lt;1,1,0)</f>
        <v>0</v>
      </c>
    </row>
    <row r="2052" spans="1:7">
      <c r="A2052">
        <v>287</v>
      </c>
      <c r="B2052" t="s">
        <v>44</v>
      </c>
      <c r="C2052" t="s">
        <v>152</v>
      </c>
      <c r="D2052" s="9">
        <v>39765.69635416667</v>
      </c>
      <c r="F2052">
        <f t="shared" ca="1" si="64"/>
        <v>6.2111111111111112</v>
      </c>
      <c r="G2052">
        <f t="shared" ca="1" si="65"/>
        <v>0</v>
      </c>
    </row>
    <row r="2053" spans="1:7">
      <c r="A2053">
        <v>288</v>
      </c>
      <c r="B2053" t="s">
        <v>34</v>
      </c>
      <c r="C2053" t="s">
        <v>151</v>
      </c>
      <c r="D2053" s="9">
        <v>39777.500740740739</v>
      </c>
      <c r="F2053">
        <f t="shared" ca="1" si="64"/>
        <v>6.177777777777778</v>
      </c>
      <c r="G2053">
        <f t="shared" ca="1" si="65"/>
        <v>0</v>
      </c>
    </row>
    <row r="2054" spans="1:7">
      <c r="A2054">
        <v>289</v>
      </c>
      <c r="B2054" t="s">
        <v>8</v>
      </c>
      <c r="C2054" t="s">
        <v>151</v>
      </c>
      <c r="D2054" s="9">
        <v>39791.384826388887</v>
      </c>
      <c r="F2054">
        <f t="shared" ca="1" si="64"/>
        <v>6.1388888888888893</v>
      </c>
      <c r="G2054">
        <f t="shared" ca="1" si="65"/>
        <v>0</v>
      </c>
    </row>
    <row r="2055" spans="1:7">
      <c r="A2055">
        <v>290</v>
      </c>
      <c r="B2055" t="s">
        <v>44</v>
      </c>
      <c r="C2055" t="s">
        <v>151</v>
      </c>
      <c r="D2055" s="9">
        <v>39820.641284722224</v>
      </c>
      <c r="F2055">
        <f t="shared" ca="1" si="64"/>
        <v>6.0611111111111109</v>
      </c>
      <c r="G2055">
        <f t="shared" ca="1" si="65"/>
        <v>0</v>
      </c>
    </row>
    <row r="2056" spans="1:7">
      <c r="A2056">
        <v>291</v>
      </c>
      <c r="B2056" t="s">
        <v>34</v>
      </c>
      <c r="C2056" t="s">
        <v>151</v>
      </c>
      <c r="D2056" s="9">
        <v>39766.662303240744</v>
      </c>
      <c r="F2056">
        <f t="shared" ca="1" si="64"/>
        <v>6.208333333333333</v>
      </c>
      <c r="G2056">
        <f t="shared" ca="1" si="65"/>
        <v>0</v>
      </c>
    </row>
    <row r="2057" spans="1:7">
      <c r="A2057">
        <v>292</v>
      </c>
      <c r="B2057" t="s">
        <v>95</v>
      </c>
      <c r="C2057" t="s">
        <v>151</v>
      </c>
      <c r="D2057" s="9">
        <v>39822.44027777778</v>
      </c>
      <c r="F2057">
        <f t="shared" ca="1" si="64"/>
        <v>6.0555555555555554</v>
      </c>
      <c r="G2057">
        <f t="shared" ca="1" si="65"/>
        <v>0</v>
      </c>
    </row>
    <row r="2058" spans="1:7">
      <c r="A2058">
        <v>293</v>
      </c>
      <c r="B2058" t="s">
        <v>34</v>
      </c>
      <c r="C2058" t="s">
        <v>151</v>
      </c>
      <c r="D2058" s="9">
        <v>39777.50104166667</v>
      </c>
      <c r="F2058">
        <f t="shared" ca="1" si="64"/>
        <v>6.177777777777778</v>
      </c>
      <c r="G2058">
        <f t="shared" ca="1" si="65"/>
        <v>0</v>
      </c>
    </row>
    <row r="2059" spans="1:7">
      <c r="A2059">
        <v>295</v>
      </c>
      <c r="B2059" t="s">
        <v>44</v>
      </c>
      <c r="C2059" t="s">
        <v>151</v>
      </c>
      <c r="D2059" s="9">
        <v>39799.394791666666</v>
      </c>
      <c r="F2059">
        <f t="shared" ca="1" si="64"/>
        <v>6.1166666666666663</v>
      </c>
      <c r="G2059">
        <f t="shared" ca="1" si="65"/>
        <v>0</v>
      </c>
    </row>
    <row r="2060" spans="1:7">
      <c r="A2060">
        <v>296</v>
      </c>
      <c r="B2060" t="s">
        <v>11</v>
      </c>
      <c r="C2060" t="s">
        <v>151</v>
      </c>
      <c r="D2060" s="9">
        <v>39770.586782407408</v>
      </c>
      <c r="F2060">
        <f t="shared" ca="1" si="64"/>
        <v>6.197222222222222</v>
      </c>
      <c r="G2060">
        <f t="shared" ca="1" si="65"/>
        <v>0</v>
      </c>
    </row>
    <row r="2061" spans="1:7">
      <c r="A2061">
        <v>298</v>
      </c>
      <c r="B2061" t="s">
        <v>8</v>
      </c>
      <c r="C2061" t="s">
        <v>151</v>
      </c>
      <c r="D2061" s="9">
        <v>39773.721747685187</v>
      </c>
      <c r="F2061">
        <f t="shared" ca="1" si="64"/>
        <v>6.1888888888888891</v>
      </c>
      <c r="G2061">
        <f t="shared" ca="1" si="65"/>
        <v>0</v>
      </c>
    </row>
    <row r="2062" spans="1:7">
      <c r="A2062">
        <v>299</v>
      </c>
      <c r="B2062" t="s">
        <v>11</v>
      </c>
      <c r="C2062" t="s">
        <v>151</v>
      </c>
      <c r="D2062" s="9">
        <v>39771.536898148152</v>
      </c>
      <c r="F2062">
        <f t="shared" ca="1" si="64"/>
        <v>6.1944444444444446</v>
      </c>
      <c r="G2062">
        <f t="shared" ca="1" si="65"/>
        <v>0</v>
      </c>
    </row>
    <row r="2063" spans="1:7">
      <c r="A2063">
        <v>300</v>
      </c>
      <c r="B2063" t="s">
        <v>34</v>
      </c>
      <c r="C2063" t="s">
        <v>151</v>
      </c>
      <c r="D2063" s="9">
        <v>39785.587326388886</v>
      </c>
      <c r="F2063">
        <f t="shared" ca="1" si="64"/>
        <v>6.1555555555555559</v>
      </c>
      <c r="G2063">
        <f t="shared" ca="1" si="65"/>
        <v>0</v>
      </c>
    </row>
    <row r="2064" spans="1:7">
      <c r="A2064">
        <v>301</v>
      </c>
      <c r="B2064" t="s">
        <v>95</v>
      </c>
      <c r="C2064" t="s">
        <v>151</v>
      </c>
      <c r="D2064" s="9">
        <v>39773.694340277776</v>
      </c>
      <c r="F2064">
        <f t="shared" ca="1" si="64"/>
        <v>6.1888888888888891</v>
      </c>
      <c r="G2064">
        <f t="shared" ca="1" si="65"/>
        <v>0</v>
      </c>
    </row>
    <row r="2065" spans="1:7">
      <c r="A2065">
        <v>302</v>
      </c>
      <c r="C2065" t="s">
        <v>151</v>
      </c>
      <c r="D2065" s="9">
        <v>39773.721087962964</v>
      </c>
      <c r="F2065">
        <f t="shared" ca="1" si="64"/>
        <v>6.1888888888888891</v>
      </c>
      <c r="G2065">
        <f t="shared" ca="1" si="65"/>
        <v>0</v>
      </c>
    </row>
    <row r="2066" spans="1:7">
      <c r="A2066">
        <v>303</v>
      </c>
      <c r="C2066" t="s">
        <v>151</v>
      </c>
      <c r="D2066" s="9">
        <v>39791.385775462964</v>
      </c>
      <c r="F2066">
        <f t="shared" ca="1" si="64"/>
        <v>6.1388888888888893</v>
      </c>
      <c r="G2066">
        <f t="shared" ca="1" si="65"/>
        <v>0</v>
      </c>
    </row>
    <row r="2067" spans="1:7">
      <c r="A2067">
        <v>304</v>
      </c>
      <c r="B2067" t="s">
        <v>34</v>
      </c>
      <c r="C2067" t="s">
        <v>151</v>
      </c>
      <c r="D2067" s="9">
        <v>39785.586967592593</v>
      </c>
      <c r="F2067">
        <f t="shared" ca="1" si="64"/>
        <v>6.1555555555555559</v>
      </c>
      <c r="G2067">
        <f t="shared" ca="1" si="65"/>
        <v>0</v>
      </c>
    </row>
    <row r="2068" spans="1:7">
      <c r="A2068">
        <v>306</v>
      </c>
      <c r="B2068" t="s">
        <v>34</v>
      </c>
      <c r="C2068" t="s">
        <v>151</v>
      </c>
      <c r="D2068" s="9">
        <v>39785.586770833332</v>
      </c>
      <c r="F2068">
        <f t="shared" ca="1" si="64"/>
        <v>6.1555555555555559</v>
      </c>
      <c r="G2068">
        <f t="shared" ca="1" si="65"/>
        <v>0</v>
      </c>
    </row>
    <row r="2069" spans="1:7">
      <c r="A2069">
        <v>307</v>
      </c>
      <c r="B2069" t="s">
        <v>11</v>
      </c>
      <c r="C2069" t="s">
        <v>151</v>
      </c>
      <c r="D2069" s="9">
        <v>39786.517789351848</v>
      </c>
      <c r="F2069">
        <f t="shared" ca="1" si="64"/>
        <v>6.1527777777777777</v>
      </c>
      <c r="G2069">
        <f t="shared" ca="1" si="65"/>
        <v>0</v>
      </c>
    </row>
    <row r="2070" spans="1:7">
      <c r="A2070">
        <v>308</v>
      </c>
      <c r="B2070" t="s">
        <v>34</v>
      </c>
      <c r="C2070" t="s">
        <v>151</v>
      </c>
      <c r="D2070" s="9">
        <v>39805.580185185187</v>
      </c>
      <c r="F2070">
        <f t="shared" ca="1" si="64"/>
        <v>6.1</v>
      </c>
      <c r="G2070">
        <f t="shared" ca="1" si="65"/>
        <v>0</v>
      </c>
    </row>
    <row r="2071" spans="1:7">
      <c r="A2071">
        <v>309</v>
      </c>
      <c r="B2071" t="s">
        <v>34</v>
      </c>
      <c r="C2071" t="s">
        <v>151</v>
      </c>
      <c r="D2071" s="9">
        <v>39825.669363425928</v>
      </c>
      <c r="F2071">
        <f t="shared" ca="1" si="64"/>
        <v>6.0472222222222225</v>
      </c>
      <c r="G2071">
        <f t="shared" ca="1" si="65"/>
        <v>0</v>
      </c>
    </row>
    <row r="2072" spans="1:7">
      <c r="A2072">
        <v>310</v>
      </c>
      <c r="C2072" t="s">
        <v>151</v>
      </c>
      <c r="D2072" s="9">
        <v>39785.648310185185</v>
      </c>
      <c r="F2072">
        <f t="shared" ca="1" si="64"/>
        <v>6.1555555555555559</v>
      </c>
      <c r="G2072">
        <f t="shared" ca="1" si="65"/>
        <v>0</v>
      </c>
    </row>
    <row r="2073" spans="1:7">
      <c r="A2073">
        <v>311</v>
      </c>
      <c r="B2073" t="s">
        <v>34</v>
      </c>
      <c r="C2073" t="s">
        <v>151</v>
      </c>
      <c r="D2073" s="9">
        <v>39791.384525462963</v>
      </c>
      <c r="F2073">
        <f t="shared" ca="1" si="64"/>
        <v>6.1388888888888893</v>
      </c>
      <c r="G2073">
        <f t="shared" ca="1" si="65"/>
        <v>0</v>
      </c>
    </row>
    <row r="2074" spans="1:7">
      <c r="A2074">
        <v>313</v>
      </c>
      <c r="B2074" t="s">
        <v>95</v>
      </c>
      <c r="C2074" t="s">
        <v>151</v>
      </c>
      <c r="D2074" s="9">
        <v>39821.500057870369</v>
      </c>
      <c r="F2074">
        <f t="shared" ca="1" si="64"/>
        <v>6.0583333333333336</v>
      </c>
      <c r="G2074">
        <f t="shared" ca="1" si="65"/>
        <v>0</v>
      </c>
    </row>
    <row r="2075" spans="1:7">
      <c r="A2075">
        <v>314</v>
      </c>
      <c r="B2075" t="s">
        <v>95</v>
      </c>
      <c r="C2075" t="s">
        <v>151</v>
      </c>
      <c r="D2075" s="9">
        <v>39821.500451388885</v>
      </c>
      <c r="F2075">
        <f t="shared" ca="1" si="64"/>
        <v>6.0583333333333336</v>
      </c>
      <c r="G2075">
        <f t="shared" ca="1" si="65"/>
        <v>0</v>
      </c>
    </row>
    <row r="2076" spans="1:7">
      <c r="A2076">
        <v>316</v>
      </c>
      <c r="B2076" t="s">
        <v>91</v>
      </c>
      <c r="C2076" t="s">
        <v>149</v>
      </c>
      <c r="D2076" s="9">
        <v>39919.581111111111</v>
      </c>
      <c r="F2076">
        <f t="shared" ca="1" si="64"/>
        <v>5.7861111111111114</v>
      </c>
      <c r="G2076">
        <f t="shared" ca="1" si="65"/>
        <v>0</v>
      </c>
    </row>
    <row r="2077" spans="1:7">
      <c r="A2077">
        <v>317</v>
      </c>
      <c r="B2077" t="s">
        <v>77</v>
      </c>
      <c r="C2077" t="s">
        <v>150</v>
      </c>
      <c r="D2077" s="9">
        <v>39834.423935185187</v>
      </c>
      <c r="F2077">
        <f t="shared" ca="1" si="64"/>
        <v>6.0222222222222221</v>
      </c>
      <c r="G2077">
        <f t="shared" ca="1" si="65"/>
        <v>0</v>
      </c>
    </row>
    <row r="2078" spans="1:7">
      <c r="A2078">
        <v>318</v>
      </c>
      <c r="B2078" t="s">
        <v>11</v>
      </c>
      <c r="C2078" t="s">
        <v>151</v>
      </c>
      <c r="D2078" s="9">
        <v>39804.525891203702</v>
      </c>
      <c r="F2078">
        <f t="shared" ca="1" si="64"/>
        <v>6.1027777777777779</v>
      </c>
      <c r="G2078">
        <f t="shared" ca="1" si="65"/>
        <v>0</v>
      </c>
    </row>
    <row r="2079" spans="1:7">
      <c r="A2079">
        <v>319</v>
      </c>
      <c r="B2079" t="s">
        <v>8</v>
      </c>
      <c r="C2079" t="s">
        <v>151</v>
      </c>
      <c r="D2079" s="9">
        <v>39821.743113425924</v>
      </c>
      <c r="F2079">
        <f t="shared" ca="1" si="64"/>
        <v>6.0583333333333336</v>
      </c>
      <c r="G2079">
        <f t="shared" ca="1" si="65"/>
        <v>0</v>
      </c>
    </row>
    <row r="2080" spans="1:7">
      <c r="A2080">
        <v>320</v>
      </c>
      <c r="B2080" t="s">
        <v>8</v>
      </c>
      <c r="C2080" t="s">
        <v>151</v>
      </c>
      <c r="D2080" s="9">
        <v>39820.657152777778</v>
      </c>
      <c r="F2080">
        <f t="shared" ca="1" si="64"/>
        <v>6.0611111111111109</v>
      </c>
      <c r="G2080">
        <f t="shared" ca="1" si="65"/>
        <v>0</v>
      </c>
    </row>
    <row r="2081" spans="1:7">
      <c r="A2081">
        <v>321</v>
      </c>
      <c r="B2081" t="s">
        <v>91</v>
      </c>
      <c r="C2081" t="s">
        <v>151</v>
      </c>
      <c r="D2081" s="9">
        <v>39820.607199074075</v>
      </c>
      <c r="F2081">
        <f t="shared" ca="1" si="64"/>
        <v>6.0611111111111109</v>
      </c>
      <c r="G2081">
        <f t="shared" ca="1" si="65"/>
        <v>0</v>
      </c>
    </row>
    <row r="2082" spans="1:7">
      <c r="A2082">
        <v>322</v>
      </c>
      <c r="B2082" t="s">
        <v>8</v>
      </c>
      <c r="C2082" t="s">
        <v>151</v>
      </c>
      <c r="D2082" s="9">
        <v>39822.539675925924</v>
      </c>
      <c r="F2082">
        <f t="shared" ca="1" si="64"/>
        <v>6.0555555555555554</v>
      </c>
      <c r="G2082">
        <f t="shared" ca="1" si="65"/>
        <v>0</v>
      </c>
    </row>
    <row r="2083" spans="1:7">
      <c r="A2083">
        <v>323</v>
      </c>
      <c r="B2083" t="s">
        <v>8</v>
      </c>
      <c r="C2083" t="s">
        <v>151</v>
      </c>
      <c r="D2083" s="9">
        <v>39820.681134259263</v>
      </c>
      <c r="F2083">
        <f t="shared" ca="1" si="64"/>
        <v>6.0611111111111109</v>
      </c>
      <c r="G2083">
        <f t="shared" ca="1" si="65"/>
        <v>0</v>
      </c>
    </row>
    <row r="2084" spans="1:7">
      <c r="A2084">
        <v>324</v>
      </c>
      <c r="B2084" t="s">
        <v>8</v>
      </c>
      <c r="C2084" t="s">
        <v>151</v>
      </c>
      <c r="D2084" s="9">
        <v>39800.385717592595</v>
      </c>
      <c r="F2084">
        <f t="shared" ca="1" si="64"/>
        <v>6.1138888888888889</v>
      </c>
      <c r="G2084">
        <f t="shared" ca="1" si="65"/>
        <v>0</v>
      </c>
    </row>
    <row r="2085" spans="1:7">
      <c r="A2085">
        <v>325</v>
      </c>
      <c r="B2085" t="s">
        <v>34</v>
      </c>
      <c r="C2085" t="s">
        <v>147</v>
      </c>
      <c r="D2085" s="9">
        <v>39987.455937500003</v>
      </c>
      <c r="F2085">
        <f t="shared" ca="1" si="64"/>
        <v>5.6</v>
      </c>
      <c r="G2085">
        <f t="shared" ca="1" si="65"/>
        <v>0</v>
      </c>
    </row>
    <row r="2086" spans="1:7">
      <c r="A2086">
        <v>331</v>
      </c>
      <c r="B2086" t="s">
        <v>8</v>
      </c>
      <c r="C2086" t="s">
        <v>151</v>
      </c>
      <c r="D2086" s="9">
        <v>39826.64340277778</v>
      </c>
      <c r="F2086">
        <f t="shared" ca="1" si="64"/>
        <v>6.0444444444444443</v>
      </c>
      <c r="G2086">
        <f t="shared" ca="1" si="65"/>
        <v>0</v>
      </c>
    </row>
    <row r="2087" spans="1:7">
      <c r="A2087">
        <v>332</v>
      </c>
      <c r="B2087" t="s">
        <v>8</v>
      </c>
      <c r="C2087" t="s">
        <v>151</v>
      </c>
      <c r="D2087" s="9">
        <v>39820.518275462964</v>
      </c>
      <c r="F2087">
        <f t="shared" ca="1" si="64"/>
        <v>6.0611111111111109</v>
      </c>
      <c r="G2087">
        <f t="shared" ca="1" si="65"/>
        <v>0</v>
      </c>
    </row>
    <row r="2088" spans="1:7">
      <c r="A2088">
        <v>333</v>
      </c>
      <c r="B2088" t="s">
        <v>8</v>
      </c>
      <c r="C2088" t="s">
        <v>151</v>
      </c>
      <c r="D2088" s="9">
        <v>39826.643576388888</v>
      </c>
      <c r="F2088">
        <f t="shared" ca="1" si="64"/>
        <v>6.0444444444444443</v>
      </c>
      <c r="G2088">
        <f t="shared" ca="1" si="65"/>
        <v>0</v>
      </c>
    </row>
    <row r="2089" spans="1:7">
      <c r="A2089">
        <v>334</v>
      </c>
      <c r="B2089" t="s">
        <v>44</v>
      </c>
      <c r="C2089" t="s">
        <v>150</v>
      </c>
      <c r="D2089" s="9">
        <v>39839.589143518519</v>
      </c>
      <c r="F2089">
        <f t="shared" ca="1" si="64"/>
        <v>6.0083333333333337</v>
      </c>
      <c r="G2089">
        <f t="shared" ca="1" si="65"/>
        <v>0</v>
      </c>
    </row>
    <row r="2090" spans="1:7">
      <c r="A2090">
        <v>335</v>
      </c>
      <c r="B2090" t="s">
        <v>44</v>
      </c>
      <c r="C2090" t="s">
        <v>150</v>
      </c>
      <c r="D2090" s="9">
        <v>39864.385104166664</v>
      </c>
      <c r="F2090">
        <f t="shared" ca="1" si="64"/>
        <v>5.9416666666666664</v>
      </c>
      <c r="G2090">
        <f t="shared" ca="1" si="65"/>
        <v>0</v>
      </c>
    </row>
    <row r="2091" spans="1:7">
      <c r="A2091">
        <v>336</v>
      </c>
      <c r="B2091" t="s">
        <v>8</v>
      </c>
      <c r="C2091" t="s">
        <v>151</v>
      </c>
      <c r="D2091" s="9">
        <v>39820.573182870372</v>
      </c>
      <c r="F2091">
        <f t="shared" ca="1" si="64"/>
        <v>6.0611111111111109</v>
      </c>
      <c r="G2091">
        <f t="shared" ca="1" si="65"/>
        <v>0</v>
      </c>
    </row>
    <row r="2092" spans="1:7">
      <c r="A2092">
        <v>337</v>
      </c>
      <c r="C2092" t="s">
        <v>151</v>
      </c>
      <c r="D2092" s="9">
        <v>39821.424363425926</v>
      </c>
      <c r="F2092">
        <f t="shared" ca="1" si="64"/>
        <v>6.0583333333333336</v>
      </c>
      <c r="G2092">
        <f t="shared" ca="1" si="65"/>
        <v>0</v>
      </c>
    </row>
    <row r="2093" spans="1:7">
      <c r="A2093">
        <v>338</v>
      </c>
      <c r="B2093" t="s">
        <v>103</v>
      </c>
      <c r="C2093" t="s">
        <v>150</v>
      </c>
      <c r="D2093" s="9">
        <v>39835.422094907408</v>
      </c>
      <c r="F2093">
        <f t="shared" ca="1" si="64"/>
        <v>6.0194444444444448</v>
      </c>
      <c r="G2093">
        <f t="shared" ca="1" si="65"/>
        <v>0</v>
      </c>
    </row>
    <row r="2094" spans="1:7">
      <c r="A2094">
        <v>339</v>
      </c>
      <c r="B2094" t="s">
        <v>95</v>
      </c>
      <c r="C2094" t="s">
        <v>150</v>
      </c>
      <c r="D2094" s="9">
        <v>39834.719976851855</v>
      </c>
      <c r="F2094">
        <f t="shared" ca="1" si="64"/>
        <v>6.0222222222222221</v>
      </c>
      <c r="G2094">
        <f t="shared" ca="1" si="65"/>
        <v>0</v>
      </c>
    </row>
    <row r="2095" spans="1:7">
      <c r="A2095">
        <v>341</v>
      </c>
      <c r="B2095" t="s">
        <v>8</v>
      </c>
      <c r="C2095" t="s">
        <v>150</v>
      </c>
      <c r="D2095" s="9">
        <v>39826.707986111112</v>
      </c>
      <c r="F2095">
        <f t="shared" ca="1" si="64"/>
        <v>6.0444444444444443</v>
      </c>
      <c r="G2095">
        <f t="shared" ca="1" si="65"/>
        <v>0</v>
      </c>
    </row>
    <row r="2096" spans="1:7">
      <c r="A2096">
        <v>342</v>
      </c>
      <c r="C2096" t="s">
        <v>151</v>
      </c>
      <c r="D2096" s="9">
        <v>39822.568344907406</v>
      </c>
      <c r="F2096">
        <f t="shared" ca="1" si="64"/>
        <v>6.0555555555555554</v>
      </c>
      <c r="G2096">
        <f t="shared" ca="1" si="65"/>
        <v>0</v>
      </c>
    </row>
    <row r="2097" spans="1:7">
      <c r="A2097">
        <v>351</v>
      </c>
      <c r="B2097" t="s">
        <v>34</v>
      </c>
      <c r="C2097" t="s">
        <v>150</v>
      </c>
      <c r="D2097" s="9">
        <v>39834.423449074071</v>
      </c>
      <c r="F2097">
        <f t="shared" ca="1" si="64"/>
        <v>6.0222222222222221</v>
      </c>
      <c r="G2097">
        <f t="shared" ca="1" si="65"/>
        <v>0</v>
      </c>
    </row>
    <row r="2098" spans="1:7">
      <c r="A2098">
        <v>352</v>
      </c>
      <c r="B2098" t="s">
        <v>34</v>
      </c>
      <c r="C2098" t="s">
        <v>151</v>
      </c>
      <c r="D2098" s="9">
        <v>39825.670706018522</v>
      </c>
      <c r="F2098">
        <f t="shared" ca="1" si="64"/>
        <v>6.0472222222222225</v>
      </c>
      <c r="G2098">
        <f t="shared" ca="1" si="65"/>
        <v>0</v>
      </c>
    </row>
    <row r="2099" spans="1:7">
      <c r="A2099">
        <v>354</v>
      </c>
      <c r="B2099" t="s">
        <v>11</v>
      </c>
      <c r="C2099" t="s">
        <v>150</v>
      </c>
      <c r="D2099" s="9">
        <v>39829.389247685183</v>
      </c>
      <c r="F2099">
        <f t="shared" ca="1" si="64"/>
        <v>6.0361111111111114</v>
      </c>
      <c r="G2099">
        <f t="shared" ca="1" si="65"/>
        <v>0</v>
      </c>
    </row>
    <row r="2100" spans="1:7">
      <c r="A2100">
        <v>355</v>
      </c>
      <c r="B2100" t="s">
        <v>95</v>
      </c>
      <c r="C2100" t="s">
        <v>150</v>
      </c>
      <c r="D2100" s="9">
        <v>39835.594317129631</v>
      </c>
      <c r="F2100">
        <f t="shared" ca="1" si="64"/>
        <v>6.0194444444444448</v>
      </c>
      <c r="G2100">
        <f t="shared" ca="1" si="65"/>
        <v>0</v>
      </c>
    </row>
    <row r="2101" spans="1:7">
      <c r="A2101">
        <v>356</v>
      </c>
      <c r="B2101" t="s">
        <v>95</v>
      </c>
      <c r="C2101" t="s">
        <v>150</v>
      </c>
      <c r="D2101" s="9">
        <v>39835.594456018516</v>
      </c>
      <c r="F2101">
        <f t="shared" ca="1" si="64"/>
        <v>6.0194444444444448</v>
      </c>
      <c r="G2101">
        <f t="shared" ca="1" si="65"/>
        <v>0</v>
      </c>
    </row>
    <row r="2102" spans="1:7">
      <c r="A2102">
        <v>357</v>
      </c>
      <c r="B2102" t="s">
        <v>95</v>
      </c>
      <c r="C2102" t="s">
        <v>150</v>
      </c>
      <c r="D2102" s="9">
        <v>39853.644143518519</v>
      </c>
      <c r="F2102">
        <f t="shared" ca="1" si="64"/>
        <v>5.9722222222222223</v>
      </c>
      <c r="G2102">
        <f t="shared" ca="1" si="65"/>
        <v>0</v>
      </c>
    </row>
    <row r="2103" spans="1:7">
      <c r="A2103">
        <v>358</v>
      </c>
      <c r="B2103" t="s">
        <v>95</v>
      </c>
      <c r="C2103" t="s">
        <v>149</v>
      </c>
      <c r="D2103" s="9">
        <v>39874.373969907407</v>
      </c>
      <c r="F2103">
        <f t="shared" ca="1" si="64"/>
        <v>5.9083333333333332</v>
      </c>
      <c r="G2103">
        <f t="shared" ca="1" si="65"/>
        <v>0</v>
      </c>
    </row>
    <row r="2104" spans="1:7">
      <c r="A2104">
        <v>361</v>
      </c>
      <c r="B2104" t="s">
        <v>91</v>
      </c>
      <c r="C2104" t="s">
        <v>149</v>
      </c>
      <c r="D2104" s="9">
        <v>39873.125196759262</v>
      </c>
      <c r="F2104">
        <f t="shared" ca="1" si="64"/>
        <v>5.9111111111111114</v>
      </c>
      <c r="G2104">
        <f t="shared" ca="1" si="65"/>
        <v>0</v>
      </c>
    </row>
    <row r="2105" spans="1:7">
      <c r="A2105">
        <v>362</v>
      </c>
      <c r="B2105" t="s">
        <v>44</v>
      </c>
      <c r="C2105" t="s">
        <v>150</v>
      </c>
      <c r="D2105" s="9">
        <v>39860.503587962965</v>
      </c>
      <c r="F2105">
        <f t="shared" ca="1" si="64"/>
        <v>5.9527777777777775</v>
      </c>
      <c r="G2105">
        <f t="shared" ca="1" si="65"/>
        <v>0</v>
      </c>
    </row>
    <row r="2106" spans="1:7">
      <c r="A2106">
        <v>363</v>
      </c>
      <c r="B2106" t="s">
        <v>8</v>
      </c>
      <c r="C2106" t="s">
        <v>150</v>
      </c>
      <c r="D2106" s="9">
        <v>39828.584872685184</v>
      </c>
      <c r="F2106">
        <f t="shared" ca="1" si="64"/>
        <v>6.0388888888888888</v>
      </c>
      <c r="G2106">
        <f t="shared" ca="1" si="65"/>
        <v>0</v>
      </c>
    </row>
    <row r="2107" spans="1:7">
      <c r="A2107">
        <v>365</v>
      </c>
      <c r="B2107" t="s">
        <v>112</v>
      </c>
      <c r="C2107" t="s">
        <v>150</v>
      </c>
      <c r="D2107" s="9">
        <v>39861.462048611109</v>
      </c>
      <c r="F2107">
        <f t="shared" ca="1" si="64"/>
        <v>5.95</v>
      </c>
      <c r="G2107">
        <f t="shared" ca="1" si="65"/>
        <v>0</v>
      </c>
    </row>
    <row r="2108" spans="1:7">
      <c r="A2108">
        <v>367</v>
      </c>
      <c r="C2108" t="s">
        <v>150</v>
      </c>
      <c r="D2108" s="9">
        <v>39832.407268518517</v>
      </c>
      <c r="F2108">
        <f t="shared" ca="1" si="64"/>
        <v>6.0277777777777777</v>
      </c>
      <c r="G2108">
        <f t="shared" ca="1" si="65"/>
        <v>0</v>
      </c>
    </row>
    <row r="2109" spans="1:7">
      <c r="A2109">
        <v>368</v>
      </c>
      <c r="B2109" t="s">
        <v>11</v>
      </c>
      <c r="C2109" t="s">
        <v>150</v>
      </c>
      <c r="D2109" s="9">
        <v>39832.508425925924</v>
      </c>
      <c r="F2109">
        <f t="shared" ca="1" si="64"/>
        <v>6.0277777777777777</v>
      </c>
      <c r="G2109">
        <f t="shared" ca="1" si="65"/>
        <v>0</v>
      </c>
    </row>
    <row r="2110" spans="1:7">
      <c r="A2110">
        <v>369</v>
      </c>
      <c r="B2110" t="s">
        <v>34</v>
      </c>
      <c r="C2110" t="s">
        <v>150</v>
      </c>
      <c r="D2110" s="9">
        <v>39835.589548611111</v>
      </c>
      <c r="F2110">
        <f t="shared" ca="1" si="64"/>
        <v>6.0194444444444448</v>
      </c>
      <c r="G2110">
        <f t="shared" ca="1" si="65"/>
        <v>0</v>
      </c>
    </row>
    <row r="2111" spans="1:7">
      <c r="A2111">
        <v>370</v>
      </c>
      <c r="C2111" t="s">
        <v>150</v>
      </c>
      <c r="D2111" s="9">
        <v>39843.573148148149</v>
      </c>
      <c r="F2111">
        <f t="shared" ca="1" si="64"/>
        <v>5.9972222222222218</v>
      </c>
      <c r="G2111">
        <f t="shared" ca="1" si="65"/>
        <v>0</v>
      </c>
    </row>
    <row r="2112" spans="1:7">
      <c r="A2112">
        <v>371</v>
      </c>
      <c r="C2112" t="s">
        <v>150</v>
      </c>
      <c r="D2112" s="9">
        <v>39834.738854166666</v>
      </c>
      <c r="F2112">
        <f t="shared" ca="1" si="64"/>
        <v>6.0222222222222221</v>
      </c>
      <c r="G2112">
        <f t="shared" ca="1" si="65"/>
        <v>0</v>
      </c>
    </row>
    <row r="2113" spans="1:7">
      <c r="A2113">
        <v>373</v>
      </c>
      <c r="B2113" t="s">
        <v>11</v>
      </c>
      <c r="C2113" t="s">
        <v>150</v>
      </c>
      <c r="D2113" s="9">
        <v>39860.521458333336</v>
      </c>
      <c r="F2113">
        <f t="shared" ca="1" si="64"/>
        <v>5.9527777777777775</v>
      </c>
      <c r="G2113">
        <f t="shared" ca="1" si="65"/>
        <v>0</v>
      </c>
    </row>
    <row r="2114" spans="1:7">
      <c r="A2114">
        <v>375</v>
      </c>
      <c r="B2114" t="s">
        <v>11</v>
      </c>
      <c r="C2114" t="s">
        <v>150</v>
      </c>
      <c r="D2114" s="9">
        <v>39860.680069444446</v>
      </c>
      <c r="F2114">
        <f t="shared" ca="1" si="64"/>
        <v>5.9527777777777775</v>
      </c>
      <c r="G2114">
        <f t="shared" ca="1" si="65"/>
        <v>0</v>
      </c>
    </row>
    <row r="2115" spans="1:7">
      <c r="A2115">
        <v>376</v>
      </c>
      <c r="B2115" t="s">
        <v>112</v>
      </c>
      <c r="C2115" t="s">
        <v>150</v>
      </c>
      <c r="D2115" s="9">
        <v>39834.65384259259</v>
      </c>
      <c r="F2115">
        <f t="shared" ref="F2115:F2178" ca="1" si="66">YEARFRAC(TODAY(),$D2115)</f>
        <v>6.0222222222222221</v>
      </c>
      <c r="G2115">
        <f t="shared" ref="G2115:G2178" ca="1" si="67">IF($F2115&lt;1,1,0)</f>
        <v>0</v>
      </c>
    </row>
    <row r="2116" spans="1:7">
      <c r="A2116">
        <v>379</v>
      </c>
      <c r="B2116" t="s">
        <v>34</v>
      </c>
      <c r="C2116" t="s">
        <v>150</v>
      </c>
      <c r="D2116" s="9">
        <v>39855.429016203707</v>
      </c>
      <c r="F2116">
        <f t="shared" ca="1" si="66"/>
        <v>5.9666666666666668</v>
      </c>
      <c r="G2116">
        <f t="shared" ca="1" si="67"/>
        <v>0</v>
      </c>
    </row>
    <row r="2117" spans="1:7">
      <c r="A2117">
        <v>381</v>
      </c>
      <c r="B2117" t="s">
        <v>104</v>
      </c>
      <c r="C2117" t="s">
        <v>150</v>
      </c>
      <c r="D2117" s="9">
        <v>39861.461817129632</v>
      </c>
      <c r="F2117">
        <f t="shared" ca="1" si="66"/>
        <v>5.95</v>
      </c>
      <c r="G2117">
        <f t="shared" ca="1" si="67"/>
        <v>0</v>
      </c>
    </row>
    <row r="2118" spans="1:7">
      <c r="A2118">
        <v>383</v>
      </c>
      <c r="B2118" t="s">
        <v>104</v>
      </c>
      <c r="C2118" t="s">
        <v>150</v>
      </c>
      <c r="D2118" s="9">
        <v>39862.345069444447</v>
      </c>
      <c r="F2118">
        <f t="shared" ca="1" si="66"/>
        <v>5.947222222222222</v>
      </c>
      <c r="G2118">
        <f t="shared" ca="1" si="67"/>
        <v>0</v>
      </c>
    </row>
    <row r="2119" spans="1:7">
      <c r="A2119">
        <v>385</v>
      </c>
      <c r="B2119" t="s">
        <v>11</v>
      </c>
      <c r="C2119" t="s">
        <v>150</v>
      </c>
      <c r="D2119" s="9">
        <v>39836.54792824074</v>
      </c>
      <c r="F2119">
        <f t="shared" ca="1" si="66"/>
        <v>6.0166666666666666</v>
      </c>
      <c r="G2119">
        <f t="shared" ca="1" si="67"/>
        <v>0</v>
      </c>
    </row>
    <row r="2120" spans="1:7">
      <c r="A2120">
        <v>388</v>
      </c>
      <c r="B2120" t="s">
        <v>34</v>
      </c>
      <c r="C2120" t="s">
        <v>150</v>
      </c>
      <c r="D2120" s="9">
        <v>39836.601770833331</v>
      </c>
      <c r="F2120">
        <f t="shared" ca="1" si="66"/>
        <v>6.0166666666666666</v>
      </c>
      <c r="G2120">
        <f t="shared" ca="1" si="67"/>
        <v>0</v>
      </c>
    </row>
    <row r="2121" spans="1:7">
      <c r="A2121">
        <v>389</v>
      </c>
      <c r="B2121" t="s">
        <v>95</v>
      </c>
      <c r="C2121" t="s">
        <v>150</v>
      </c>
      <c r="D2121" s="9">
        <v>39870.676736111112</v>
      </c>
      <c r="F2121">
        <f t="shared" ca="1" si="66"/>
        <v>5.9249999999999998</v>
      </c>
      <c r="G2121">
        <f t="shared" ca="1" si="67"/>
        <v>0</v>
      </c>
    </row>
    <row r="2122" spans="1:7">
      <c r="A2122">
        <v>390</v>
      </c>
      <c r="B2122" t="s">
        <v>112</v>
      </c>
      <c r="C2122" t="s">
        <v>150</v>
      </c>
      <c r="D2122" s="9">
        <v>39855.460277777776</v>
      </c>
      <c r="F2122">
        <f t="shared" ca="1" si="66"/>
        <v>5.9666666666666668</v>
      </c>
      <c r="G2122">
        <f t="shared" ca="1" si="67"/>
        <v>0</v>
      </c>
    </row>
    <row r="2123" spans="1:7">
      <c r="A2123">
        <v>391</v>
      </c>
      <c r="B2123" t="s">
        <v>11</v>
      </c>
      <c r="C2123" t="s">
        <v>150</v>
      </c>
      <c r="D2123" s="9">
        <v>39843.546944444446</v>
      </c>
      <c r="F2123">
        <f t="shared" ca="1" si="66"/>
        <v>5.9972222222222218</v>
      </c>
      <c r="G2123">
        <f t="shared" ca="1" si="67"/>
        <v>0</v>
      </c>
    </row>
    <row r="2124" spans="1:7">
      <c r="A2124">
        <v>392</v>
      </c>
      <c r="B2124" t="s">
        <v>11</v>
      </c>
      <c r="C2124" t="s">
        <v>150</v>
      </c>
      <c r="D2124" s="9">
        <v>39857.502789351849</v>
      </c>
      <c r="F2124">
        <f t="shared" ca="1" si="66"/>
        <v>5.9611111111111112</v>
      </c>
      <c r="G2124">
        <f t="shared" ca="1" si="67"/>
        <v>0</v>
      </c>
    </row>
    <row r="2125" spans="1:7">
      <c r="A2125">
        <v>393</v>
      </c>
      <c r="B2125" t="s">
        <v>8</v>
      </c>
      <c r="C2125" t="s">
        <v>150</v>
      </c>
      <c r="D2125" s="9">
        <v>39860.557106481479</v>
      </c>
      <c r="F2125">
        <f t="shared" ca="1" si="66"/>
        <v>5.9527777777777775</v>
      </c>
      <c r="G2125">
        <f t="shared" ca="1" si="67"/>
        <v>0</v>
      </c>
    </row>
    <row r="2126" spans="1:7">
      <c r="A2126">
        <v>394</v>
      </c>
      <c r="B2126" t="s">
        <v>8</v>
      </c>
      <c r="C2126" t="s">
        <v>150</v>
      </c>
      <c r="D2126" s="9">
        <v>39841.655405092592</v>
      </c>
      <c r="F2126">
        <f t="shared" ca="1" si="66"/>
        <v>6.0027777777777782</v>
      </c>
      <c r="G2126">
        <f t="shared" ca="1" si="67"/>
        <v>0</v>
      </c>
    </row>
    <row r="2127" spans="1:7">
      <c r="A2127">
        <v>395</v>
      </c>
      <c r="B2127" t="s">
        <v>34</v>
      </c>
      <c r="C2127" t="s">
        <v>150</v>
      </c>
      <c r="D2127" s="9">
        <v>39855.429178240738</v>
      </c>
      <c r="F2127">
        <f t="shared" ca="1" si="66"/>
        <v>5.9666666666666668</v>
      </c>
      <c r="G2127">
        <f t="shared" ca="1" si="67"/>
        <v>0</v>
      </c>
    </row>
    <row r="2128" spans="1:7">
      <c r="A2128">
        <v>397</v>
      </c>
      <c r="B2128" t="s">
        <v>11</v>
      </c>
      <c r="C2128" t="s">
        <v>149</v>
      </c>
      <c r="D2128" s="9">
        <v>39919.588831018518</v>
      </c>
      <c r="F2128">
        <f t="shared" ca="1" si="66"/>
        <v>5.7861111111111114</v>
      </c>
      <c r="G2128">
        <f t="shared" ca="1" si="67"/>
        <v>0</v>
      </c>
    </row>
    <row r="2129" spans="1:7">
      <c r="A2129">
        <v>398</v>
      </c>
      <c r="B2129" t="s">
        <v>11</v>
      </c>
      <c r="C2129" t="s">
        <v>150</v>
      </c>
      <c r="D2129" s="9">
        <v>39860.520949074074</v>
      </c>
      <c r="F2129">
        <f t="shared" ca="1" si="66"/>
        <v>5.9527777777777775</v>
      </c>
      <c r="G2129">
        <f t="shared" ca="1" si="67"/>
        <v>0</v>
      </c>
    </row>
    <row r="2130" spans="1:7">
      <c r="A2130">
        <v>399</v>
      </c>
      <c r="B2130" t="s">
        <v>11</v>
      </c>
      <c r="C2130" t="s">
        <v>150</v>
      </c>
      <c r="D2130" s="9">
        <v>39846.497314814813</v>
      </c>
      <c r="F2130">
        <f t="shared" ca="1" si="66"/>
        <v>5.9916666666666663</v>
      </c>
      <c r="G2130">
        <f t="shared" ca="1" si="67"/>
        <v>0</v>
      </c>
    </row>
    <row r="2131" spans="1:7">
      <c r="A2131">
        <v>400</v>
      </c>
      <c r="B2131" t="s">
        <v>112</v>
      </c>
      <c r="C2131" t="s">
        <v>150</v>
      </c>
      <c r="D2131" s="9">
        <v>39847.506342592591</v>
      </c>
      <c r="F2131">
        <f t="shared" ca="1" si="66"/>
        <v>5.9888888888888889</v>
      </c>
      <c r="G2131">
        <f t="shared" ca="1" si="67"/>
        <v>0</v>
      </c>
    </row>
    <row r="2132" spans="1:7">
      <c r="A2132">
        <v>401</v>
      </c>
      <c r="B2132" t="s">
        <v>104</v>
      </c>
      <c r="C2132" t="s">
        <v>150</v>
      </c>
      <c r="D2132" s="9">
        <v>39861.462314814817</v>
      </c>
      <c r="F2132">
        <f t="shared" ca="1" si="66"/>
        <v>5.95</v>
      </c>
      <c r="G2132">
        <f t="shared" ca="1" si="67"/>
        <v>0</v>
      </c>
    </row>
    <row r="2133" spans="1:7">
      <c r="A2133">
        <v>402</v>
      </c>
      <c r="B2133" t="s">
        <v>44</v>
      </c>
      <c r="C2133" t="s">
        <v>149</v>
      </c>
      <c r="D2133" s="9">
        <v>39923.375833333332</v>
      </c>
      <c r="F2133">
        <f t="shared" ca="1" si="66"/>
        <v>5.7750000000000004</v>
      </c>
      <c r="G2133">
        <f t="shared" ca="1" si="67"/>
        <v>0</v>
      </c>
    </row>
    <row r="2134" spans="1:7">
      <c r="A2134">
        <v>404</v>
      </c>
      <c r="C2134" t="s">
        <v>150</v>
      </c>
      <c r="D2134" s="9">
        <v>39860.604016203702</v>
      </c>
      <c r="F2134">
        <f t="shared" ca="1" si="66"/>
        <v>5.9527777777777775</v>
      </c>
      <c r="G2134">
        <f t="shared" ca="1" si="67"/>
        <v>0</v>
      </c>
    </row>
    <row r="2135" spans="1:7">
      <c r="A2135">
        <v>406</v>
      </c>
      <c r="B2135" t="s">
        <v>8</v>
      </c>
      <c r="C2135" t="s">
        <v>149</v>
      </c>
      <c r="D2135" s="9">
        <v>39884.539675925924</v>
      </c>
      <c r="F2135">
        <f t="shared" ca="1" si="66"/>
        <v>5.8805555555555555</v>
      </c>
      <c r="G2135">
        <f t="shared" ca="1" si="67"/>
        <v>0</v>
      </c>
    </row>
    <row r="2136" spans="1:7">
      <c r="A2136">
        <v>408</v>
      </c>
      <c r="B2136" t="s">
        <v>34</v>
      </c>
      <c r="C2136" t="s">
        <v>150</v>
      </c>
      <c r="D2136" s="9">
        <v>39860.486504629633</v>
      </c>
      <c r="F2136">
        <f t="shared" ca="1" si="66"/>
        <v>5.9527777777777775</v>
      </c>
      <c r="G2136">
        <f t="shared" ca="1" si="67"/>
        <v>0</v>
      </c>
    </row>
    <row r="2137" spans="1:7">
      <c r="A2137">
        <v>409</v>
      </c>
      <c r="B2137" t="s">
        <v>101</v>
      </c>
      <c r="C2137" t="s">
        <v>148</v>
      </c>
      <c r="D2137" s="9">
        <v>39955.459861111114</v>
      </c>
      <c r="F2137">
        <f t="shared" ca="1" si="66"/>
        <v>5.6861111111111109</v>
      </c>
      <c r="G2137">
        <f t="shared" ca="1" si="67"/>
        <v>0</v>
      </c>
    </row>
    <row r="2138" spans="1:7">
      <c r="A2138">
        <v>410</v>
      </c>
      <c r="B2138" t="s">
        <v>101</v>
      </c>
      <c r="C2138" t="s">
        <v>147</v>
      </c>
      <c r="D2138" s="9">
        <v>39981.655648148146</v>
      </c>
      <c r="F2138">
        <f t="shared" ca="1" si="66"/>
        <v>5.6166666666666663</v>
      </c>
      <c r="G2138">
        <f t="shared" ca="1" si="67"/>
        <v>0</v>
      </c>
    </row>
    <row r="2139" spans="1:7">
      <c r="A2139">
        <v>411</v>
      </c>
      <c r="C2139" t="s">
        <v>150</v>
      </c>
      <c r="D2139" s="9">
        <v>39860.409259259257</v>
      </c>
      <c r="F2139">
        <f t="shared" ca="1" si="66"/>
        <v>5.9527777777777775</v>
      </c>
      <c r="G2139">
        <f t="shared" ca="1" si="67"/>
        <v>0</v>
      </c>
    </row>
    <row r="2140" spans="1:7">
      <c r="A2140">
        <v>413</v>
      </c>
      <c r="B2140" t="s">
        <v>8</v>
      </c>
      <c r="C2140" t="s">
        <v>150</v>
      </c>
      <c r="D2140" s="9">
        <v>39869.489016203705</v>
      </c>
      <c r="F2140">
        <f t="shared" ca="1" si="66"/>
        <v>5.927777777777778</v>
      </c>
      <c r="G2140">
        <f t="shared" ca="1" si="67"/>
        <v>0</v>
      </c>
    </row>
    <row r="2141" spans="1:7">
      <c r="A2141">
        <v>415</v>
      </c>
      <c r="B2141" t="s">
        <v>91</v>
      </c>
      <c r="C2141" t="s">
        <v>149</v>
      </c>
      <c r="D2141" s="9">
        <v>39919.588819444441</v>
      </c>
      <c r="F2141">
        <f t="shared" ca="1" si="66"/>
        <v>5.7861111111111114</v>
      </c>
      <c r="G2141">
        <f t="shared" ca="1" si="67"/>
        <v>0</v>
      </c>
    </row>
    <row r="2142" spans="1:7">
      <c r="A2142">
        <v>416</v>
      </c>
      <c r="B2142" t="s">
        <v>112</v>
      </c>
      <c r="C2142" t="s">
        <v>150</v>
      </c>
      <c r="D2142" s="9">
        <v>39860.570219907408</v>
      </c>
      <c r="F2142">
        <f t="shared" ca="1" si="66"/>
        <v>5.9527777777777775</v>
      </c>
      <c r="G2142">
        <f t="shared" ca="1" si="67"/>
        <v>0</v>
      </c>
    </row>
    <row r="2143" spans="1:7">
      <c r="A2143">
        <v>418</v>
      </c>
      <c r="C2143" t="s">
        <v>150</v>
      </c>
      <c r="D2143" s="9">
        <v>39869.489027777781</v>
      </c>
      <c r="F2143">
        <f t="shared" ca="1" si="66"/>
        <v>5.927777777777778</v>
      </c>
      <c r="G2143">
        <f t="shared" ca="1" si="67"/>
        <v>0</v>
      </c>
    </row>
    <row r="2144" spans="1:7">
      <c r="A2144">
        <v>419</v>
      </c>
      <c r="B2144" t="s">
        <v>44</v>
      </c>
      <c r="C2144" t="s">
        <v>149</v>
      </c>
      <c r="D2144" s="9">
        <v>39902.631111111114</v>
      </c>
      <c r="F2144">
        <f t="shared" ca="1" si="66"/>
        <v>5.8305555555555557</v>
      </c>
      <c r="G2144">
        <f t="shared" ca="1" si="67"/>
        <v>0</v>
      </c>
    </row>
    <row r="2145" spans="1:7">
      <c r="A2145">
        <v>420</v>
      </c>
      <c r="B2145" t="s">
        <v>8</v>
      </c>
      <c r="C2145" t="s">
        <v>150</v>
      </c>
      <c r="D2145" s="9">
        <v>39869.616527777776</v>
      </c>
      <c r="F2145">
        <f t="shared" ca="1" si="66"/>
        <v>5.927777777777778</v>
      </c>
      <c r="G2145">
        <f t="shared" ca="1" si="67"/>
        <v>0</v>
      </c>
    </row>
    <row r="2146" spans="1:7">
      <c r="A2146">
        <v>421</v>
      </c>
      <c r="B2146" t="s">
        <v>34</v>
      </c>
      <c r="C2146" t="s">
        <v>150</v>
      </c>
      <c r="D2146" s="9">
        <v>39869.489027777781</v>
      </c>
      <c r="F2146">
        <f t="shared" ca="1" si="66"/>
        <v>5.927777777777778</v>
      </c>
      <c r="G2146">
        <f t="shared" ca="1" si="67"/>
        <v>0</v>
      </c>
    </row>
    <row r="2147" spans="1:7">
      <c r="A2147">
        <v>422</v>
      </c>
      <c r="B2147" t="s">
        <v>34</v>
      </c>
      <c r="C2147" t="s">
        <v>150</v>
      </c>
      <c r="D2147" s="9">
        <v>39869.489039351851</v>
      </c>
      <c r="F2147">
        <f t="shared" ca="1" si="66"/>
        <v>5.927777777777778</v>
      </c>
      <c r="G2147">
        <f t="shared" ca="1" si="67"/>
        <v>0</v>
      </c>
    </row>
    <row r="2148" spans="1:7">
      <c r="A2148">
        <v>423</v>
      </c>
      <c r="C2148" t="s">
        <v>150</v>
      </c>
      <c r="D2148" s="9">
        <v>39869.489039351851</v>
      </c>
      <c r="F2148">
        <f t="shared" ca="1" si="66"/>
        <v>5.927777777777778</v>
      </c>
      <c r="G2148">
        <f t="shared" ca="1" si="67"/>
        <v>0</v>
      </c>
    </row>
    <row r="2149" spans="1:7">
      <c r="A2149">
        <v>424</v>
      </c>
      <c r="B2149" t="s">
        <v>34</v>
      </c>
      <c r="C2149" t="s">
        <v>149</v>
      </c>
      <c r="D2149" s="9">
        <v>39892.372118055559</v>
      </c>
      <c r="F2149">
        <f t="shared" ca="1" si="66"/>
        <v>5.8583333333333334</v>
      </c>
      <c r="G2149">
        <f t="shared" ca="1" si="67"/>
        <v>0</v>
      </c>
    </row>
    <row r="2150" spans="1:7">
      <c r="A2150">
        <v>425</v>
      </c>
      <c r="C2150" t="s">
        <v>150</v>
      </c>
      <c r="D2150" s="9">
        <v>39869.489039351851</v>
      </c>
      <c r="F2150">
        <f t="shared" ca="1" si="66"/>
        <v>5.927777777777778</v>
      </c>
      <c r="G2150">
        <f t="shared" ca="1" si="67"/>
        <v>0</v>
      </c>
    </row>
    <row r="2151" spans="1:7">
      <c r="A2151">
        <v>426</v>
      </c>
      <c r="C2151" t="s">
        <v>150</v>
      </c>
      <c r="D2151" s="9">
        <v>39869.489062499997</v>
      </c>
      <c r="F2151">
        <f t="shared" ca="1" si="66"/>
        <v>5.927777777777778</v>
      </c>
      <c r="G2151">
        <f t="shared" ca="1" si="67"/>
        <v>0</v>
      </c>
    </row>
    <row r="2152" spans="1:7">
      <c r="A2152">
        <v>427</v>
      </c>
      <c r="B2152" t="s">
        <v>95</v>
      </c>
      <c r="C2152" t="s">
        <v>150</v>
      </c>
      <c r="D2152" s="9">
        <v>39869.489074074074</v>
      </c>
      <c r="F2152">
        <f t="shared" ca="1" si="66"/>
        <v>5.927777777777778</v>
      </c>
      <c r="G2152">
        <f t="shared" ca="1" si="67"/>
        <v>0</v>
      </c>
    </row>
    <row r="2153" spans="1:7">
      <c r="A2153">
        <v>429</v>
      </c>
      <c r="B2153" t="s">
        <v>8</v>
      </c>
      <c r="C2153" t="s">
        <v>149</v>
      </c>
      <c r="D2153" s="9">
        <v>39919.586793981478</v>
      </c>
      <c r="F2153">
        <f t="shared" ca="1" si="66"/>
        <v>5.7861111111111114</v>
      </c>
      <c r="G2153">
        <f t="shared" ca="1" si="67"/>
        <v>0</v>
      </c>
    </row>
    <row r="2154" spans="1:7">
      <c r="A2154">
        <v>430</v>
      </c>
      <c r="B2154" t="s">
        <v>34</v>
      </c>
      <c r="C2154" t="s">
        <v>149</v>
      </c>
      <c r="D2154" s="9">
        <v>39871.666932870372</v>
      </c>
      <c r="F2154">
        <f t="shared" ca="1" si="66"/>
        <v>5.9222222222222225</v>
      </c>
      <c r="G2154">
        <f t="shared" ca="1" si="67"/>
        <v>0</v>
      </c>
    </row>
    <row r="2155" spans="1:7">
      <c r="A2155">
        <v>431</v>
      </c>
      <c r="B2155" t="s">
        <v>95</v>
      </c>
      <c r="C2155" t="s">
        <v>150</v>
      </c>
      <c r="D2155" s="9">
        <v>39869.489074074074</v>
      </c>
      <c r="F2155">
        <f t="shared" ca="1" si="66"/>
        <v>5.927777777777778</v>
      </c>
      <c r="G2155">
        <f t="shared" ca="1" si="67"/>
        <v>0</v>
      </c>
    </row>
    <row r="2156" spans="1:7">
      <c r="A2156">
        <v>432</v>
      </c>
      <c r="B2156" t="s">
        <v>91</v>
      </c>
      <c r="C2156" t="s">
        <v>149</v>
      </c>
      <c r="D2156" s="9">
        <v>39871.005011574074</v>
      </c>
      <c r="F2156">
        <f t="shared" ca="1" si="66"/>
        <v>5.9222222222222225</v>
      </c>
      <c r="G2156">
        <f t="shared" ca="1" si="67"/>
        <v>0</v>
      </c>
    </row>
    <row r="2157" spans="1:7">
      <c r="A2157">
        <v>434</v>
      </c>
      <c r="B2157" t="s">
        <v>8</v>
      </c>
      <c r="C2157" t="s">
        <v>150</v>
      </c>
      <c r="D2157" s="9">
        <v>39869.489074074074</v>
      </c>
      <c r="F2157">
        <f t="shared" ca="1" si="66"/>
        <v>5.927777777777778</v>
      </c>
      <c r="G2157">
        <f t="shared" ca="1" si="67"/>
        <v>0</v>
      </c>
    </row>
    <row r="2158" spans="1:7">
      <c r="A2158">
        <v>435</v>
      </c>
      <c r="B2158" t="s">
        <v>8</v>
      </c>
      <c r="C2158" t="s">
        <v>150</v>
      </c>
      <c r="D2158" s="9">
        <v>39869.489085648151</v>
      </c>
      <c r="F2158">
        <f t="shared" ca="1" si="66"/>
        <v>5.927777777777778</v>
      </c>
      <c r="G2158">
        <f t="shared" ca="1" si="67"/>
        <v>0</v>
      </c>
    </row>
    <row r="2159" spans="1:7">
      <c r="A2159">
        <v>436</v>
      </c>
      <c r="B2159" t="s">
        <v>34</v>
      </c>
      <c r="C2159" t="s">
        <v>149</v>
      </c>
      <c r="D2159" s="9">
        <v>39871.594861111109</v>
      </c>
      <c r="F2159">
        <f t="shared" ca="1" si="66"/>
        <v>5.9222222222222225</v>
      </c>
      <c r="G2159">
        <f t="shared" ca="1" si="67"/>
        <v>0</v>
      </c>
    </row>
    <row r="2160" spans="1:7">
      <c r="A2160">
        <v>443</v>
      </c>
      <c r="B2160" t="s">
        <v>8</v>
      </c>
      <c r="C2160" t="s">
        <v>149</v>
      </c>
      <c r="D2160" s="9">
        <v>39898.468946759262</v>
      </c>
      <c r="F2160">
        <f t="shared" ca="1" si="66"/>
        <v>5.8416666666666668</v>
      </c>
      <c r="G2160">
        <f t="shared" ca="1" si="67"/>
        <v>0</v>
      </c>
    </row>
    <row r="2161" spans="1:7">
      <c r="A2161">
        <v>444</v>
      </c>
      <c r="B2161" t="s">
        <v>8</v>
      </c>
      <c r="C2161" t="s">
        <v>149</v>
      </c>
      <c r="D2161" s="9">
        <v>39898.46303240741</v>
      </c>
      <c r="F2161">
        <f t="shared" ca="1" si="66"/>
        <v>5.8416666666666668</v>
      </c>
      <c r="G2161">
        <f t="shared" ca="1" si="67"/>
        <v>0</v>
      </c>
    </row>
    <row r="2162" spans="1:7">
      <c r="A2162">
        <v>445</v>
      </c>
      <c r="B2162" t="s">
        <v>44</v>
      </c>
      <c r="C2162" t="s">
        <v>148</v>
      </c>
      <c r="D2162" s="9">
        <v>39952.555509259262</v>
      </c>
      <c r="F2162">
        <f t="shared" ca="1" si="66"/>
        <v>5.6944444444444446</v>
      </c>
      <c r="G2162">
        <f t="shared" ca="1" si="67"/>
        <v>0</v>
      </c>
    </row>
    <row r="2163" spans="1:7">
      <c r="A2163">
        <v>446</v>
      </c>
      <c r="B2163" t="s">
        <v>44</v>
      </c>
      <c r="C2163" t="s">
        <v>147</v>
      </c>
      <c r="D2163" s="9">
        <v>39987.58834490741</v>
      </c>
      <c r="F2163">
        <f t="shared" ca="1" si="66"/>
        <v>5.6</v>
      </c>
      <c r="G2163">
        <f t="shared" ca="1" si="67"/>
        <v>0</v>
      </c>
    </row>
    <row r="2164" spans="1:7">
      <c r="A2164">
        <v>448</v>
      </c>
      <c r="B2164" t="s">
        <v>8</v>
      </c>
      <c r="C2164" t="s">
        <v>147</v>
      </c>
      <c r="D2164" s="9">
        <v>39993.559351851851</v>
      </c>
      <c r="F2164">
        <f t="shared" ca="1" si="66"/>
        <v>5.583333333333333</v>
      </c>
      <c r="G2164">
        <f t="shared" ca="1" si="67"/>
        <v>0</v>
      </c>
    </row>
    <row r="2165" spans="1:7">
      <c r="A2165">
        <v>451</v>
      </c>
      <c r="B2165" t="s">
        <v>8</v>
      </c>
      <c r="C2165" t="s">
        <v>149</v>
      </c>
      <c r="D2165" s="9">
        <v>39919.585960648146</v>
      </c>
      <c r="F2165">
        <f t="shared" ca="1" si="66"/>
        <v>5.7861111111111114</v>
      </c>
      <c r="G2165">
        <f t="shared" ca="1" si="67"/>
        <v>0</v>
      </c>
    </row>
    <row r="2166" spans="1:7">
      <c r="A2166">
        <v>454</v>
      </c>
      <c r="B2166" t="s">
        <v>11</v>
      </c>
      <c r="C2166" t="s">
        <v>146</v>
      </c>
      <c r="D2166" s="9">
        <v>40073.705358796295</v>
      </c>
      <c r="F2166">
        <f t="shared" ca="1" si="66"/>
        <v>5.3666666666666663</v>
      </c>
      <c r="G2166">
        <f t="shared" ca="1" si="67"/>
        <v>0</v>
      </c>
    </row>
    <row r="2167" spans="1:7">
      <c r="A2167">
        <v>457</v>
      </c>
      <c r="B2167" t="s">
        <v>112</v>
      </c>
      <c r="C2167" t="s">
        <v>149</v>
      </c>
      <c r="D2167" s="9">
        <v>39899.653784722221</v>
      </c>
      <c r="F2167">
        <f t="shared" ca="1" si="66"/>
        <v>5.8388888888888886</v>
      </c>
      <c r="G2167">
        <f t="shared" ca="1" si="67"/>
        <v>0</v>
      </c>
    </row>
    <row r="2168" spans="1:7">
      <c r="A2168">
        <v>458</v>
      </c>
      <c r="B2168" t="s">
        <v>34</v>
      </c>
      <c r="C2168" t="s">
        <v>149</v>
      </c>
      <c r="D2168" s="9">
        <v>39918.489328703705</v>
      </c>
      <c r="F2168">
        <f t="shared" ca="1" si="66"/>
        <v>5.7888888888888888</v>
      </c>
      <c r="G2168">
        <f t="shared" ca="1" si="67"/>
        <v>0</v>
      </c>
    </row>
    <row r="2169" spans="1:7">
      <c r="A2169">
        <v>459</v>
      </c>
      <c r="B2169" t="s">
        <v>34</v>
      </c>
      <c r="C2169" t="s">
        <v>149</v>
      </c>
      <c r="D2169" s="9">
        <v>39918.488437499997</v>
      </c>
      <c r="F2169">
        <f t="shared" ca="1" si="66"/>
        <v>5.7888888888888888</v>
      </c>
      <c r="G2169">
        <f t="shared" ca="1" si="67"/>
        <v>0</v>
      </c>
    </row>
    <row r="2170" spans="1:7">
      <c r="A2170">
        <v>462</v>
      </c>
      <c r="B2170" t="s">
        <v>91</v>
      </c>
      <c r="C2170" t="s">
        <v>149</v>
      </c>
      <c r="D2170" s="9">
        <v>39870.49013888889</v>
      </c>
      <c r="F2170">
        <f t="shared" ca="1" si="66"/>
        <v>5.9249999999999998</v>
      </c>
      <c r="G2170">
        <f t="shared" ca="1" si="67"/>
        <v>0</v>
      </c>
    </row>
    <row r="2171" spans="1:7">
      <c r="A2171">
        <v>463</v>
      </c>
      <c r="B2171" t="s">
        <v>8</v>
      </c>
      <c r="C2171" t="s">
        <v>149</v>
      </c>
      <c r="D2171" s="9">
        <v>39870.438009259262</v>
      </c>
      <c r="F2171">
        <f t="shared" ca="1" si="66"/>
        <v>5.9249999999999998</v>
      </c>
      <c r="G2171">
        <f t="shared" ca="1" si="67"/>
        <v>0</v>
      </c>
    </row>
    <row r="2172" spans="1:7">
      <c r="A2172">
        <v>464</v>
      </c>
      <c r="B2172" t="s">
        <v>34</v>
      </c>
      <c r="C2172" t="s">
        <v>149</v>
      </c>
      <c r="D2172" s="9">
        <v>39891.410451388889</v>
      </c>
      <c r="F2172">
        <f t="shared" ca="1" si="66"/>
        <v>5.8611111111111107</v>
      </c>
      <c r="G2172">
        <f t="shared" ca="1" si="67"/>
        <v>0</v>
      </c>
    </row>
    <row r="2173" spans="1:7">
      <c r="A2173">
        <v>465</v>
      </c>
      <c r="B2173" t="s">
        <v>91</v>
      </c>
      <c r="C2173" t="s">
        <v>149</v>
      </c>
      <c r="D2173" s="9">
        <v>39919.68949074074</v>
      </c>
      <c r="F2173">
        <f t="shared" ca="1" si="66"/>
        <v>5.7861111111111114</v>
      </c>
      <c r="G2173">
        <f t="shared" ca="1" si="67"/>
        <v>0</v>
      </c>
    </row>
    <row r="2174" spans="1:7">
      <c r="A2174">
        <v>466</v>
      </c>
      <c r="B2174" t="s">
        <v>91</v>
      </c>
      <c r="C2174" t="s">
        <v>149</v>
      </c>
      <c r="D2174" s="9">
        <v>39870.993796296294</v>
      </c>
      <c r="F2174">
        <f t="shared" ca="1" si="66"/>
        <v>5.9249999999999998</v>
      </c>
      <c r="G2174">
        <f t="shared" ca="1" si="67"/>
        <v>0</v>
      </c>
    </row>
    <row r="2175" spans="1:7">
      <c r="A2175">
        <v>467</v>
      </c>
      <c r="B2175" t="s">
        <v>91</v>
      </c>
      <c r="C2175" t="s">
        <v>149</v>
      </c>
      <c r="D2175" s="9">
        <v>39871.035682870373</v>
      </c>
      <c r="F2175">
        <f t="shared" ca="1" si="66"/>
        <v>5.9222222222222225</v>
      </c>
      <c r="G2175">
        <f t="shared" ca="1" si="67"/>
        <v>0</v>
      </c>
    </row>
    <row r="2176" spans="1:7">
      <c r="A2176">
        <v>468</v>
      </c>
      <c r="B2176" t="s">
        <v>91</v>
      </c>
      <c r="C2176" t="s">
        <v>147</v>
      </c>
      <c r="D2176" s="9">
        <v>39965.581932870373</v>
      </c>
      <c r="F2176">
        <f t="shared" ca="1" si="66"/>
        <v>5.6611111111111114</v>
      </c>
      <c r="G2176">
        <f t="shared" ca="1" si="67"/>
        <v>0</v>
      </c>
    </row>
    <row r="2177" spans="1:7">
      <c r="A2177">
        <v>469</v>
      </c>
      <c r="B2177" t="s">
        <v>34</v>
      </c>
      <c r="C2177" t="s">
        <v>149</v>
      </c>
      <c r="D2177" s="9">
        <v>39892.372361111113</v>
      </c>
      <c r="F2177">
        <f t="shared" ca="1" si="66"/>
        <v>5.8583333333333334</v>
      </c>
      <c r="G2177">
        <f t="shared" ca="1" si="67"/>
        <v>0</v>
      </c>
    </row>
    <row r="2178" spans="1:7">
      <c r="A2178">
        <v>471</v>
      </c>
      <c r="B2178" t="s">
        <v>112</v>
      </c>
      <c r="C2178" t="s">
        <v>148</v>
      </c>
      <c r="D2178" s="9">
        <v>39927.581446759257</v>
      </c>
      <c r="F2178">
        <f t="shared" ca="1" si="66"/>
        <v>5.7638888888888893</v>
      </c>
      <c r="G2178">
        <f t="shared" ca="1" si="67"/>
        <v>0</v>
      </c>
    </row>
    <row r="2179" spans="1:7">
      <c r="A2179">
        <v>472</v>
      </c>
      <c r="B2179" t="s">
        <v>112</v>
      </c>
      <c r="C2179" t="s">
        <v>149</v>
      </c>
      <c r="D2179" s="9">
        <v>39871.645983796298</v>
      </c>
      <c r="F2179">
        <f t="shared" ref="F2179:F2242" ca="1" si="68">YEARFRAC(TODAY(),$D2179)</f>
        <v>5.9222222222222225</v>
      </c>
      <c r="G2179">
        <f t="shared" ref="G2179:G2242" ca="1" si="69">IF($F2179&lt;1,1,0)</f>
        <v>0</v>
      </c>
    </row>
    <row r="2180" spans="1:7">
      <c r="A2180">
        <v>473</v>
      </c>
      <c r="B2180" t="s">
        <v>34</v>
      </c>
      <c r="C2180" t="s">
        <v>149</v>
      </c>
      <c r="D2180" s="9">
        <v>39883.431076388886</v>
      </c>
      <c r="F2180">
        <f t="shared" ca="1" si="68"/>
        <v>5.8833333333333337</v>
      </c>
      <c r="G2180">
        <f t="shared" ca="1" si="69"/>
        <v>0</v>
      </c>
    </row>
    <row r="2181" spans="1:7">
      <c r="A2181">
        <v>474</v>
      </c>
      <c r="B2181" t="s">
        <v>91</v>
      </c>
      <c r="C2181" t="s">
        <v>149</v>
      </c>
      <c r="D2181" s="9">
        <v>39880.958958333336</v>
      </c>
      <c r="F2181">
        <f t="shared" ca="1" si="68"/>
        <v>5.8916666666666666</v>
      </c>
      <c r="G2181">
        <f t="shared" ca="1" si="69"/>
        <v>0</v>
      </c>
    </row>
    <row r="2182" spans="1:7">
      <c r="A2182">
        <v>475</v>
      </c>
      <c r="B2182" t="s">
        <v>91</v>
      </c>
      <c r="C2182" t="s">
        <v>149</v>
      </c>
      <c r="D2182" s="9">
        <v>39877.021562499998</v>
      </c>
      <c r="F2182">
        <f t="shared" ca="1" si="68"/>
        <v>5.9</v>
      </c>
      <c r="G2182">
        <f t="shared" ca="1" si="69"/>
        <v>0</v>
      </c>
    </row>
    <row r="2183" spans="1:7">
      <c r="A2183">
        <v>476</v>
      </c>
      <c r="B2183" t="s">
        <v>91</v>
      </c>
      <c r="C2183" t="s">
        <v>149</v>
      </c>
      <c r="D2183" s="9">
        <v>39882.923356481479</v>
      </c>
      <c r="F2183">
        <f t="shared" ca="1" si="68"/>
        <v>5.8861111111111111</v>
      </c>
      <c r="G2183">
        <f t="shared" ca="1" si="69"/>
        <v>0</v>
      </c>
    </row>
    <row r="2184" spans="1:7">
      <c r="A2184">
        <v>477</v>
      </c>
      <c r="B2184" t="s">
        <v>44</v>
      </c>
      <c r="C2184" t="s">
        <v>149</v>
      </c>
      <c r="D2184" s="9">
        <v>39881.42732638889</v>
      </c>
      <c r="F2184">
        <f t="shared" ca="1" si="68"/>
        <v>5.8888888888888893</v>
      </c>
      <c r="G2184">
        <f t="shared" ca="1" si="69"/>
        <v>0</v>
      </c>
    </row>
    <row r="2185" spans="1:7">
      <c r="A2185">
        <v>478</v>
      </c>
      <c r="B2185" t="s">
        <v>112</v>
      </c>
      <c r="C2185" t="s">
        <v>149</v>
      </c>
      <c r="D2185" s="9">
        <v>39899.653495370374</v>
      </c>
      <c r="F2185">
        <f t="shared" ca="1" si="68"/>
        <v>5.8388888888888886</v>
      </c>
      <c r="G2185">
        <f t="shared" ca="1" si="69"/>
        <v>0</v>
      </c>
    </row>
    <row r="2186" spans="1:7">
      <c r="A2186">
        <v>479</v>
      </c>
      <c r="B2186" t="s">
        <v>91</v>
      </c>
      <c r="C2186" t="s">
        <v>149</v>
      </c>
      <c r="D2186" s="9">
        <v>39874.918020833335</v>
      </c>
      <c r="F2186">
        <f t="shared" ca="1" si="68"/>
        <v>5.9083333333333332</v>
      </c>
      <c r="G2186">
        <f t="shared" ca="1" si="69"/>
        <v>0</v>
      </c>
    </row>
    <row r="2187" spans="1:7">
      <c r="A2187">
        <v>480</v>
      </c>
      <c r="B2187" t="s">
        <v>11</v>
      </c>
      <c r="C2187" t="s">
        <v>147</v>
      </c>
      <c r="D2187" s="9">
        <v>39972.619571759256</v>
      </c>
      <c r="F2187">
        <f t="shared" ca="1" si="68"/>
        <v>5.6416666666666666</v>
      </c>
      <c r="G2187">
        <f t="shared" ca="1" si="69"/>
        <v>0</v>
      </c>
    </row>
    <row r="2188" spans="1:7">
      <c r="A2188">
        <v>483</v>
      </c>
      <c r="B2188" t="s">
        <v>91</v>
      </c>
      <c r="C2188" t="s">
        <v>149</v>
      </c>
      <c r="D2188" s="9">
        <v>39880.959548611114</v>
      </c>
      <c r="F2188">
        <f t="shared" ca="1" si="68"/>
        <v>5.8916666666666666</v>
      </c>
      <c r="G2188">
        <f t="shared" ca="1" si="69"/>
        <v>0</v>
      </c>
    </row>
    <row r="2189" spans="1:7">
      <c r="A2189">
        <v>484</v>
      </c>
      <c r="B2189" t="s">
        <v>91</v>
      </c>
      <c r="C2189" t="s">
        <v>149</v>
      </c>
      <c r="D2189" s="9">
        <v>39919.590520833335</v>
      </c>
      <c r="F2189">
        <f t="shared" ca="1" si="68"/>
        <v>5.7861111111111114</v>
      </c>
      <c r="G2189">
        <f t="shared" ca="1" si="69"/>
        <v>0</v>
      </c>
    </row>
    <row r="2190" spans="1:7">
      <c r="A2190">
        <v>485</v>
      </c>
      <c r="B2190" t="s">
        <v>77</v>
      </c>
      <c r="C2190" t="s">
        <v>149</v>
      </c>
      <c r="D2190" s="9">
        <v>39910.504629629628</v>
      </c>
      <c r="F2190">
        <f t="shared" ca="1" si="68"/>
        <v>5.8111111111111109</v>
      </c>
      <c r="G2190">
        <f t="shared" ca="1" si="69"/>
        <v>0</v>
      </c>
    </row>
    <row r="2191" spans="1:7">
      <c r="A2191">
        <v>490</v>
      </c>
      <c r="B2191" t="s">
        <v>8</v>
      </c>
      <c r="C2191" t="s">
        <v>149</v>
      </c>
      <c r="D2191" s="9">
        <v>39883.528402777774</v>
      </c>
      <c r="F2191">
        <f t="shared" ca="1" si="68"/>
        <v>5.8833333333333337</v>
      </c>
      <c r="G2191">
        <f t="shared" ca="1" si="69"/>
        <v>0</v>
      </c>
    </row>
    <row r="2192" spans="1:7">
      <c r="A2192">
        <v>491</v>
      </c>
      <c r="B2192" t="s">
        <v>34</v>
      </c>
      <c r="C2192" t="s">
        <v>136</v>
      </c>
      <c r="D2192" s="9">
        <v>40415.695393518516</v>
      </c>
      <c r="E2192" t="s">
        <v>20</v>
      </c>
      <c r="F2192">
        <f t="shared" ca="1" si="68"/>
        <v>4.427777777777778</v>
      </c>
      <c r="G2192">
        <f t="shared" ca="1" si="69"/>
        <v>0</v>
      </c>
    </row>
    <row r="2193" spans="1:7">
      <c r="A2193">
        <v>492</v>
      </c>
      <c r="B2193" t="s">
        <v>8</v>
      </c>
      <c r="C2193" t="s">
        <v>149</v>
      </c>
      <c r="D2193" s="9">
        <v>39877.501770833333</v>
      </c>
      <c r="F2193">
        <f t="shared" ca="1" si="68"/>
        <v>5.9</v>
      </c>
      <c r="G2193">
        <f t="shared" ca="1" si="69"/>
        <v>0</v>
      </c>
    </row>
    <row r="2194" spans="1:7">
      <c r="A2194">
        <v>494</v>
      </c>
      <c r="B2194" t="s">
        <v>11</v>
      </c>
      <c r="C2194" t="s">
        <v>149</v>
      </c>
      <c r="D2194" s="9">
        <v>39878.637094907404</v>
      </c>
      <c r="F2194">
        <f t="shared" ca="1" si="68"/>
        <v>5.8972222222222221</v>
      </c>
      <c r="G2194">
        <f t="shared" ca="1" si="69"/>
        <v>0</v>
      </c>
    </row>
    <row r="2195" spans="1:7">
      <c r="A2195">
        <v>495</v>
      </c>
      <c r="C2195" t="s">
        <v>149</v>
      </c>
      <c r="D2195" s="9">
        <v>40994.810868055552</v>
      </c>
      <c r="F2195">
        <f t="shared" ca="1" si="68"/>
        <v>2.8416666666666668</v>
      </c>
      <c r="G2195">
        <f t="shared" ca="1" si="69"/>
        <v>0</v>
      </c>
    </row>
    <row r="2196" spans="1:7">
      <c r="A2196">
        <v>496</v>
      </c>
      <c r="C2196" t="s">
        <v>149</v>
      </c>
      <c r="D2196" s="9">
        <v>39878.540150462963</v>
      </c>
      <c r="F2196">
        <f t="shared" ca="1" si="68"/>
        <v>5.8972222222222221</v>
      </c>
      <c r="G2196">
        <f t="shared" ca="1" si="69"/>
        <v>0</v>
      </c>
    </row>
    <row r="2197" spans="1:7">
      <c r="A2197">
        <v>498</v>
      </c>
      <c r="B2197" t="s">
        <v>91</v>
      </c>
      <c r="C2197" t="s">
        <v>149</v>
      </c>
      <c r="D2197" s="9">
        <v>39919.591365740744</v>
      </c>
      <c r="F2197">
        <f t="shared" ca="1" si="68"/>
        <v>5.7861111111111114</v>
      </c>
      <c r="G2197">
        <f t="shared" ca="1" si="69"/>
        <v>0</v>
      </c>
    </row>
    <row r="2198" spans="1:7">
      <c r="A2198">
        <v>501</v>
      </c>
      <c r="B2198" t="s">
        <v>11</v>
      </c>
      <c r="C2198" t="s">
        <v>147</v>
      </c>
      <c r="D2198" s="9">
        <v>40017.664722222224</v>
      </c>
      <c r="F2198">
        <f t="shared" ca="1" si="68"/>
        <v>5.5166666666666666</v>
      </c>
      <c r="G2198">
        <f t="shared" ca="1" si="69"/>
        <v>0</v>
      </c>
    </row>
    <row r="2199" spans="1:7">
      <c r="A2199">
        <v>503</v>
      </c>
      <c r="B2199" t="s">
        <v>8</v>
      </c>
      <c r="C2199" t="s">
        <v>149</v>
      </c>
      <c r="D2199" s="9">
        <v>39919.587326388886</v>
      </c>
      <c r="F2199">
        <f t="shared" ca="1" si="68"/>
        <v>5.7861111111111114</v>
      </c>
      <c r="G2199">
        <f t="shared" ca="1" si="69"/>
        <v>0</v>
      </c>
    </row>
    <row r="2200" spans="1:7">
      <c r="A2200">
        <v>504</v>
      </c>
      <c r="B2200" t="s">
        <v>8</v>
      </c>
      <c r="C2200" t="s">
        <v>149</v>
      </c>
      <c r="D2200" s="9">
        <v>39884.574293981481</v>
      </c>
      <c r="F2200">
        <f t="shared" ca="1" si="68"/>
        <v>5.8805555555555555</v>
      </c>
      <c r="G2200">
        <f t="shared" ca="1" si="69"/>
        <v>0</v>
      </c>
    </row>
    <row r="2201" spans="1:7">
      <c r="A2201">
        <v>505</v>
      </c>
      <c r="C2201" t="s">
        <v>149</v>
      </c>
      <c r="D2201" s="9">
        <v>39885.628020833334</v>
      </c>
      <c r="F2201">
        <f t="shared" ca="1" si="68"/>
        <v>5.8777777777777782</v>
      </c>
      <c r="G2201">
        <f t="shared" ca="1" si="69"/>
        <v>0</v>
      </c>
    </row>
    <row r="2202" spans="1:7">
      <c r="A2202">
        <v>506</v>
      </c>
      <c r="B2202" t="s">
        <v>8</v>
      </c>
      <c r="C2202" t="s">
        <v>149</v>
      </c>
      <c r="D2202" s="9">
        <v>39919.587997685187</v>
      </c>
      <c r="F2202">
        <f t="shared" ca="1" si="68"/>
        <v>5.7861111111111114</v>
      </c>
      <c r="G2202">
        <f t="shared" ca="1" si="69"/>
        <v>0</v>
      </c>
    </row>
    <row r="2203" spans="1:7">
      <c r="A2203">
        <v>510</v>
      </c>
      <c r="B2203" t="s">
        <v>8</v>
      </c>
      <c r="C2203" t="s">
        <v>147</v>
      </c>
      <c r="D2203" s="9">
        <v>39987.700937499998</v>
      </c>
      <c r="F2203">
        <f t="shared" ca="1" si="68"/>
        <v>5.6</v>
      </c>
      <c r="G2203">
        <f t="shared" ca="1" si="69"/>
        <v>0</v>
      </c>
    </row>
    <row r="2204" spans="1:7">
      <c r="A2204">
        <v>511</v>
      </c>
      <c r="C2204" t="s">
        <v>149</v>
      </c>
      <c r="D2204" s="9">
        <v>39895.537048611113</v>
      </c>
      <c r="F2204">
        <f t="shared" ca="1" si="68"/>
        <v>5.85</v>
      </c>
      <c r="G2204">
        <f t="shared" ca="1" si="69"/>
        <v>0</v>
      </c>
    </row>
    <row r="2205" spans="1:7">
      <c r="A2205">
        <v>512</v>
      </c>
      <c r="B2205" t="s">
        <v>34</v>
      </c>
      <c r="C2205" t="s">
        <v>148</v>
      </c>
      <c r="D2205" s="9">
        <v>39920.400208333333</v>
      </c>
      <c r="F2205">
        <f t="shared" ca="1" si="68"/>
        <v>5.7833333333333332</v>
      </c>
      <c r="G2205">
        <f t="shared" ca="1" si="69"/>
        <v>0</v>
      </c>
    </row>
    <row r="2206" spans="1:7">
      <c r="A2206">
        <v>513</v>
      </c>
      <c r="B2206" t="s">
        <v>8</v>
      </c>
      <c r="C2206" t="s">
        <v>149</v>
      </c>
      <c r="D2206" s="9">
        <v>39898.462743055556</v>
      </c>
      <c r="F2206">
        <f t="shared" ca="1" si="68"/>
        <v>5.8416666666666668</v>
      </c>
      <c r="G2206">
        <f t="shared" ca="1" si="69"/>
        <v>0</v>
      </c>
    </row>
    <row r="2207" spans="1:7">
      <c r="A2207">
        <v>515</v>
      </c>
      <c r="B2207" t="s">
        <v>34</v>
      </c>
      <c r="C2207" t="s">
        <v>149</v>
      </c>
      <c r="D2207" s="9">
        <v>39918.489571759259</v>
      </c>
      <c r="F2207">
        <f t="shared" ca="1" si="68"/>
        <v>5.7888888888888888</v>
      </c>
      <c r="G2207">
        <f t="shared" ca="1" si="69"/>
        <v>0</v>
      </c>
    </row>
    <row r="2208" spans="1:7">
      <c r="A2208">
        <v>516</v>
      </c>
      <c r="B2208" t="s">
        <v>8</v>
      </c>
      <c r="C2208" t="s">
        <v>149</v>
      </c>
      <c r="D2208" s="9">
        <v>39898.475266203706</v>
      </c>
      <c r="F2208">
        <f t="shared" ca="1" si="68"/>
        <v>5.8416666666666668</v>
      </c>
      <c r="G2208">
        <f t="shared" ca="1" si="69"/>
        <v>0</v>
      </c>
    </row>
    <row r="2209" spans="1:7">
      <c r="A2209">
        <v>517</v>
      </c>
      <c r="B2209" t="s">
        <v>8</v>
      </c>
      <c r="C2209" t="s">
        <v>149</v>
      </c>
      <c r="D2209" s="9">
        <v>39895.42832175926</v>
      </c>
      <c r="F2209">
        <f t="shared" ca="1" si="68"/>
        <v>5.85</v>
      </c>
      <c r="G2209">
        <f t="shared" ca="1" si="69"/>
        <v>0</v>
      </c>
    </row>
    <row r="2210" spans="1:7">
      <c r="A2210">
        <v>520</v>
      </c>
      <c r="B2210" t="s">
        <v>11</v>
      </c>
      <c r="C2210" t="s">
        <v>149</v>
      </c>
      <c r="D2210" s="9">
        <v>39910.634444444448</v>
      </c>
      <c r="F2210">
        <f t="shared" ca="1" si="68"/>
        <v>5.8111111111111109</v>
      </c>
      <c r="G2210">
        <f t="shared" ca="1" si="69"/>
        <v>0</v>
      </c>
    </row>
    <row r="2211" spans="1:7">
      <c r="A2211">
        <v>522</v>
      </c>
      <c r="B2211" t="s">
        <v>8</v>
      </c>
      <c r="C2211" t="s">
        <v>148</v>
      </c>
      <c r="D2211" s="9">
        <v>39955.397893518515</v>
      </c>
      <c r="F2211">
        <f t="shared" ca="1" si="68"/>
        <v>5.6861111111111109</v>
      </c>
      <c r="G2211">
        <f t="shared" ca="1" si="69"/>
        <v>0</v>
      </c>
    </row>
    <row r="2212" spans="1:7">
      <c r="A2212">
        <v>523</v>
      </c>
      <c r="B2212" t="s">
        <v>34</v>
      </c>
      <c r="C2212" t="s">
        <v>136</v>
      </c>
      <c r="D2212" s="9">
        <v>40415.434050925927</v>
      </c>
      <c r="E2212" t="s">
        <v>102</v>
      </c>
      <c r="F2212">
        <f t="shared" ca="1" si="68"/>
        <v>4.427777777777778</v>
      </c>
      <c r="G2212">
        <f t="shared" ca="1" si="69"/>
        <v>0</v>
      </c>
    </row>
    <row r="2213" spans="1:7">
      <c r="A2213">
        <v>524</v>
      </c>
      <c r="B2213" t="s">
        <v>8</v>
      </c>
      <c r="C2213" t="s">
        <v>149</v>
      </c>
      <c r="D2213" s="9">
        <v>39906.431840277779</v>
      </c>
      <c r="F2213">
        <f t="shared" ca="1" si="68"/>
        <v>5.822222222222222</v>
      </c>
      <c r="G2213">
        <f t="shared" ca="1" si="69"/>
        <v>0</v>
      </c>
    </row>
    <row r="2214" spans="1:7">
      <c r="A2214">
        <v>525</v>
      </c>
      <c r="C2214" t="s">
        <v>149</v>
      </c>
      <c r="D2214" s="9">
        <v>39899.52652777778</v>
      </c>
      <c r="F2214">
        <f t="shared" ca="1" si="68"/>
        <v>5.8388888888888886</v>
      </c>
      <c r="G2214">
        <f t="shared" ca="1" si="69"/>
        <v>0</v>
      </c>
    </row>
    <row r="2215" spans="1:7">
      <c r="A2215">
        <v>526</v>
      </c>
      <c r="B2215" t="s">
        <v>112</v>
      </c>
      <c r="C2215" t="s">
        <v>149</v>
      </c>
      <c r="D2215" s="9">
        <v>39899.725891203707</v>
      </c>
      <c r="F2215">
        <f t="shared" ca="1" si="68"/>
        <v>5.8388888888888886</v>
      </c>
      <c r="G2215">
        <f t="shared" ca="1" si="69"/>
        <v>0</v>
      </c>
    </row>
    <row r="2216" spans="1:7">
      <c r="A2216">
        <v>527</v>
      </c>
      <c r="B2216" t="s">
        <v>77</v>
      </c>
      <c r="C2216" t="s">
        <v>147</v>
      </c>
      <c r="D2216" s="9">
        <v>40023.418182870373</v>
      </c>
      <c r="F2216">
        <f t="shared" ca="1" si="68"/>
        <v>5.5</v>
      </c>
      <c r="G2216">
        <f t="shared" ca="1" si="69"/>
        <v>0</v>
      </c>
    </row>
    <row r="2217" spans="1:7">
      <c r="A2217">
        <v>528</v>
      </c>
      <c r="B2217" t="s">
        <v>11</v>
      </c>
      <c r="C2217" t="s">
        <v>149</v>
      </c>
      <c r="D2217" s="9">
        <v>39902.680324074077</v>
      </c>
      <c r="F2217">
        <f t="shared" ca="1" si="68"/>
        <v>5.8305555555555557</v>
      </c>
      <c r="G2217">
        <f t="shared" ca="1" si="69"/>
        <v>0</v>
      </c>
    </row>
    <row r="2218" spans="1:7">
      <c r="A2218">
        <v>529</v>
      </c>
      <c r="B2218" t="s">
        <v>77</v>
      </c>
      <c r="C2218" t="s">
        <v>149</v>
      </c>
      <c r="D2218" s="9">
        <v>39922.908750000002</v>
      </c>
      <c r="F2218">
        <f t="shared" ca="1" si="68"/>
        <v>5.7777777777777777</v>
      </c>
      <c r="G2218">
        <f t="shared" ca="1" si="69"/>
        <v>0</v>
      </c>
    </row>
    <row r="2219" spans="1:7">
      <c r="A2219">
        <v>530</v>
      </c>
      <c r="C2219" t="s">
        <v>149</v>
      </c>
      <c r="D2219" s="9">
        <v>39905.669849537036</v>
      </c>
      <c r="F2219">
        <f t="shared" ca="1" si="68"/>
        <v>5.8250000000000002</v>
      </c>
      <c r="G2219">
        <f t="shared" ca="1" si="69"/>
        <v>0</v>
      </c>
    </row>
    <row r="2220" spans="1:7">
      <c r="A2220">
        <v>531</v>
      </c>
      <c r="C2220" t="s">
        <v>149</v>
      </c>
      <c r="D2220" s="9">
        <v>39911.661666666667</v>
      </c>
      <c r="F2220">
        <f t="shared" ca="1" si="68"/>
        <v>5.8083333333333336</v>
      </c>
      <c r="G2220">
        <f t="shared" ca="1" si="69"/>
        <v>0</v>
      </c>
    </row>
    <row r="2221" spans="1:7">
      <c r="A2221">
        <v>532</v>
      </c>
      <c r="B2221" t="s">
        <v>8</v>
      </c>
      <c r="C2221" t="s">
        <v>149</v>
      </c>
      <c r="D2221" s="9">
        <v>39919.588321759256</v>
      </c>
      <c r="F2221">
        <f t="shared" ca="1" si="68"/>
        <v>5.7861111111111114</v>
      </c>
      <c r="G2221">
        <f t="shared" ca="1" si="69"/>
        <v>0</v>
      </c>
    </row>
    <row r="2222" spans="1:7">
      <c r="A2222">
        <v>533</v>
      </c>
      <c r="B2222" t="s">
        <v>102</v>
      </c>
      <c r="C2222" t="s">
        <v>145</v>
      </c>
      <c r="D2222" s="9">
        <v>40214.666817129626</v>
      </c>
      <c r="F2222">
        <f t="shared" ca="1" si="68"/>
        <v>4.9833333333333334</v>
      </c>
      <c r="G2222">
        <f t="shared" ca="1" si="69"/>
        <v>0</v>
      </c>
    </row>
    <row r="2223" spans="1:7">
      <c r="A2223">
        <v>535</v>
      </c>
      <c r="B2223" t="s">
        <v>112</v>
      </c>
      <c r="C2223" t="s">
        <v>149</v>
      </c>
      <c r="D2223" s="9">
        <v>39917.499872685185</v>
      </c>
      <c r="F2223">
        <f t="shared" ca="1" si="68"/>
        <v>5.791666666666667</v>
      </c>
      <c r="G2223">
        <f t="shared" ca="1" si="69"/>
        <v>0</v>
      </c>
    </row>
    <row r="2224" spans="1:7">
      <c r="A2224">
        <v>539</v>
      </c>
      <c r="B2224" t="s">
        <v>102</v>
      </c>
      <c r="C2224" t="s">
        <v>148</v>
      </c>
      <c r="D2224" s="9">
        <v>39955.462314814817</v>
      </c>
      <c r="F2224">
        <f t="shared" ca="1" si="68"/>
        <v>5.6861111111111109</v>
      </c>
      <c r="G2224">
        <f t="shared" ca="1" si="69"/>
        <v>0</v>
      </c>
    </row>
    <row r="2225" spans="1:7">
      <c r="A2225">
        <v>540</v>
      </c>
      <c r="B2225" t="s">
        <v>102</v>
      </c>
      <c r="C2225" t="s">
        <v>148</v>
      </c>
      <c r="D2225" s="9">
        <v>39955.462500000001</v>
      </c>
      <c r="F2225">
        <f t="shared" ca="1" si="68"/>
        <v>5.6861111111111109</v>
      </c>
      <c r="G2225">
        <f t="shared" ca="1" si="69"/>
        <v>0</v>
      </c>
    </row>
    <row r="2226" spans="1:7">
      <c r="A2226">
        <v>541</v>
      </c>
      <c r="B2226" t="s">
        <v>44</v>
      </c>
      <c r="C2226" t="s">
        <v>147</v>
      </c>
      <c r="D2226" s="9">
        <v>39962.452233796299</v>
      </c>
      <c r="F2226">
        <f t="shared" ca="1" si="68"/>
        <v>5.666666666666667</v>
      </c>
      <c r="G2226">
        <f t="shared" ca="1" si="69"/>
        <v>0</v>
      </c>
    </row>
    <row r="2227" spans="1:7">
      <c r="A2227">
        <v>543</v>
      </c>
      <c r="B2227" t="s">
        <v>34</v>
      </c>
      <c r="C2227" t="s">
        <v>147</v>
      </c>
      <c r="D2227" s="9">
        <v>39960.666215277779</v>
      </c>
      <c r="F2227">
        <f t="shared" ca="1" si="68"/>
        <v>5.6722222222222225</v>
      </c>
      <c r="G2227">
        <f t="shared" ca="1" si="69"/>
        <v>0</v>
      </c>
    </row>
    <row r="2228" spans="1:7">
      <c r="A2228">
        <v>544</v>
      </c>
      <c r="B2228" t="s">
        <v>102</v>
      </c>
      <c r="C2228" t="s">
        <v>147</v>
      </c>
      <c r="D2228" s="9">
        <v>39987.377303240741</v>
      </c>
      <c r="F2228">
        <f t="shared" ca="1" si="68"/>
        <v>5.6</v>
      </c>
      <c r="G2228">
        <f t="shared" ca="1" si="69"/>
        <v>0</v>
      </c>
    </row>
    <row r="2229" spans="1:7">
      <c r="A2229">
        <v>545</v>
      </c>
      <c r="B2229" t="s">
        <v>8</v>
      </c>
      <c r="C2229" t="s">
        <v>148</v>
      </c>
      <c r="D2229" s="9">
        <v>39923.377268518518</v>
      </c>
      <c r="F2229">
        <f t="shared" ca="1" si="68"/>
        <v>5.7750000000000004</v>
      </c>
      <c r="G2229">
        <f t="shared" ca="1" si="69"/>
        <v>0</v>
      </c>
    </row>
    <row r="2230" spans="1:7">
      <c r="A2230">
        <v>546</v>
      </c>
      <c r="B2230" t="s">
        <v>8</v>
      </c>
      <c r="C2230" t="s">
        <v>149</v>
      </c>
      <c r="D2230" s="9">
        <v>39920.376527777778</v>
      </c>
      <c r="F2230">
        <f t="shared" ca="1" si="68"/>
        <v>5.7833333333333332</v>
      </c>
      <c r="G2230">
        <f t="shared" ca="1" si="69"/>
        <v>0</v>
      </c>
    </row>
    <row r="2231" spans="1:7">
      <c r="A2231">
        <v>548</v>
      </c>
      <c r="C2231" t="s">
        <v>149</v>
      </c>
      <c r="D2231" s="9">
        <v>39920.397986111115</v>
      </c>
      <c r="F2231">
        <f t="shared" ca="1" si="68"/>
        <v>5.7833333333333332</v>
      </c>
      <c r="G2231">
        <f t="shared" ca="1" si="69"/>
        <v>0</v>
      </c>
    </row>
    <row r="2232" spans="1:7">
      <c r="A2232">
        <v>549</v>
      </c>
      <c r="B2232" t="s">
        <v>34</v>
      </c>
      <c r="C2232" t="s">
        <v>149</v>
      </c>
      <c r="D2232" s="9">
        <v>39920.641851851855</v>
      </c>
      <c r="F2232">
        <f t="shared" ca="1" si="68"/>
        <v>5.7833333333333332</v>
      </c>
      <c r="G2232">
        <f t="shared" ca="1" si="69"/>
        <v>0</v>
      </c>
    </row>
    <row r="2233" spans="1:7">
      <c r="A2233">
        <v>552</v>
      </c>
      <c r="B2233" t="s">
        <v>77</v>
      </c>
      <c r="C2233" t="s">
        <v>148</v>
      </c>
      <c r="D2233" s="9">
        <v>39939.368078703701</v>
      </c>
      <c r="F2233">
        <f t="shared" ca="1" si="68"/>
        <v>5.7305555555555552</v>
      </c>
      <c r="G2233">
        <f t="shared" ca="1" si="69"/>
        <v>0</v>
      </c>
    </row>
    <row r="2234" spans="1:7">
      <c r="A2234">
        <v>554</v>
      </c>
      <c r="B2234" t="s">
        <v>44</v>
      </c>
      <c r="C2234" t="s">
        <v>147</v>
      </c>
      <c r="D2234" s="9">
        <v>39979.722546296296</v>
      </c>
      <c r="F2234">
        <f t="shared" ca="1" si="68"/>
        <v>5.6222222222222218</v>
      </c>
      <c r="G2234">
        <f t="shared" ca="1" si="69"/>
        <v>0</v>
      </c>
    </row>
    <row r="2235" spans="1:7">
      <c r="A2235">
        <v>555</v>
      </c>
      <c r="B2235" t="s">
        <v>34</v>
      </c>
      <c r="C2235" t="s">
        <v>147</v>
      </c>
      <c r="D2235" s="9">
        <v>39990.60701388889</v>
      </c>
      <c r="F2235">
        <f t="shared" ca="1" si="68"/>
        <v>5.5916666666666668</v>
      </c>
      <c r="G2235">
        <f t="shared" ca="1" si="69"/>
        <v>0</v>
      </c>
    </row>
    <row r="2236" spans="1:7">
      <c r="A2236">
        <v>556</v>
      </c>
      <c r="B2236" t="s">
        <v>34</v>
      </c>
      <c r="C2236" t="s">
        <v>146</v>
      </c>
      <c r="D2236" s="9">
        <v>40085.426550925928</v>
      </c>
      <c r="F2236">
        <f t="shared" ca="1" si="68"/>
        <v>5.333333333333333</v>
      </c>
      <c r="G2236">
        <f t="shared" ca="1" si="69"/>
        <v>0</v>
      </c>
    </row>
    <row r="2237" spans="1:7">
      <c r="A2237">
        <v>557</v>
      </c>
      <c r="B2237" t="s">
        <v>34</v>
      </c>
      <c r="C2237" t="s">
        <v>148</v>
      </c>
      <c r="D2237" s="9">
        <v>39926.564108796294</v>
      </c>
      <c r="F2237">
        <f t="shared" ca="1" si="68"/>
        <v>5.7666666666666666</v>
      </c>
      <c r="G2237">
        <f t="shared" ca="1" si="69"/>
        <v>0</v>
      </c>
    </row>
    <row r="2238" spans="1:7">
      <c r="A2238">
        <v>558</v>
      </c>
      <c r="B2238" t="s">
        <v>11</v>
      </c>
      <c r="C2238" t="s">
        <v>148</v>
      </c>
      <c r="D2238" s="9">
        <v>39932.387615740743</v>
      </c>
      <c r="F2238">
        <f t="shared" ca="1" si="68"/>
        <v>5.75</v>
      </c>
      <c r="G2238">
        <f t="shared" ca="1" si="69"/>
        <v>0</v>
      </c>
    </row>
    <row r="2239" spans="1:7">
      <c r="A2239">
        <v>559</v>
      </c>
      <c r="B2239" t="s">
        <v>34</v>
      </c>
      <c r="C2239" t="s">
        <v>148</v>
      </c>
      <c r="D2239" s="9">
        <v>39926.56391203704</v>
      </c>
      <c r="F2239">
        <f t="shared" ca="1" si="68"/>
        <v>5.7666666666666666</v>
      </c>
      <c r="G2239">
        <f t="shared" ca="1" si="69"/>
        <v>0</v>
      </c>
    </row>
    <row r="2240" spans="1:7">
      <c r="A2240">
        <v>560</v>
      </c>
      <c r="B2240" t="s">
        <v>44</v>
      </c>
      <c r="C2240" t="s">
        <v>148</v>
      </c>
      <c r="D2240" s="9">
        <v>39932.654537037037</v>
      </c>
      <c r="F2240">
        <f t="shared" ca="1" si="68"/>
        <v>5.75</v>
      </c>
      <c r="G2240">
        <f t="shared" ca="1" si="69"/>
        <v>0</v>
      </c>
    </row>
    <row r="2241" spans="1:7">
      <c r="A2241">
        <v>561</v>
      </c>
      <c r="B2241" t="s">
        <v>34</v>
      </c>
      <c r="C2241" t="s">
        <v>148</v>
      </c>
      <c r="D2241" s="9">
        <v>39927.410219907404</v>
      </c>
      <c r="F2241">
        <f t="shared" ca="1" si="68"/>
        <v>5.7638888888888893</v>
      </c>
      <c r="G2241">
        <f t="shared" ca="1" si="69"/>
        <v>0</v>
      </c>
    </row>
    <row r="2242" spans="1:7">
      <c r="A2242">
        <v>562</v>
      </c>
      <c r="B2242" t="s">
        <v>34</v>
      </c>
      <c r="C2242" t="s">
        <v>148</v>
      </c>
      <c r="D2242" s="9">
        <v>39955.454791666663</v>
      </c>
      <c r="F2242">
        <f t="shared" ca="1" si="68"/>
        <v>5.6861111111111109</v>
      </c>
      <c r="G2242">
        <f t="shared" ca="1" si="69"/>
        <v>0</v>
      </c>
    </row>
    <row r="2243" spans="1:7">
      <c r="A2243">
        <v>563</v>
      </c>
      <c r="B2243" t="s">
        <v>44</v>
      </c>
      <c r="C2243" t="s">
        <v>147</v>
      </c>
      <c r="D2243" s="9">
        <v>39987.611284722225</v>
      </c>
      <c r="F2243">
        <f t="shared" ref="F2243:F2306" ca="1" si="70">YEARFRAC(TODAY(),$D2243)</f>
        <v>5.6</v>
      </c>
      <c r="G2243">
        <f t="shared" ref="G2243:G2306" ca="1" si="71">IF($F2243&lt;1,1,0)</f>
        <v>0</v>
      </c>
    </row>
    <row r="2244" spans="1:7">
      <c r="A2244">
        <v>564</v>
      </c>
      <c r="B2244" t="s">
        <v>34</v>
      </c>
      <c r="C2244" t="s">
        <v>148</v>
      </c>
      <c r="D2244" s="9">
        <v>39995.415729166663</v>
      </c>
      <c r="F2244">
        <f t="shared" ca="1" si="70"/>
        <v>5.5777777777777775</v>
      </c>
      <c r="G2244">
        <f t="shared" ca="1" si="71"/>
        <v>0</v>
      </c>
    </row>
    <row r="2245" spans="1:7">
      <c r="A2245">
        <v>565</v>
      </c>
      <c r="B2245" t="s">
        <v>11</v>
      </c>
      <c r="C2245" t="s">
        <v>147</v>
      </c>
      <c r="D2245" s="9">
        <v>40014.584594907406</v>
      </c>
      <c r="F2245">
        <f t="shared" ca="1" si="70"/>
        <v>5.5250000000000004</v>
      </c>
      <c r="G2245">
        <f t="shared" ca="1" si="71"/>
        <v>0</v>
      </c>
    </row>
    <row r="2246" spans="1:7">
      <c r="A2246">
        <v>566</v>
      </c>
      <c r="B2246" t="s">
        <v>8</v>
      </c>
      <c r="C2246" t="s">
        <v>148</v>
      </c>
      <c r="D2246" s="9">
        <v>39930.856249999997</v>
      </c>
      <c r="F2246">
        <f t="shared" ca="1" si="70"/>
        <v>5.7555555555555555</v>
      </c>
      <c r="G2246">
        <f t="shared" ca="1" si="71"/>
        <v>0</v>
      </c>
    </row>
    <row r="2247" spans="1:7">
      <c r="A2247">
        <v>567</v>
      </c>
      <c r="B2247" t="s">
        <v>34</v>
      </c>
      <c r="C2247" t="s">
        <v>147</v>
      </c>
      <c r="D2247" s="9">
        <v>39980.573796296296</v>
      </c>
      <c r="F2247">
        <f t="shared" ca="1" si="70"/>
        <v>5.6194444444444445</v>
      </c>
      <c r="G2247">
        <f t="shared" ca="1" si="71"/>
        <v>0</v>
      </c>
    </row>
    <row r="2248" spans="1:7">
      <c r="A2248">
        <v>568</v>
      </c>
      <c r="B2248" t="s">
        <v>112</v>
      </c>
      <c r="C2248" t="s">
        <v>147</v>
      </c>
      <c r="D2248" s="9">
        <v>39969.6484837963</v>
      </c>
      <c r="F2248">
        <f t="shared" ca="1" si="70"/>
        <v>5.65</v>
      </c>
      <c r="G2248">
        <f t="shared" ca="1" si="71"/>
        <v>0</v>
      </c>
    </row>
    <row r="2249" spans="1:7">
      <c r="A2249">
        <v>569</v>
      </c>
      <c r="B2249" t="s">
        <v>112</v>
      </c>
      <c r="C2249" t="s">
        <v>148</v>
      </c>
      <c r="D2249" s="9">
        <v>39927.601921296293</v>
      </c>
      <c r="F2249">
        <f t="shared" ca="1" si="70"/>
        <v>5.7638888888888893</v>
      </c>
      <c r="G2249">
        <f t="shared" ca="1" si="71"/>
        <v>0</v>
      </c>
    </row>
    <row r="2250" spans="1:7">
      <c r="A2250">
        <v>570</v>
      </c>
      <c r="B2250" t="s">
        <v>112</v>
      </c>
      <c r="C2250" t="s">
        <v>147</v>
      </c>
      <c r="D2250" s="9">
        <v>39969.459594907406</v>
      </c>
      <c r="F2250">
        <f t="shared" ca="1" si="70"/>
        <v>5.65</v>
      </c>
      <c r="G2250">
        <f t="shared" ca="1" si="71"/>
        <v>0</v>
      </c>
    </row>
    <row r="2251" spans="1:7">
      <c r="A2251">
        <v>572</v>
      </c>
      <c r="B2251" t="s">
        <v>34</v>
      </c>
      <c r="C2251" t="s">
        <v>147</v>
      </c>
      <c r="D2251" s="9">
        <v>39988.678761574076</v>
      </c>
      <c r="F2251">
        <f t="shared" ca="1" si="70"/>
        <v>5.5972222222222223</v>
      </c>
      <c r="G2251">
        <f t="shared" ca="1" si="71"/>
        <v>0</v>
      </c>
    </row>
    <row r="2252" spans="1:7">
      <c r="A2252">
        <v>574</v>
      </c>
      <c r="B2252" t="s">
        <v>8</v>
      </c>
      <c r="C2252" t="s">
        <v>146</v>
      </c>
      <c r="D2252" s="9">
        <v>40081.517569444448</v>
      </c>
      <c r="F2252">
        <f t="shared" ca="1" si="70"/>
        <v>5.3444444444444441</v>
      </c>
      <c r="G2252">
        <f t="shared" ca="1" si="71"/>
        <v>0</v>
      </c>
    </row>
    <row r="2253" spans="1:7">
      <c r="A2253">
        <v>575</v>
      </c>
      <c r="B2253" t="s">
        <v>34</v>
      </c>
      <c r="C2253" t="s">
        <v>148</v>
      </c>
      <c r="D2253" s="9">
        <v>39934.361678240741</v>
      </c>
      <c r="F2253">
        <f t="shared" ca="1" si="70"/>
        <v>5.7444444444444445</v>
      </c>
      <c r="G2253">
        <f t="shared" ca="1" si="71"/>
        <v>0</v>
      </c>
    </row>
    <row r="2254" spans="1:7">
      <c r="A2254">
        <v>576</v>
      </c>
      <c r="B2254" t="s">
        <v>8</v>
      </c>
      <c r="C2254" t="s">
        <v>148</v>
      </c>
      <c r="D2254" s="9">
        <v>39932.593124999999</v>
      </c>
      <c r="F2254">
        <f t="shared" ca="1" si="70"/>
        <v>5.75</v>
      </c>
      <c r="G2254">
        <f t="shared" ca="1" si="71"/>
        <v>0</v>
      </c>
    </row>
    <row r="2255" spans="1:7">
      <c r="A2255">
        <v>580</v>
      </c>
      <c r="B2255" t="s">
        <v>34</v>
      </c>
      <c r="C2255" t="s">
        <v>148</v>
      </c>
      <c r="D2255" s="9">
        <v>39940.584548611114</v>
      </c>
      <c r="F2255">
        <f t="shared" ca="1" si="70"/>
        <v>5.7277777777777779</v>
      </c>
      <c r="G2255">
        <f t="shared" ca="1" si="71"/>
        <v>0</v>
      </c>
    </row>
    <row r="2256" spans="1:7">
      <c r="A2256">
        <v>581</v>
      </c>
      <c r="B2256" t="s">
        <v>34</v>
      </c>
      <c r="C2256" t="s">
        <v>147</v>
      </c>
      <c r="D2256" s="9">
        <v>39960.665833333333</v>
      </c>
      <c r="F2256">
        <f t="shared" ca="1" si="70"/>
        <v>5.6722222222222225</v>
      </c>
      <c r="G2256">
        <f t="shared" ca="1" si="71"/>
        <v>0</v>
      </c>
    </row>
    <row r="2257" spans="1:7">
      <c r="A2257">
        <v>582</v>
      </c>
      <c r="B2257" t="s">
        <v>77</v>
      </c>
      <c r="C2257" t="s">
        <v>148</v>
      </c>
      <c r="D2257" s="9">
        <v>39938.693009259259</v>
      </c>
      <c r="F2257">
        <f t="shared" ca="1" si="70"/>
        <v>5.7333333333333334</v>
      </c>
      <c r="G2257">
        <f t="shared" ca="1" si="71"/>
        <v>0</v>
      </c>
    </row>
    <row r="2258" spans="1:7">
      <c r="A2258">
        <v>585</v>
      </c>
      <c r="B2258" t="s">
        <v>11</v>
      </c>
      <c r="C2258" t="s">
        <v>148</v>
      </c>
      <c r="D2258" s="9">
        <v>39944.722291666665</v>
      </c>
      <c r="F2258">
        <f t="shared" ca="1" si="70"/>
        <v>5.7166666666666668</v>
      </c>
      <c r="G2258">
        <f t="shared" ca="1" si="71"/>
        <v>0</v>
      </c>
    </row>
    <row r="2259" spans="1:7">
      <c r="A2259">
        <v>586</v>
      </c>
      <c r="B2259" t="s">
        <v>11</v>
      </c>
      <c r="C2259" t="s">
        <v>147</v>
      </c>
      <c r="D2259" s="9">
        <v>39989.62809027778</v>
      </c>
      <c r="F2259">
        <f t="shared" ca="1" si="70"/>
        <v>5.5944444444444441</v>
      </c>
      <c r="G2259">
        <f t="shared" ca="1" si="71"/>
        <v>0</v>
      </c>
    </row>
    <row r="2260" spans="1:7">
      <c r="A2260">
        <v>587</v>
      </c>
      <c r="B2260" t="s">
        <v>8</v>
      </c>
      <c r="C2260" t="s">
        <v>146</v>
      </c>
      <c r="D2260" s="9">
        <v>40043.361689814818</v>
      </c>
      <c r="F2260">
        <f t="shared" ca="1" si="70"/>
        <v>5.447222222222222</v>
      </c>
      <c r="G2260">
        <f t="shared" ca="1" si="71"/>
        <v>0</v>
      </c>
    </row>
    <row r="2261" spans="1:7">
      <c r="A2261">
        <v>588</v>
      </c>
      <c r="B2261" t="s">
        <v>77</v>
      </c>
      <c r="C2261" t="s">
        <v>148</v>
      </c>
      <c r="D2261" s="9">
        <v>39955.461388888885</v>
      </c>
      <c r="F2261">
        <f t="shared" ca="1" si="70"/>
        <v>5.6861111111111109</v>
      </c>
      <c r="G2261">
        <f t="shared" ca="1" si="71"/>
        <v>0</v>
      </c>
    </row>
    <row r="2262" spans="1:7">
      <c r="A2262">
        <v>591</v>
      </c>
      <c r="B2262" t="s">
        <v>8</v>
      </c>
      <c r="C2262" t="s">
        <v>146</v>
      </c>
      <c r="D2262" s="9">
        <v>40051.433275462965</v>
      </c>
      <c r="F2262">
        <f t="shared" ca="1" si="70"/>
        <v>5.4249999999999998</v>
      </c>
      <c r="G2262">
        <f t="shared" ca="1" si="71"/>
        <v>0</v>
      </c>
    </row>
    <row r="2263" spans="1:7">
      <c r="A2263">
        <v>593</v>
      </c>
      <c r="B2263" t="s">
        <v>101</v>
      </c>
      <c r="C2263" t="s">
        <v>147</v>
      </c>
      <c r="D2263" s="9">
        <v>39969.449803240743</v>
      </c>
      <c r="F2263">
        <f t="shared" ca="1" si="70"/>
        <v>5.65</v>
      </c>
      <c r="G2263">
        <f t="shared" ca="1" si="71"/>
        <v>0</v>
      </c>
    </row>
    <row r="2264" spans="1:7">
      <c r="A2264">
        <v>594</v>
      </c>
      <c r="B2264" t="s">
        <v>8</v>
      </c>
      <c r="C2264" t="s">
        <v>148</v>
      </c>
      <c r="D2264" s="9">
        <v>39955.492905092593</v>
      </c>
      <c r="F2264">
        <f t="shared" ca="1" si="70"/>
        <v>5.6861111111111109</v>
      </c>
      <c r="G2264">
        <f t="shared" ca="1" si="71"/>
        <v>0</v>
      </c>
    </row>
    <row r="2265" spans="1:7">
      <c r="A2265">
        <v>595</v>
      </c>
      <c r="B2265" t="s">
        <v>44</v>
      </c>
      <c r="C2265" t="s">
        <v>146</v>
      </c>
      <c r="D2265" s="9">
        <v>40053.419618055559</v>
      </c>
      <c r="F2265">
        <f t="shared" ca="1" si="70"/>
        <v>5.4194444444444443</v>
      </c>
      <c r="G2265">
        <f t="shared" ca="1" si="71"/>
        <v>0</v>
      </c>
    </row>
    <row r="2266" spans="1:7">
      <c r="A2266">
        <v>596</v>
      </c>
      <c r="C2266" t="s">
        <v>147</v>
      </c>
      <c r="D2266" s="9">
        <v>39959.624490740738</v>
      </c>
      <c r="F2266">
        <f t="shared" ca="1" si="70"/>
        <v>5.6749999999999998</v>
      </c>
      <c r="G2266">
        <f t="shared" ca="1" si="71"/>
        <v>0</v>
      </c>
    </row>
    <row r="2267" spans="1:7">
      <c r="A2267">
        <v>598</v>
      </c>
      <c r="B2267" t="s">
        <v>101</v>
      </c>
      <c r="C2267" t="s">
        <v>147</v>
      </c>
      <c r="D2267" s="9">
        <v>40001.785115740742</v>
      </c>
      <c r="F2267">
        <f t="shared" ca="1" si="70"/>
        <v>5.5611111111111109</v>
      </c>
      <c r="G2267">
        <f t="shared" ca="1" si="71"/>
        <v>0</v>
      </c>
    </row>
    <row r="2268" spans="1:7">
      <c r="A2268">
        <v>599</v>
      </c>
      <c r="B2268" t="s">
        <v>101</v>
      </c>
      <c r="C2268" t="s">
        <v>147</v>
      </c>
      <c r="D2268" s="9">
        <v>40001.821875000001</v>
      </c>
      <c r="F2268">
        <f t="shared" ca="1" si="70"/>
        <v>5.5611111111111109</v>
      </c>
      <c r="G2268">
        <f t="shared" ca="1" si="71"/>
        <v>0</v>
      </c>
    </row>
    <row r="2269" spans="1:7">
      <c r="A2269">
        <v>600</v>
      </c>
      <c r="B2269" t="s">
        <v>101</v>
      </c>
      <c r="C2269" t="s">
        <v>147</v>
      </c>
      <c r="D2269" s="9">
        <v>40010.367002314815</v>
      </c>
      <c r="F2269">
        <f t="shared" ca="1" si="70"/>
        <v>5.5361111111111114</v>
      </c>
      <c r="G2269">
        <f t="shared" ca="1" si="71"/>
        <v>0</v>
      </c>
    </row>
    <row r="2270" spans="1:7">
      <c r="A2270">
        <v>601</v>
      </c>
      <c r="B2270" t="s">
        <v>101</v>
      </c>
      <c r="C2270" t="s">
        <v>147</v>
      </c>
      <c r="D2270" s="9">
        <v>40010.367962962962</v>
      </c>
      <c r="F2270">
        <f t="shared" ca="1" si="70"/>
        <v>5.5361111111111114</v>
      </c>
      <c r="G2270">
        <f t="shared" ca="1" si="71"/>
        <v>0</v>
      </c>
    </row>
    <row r="2271" spans="1:7">
      <c r="A2271">
        <v>602</v>
      </c>
      <c r="B2271" t="s">
        <v>101</v>
      </c>
      <c r="C2271" t="s">
        <v>146</v>
      </c>
      <c r="D2271" s="9">
        <v>40043.719594907408</v>
      </c>
      <c r="F2271">
        <f t="shared" ca="1" si="70"/>
        <v>5.447222222222222</v>
      </c>
      <c r="G2271">
        <f t="shared" ca="1" si="71"/>
        <v>0</v>
      </c>
    </row>
    <row r="2272" spans="1:7">
      <c r="A2272">
        <v>603</v>
      </c>
      <c r="C2272" t="s">
        <v>147</v>
      </c>
      <c r="D2272" s="9">
        <v>39962.467256944445</v>
      </c>
      <c r="F2272">
        <f t="shared" ca="1" si="70"/>
        <v>5.666666666666667</v>
      </c>
      <c r="G2272">
        <f t="shared" ca="1" si="71"/>
        <v>0</v>
      </c>
    </row>
    <row r="2273" spans="1:7">
      <c r="A2273">
        <v>604</v>
      </c>
      <c r="C2273" t="s">
        <v>147</v>
      </c>
      <c r="D2273" s="9">
        <v>39962.467141203706</v>
      </c>
      <c r="F2273">
        <f t="shared" ca="1" si="70"/>
        <v>5.666666666666667</v>
      </c>
      <c r="G2273">
        <f t="shared" ca="1" si="71"/>
        <v>0</v>
      </c>
    </row>
    <row r="2274" spans="1:7">
      <c r="A2274">
        <v>605</v>
      </c>
      <c r="B2274" t="s">
        <v>102</v>
      </c>
      <c r="C2274" t="s">
        <v>147</v>
      </c>
      <c r="D2274" s="9">
        <v>40007.465162037035</v>
      </c>
      <c r="F2274">
        <f t="shared" ca="1" si="70"/>
        <v>5.5444444444444443</v>
      </c>
      <c r="G2274">
        <f t="shared" ca="1" si="71"/>
        <v>0</v>
      </c>
    </row>
    <row r="2275" spans="1:7">
      <c r="A2275">
        <v>606</v>
      </c>
      <c r="B2275" t="s">
        <v>34</v>
      </c>
      <c r="C2275" t="s">
        <v>147</v>
      </c>
      <c r="D2275" s="9">
        <v>39987.588854166665</v>
      </c>
      <c r="F2275">
        <f t="shared" ca="1" si="70"/>
        <v>5.6</v>
      </c>
      <c r="G2275">
        <f t="shared" ca="1" si="71"/>
        <v>0</v>
      </c>
    </row>
    <row r="2276" spans="1:7">
      <c r="A2276">
        <v>609</v>
      </c>
      <c r="B2276" t="s">
        <v>8</v>
      </c>
      <c r="C2276" t="s">
        <v>147</v>
      </c>
      <c r="D2276" s="9">
        <v>39969.560555555552</v>
      </c>
      <c r="F2276">
        <f t="shared" ca="1" si="70"/>
        <v>5.65</v>
      </c>
      <c r="G2276">
        <f t="shared" ca="1" si="71"/>
        <v>0</v>
      </c>
    </row>
    <row r="2277" spans="1:7">
      <c r="A2277">
        <v>610</v>
      </c>
      <c r="B2277" t="s">
        <v>44</v>
      </c>
      <c r="C2277" t="s">
        <v>147</v>
      </c>
      <c r="D2277" s="9">
        <v>39989.408888888887</v>
      </c>
      <c r="F2277">
        <f t="shared" ca="1" si="70"/>
        <v>5.5944444444444441</v>
      </c>
      <c r="G2277">
        <f t="shared" ca="1" si="71"/>
        <v>0</v>
      </c>
    </row>
    <row r="2278" spans="1:7">
      <c r="A2278">
        <v>611</v>
      </c>
      <c r="B2278" t="s">
        <v>34</v>
      </c>
      <c r="C2278" t="s">
        <v>146</v>
      </c>
      <c r="D2278" s="9">
        <v>40071.381099537037</v>
      </c>
      <c r="F2278">
        <f t="shared" ca="1" si="70"/>
        <v>5.3722222222222218</v>
      </c>
      <c r="G2278">
        <f t="shared" ca="1" si="71"/>
        <v>0</v>
      </c>
    </row>
    <row r="2279" spans="1:7">
      <c r="A2279">
        <v>613</v>
      </c>
      <c r="B2279" t="s">
        <v>34</v>
      </c>
      <c r="C2279" t="s">
        <v>147</v>
      </c>
      <c r="D2279" s="9">
        <v>39995.651828703703</v>
      </c>
      <c r="F2279">
        <f t="shared" ca="1" si="70"/>
        <v>5.5777777777777775</v>
      </c>
      <c r="G2279">
        <f t="shared" ca="1" si="71"/>
        <v>0</v>
      </c>
    </row>
    <row r="2280" spans="1:7">
      <c r="A2280">
        <v>618</v>
      </c>
      <c r="B2280" t="s">
        <v>34</v>
      </c>
      <c r="C2280" t="s">
        <v>147</v>
      </c>
      <c r="D2280" s="9">
        <v>40001.36383101852</v>
      </c>
      <c r="F2280">
        <f t="shared" ca="1" si="70"/>
        <v>5.5611111111111109</v>
      </c>
      <c r="G2280">
        <f t="shared" ca="1" si="71"/>
        <v>0</v>
      </c>
    </row>
    <row r="2281" spans="1:7">
      <c r="A2281">
        <v>620</v>
      </c>
      <c r="B2281" t="s">
        <v>34</v>
      </c>
      <c r="C2281" t="s">
        <v>145</v>
      </c>
      <c r="D2281" s="9">
        <v>40217.437835648147</v>
      </c>
      <c r="F2281">
        <f t="shared" ca="1" si="70"/>
        <v>4.9749999999999996</v>
      </c>
      <c r="G2281">
        <f t="shared" ca="1" si="71"/>
        <v>0</v>
      </c>
    </row>
    <row r="2282" spans="1:7">
      <c r="A2282">
        <v>621</v>
      </c>
      <c r="B2282" t="s">
        <v>102</v>
      </c>
      <c r="C2282" t="s">
        <v>147</v>
      </c>
      <c r="D2282" s="9">
        <v>39987.377476851849</v>
      </c>
      <c r="F2282">
        <f t="shared" ca="1" si="70"/>
        <v>5.6</v>
      </c>
      <c r="G2282">
        <f t="shared" ca="1" si="71"/>
        <v>0</v>
      </c>
    </row>
    <row r="2283" spans="1:7">
      <c r="A2283">
        <v>626</v>
      </c>
      <c r="B2283" t="s">
        <v>77</v>
      </c>
      <c r="C2283" t="s">
        <v>147</v>
      </c>
      <c r="D2283" s="9">
        <v>39978.952037037037</v>
      </c>
      <c r="F2283">
        <f t="shared" ca="1" si="70"/>
        <v>5.625</v>
      </c>
      <c r="G2283">
        <f t="shared" ca="1" si="71"/>
        <v>0</v>
      </c>
    </row>
    <row r="2284" spans="1:7">
      <c r="A2284">
        <v>628</v>
      </c>
      <c r="B2284" t="s">
        <v>101</v>
      </c>
      <c r="C2284" t="s">
        <v>147</v>
      </c>
      <c r="D2284" s="9">
        <v>39967.645486111112</v>
      </c>
      <c r="F2284">
        <f t="shared" ca="1" si="70"/>
        <v>5.6555555555555559</v>
      </c>
      <c r="G2284">
        <f t="shared" ca="1" si="71"/>
        <v>0</v>
      </c>
    </row>
    <row r="2285" spans="1:7">
      <c r="A2285">
        <v>629</v>
      </c>
      <c r="B2285" t="s">
        <v>8</v>
      </c>
      <c r="C2285" t="s">
        <v>146</v>
      </c>
      <c r="D2285" s="9">
        <v>40051.435208333336</v>
      </c>
      <c r="F2285">
        <f t="shared" ca="1" si="70"/>
        <v>5.4249999999999998</v>
      </c>
      <c r="G2285">
        <f t="shared" ca="1" si="71"/>
        <v>0</v>
      </c>
    </row>
    <row r="2286" spans="1:7">
      <c r="A2286">
        <v>633</v>
      </c>
      <c r="B2286" t="s">
        <v>34</v>
      </c>
      <c r="C2286" t="s">
        <v>147</v>
      </c>
      <c r="D2286" s="9">
        <v>39988.67701388889</v>
      </c>
      <c r="F2286">
        <f t="shared" ca="1" si="70"/>
        <v>5.5972222222222223</v>
      </c>
      <c r="G2286">
        <f t="shared" ca="1" si="71"/>
        <v>0</v>
      </c>
    </row>
    <row r="2287" spans="1:7">
      <c r="A2287">
        <v>636</v>
      </c>
      <c r="B2287" t="s">
        <v>8</v>
      </c>
      <c r="C2287" t="s">
        <v>146</v>
      </c>
      <c r="D2287" s="9">
        <v>40072.586122685185</v>
      </c>
      <c r="F2287">
        <f t="shared" ca="1" si="70"/>
        <v>5.3694444444444445</v>
      </c>
      <c r="G2287">
        <f t="shared" ca="1" si="71"/>
        <v>0</v>
      </c>
    </row>
    <row r="2288" spans="1:7">
      <c r="A2288">
        <v>639</v>
      </c>
      <c r="B2288" t="s">
        <v>91</v>
      </c>
      <c r="C2288" t="s">
        <v>147</v>
      </c>
      <c r="D2288" s="9">
        <v>39973.982766203706</v>
      </c>
      <c r="F2288">
        <f t="shared" ca="1" si="70"/>
        <v>5.6388888888888893</v>
      </c>
      <c r="G2288">
        <f t="shared" ca="1" si="71"/>
        <v>0</v>
      </c>
    </row>
    <row r="2289" spans="1:7">
      <c r="A2289">
        <v>640</v>
      </c>
      <c r="B2289" t="s">
        <v>8</v>
      </c>
      <c r="C2289" t="s">
        <v>147</v>
      </c>
      <c r="D2289" s="9">
        <v>39987.702256944445</v>
      </c>
      <c r="F2289">
        <f t="shared" ca="1" si="70"/>
        <v>5.6</v>
      </c>
      <c r="G2289">
        <f t="shared" ca="1" si="71"/>
        <v>0</v>
      </c>
    </row>
    <row r="2290" spans="1:7">
      <c r="A2290">
        <v>646</v>
      </c>
      <c r="B2290" t="s">
        <v>8</v>
      </c>
      <c r="C2290" t="s">
        <v>146</v>
      </c>
      <c r="D2290" s="9">
        <v>40051.436527777776</v>
      </c>
      <c r="F2290">
        <f t="shared" ca="1" si="70"/>
        <v>5.4249999999999998</v>
      </c>
      <c r="G2290">
        <f t="shared" ca="1" si="71"/>
        <v>0</v>
      </c>
    </row>
    <row r="2291" spans="1:7">
      <c r="A2291">
        <v>647</v>
      </c>
      <c r="B2291" t="s">
        <v>8</v>
      </c>
      <c r="C2291" t="s">
        <v>147</v>
      </c>
      <c r="D2291" s="9">
        <v>39986.470914351848</v>
      </c>
      <c r="F2291">
        <f t="shared" ca="1" si="70"/>
        <v>5.6027777777777779</v>
      </c>
      <c r="G2291">
        <f t="shared" ca="1" si="71"/>
        <v>0</v>
      </c>
    </row>
    <row r="2292" spans="1:7">
      <c r="A2292">
        <v>651</v>
      </c>
      <c r="C2292" t="s">
        <v>147</v>
      </c>
      <c r="D2292" s="9">
        <v>39982.63722222222</v>
      </c>
      <c r="F2292">
        <f t="shared" ca="1" si="70"/>
        <v>5.6138888888888889</v>
      </c>
      <c r="G2292">
        <f t="shared" ca="1" si="71"/>
        <v>0</v>
      </c>
    </row>
    <row r="2293" spans="1:7">
      <c r="A2293">
        <v>652</v>
      </c>
      <c r="B2293" t="s">
        <v>91</v>
      </c>
      <c r="C2293" t="s">
        <v>147</v>
      </c>
      <c r="D2293" s="9">
        <v>39990.619351851848</v>
      </c>
      <c r="F2293">
        <f t="shared" ca="1" si="70"/>
        <v>5.5916666666666668</v>
      </c>
      <c r="G2293">
        <f t="shared" ca="1" si="71"/>
        <v>0</v>
      </c>
    </row>
    <row r="2294" spans="1:7">
      <c r="A2294">
        <v>654</v>
      </c>
      <c r="C2294" t="s">
        <v>147</v>
      </c>
      <c r="D2294" s="9">
        <v>39980.402812499997</v>
      </c>
      <c r="F2294">
        <f t="shared" ca="1" si="70"/>
        <v>5.6194444444444445</v>
      </c>
      <c r="G2294">
        <f t="shared" ca="1" si="71"/>
        <v>0</v>
      </c>
    </row>
    <row r="2295" spans="1:7">
      <c r="A2295">
        <v>656</v>
      </c>
      <c r="B2295" t="s">
        <v>11</v>
      </c>
      <c r="C2295" t="s">
        <v>147</v>
      </c>
      <c r="D2295" s="9">
        <v>39982.617569444446</v>
      </c>
      <c r="F2295">
        <f t="shared" ca="1" si="70"/>
        <v>5.6138888888888889</v>
      </c>
      <c r="G2295">
        <f t="shared" ca="1" si="71"/>
        <v>0</v>
      </c>
    </row>
    <row r="2296" spans="1:7">
      <c r="A2296">
        <v>657</v>
      </c>
      <c r="B2296" t="s">
        <v>8</v>
      </c>
      <c r="C2296" t="s">
        <v>138</v>
      </c>
      <c r="D2296" s="9">
        <v>40142.4925</v>
      </c>
      <c r="F2296">
        <f t="shared" ca="1" si="70"/>
        <v>5.177777777777778</v>
      </c>
      <c r="G2296">
        <f t="shared" ca="1" si="71"/>
        <v>0</v>
      </c>
    </row>
    <row r="2297" spans="1:7">
      <c r="A2297">
        <v>658</v>
      </c>
      <c r="B2297" t="s">
        <v>11</v>
      </c>
      <c r="C2297" t="s">
        <v>146</v>
      </c>
      <c r="D2297" s="9">
        <v>40050.526875000003</v>
      </c>
      <c r="F2297">
        <f t="shared" ca="1" si="70"/>
        <v>5.427777777777778</v>
      </c>
      <c r="G2297">
        <f t="shared" ca="1" si="71"/>
        <v>0</v>
      </c>
    </row>
    <row r="2298" spans="1:7">
      <c r="A2298">
        <v>659</v>
      </c>
      <c r="B2298" t="s">
        <v>11</v>
      </c>
      <c r="C2298" t="s">
        <v>147</v>
      </c>
      <c r="D2298" s="9">
        <v>39981.59851851852</v>
      </c>
      <c r="F2298">
        <f t="shared" ca="1" si="70"/>
        <v>5.6166666666666663</v>
      </c>
      <c r="G2298">
        <f t="shared" ca="1" si="71"/>
        <v>0</v>
      </c>
    </row>
    <row r="2299" spans="1:7">
      <c r="A2299">
        <v>661</v>
      </c>
      <c r="B2299" t="s">
        <v>112</v>
      </c>
      <c r="C2299" t="s">
        <v>147</v>
      </c>
      <c r="D2299" s="9">
        <v>39982.627210648148</v>
      </c>
      <c r="F2299">
        <f t="shared" ca="1" si="70"/>
        <v>5.6138888888888889</v>
      </c>
      <c r="G2299">
        <f t="shared" ca="1" si="71"/>
        <v>0</v>
      </c>
    </row>
    <row r="2300" spans="1:7">
      <c r="A2300">
        <v>662</v>
      </c>
      <c r="B2300" t="s">
        <v>34</v>
      </c>
      <c r="C2300" t="s">
        <v>147</v>
      </c>
      <c r="D2300" s="9">
        <v>39988.67659722222</v>
      </c>
      <c r="F2300">
        <f t="shared" ca="1" si="70"/>
        <v>5.5972222222222223</v>
      </c>
      <c r="G2300">
        <f t="shared" ca="1" si="71"/>
        <v>0</v>
      </c>
    </row>
    <row r="2301" spans="1:7">
      <c r="A2301">
        <v>663</v>
      </c>
      <c r="B2301" t="s">
        <v>11</v>
      </c>
      <c r="C2301" t="s">
        <v>147</v>
      </c>
      <c r="D2301" s="9">
        <v>39983.479884259257</v>
      </c>
      <c r="F2301">
        <f t="shared" ca="1" si="70"/>
        <v>5.6111111111111107</v>
      </c>
      <c r="G2301">
        <f t="shared" ca="1" si="71"/>
        <v>0</v>
      </c>
    </row>
    <row r="2302" spans="1:7">
      <c r="A2302">
        <v>664</v>
      </c>
      <c r="C2302" t="s">
        <v>147</v>
      </c>
      <c r="D2302" s="9">
        <v>39982.749826388892</v>
      </c>
      <c r="F2302">
        <f t="shared" ca="1" si="70"/>
        <v>5.6138888888888889</v>
      </c>
      <c r="G2302">
        <f t="shared" ca="1" si="71"/>
        <v>0</v>
      </c>
    </row>
    <row r="2303" spans="1:7">
      <c r="A2303">
        <v>665</v>
      </c>
      <c r="B2303" t="s">
        <v>34</v>
      </c>
      <c r="C2303" t="s">
        <v>147</v>
      </c>
      <c r="D2303" s="9">
        <v>39987.454942129632</v>
      </c>
      <c r="F2303">
        <f t="shared" ca="1" si="70"/>
        <v>5.6</v>
      </c>
      <c r="G2303">
        <f t="shared" ca="1" si="71"/>
        <v>0</v>
      </c>
    </row>
    <row r="2304" spans="1:7">
      <c r="A2304">
        <v>667</v>
      </c>
      <c r="B2304" t="s">
        <v>102</v>
      </c>
      <c r="C2304" t="s">
        <v>147</v>
      </c>
      <c r="D2304" s="9">
        <v>41383.670428240737</v>
      </c>
      <c r="F2304">
        <f t="shared" ca="1" si="70"/>
        <v>1.7777777777777777</v>
      </c>
      <c r="G2304">
        <f t="shared" ca="1" si="71"/>
        <v>0</v>
      </c>
    </row>
    <row r="2305" spans="1:7">
      <c r="A2305">
        <v>668</v>
      </c>
      <c r="B2305" t="s">
        <v>8</v>
      </c>
      <c r="C2305" t="s">
        <v>147</v>
      </c>
      <c r="D2305" s="9">
        <v>39986.470914351848</v>
      </c>
      <c r="F2305">
        <f t="shared" ca="1" si="70"/>
        <v>5.6027777777777779</v>
      </c>
      <c r="G2305">
        <f t="shared" ca="1" si="71"/>
        <v>0</v>
      </c>
    </row>
    <row r="2306" spans="1:7">
      <c r="A2306">
        <v>669</v>
      </c>
      <c r="B2306" t="s">
        <v>112</v>
      </c>
      <c r="C2306" t="s">
        <v>122</v>
      </c>
      <c r="D2306" s="9">
        <v>41361.84165509259</v>
      </c>
      <c r="E2306" t="s">
        <v>38</v>
      </c>
      <c r="F2306">
        <f t="shared" ca="1" si="70"/>
        <v>1.836111111111111</v>
      </c>
      <c r="G2306">
        <f t="shared" ca="1" si="71"/>
        <v>0</v>
      </c>
    </row>
    <row r="2307" spans="1:7">
      <c r="A2307">
        <v>671</v>
      </c>
      <c r="B2307" t="s">
        <v>102</v>
      </c>
      <c r="C2307" t="s">
        <v>147</v>
      </c>
      <c r="D2307" s="9">
        <v>39989.485000000001</v>
      </c>
      <c r="F2307">
        <f t="shared" ref="F2307:F2370" ca="1" si="72">YEARFRAC(TODAY(),$D2307)</f>
        <v>5.5944444444444441</v>
      </c>
      <c r="G2307">
        <f t="shared" ref="G2307:G2370" ca="1" si="73">IF($F2307&lt;1,1,0)</f>
        <v>0</v>
      </c>
    </row>
    <row r="2308" spans="1:7">
      <c r="A2308">
        <v>678</v>
      </c>
      <c r="B2308" t="s">
        <v>102</v>
      </c>
      <c r="C2308" t="s">
        <v>147</v>
      </c>
      <c r="D2308" s="9">
        <v>39989.485277777778</v>
      </c>
      <c r="F2308">
        <f t="shared" ca="1" si="72"/>
        <v>5.5944444444444441</v>
      </c>
      <c r="G2308">
        <f t="shared" ca="1" si="73"/>
        <v>0</v>
      </c>
    </row>
    <row r="2309" spans="1:7">
      <c r="A2309">
        <v>681</v>
      </c>
      <c r="B2309" t="s">
        <v>34</v>
      </c>
      <c r="C2309" t="s">
        <v>147</v>
      </c>
      <c r="D2309" s="9">
        <v>39986.597256944442</v>
      </c>
      <c r="F2309">
        <f t="shared" ca="1" si="72"/>
        <v>5.6027777777777779</v>
      </c>
      <c r="G2309">
        <f t="shared" ca="1" si="73"/>
        <v>0</v>
      </c>
    </row>
    <row r="2310" spans="1:7">
      <c r="A2310">
        <v>683</v>
      </c>
      <c r="B2310" t="s">
        <v>11</v>
      </c>
      <c r="C2310" t="s">
        <v>147</v>
      </c>
      <c r="D2310" s="9">
        <v>40025.610856481479</v>
      </c>
      <c r="F2310">
        <f t="shared" ca="1" si="72"/>
        <v>5.4972222222222218</v>
      </c>
      <c r="G2310">
        <f t="shared" ca="1" si="73"/>
        <v>0</v>
      </c>
    </row>
    <row r="2311" spans="1:7">
      <c r="A2311">
        <v>685</v>
      </c>
      <c r="B2311" t="s">
        <v>91</v>
      </c>
      <c r="C2311" t="s">
        <v>147</v>
      </c>
      <c r="D2311" s="9">
        <v>39983.88559027778</v>
      </c>
      <c r="F2311">
        <f t="shared" ca="1" si="72"/>
        <v>5.6111111111111107</v>
      </c>
      <c r="G2311">
        <f t="shared" ca="1" si="73"/>
        <v>0</v>
      </c>
    </row>
    <row r="2312" spans="1:7">
      <c r="A2312">
        <v>686</v>
      </c>
      <c r="B2312" t="s">
        <v>91</v>
      </c>
      <c r="C2312" t="s">
        <v>147</v>
      </c>
      <c r="D2312" s="9">
        <v>39990.413715277777</v>
      </c>
      <c r="F2312">
        <f t="shared" ca="1" si="72"/>
        <v>5.5916666666666668</v>
      </c>
      <c r="G2312">
        <f t="shared" ca="1" si="73"/>
        <v>0</v>
      </c>
    </row>
    <row r="2313" spans="1:7">
      <c r="A2313">
        <v>687</v>
      </c>
      <c r="B2313" t="s">
        <v>91</v>
      </c>
      <c r="C2313" t="s">
        <v>147</v>
      </c>
      <c r="D2313" s="9">
        <v>39990.413993055554</v>
      </c>
      <c r="F2313">
        <f t="shared" ca="1" si="72"/>
        <v>5.5916666666666668</v>
      </c>
      <c r="G2313">
        <f t="shared" ca="1" si="73"/>
        <v>0</v>
      </c>
    </row>
    <row r="2314" spans="1:7">
      <c r="A2314">
        <v>688</v>
      </c>
      <c r="C2314" t="s">
        <v>147</v>
      </c>
      <c r="D2314" s="9">
        <v>39987.404363425929</v>
      </c>
      <c r="F2314">
        <f t="shared" ca="1" si="72"/>
        <v>5.6</v>
      </c>
      <c r="G2314">
        <f t="shared" ca="1" si="73"/>
        <v>0</v>
      </c>
    </row>
    <row r="2315" spans="1:7">
      <c r="A2315">
        <v>690</v>
      </c>
      <c r="B2315" t="s">
        <v>112</v>
      </c>
      <c r="C2315" t="s">
        <v>147</v>
      </c>
      <c r="D2315" s="9">
        <v>39988.544687499998</v>
      </c>
      <c r="F2315">
        <f t="shared" ca="1" si="72"/>
        <v>5.5972222222222223</v>
      </c>
      <c r="G2315">
        <f t="shared" ca="1" si="73"/>
        <v>0</v>
      </c>
    </row>
    <row r="2316" spans="1:7">
      <c r="A2316">
        <v>691</v>
      </c>
      <c r="B2316" t="s">
        <v>91</v>
      </c>
      <c r="C2316" t="s">
        <v>147</v>
      </c>
      <c r="D2316" s="9">
        <v>39988.607349537036</v>
      </c>
      <c r="F2316">
        <f t="shared" ca="1" si="72"/>
        <v>5.5972222222222223</v>
      </c>
      <c r="G2316">
        <f t="shared" ca="1" si="73"/>
        <v>0</v>
      </c>
    </row>
    <row r="2317" spans="1:7">
      <c r="A2317">
        <v>692</v>
      </c>
      <c r="B2317" t="s">
        <v>91</v>
      </c>
      <c r="C2317" t="s">
        <v>147</v>
      </c>
      <c r="D2317" s="9">
        <v>39989.401863425926</v>
      </c>
      <c r="F2317">
        <f t="shared" ca="1" si="72"/>
        <v>5.5944444444444441</v>
      </c>
      <c r="G2317">
        <f t="shared" ca="1" si="73"/>
        <v>0</v>
      </c>
    </row>
    <row r="2318" spans="1:7">
      <c r="A2318">
        <v>693</v>
      </c>
      <c r="B2318" t="s">
        <v>8</v>
      </c>
      <c r="C2318" t="s">
        <v>147</v>
      </c>
      <c r="D2318" s="9">
        <v>40002.588993055557</v>
      </c>
      <c r="F2318">
        <f t="shared" ca="1" si="72"/>
        <v>5.5583333333333336</v>
      </c>
      <c r="G2318">
        <f t="shared" ca="1" si="73"/>
        <v>0</v>
      </c>
    </row>
    <row r="2319" spans="1:7">
      <c r="A2319">
        <v>696</v>
      </c>
      <c r="B2319" t="s">
        <v>11</v>
      </c>
      <c r="C2319" t="s">
        <v>146</v>
      </c>
      <c r="D2319" s="9">
        <v>40081.512199074074</v>
      </c>
      <c r="F2319">
        <f t="shared" ca="1" si="72"/>
        <v>5.3444444444444441</v>
      </c>
      <c r="G2319">
        <f t="shared" ca="1" si="73"/>
        <v>0</v>
      </c>
    </row>
    <row r="2320" spans="1:7">
      <c r="A2320">
        <v>697</v>
      </c>
      <c r="B2320" t="s">
        <v>102</v>
      </c>
      <c r="C2320" t="s">
        <v>147</v>
      </c>
      <c r="D2320" s="9">
        <v>40023.61310185185</v>
      </c>
      <c r="F2320">
        <f t="shared" ca="1" si="72"/>
        <v>5.5</v>
      </c>
      <c r="G2320">
        <f t="shared" ca="1" si="73"/>
        <v>0</v>
      </c>
    </row>
    <row r="2321" spans="1:7">
      <c r="A2321">
        <v>698</v>
      </c>
      <c r="B2321" t="s">
        <v>102</v>
      </c>
      <c r="C2321" t="s">
        <v>147</v>
      </c>
      <c r="D2321" s="9">
        <v>40023.613310185188</v>
      </c>
      <c r="F2321">
        <f t="shared" ca="1" si="72"/>
        <v>5.5</v>
      </c>
      <c r="G2321">
        <f t="shared" ca="1" si="73"/>
        <v>0</v>
      </c>
    </row>
    <row r="2322" spans="1:7">
      <c r="A2322">
        <v>699</v>
      </c>
      <c r="B2322" t="s">
        <v>102</v>
      </c>
      <c r="C2322" t="s">
        <v>147</v>
      </c>
      <c r="D2322" s="9">
        <v>40024.554074074076</v>
      </c>
      <c r="F2322">
        <f t="shared" ca="1" si="72"/>
        <v>5.4972222222222218</v>
      </c>
      <c r="G2322">
        <f t="shared" ca="1" si="73"/>
        <v>0</v>
      </c>
    </row>
    <row r="2323" spans="1:7">
      <c r="A2323">
        <v>700</v>
      </c>
      <c r="B2323" t="s">
        <v>102</v>
      </c>
      <c r="C2323" t="s">
        <v>147</v>
      </c>
      <c r="D2323" s="9">
        <v>40024.652928240743</v>
      </c>
      <c r="F2323">
        <f t="shared" ca="1" si="72"/>
        <v>5.4972222222222218</v>
      </c>
      <c r="G2323">
        <f t="shared" ca="1" si="73"/>
        <v>0</v>
      </c>
    </row>
    <row r="2324" spans="1:7">
      <c r="A2324">
        <v>701</v>
      </c>
      <c r="B2324" t="s">
        <v>91</v>
      </c>
      <c r="C2324" t="s">
        <v>147</v>
      </c>
      <c r="D2324" s="9">
        <v>39990.528229166666</v>
      </c>
      <c r="F2324">
        <f t="shared" ca="1" si="72"/>
        <v>5.5916666666666668</v>
      </c>
      <c r="G2324">
        <f t="shared" ca="1" si="73"/>
        <v>0</v>
      </c>
    </row>
    <row r="2325" spans="1:7">
      <c r="A2325">
        <v>708</v>
      </c>
      <c r="B2325" t="s">
        <v>102</v>
      </c>
      <c r="C2325" t="s">
        <v>147</v>
      </c>
      <c r="D2325" s="9">
        <v>39996.540219907409</v>
      </c>
      <c r="F2325">
        <f t="shared" ca="1" si="72"/>
        <v>5.5750000000000002</v>
      </c>
      <c r="G2325">
        <f t="shared" ca="1" si="73"/>
        <v>0</v>
      </c>
    </row>
    <row r="2326" spans="1:7">
      <c r="A2326">
        <v>710</v>
      </c>
      <c r="B2326" t="s">
        <v>102</v>
      </c>
      <c r="C2326" t="s">
        <v>147</v>
      </c>
      <c r="D2326" s="9">
        <v>40007.472858796296</v>
      </c>
      <c r="F2326">
        <f t="shared" ca="1" si="72"/>
        <v>5.5444444444444443</v>
      </c>
      <c r="G2326">
        <f t="shared" ca="1" si="73"/>
        <v>0</v>
      </c>
    </row>
    <row r="2327" spans="1:7">
      <c r="A2327">
        <v>712</v>
      </c>
      <c r="B2327" t="s">
        <v>8</v>
      </c>
      <c r="C2327" t="s">
        <v>147</v>
      </c>
      <c r="D2327" s="9">
        <v>40004.612175925926</v>
      </c>
      <c r="F2327">
        <f t="shared" ca="1" si="72"/>
        <v>5.552777777777778</v>
      </c>
      <c r="G2327">
        <f t="shared" ca="1" si="73"/>
        <v>0</v>
      </c>
    </row>
    <row r="2328" spans="1:7">
      <c r="A2328">
        <v>716</v>
      </c>
      <c r="B2328" t="s">
        <v>11</v>
      </c>
      <c r="C2328" t="s">
        <v>147</v>
      </c>
      <c r="D2328" s="9">
        <v>40025.610856481479</v>
      </c>
      <c r="F2328">
        <f t="shared" ca="1" si="72"/>
        <v>5.4972222222222218</v>
      </c>
      <c r="G2328">
        <f t="shared" ca="1" si="73"/>
        <v>0</v>
      </c>
    </row>
    <row r="2329" spans="1:7">
      <c r="A2329">
        <v>717</v>
      </c>
      <c r="B2329" t="s">
        <v>11</v>
      </c>
      <c r="C2329" t="s">
        <v>147</v>
      </c>
      <c r="D2329" s="9">
        <v>40025.610856481479</v>
      </c>
      <c r="F2329">
        <f t="shared" ca="1" si="72"/>
        <v>5.4972222222222218</v>
      </c>
      <c r="G2329">
        <f t="shared" ca="1" si="73"/>
        <v>0</v>
      </c>
    </row>
    <row r="2330" spans="1:7">
      <c r="A2330">
        <v>720</v>
      </c>
      <c r="B2330" t="s">
        <v>112</v>
      </c>
      <c r="C2330" t="s">
        <v>147</v>
      </c>
      <c r="D2330" s="9">
        <v>39997.621574074074</v>
      </c>
      <c r="F2330">
        <f t="shared" ca="1" si="72"/>
        <v>5.572222222222222</v>
      </c>
      <c r="G2330">
        <f t="shared" ca="1" si="73"/>
        <v>0</v>
      </c>
    </row>
    <row r="2331" spans="1:7">
      <c r="A2331">
        <v>721</v>
      </c>
      <c r="B2331" t="s">
        <v>93</v>
      </c>
      <c r="C2331" t="s">
        <v>138</v>
      </c>
      <c r="D2331" s="9">
        <v>40121.442442129628</v>
      </c>
      <c r="F2331">
        <f t="shared" ca="1" si="72"/>
        <v>5.2361111111111107</v>
      </c>
      <c r="G2331">
        <f t="shared" ca="1" si="73"/>
        <v>0</v>
      </c>
    </row>
    <row r="2332" spans="1:7">
      <c r="A2332">
        <v>722</v>
      </c>
      <c r="B2332" t="s">
        <v>11</v>
      </c>
      <c r="C2332" t="s">
        <v>146</v>
      </c>
      <c r="D2332" s="9">
        <v>40050.733900462961</v>
      </c>
      <c r="F2332">
        <f t="shared" ca="1" si="72"/>
        <v>5.427777777777778</v>
      </c>
      <c r="G2332">
        <f t="shared" ca="1" si="73"/>
        <v>0</v>
      </c>
    </row>
    <row r="2333" spans="1:7">
      <c r="A2333">
        <v>724</v>
      </c>
      <c r="B2333" t="s">
        <v>44</v>
      </c>
      <c r="C2333" t="s">
        <v>147</v>
      </c>
      <c r="D2333" s="9">
        <v>40023.409039351849</v>
      </c>
      <c r="F2333">
        <f t="shared" ca="1" si="72"/>
        <v>5.5</v>
      </c>
      <c r="G2333">
        <f t="shared" ca="1" si="73"/>
        <v>0</v>
      </c>
    </row>
    <row r="2334" spans="1:7">
      <c r="A2334">
        <v>725</v>
      </c>
      <c r="B2334" t="s">
        <v>44</v>
      </c>
      <c r="C2334" t="s">
        <v>147</v>
      </c>
      <c r="D2334" s="9">
        <v>40023.409444444442</v>
      </c>
      <c r="F2334">
        <f t="shared" ca="1" si="72"/>
        <v>5.5</v>
      </c>
      <c r="G2334">
        <f t="shared" ca="1" si="73"/>
        <v>0</v>
      </c>
    </row>
    <row r="2335" spans="1:7">
      <c r="A2335">
        <v>727</v>
      </c>
      <c r="B2335" t="s">
        <v>34</v>
      </c>
      <c r="C2335" t="s">
        <v>147</v>
      </c>
      <c r="D2335" s="9">
        <v>40003.43240740741</v>
      </c>
      <c r="F2335">
        <f t="shared" ca="1" si="72"/>
        <v>5.5555555555555554</v>
      </c>
      <c r="G2335">
        <f t="shared" ca="1" si="73"/>
        <v>0</v>
      </c>
    </row>
    <row r="2336" spans="1:7">
      <c r="A2336">
        <v>730</v>
      </c>
      <c r="B2336" t="s">
        <v>91</v>
      </c>
      <c r="C2336" t="s">
        <v>146</v>
      </c>
      <c r="D2336" s="9">
        <v>40040.368252314816</v>
      </c>
      <c r="F2336">
        <f t="shared" ca="1" si="72"/>
        <v>5.4555555555555557</v>
      </c>
      <c r="G2336">
        <f t="shared" ca="1" si="73"/>
        <v>0</v>
      </c>
    </row>
    <row r="2337" spans="1:7">
      <c r="A2337">
        <v>731</v>
      </c>
      <c r="B2337" t="s">
        <v>44</v>
      </c>
      <c r="C2337" t="s">
        <v>146</v>
      </c>
      <c r="D2337" s="9">
        <v>40053.420798611114</v>
      </c>
      <c r="F2337">
        <f t="shared" ca="1" si="72"/>
        <v>5.4194444444444443</v>
      </c>
      <c r="G2337">
        <f t="shared" ca="1" si="73"/>
        <v>0</v>
      </c>
    </row>
    <row r="2338" spans="1:7">
      <c r="A2338">
        <v>733</v>
      </c>
      <c r="B2338" t="s">
        <v>101</v>
      </c>
      <c r="C2338" t="s">
        <v>146</v>
      </c>
      <c r="D2338" s="9">
        <v>40049.662245370368</v>
      </c>
      <c r="F2338">
        <f t="shared" ca="1" si="72"/>
        <v>5.4305555555555554</v>
      </c>
      <c r="G2338">
        <f t="shared" ca="1" si="73"/>
        <v>0</v>
      </c>
    </row>
    <row r="2339" spans="1:7">
      <c r="A2339">
        <v>735</v>
      </c>
      <c r="B2339" t="s">
        <v>34</v>
      </c>
      <c r="C2339" t="s">
        <v>147</v>
      </c>
      <c r="D2339" s="9">
        <v>40014.654039351852</v>
      </c>
      <c r="F2339">
        <f t="shared" ca="1" si="72"/>
        <v>5.5250000000000004</v>
      </c>
      <c r="G2339">
        <f t="shared" ca="1" si="73"/>
        <v>0</v>
      </c>
    </row>
    <row r="2340" spans="1:7">
      <c r="A2340">
        <v>740</v>
      </c>
      <c r="B2340" t="s">
        <v>8</v>
      </c>
      <c r="C2340" t="s">
        <v>147</v>
      </c>
      <c r="D2340" s="9">
        <v>40010.601319444446</v>
      </c>
      <c r="F2340">
        <f t="shared" ca="1" si="72"/>
        <v>5.5361111111111114</v>
      </c>
      <c r="G2340">
        <f t="shared" ca="1" si="73"/>
        <v>0</v>
      </c>
    </row>
    <row r="2341" spans="1:7">
      <c r="A2341">
        <v>741</v>
      </c>
      <c r="B2341" t="s">
        <v>8</v>
      </c>
      <c r="C2341" t="s">
        <v>147</v>
      </c>
      <c r="D2341" s="9">
        <v>40004.634456018517</v>
      </c>
      <c r="F2341">
        <f t="shared" ca="1" si="72"/>
        <v>5.552777777777778</v>
      </c>
      <c r="G2341">
        <f t="shared" ca="1" si="73"/>
        <v>0</v>
      </c>
    </row>
    <row r="2342" spans="1:7">
      <c r="A2342">
        <v>742</v>
      </c>
      <c r="B2342" t="s">
        <v>34</v>
      </c>
      <c r="C2342" t="s">
        <v>147</v>
      </c>
      <c r="D2342" s="9">
        <v>40021.606863425928</v>
      </c>
      <c r="F2342">
        <f t="shared" ca="1" si="72"/>
        <v>5.5055555555555555</v>
      </c>
      <c r="G2342">
        <f t="shared" ca="1" si="73"/>
        <v>0</v>
      </c>
    </row>
    <row r="2343" spans="1:7">
      <c r="A2343">
        <v>743</v>
      </c>
      <c r="B2343" t="s">
        <v>34</v>
      </c>
      <c r="C2343" t="s">
        <v>146</v>
      </c>
      <c r="D2343" s="9">
        <v>40064.452824074076</v>
      </c>
      <c r="F2343">
        <f t="shared" ca="1" si="72"/>
        <v>5.3916666666666666</v>
      </c>
      <c r="G2343">
        <f t="shared" ca="1" si="73"/>
        <v>0</v>
      </c>
    </row>
    <row r="2344" spans="1:7">
      <c r="A2344">
        <v>744</v>
      </c>
      <c r="B2344" t="s">
        <v>8</v>
      </c>
      <c r="C2344" t="s">
        <v>147</v>
      </c>
      <c r="D2344" s="9">
        <v>40008.728877314818</v>
      </c>
      <c r="F2344">
        <f t="shared" ca="1" si="72"/>
        <v>5.541666666666667</v>
      </c>
      <c r="G2344">
        <f t="shared" ca="1" si="73"/>
        <v>0</v>
      </c>
    </row>
    <row r="2345" spans="1:7">
      <c r="A2345">
        <v>745</v>
      </c>
      <c r="B2345" t="s">
        <v>77</v>
      </c>
      <c r="C2345" t="s">
        <v>147</v>
      </c>
      <c r="D2345" s="9">
        <v>40023.412407407406</v>
      </c>
      <c r="F2345">
        <f t="shared" ca="1" si="72"/>
        <v>5.5</v>
      </c>
      <c r="G2345">
        <f t="shared" ca="1" si="73"/>
        <v>0</v>
      </c>
    </row>
    <row r="2346" spans="1:7">
      <c r="A2346">
        <v>750</v>
      </c>
      <c r="B2346" t="s">
        <v>34</v>
      </c>
      <c r="C2346" t="s">
        <v>146</v>
      </c>
      <c r="D2346" s="9">
        <v>40085.426562499997</v>
      </c>
      <c r="F2346">
        <f t="shared" ca="1" si="72"/>
        <v>5.333333333333333</v>
      </c>
      <c r="G2346">
        <f t="shared" ca="1" si="73"/>
        <v>0</v>
      </c>
    </row>
    <row r="2347" spans="1:7">
      <c r="A2347">
        <v>751</v>
      </c>
      <c r="B2347" t="s">
        <v>44</v>
      </c>
      <c r="C2347" t="s">
        <v>138</v>
      </c>
      <c r="D2347" s="9">
        <v>40092.707824074074</v>
      </c>
      <c r="F2347">
        <f t="shared" ca="1" si="72"/>
        <v>5.3138888888888891</v>
      </c>
      <c r="G2347">
        <f t="shared" ca="1" si="73"/>
        <v>0</v>
      </c>
    </row>
    <row r="2348" spans="1:7">
      <c r="A2348">
        <v>752</v>
      </c>
      <c r="B2348" t="s">
        <v>102</v>
      </c>
      <c r="C2348" t="s">
        <v>146</v>
      </c>
      <c r="D2348" s="9">
        <v>40070.439930555556</v>
      </c>
      <c r="F2348">
        <f t="shared" ca="1" si="72"/>
        <v>5.375</v>
      </c>
      <c r="G2348">
        <f t="shared" ca="1" si="73"/>
        <v>0</v>
      </c>
    </row>
    <row r="2349" spans="1:7">
      <c r="A2349">
        <v>753</v>
      </c>
      <c r="B2349" t="s">
        <v>11</v>
      </c>
      <c r="C2349" t="s">
        <v>132</v>
      </c>
      <c r="D2349" s="9">
        <v>40659.431979166664</v>
      </c>
      <c r="E2349" t="s">
        <v>131</v>
      </c>
      <c r="F2349">
        <f t="shared" ca="1" si="72"/>
        <v>3.7583333333333333</v>
      </c>
      <c r="G2349">
        <f t="shared" ca="1" si="73"/>
        <v>0</v>
      </c>
    </row>
    <row r="2350" spans="1:7">
      <c r="A2350">
        <v>755</v>
      </c>
      <c r="B2350" t="s">
        <v>11</v>
      </c>
      <c r="C2350" t="s">
        <v>145</v>
      </c>
      <c r="D2350" s="9">
        <v>40217.459374999999</v>
      </c>
      <c r="F2350">
        <f t="shared" ca="1" si="72"/>
        <v>4.9749999999999996</v>
      </c>
      <c r="G2350">
        <f t="shared" ca="1" si="73"/>
        <v>0</v>
      </c>
    </row>
    <row r="2351" spans="1:7">
      <c r="A2351">
        <v>757</v>
      </c>
      <c r="C2351" t="s">
        <v>147</v>
      </c>
      <c r="D2351" s="9">
        <v>40011.664537037039</v>
      </c>
      <c r="F2351">
        <f t="shared" ca="1" si="72"/>
        <v>5.5333333333333332</v>
      </c>
      <c r="G2351">
        <f t="shared" ca="1" si="73"/>
        <v>0</v>
      </c>
    </row>
    <row r="2352" spans="1:7">
      <c r="A2352">
        <v>758</v>
      </c>
      <c r="C2352" t="s">
        <v>147</v>
      </c>
      <c r="D2352" s="9">
        <v>40014.515960648147</v>
      </c>
      <c r="F2352">
        <f t="shared" ca="1" si="72"/>
        <v>5.5250000000000004</v>
      </c>
      <c r="G2352">
        <f t="shared" ca="1" si="73"/>
        <v>0</v>
      </c>
    </row>
    <row r="2353" spans="1:7">
      <c r="A2353">
        <v>761</v>
      </c>
      <c r="B2353" t="s">
        <v>34</v>
      </c>
      <c r="C2353" t="s">
        <v>147</v>
      </c>
      <c r="D2353" s="9">
        <v>40016.653113425928</v>
      </c>
      <c r="F2353">
        <f t="shared" ca="1" si="72"/>
        <v>5.5194444444444448</v>
      </c>
      <c r="G2353">
        <f t="shared" ca="1" si="73"/>
        <v>0</v>
      </c>
    </row>
    <row r="2354" spans="1:7">
      <c r="A2354">
        <v>762</v>
      </c>
      <c r="B2354" t="s">
        <v>77</v>
      </c>
      <c r="C2354" t="s">
        <v>147</v>
      </c>
      <c r="D2354" s="9">
        <v>40023.412118055552</v>
      </c>
      <c r="F2354">
        <f t="shared" ca="1" si="72"/>
        <v>5.5</v>
      </c>
      <c r="G2354">
        <f t="shared" ca="1" si="73"/>
        <v>0</v>
      </c>
    </row>
    <row r="2355" spans="1:7">
      <c r="A2355">
        <v>763</v>
      </c>
      <c r="B2355" t="s">
        <v>77</v>
      </c>
      <c r="C2355" t="s">
        <v>147</v>
      </c>
      <c r="D2355" s="9">
        <v>40015.446111111109</v>
      </c>
      <c r="F2355">
        <f t="shared" ca="1" si="72"/>
        <v>5.5222222222222221</v>
      </c>
      <c r="G2355">
        <f t="shared" ca="1" si="73"/>
        <v>0</v>
      </c>
    </row>
    <row r="2356" spans="1:7">
      <c r="A2356">
        <v>765</v>
      </c>
      <c r="B2356" t="s">
        <v>34</v>
      </c>
      <c r="C2356" t="s">
        <v>146</v>
      </c>
      <c r="D2356" s="9">
        <v>40085.426562499997</v>
      </c>
      <c r="F2356">
        <f t="shared" ca="1" si="72"/>
        <v>5.333333333333333</v>
      </c>
      <c r="G2356">
        <f t="shared" ca="1" si="73"/>
        <v>0</v>
      </c>
    </row>
    <row r="2357" spans="1:7">
      <c r="A2357">
        <v>766</v>
      </c>
      <c r="B2357" t="s">
        <v>34</v>
      </c>
      <c r="C2357" t="s">
        <v>147</v>
      </c>
      <c r="D2357" s="9">
        <v>40021.607164351852</v>
      </c>
      <c r="F2357">
        <f t="shared" ca="1" si="72"/>
        <v>5.5055555555555555</v>
      </c>
      <c r="G2357">
        <f t="shared" ca="1" si="73"/>
        <v>0</v>
      </c>
    </row>
    <row r="2358" spans="1:7">
      <c r="A2358">
        <v>767</v>
      </c>
      <c r="B2358" t="s">
        <v>8</v>
      </c>
      <c r="C2358" t="s">
        <v>146</v>
      </c>
      <c r="D2358" s="9">
        <v>40072.424756944441</v>
      </c>
      <c r="F2358">
        <f t="shared" ca="1" si="72"/>
        <v>5.3694444444444445</v>
      </c>
      <c r="G2358">
        <f t="shared" ca="1" si="73"/>
        <v>0</v>
      </c>
    </row>
    <row r="2359" spans="1:7">
      <c r="A2359">
        <v>769</v>
      </c>
      <c r="B2359" t="s">
        <v>101</v>
      </c>
      <c r="C2359" t="s">
        <v>146</v>
      </c>
      <c r="D2359" s="9">
        <v>40079.470486111109</v>
      </c>
      <c r="F2359">
        <f t="shared" ca="1" si="72"/>
        <v>5.35</v>
      </c>
      <c r="G2359">
        <f t="shared" ca="1" si="73"/>
        <v>0</v>
      </c>
    </row>
    <row r="2360" spans="1:7">
      <c r="A2360">
        <v>770</v>
      </c>
      <c r="B2360" t="s">
        <v>34</v>
      </c>
      <c r="C2360" t="s">
        <v>147</v>
      </c>
      <c r="D2360" s="9">
        <v>40021.607395833336</v>
      </c>
      <c r="F2360">
        <f t="shared" ca="1" si="72"/>
        <v>5.5055555555555555</v>
      </c>
      <c r="G2360">
        <f t="shared" ca="1" si="73"/>
        <v>0</v>
      </c>
    </row>
    <row r="2361" spans="1:7">
      <c r="A2361">
        <v>772</v>
      </c>
      <c r="B2361" t="s">
        <v>112</v>
      </c>
      <c r="C2361" t="s">
        <v>146</v>
      </c>
      <c r="D2361" s="9">
        <v>40031.489988425928</v>
      </c>
      <c r="F2361">
        <f t="shared" ca="1" si="72"/>
        <v>5.4805555555555552</v>
      </c>
      <c r="G2361">
        <f t="shared" ca="1" si="73"/>
        <v>0</v>
      </c>
    </row>
    <row r="2362" spans="1:7">
      <c r="A2362">
        <v>773</v>
      </c>
      <c r="B2362" t="s">
        <v>11</v>
      </c>
      <c r="C2362" t="s">
        <v>146</v>
      </c>
      <c r="D2362" s="9">
        <v>40028.702962962961</v>
      </c>
      <c r="F2362">
        <f t="shared" ca="1" si="72"/>
        <v>5.4888888888888889</v>
      </c>
      <c r="G2362">
        <f t="shared" ca="1" si="73"/>
        <v>0</v>
      </c>
    </row>
    <row r="2363" spans="1:7">
      <c r="A2363">
        <v>776</v>
      </c>
      <c r="B2363" t="s">
        <v>11</v>
      </c>
      <c r="C2363" t="s">
        <v>147</v>
      </c>
      <c r="D2363" s="9">
        <v>40025.438287037039</v>
      </c>
      <c r="F2363">
        <f t="shared" ca="1" si="72"/>
        <v>5.4972222222222218</v>
      </c>
      <c r="G2363">
        <f t="shared" ca="1" si="73"/>
        <v>0</v>
      </c>
    </row>
    <row r="2364" spans="1:7">
      <c r="A2364">
        <v>777</v>
      </c>
      <c r="B2364" t="s">
        <v>101</v>
      </c>
      <c r="C2364" t="s">
        <v>138</v>
      </c>
      <c r="D2364" s="9">
        <v>40142.630671296298</v>
      </c>
      <c r="F2364">
        <f t="shared" ca="1" si="72"/>
        <v>5.177777777777778</v>
      </c>
      <c r="G2364">
        <f t="shared" ca="1" si="73"/>
        <v>0</v>
      </c>
    </row>
    <row r="2365" spans="1:7">
      <c r="A2365">
        <v>781</v>
      </c>
      <c r="B2365" t="s">
        <v>102</v>
      </c>
      <c r="C2365" t="s">
        <v>146</v>
      </c>
      <c r="D2365" s="9">
        <v>40051.439317129632</v>
      </c>
      <c r="F2365">
        <f t="shared" ca="1" si="72"/>
        <v>5.4249999999999998</v>
      </c>
      <c r="G2365">
        <f t="shared" ca="1" si="73"/>
        <v>0</v>
      </c>
    </row>
    <row r="2366" spans="1:7">
      <c r="A2366">
        <v>782</v>
      </c>
      <c r="B2366" t="s">
        <v>112</v>
      </c>
      <c r="C2366" t="s">
        <v>135</v>
      </c>
      <c r="D2366" s="9">
        <v>40297.445821759262</v>
      </c>
      <c r="F2366">
        <f t="shared" ca="1" si="72"/>
        <v>4.75</v>
      </c>
      <c r="G2366">
        <f t="shared" ca="1" si="73"/>
        <v>0</v>
      </c>
    </row>
    <row r="2367" spans="1:7">
      <c r="A2367">
        <v>785</v>
      </c>
      <c r="B2367" t="s">
        <v>34</v>
      </c>
      <c r="C2367" t="s">
        <v>147</v>
      </c>
      <c r="D2367" s="9">
        <v>40024.490115740744</v>
      </c>
      <c r="F2367">
        <f t="shared" ca="1" si="72"/>
        <v>5.4972222222222218</v>
      </c>
      <c r="G2367">
        <f t="shared" ca="1" si="73"/>
        <v>0</v>
      </c>
    </row>
    <row r="2368" spans="1:7">
      <c r="A2368">
        <v>789</v>
      </c>
      <c r="B2368" t="s">
        <v>11</v>
      </c>
      <c r="C2368" t="s">
        <v>145</v>
      </c>
      <c r="D2368" s="9">
        <v>40217.456435185188</v>
      </c>
      <c r="F2368">
        <f t="shared" ca="1" si="72"/>
        <v>4.9749999999999996</v>
      </c>
      <c r="G2368">
        <f t="shared" ca="1" si="73"/>
        <v>0</v>
      </c>
    </row>
    <row r="2369" spans="1:7">
      <c r="A2369">
        <v>790</v>
      </c>
      <c r="B2369" t="s">
        <v>11</v>
      </c>
      <c r="C2369" t="s">
        <v>146</v>
      </c>
      <c r="D2369" s="9">
        <v>40051.56013888889</v>
      </c>
      <c r="F2369">
        <f t="shared" ca="1" si="72"/>
        <v>5.4249999999999998</v>
      </c>
      <c r="G2369">
        <f t="shared" ca="1" si="73"/>
        <v>0</v>
      </c>
    </row>
    <row r="2370" spans="1:7">
      <c r="A2370">
        <v>791</v>
      </c>
      <c r="B2370" t="s">
        <v>102</v>
      </c>
      <c r="C2370" t="s">
        <v>146</v>
      </c>
      <c r="D2370" s="9">
        <v>40073.535821759258</v>
      </c>
      <c r="F2370">
        <f t="shared" ca="1" si="72"/>
        <v>5.3666666666666663</v>
      </c>
      <c r="G2370">
        <f t="shared" ca="1" si="73"/>
        <v>0</v>
      </c>
    </row>
    <row r="2371" spans="1:7">
      <c r="A2371">
        <v>792</v>
      </c>
      <c r="B2371" t="s">
        <v>102</v>
      </c>
      <c r="C2371" t="s">
        <v>146</v>
      </c>
      <c r="D2371" s="9">
        <v>40073.53597222222</v>
      </c>
      <c r="F2371">
        <f t="shared" ref="F2371:F2434" ca="1" si="74">YEARFRAC(TODAY(),$D2371)</f>
        <v>5.3666666666666663</v>
      </c>
      <c r="G2371">
        <f t="shared" ref="G2371:G2434" ca="1" si="75">IF($F2371&lt;1,1,0)</f>
        <v>0</v>
      </c>
    </row>
    <row r="2372" spans="1:7">
      <c r="A2372">
        <v>796</v>
      </c>
      <c r="B2372" t="s">
        <v>11</v>
      </c>
      <c r="C2372" t="s">
        <v>146</v>
      </c>
      <c r="D2372" s="9">
        <v>40030.719618055555</v>
      </c>
      <c r="F2372">
        <f t="shared" ca="1" si="74"/>
        <v>5.4833333333333334</v>
      </c>
      <c r="G2372">
        <f t="shared" ca="1" si="75"/>
        <v>0</v>
      </c>
    </row>
    <row r="2373" spans="1:7">
      <c r="A2373">
        <v>797</v>
      </c>
      <c r="B2373" t="s">
        <v>102</v>
      </c>
      <c r="C2373" t="s">
        <v>146</v>
      </c>
      <c r="D2373" s="9">
        <v>40065.579340277778</v>
      </c>
      <c r="F2373">
        <f t="shared" ca="1" si="74"/>
        <v>5.3888888888888893</v>
      </c>
      <c r="G2373">
        <f t="shared" ca="1" si="75"/>
        <v>0</v>
      </c>
    </row>
    <row r="2374" spans="1:7">
      <c r="A2374">
        <v>798</v>
      </c>
      <c r="B2374" t="s">
        <v>102</v>
      </c>
      <c r="C2374" t="s">
        <v>146</v>
      </c>
      <c r="D2374" s="9">
        <v>40049.583773148152</v>
      </c>
      <c r="F2374">
        <f t="shared" ca="1" si="74"/>
        <v>5.4305555555555554</v>
      </c>
      <c r="G2374">
        <f t="shared" ca="1" si="75"/>
        <v>0</v>
      </c>
    </row>
    <row r="2375" spans="1:7">
      <c r="A2375">
        <v>800</v>
      </c>
      <c r="B2375" t="s">
        <v>102</v>
      </c>
      <c r="C2375" t="s">
        <v>146</v>
      </c>
      <c r="D2375" s="9">
        <v>40049.4684837963</v>
      </c>
      <c r="F2375">
        <f t="shared" ca="1" si="74"/>
        <v>5.4305555555555554</v>
      </c>
      <c r="G2375">
        <f t="shared" ca="1" si="75"/>
        <v>0</v>
      </c>
    </row>
    <row r="2376" spans="1:7">
      <c r="A2376">
        <v>801</v>
      </c>
      <c r="B2376" t="s">
        <v>8</v>
      </c>
      <c r="C2376" t="s">
        <v>146</v>
      </c>
      <c r="D2376" s="9">
        <v>40053.54246527778</v>
      </c>
      <c r="F2376">
        <f t="shared" ca="1" si="74"/>
        <v>5.4194444444444443</v>
      </c>
      <c r="G2376">
        <f t="shared" ca="1" si="75"/>
        <v>0</v>
      </c>
    </row>
    <row r="2377" spans="1:7">
      <c r="A2377">
        <v>802</v>
      </c>
      <c r="B2377" t="s">
        <v>8</v>
      </c>
      <c r="C2377" t="s">
        <v>146</v>
      </c>
      <c r="D2377" s="9">
        <v>40053.541956018518</v>
      </c>
      <c r="F2377">
        <f t="shared" ca="1" si="74"/>
        <v>5.4194444444444443</v>
      </c>
      <c r="G2377">
        <f t="shared" ca="1" si="75"/>
        <v>0</v>
      </c>
    </row>
    <row r="2378" spans="1:7">
      <c r="A2378">
        <v>806</v>
      </c>
      <c r="B2378" t="s">
        <v>11</v>
      </c>
      <c r="C2378" t="s">
        <v>146</v>
      </c>
      <c r="D2378" s="9">
        <v>40053.713842592595</v>
      </c>
      <c r="F2378">
        <f t="shared" ca="1" si="74"/>
        <v>5.4194444444444443</v>
      </c>
      <c r="G2378">
        <f t="shared" ca="1" si="75"/>
        <v>0</v>
      </c>
    </row>
    <row r="2379" spans="1:7">
      <c r="A2379">
        <v>808</v>
      </c>
      <c r="B2379" t="s">
        <v>11</v>
      </c>
      <c r="C2379" t="s">
        <v>146</v>
      </c>
      <c r="D2379" s="9">
        <v>40036.73028935185</v>
      </c>
      <c r="F2379">
        <f t="shared" ca="1" si="74"/>
        <v>5.4666666666666668</v>
      </c>
      <c r="G2379">
        <f t="shared" ca="1" si="75"/>
        <v>0</v>
      </c>
    </row>
    <row r="2380" spans="1:7">
      <c r="A2380">
        <v>809</v>
      </c>
      <c r="B2380" t="s">
        <v>91</v>
      </c>
      <c r="C2380" t="s">
        <v>146</v>
      </c>
      <c r="D2380" s="9">
        <v>40040.368518518517</v>
      </c>
      <c r="F2380">
        <f t="shared" ca="1" si="74"/>
        <v>5.4555555555555557</v>
      </c>
      <c r="G2380">
        <f t="shared" ca="1" si="75"/>
        <v>0</v>
      </c>
    </row>
    <row r="2381" spans="1:7">
      <c r="A2381">
        <v>810</v>
      </c>
      <c r="B2381" t="s">
        <v>8</v>
      </c>
      <c r="C2381" t="s">
        <v>146</v>
      </c>
      <c r="D2381" s="9">
        <v>40037.822245370371</v>
      </c>
      <c r="F2381">
        <f t="shared" ca="1" si="74"/>
        <v>5.4638888888888886</v>
      </c>
      <c r="G2381">
        <f t="shared" ca="1" si="75"/>
        <v>0</v>
      </c>
    </row>
    <row r="2382" spans="1:7">
      <c r="A2382">
        <v>811</v>
      </c>
      <c r="B2382" t="s">
        <v>91</v>
      </c>
      <c r="C2382" t="s">
        <v>145</v>
      </c>
      <c r="D2382" s="9">
        <v>40183.43409722222</v>
      </c>
      <c r="F2382">
        <f t="shared" ca="1" si="74"/>
        <v>5.0666666666666664</v>
      </c>
      <c r="G2382">
        <f t="shared" ca="1" si="75"/>
        <v>0</v>
      </c>
    </row>
    <row r="2383" spans="1:7">
      <c r="A2383">
        <v>812</v>
      </c>
      <c r="B2383" t="s">
        <v>102</v>
      </c>
      <c r="C2383" t="s">
        <v>146</v>
      </c>
      <c r="D2383" s="9">
        <v>40071.384548611109</v>
      </c>
      <c r="F2383">
        <f t="shared" ca="1" si="74"/>
        <v>5.3722222222222218</v>
      </c>
      <c r="G2383">
        <f t="shared" ca="1" si="75"/>
        <v>0</v>
      </c>
    </row>
    <row r="2384" spans="1:7">
      <c r="A2384">
        <v>814</v>
      </c>
      <c r="B2384" t="s">
        <v>102</v>
      </c>
      <c r="C2384" t="s">
        <v>146</v>
      </c>
      <c r="D2384" s="9">
        <v>40039.472719907404</v>
      </c>
      <c r="F2384">
        <f t="shared" ca="1" si="74"/>
        <v>5.458333333333333</v>
      </c>
      <c r="G2384">
        <f t="shared" ca="1" si="75"/>
        <v>0</v>
      </c>
    </row>
    <row r="2385" spans="1:7">
      <c r="A2385">
        <v>815</v>
      </c>
      <c r="B2385" t="s">
        <v>91</v>
      </c>
      <c r="C2385" t="s">
        <v>138</v>
      </c>
      <c r="D2385" s="9">
        <v>40095.706307870372</v>
      </c>
      <c r="F2385">
        <f t="shared" ca="1" si="74"/>
        <v>5.3055555555555554</v>
      </c>
      <c r="G2385">
        <f t="shared" ca="1" si="75"/>
        <v>0</v>
      </c>
    </row>
    <row r="2386" spans="1:7">
      <c r="A2386">
        <v>816</v>
      </c>
      <c r="B2386" t="s">
        <v>8</v>
      </c>
      <c r="C2386" t="s">
        <v>146</v>
      </c>
      <c r="D2386" s="9">
        <v>40085.426562499997</v>
      </c>
      <c r="F2386">
        <f t="shared" ca="1" si="74"/>
        <v>5.333333333333333</v>
      </c>
      <c r="G2386">
        <f t="shared" ca="1" si="75"/>
        <v>0</v>
      </c>
    </row>
    <row r="2387" spans="1:7">
      <c r="A2387">
        <v>817</v>
      </c>
      <c r="B2387" t="s">
        <v>34</v>
      </c>
      <c r="C2387" t="s">
        <v>146</v>
      </c>
      <c r="D2387" s="9">
        <v>40043.439236111109</v>
      </c>
      <c r="F2387">
        <f t="shared" ca="1" si="74"/>
        <v>5.447222222222222</v>
      </c>
      <c r="G2387">
        <f t="shared" ca="1" si="75"/>
        <v>0</v>
      </c>
    </row>
    <row r="2388" spans="1:7">
      <c r="A2388">
        <v>819</v>
      </c>
      <c r="B2388" t="s">
        <v>102</v>
      </c>
      <c r="C2388" t="s">
        <v>146</v>
      </c>
      <c r="D2388" s="9">
        <v>40039.472858796296</v>
      </c>
      <c r="F2388">
        <f t="shared" ca="1" si="74"/>
        <v>5.458333333333333</v>
      </c>
      <c r="G2388">
        <f t="shared" ca="1" si="75"/>
        <v>0</v>
      </c>
    </row>
    <row r="2389" spans="1:7">
      <c r="A2389">
        <v>820</v>
      </c>
      <c r="B2389" t="s">
        <v>11</v>
      </c>
      <c r="C2389" t="s">
        <v>146</v>
      </c>
      <c r="D2389" s="9">
        <v>40039.50172453704</v>
      </c>
      <c r="F2389">
        <f t="shared" ca="1" si="74"/>
        <v>5.458333333333333</v>
      </c>
      <c r="G2389">
        <f t="shared" ca="1" si="75"/>
        <v>0</v>
      </c>
    </row>
    <row r="2390" spans="1:7">
      <c r="A2390">
        <v>823</v>
      </c>
      <c r="B2390" t="s">
        <v>112</v>
      </c>
      <c r="C2390" t="s">
        <v>146</v>
      </c>
      <c r="D2390" s="9">
        <v>40060.736192129632</v>
      </c>
      <c r="F2390">
        <f t="shared" ca="1" si="74"/>
        <v>5.4027777777777777</v>
      </c>
      <c r="G2390">
        <f t="shared" ca="1" si="75"/>
        <v>0</v>
      </c>
    </row>
    <row r="2391" spans="1:7">
      <c r="A2391">
        <v>825</v>
      </c>
      <c r="B2391" t="s">
        <v>8</v>
      </c>
      <c r="C2391" t="s">
        <v>136</v>
      </c>
      <c r="D2391" s="9">
        <v>40414.495497685188</v>
      </c>
      <c r="E2391" t="s">
        <v>44</v>
      </c>
      <c r="F2391">
        <f t="shared" ca="1" si="74"/>
        <v>4.4305555555555554</v>
      </c>
      <c r="G2391">
        <f t="shared" ca="1" si="75"/>
        <v>0</v>
      </c>
    </row>
    <row r="2392" spans="1:7">
      <c r="A2392">
        <v>826</v>
      </c>
      <c r="B2392" t="s">
        <v>102</v>
      </c>
      <c r="C2392" t="s">
        <v>146</v>
      </c>
      <c r="D2392" s="9">
        <v>40049.472650462965</v>
      </c>
      <c r="F2392">
        <f t="shared" ca="1" si="74"/>
        <v>5.4305555555555554</v>
      </c>
      <c r="G2392">
        <f t="shared" ca="1" si="75"/>
        <v>0</v>
      </c>
    </row>
    <row r="2393" spans="1:7">
      <c r="A2393">
        <v>827</v>
      </c>
      <c r="B2393" t="s">
        <v>103</v>
      </c>
      <c r="C2393" t="s">
        <v>146</v>
      </c>
      <c r="D2393" s="9">
        <v>40051.537986111114</v>
      </c>
      <c r="F2393">
        <f t="shared" ca="1" si="74"/>
        <v>5.4249999999999998</v>
      </c>
      <c r="G2393">
        <f t="shared" ca="1" si="75"/>
        <v>0</v>
      </c>
    </row>
    <row r="2394" spans="1:7">
      <c r="A2394">
        <v>828</v>
      </c>
      <c r="B2394" t="s">
        <v>8</v>
      </c>
      <c r="C2394" t="s">
        <v>146</v>
      </c>
      <c r="D2394" s="9">
        <v>40050.590358796297</v>
      </c>
      <c r="F2394">
        <f t="shared" ca="1" si="74"/>
        <v>5.427777777777778</v>
      </c>
      <c r="G2394">
        <f t="shared" ca="1" si="75"/>
        <v>0</v>
      </c>
    </row>
    <row r="2395" spans="1:7">
      <c r="A2395">
        <v>829</v>
      </c>
      <c r="B2395" t="s">
        <v>36</v>
      </c>
      <c r="C2395" t="s">
        <v>132</v>
      </c>
      <c r="D2395" s="9">
        <v>40659.684398148151</v>
      </c>
      <c r="E2395" t="s">
        <v>19</v>
      </c>
      <c r="F2395">
        <f t="shared" ca="1" si="74"/>
        <v>3.7583333333333333</v>
      </c>
      <c r="G2395">
        <f t="shared" ca="1" si="75"/>
        <v>0</v>
      </c>
    </row>
    <row r="2396" spans="1:7">
      <c r="A2396">
        <v>830</v>
      </c>
      <c r="B2396" t="s">
        <v>34</v>
      </c>
      <c r="C2396" t="s">
        <v>146</v>
      </c>
      <c r="D2396" s="9">
        <v>40045.472442129627</v>
      </c>
      <c r="F2396">
        <f t="shared" ca="1" si="74"/>
        <v>5.4416666666666664</v>
      </c>
      <c r="G2396">
        <f t="shared" ca="1" si="75"/>
        <v>0</v>
      </c>
    </row>
    <row r="2397" spans="1:7">
      <c r="A2397">
        <v>832</v>
      </c>
      <c r="B2397" t="s">
        <v>102</v>
      </c>
      <c r="C2397" t="s">
        <v>146</v>
      </c>
      <c r="D2397" s="9">
        <v>40085.426562499997</v>
      </c>
      <c r="F2397">
        <f t="shared" ca="1" si="74"/>
        <v>5.333333333333333</v>
      </c>
      <c r="G2397">
        <f t="shared" ca="1" si="75"/>
        <v>0</v>
      </c>
    </row>
    <row r="2398" spans="1:7">
      <c r="A2398">
        <v>835</v>
      </c>
      <c r="B2398" t="s">
        <v>101</v>
      </c>
      <c r="C2398" t="s">
        <v>145</v>
      </c>
      <c r="D2398" s="9">
        <v>40218.435162037036</v>
      </c>
      <c r="F2398">
        <f t="shared" ca="1" si="74"/>
        <v>4.9722222222222223</v>
      </c>
      <c r="G2398">
        <f t="shared" ca="1" si="75"/>
        <v>0</v>
      </c>
    </row>
    <row r="2399" spans="1:7">
      <c r="A2399">
        <v>836</v>
      </c>
      <c r="B2399" t="s">
        <v>11</v>
      </c>
      <c r="C2399" t="s">
        <v>146</v>
      </c>
      <c r="D2399" s="9">
        <v>40060.653414351851</v>
      </c>
      <c r="F2399">
        <f t="shared" ca="1" si="74"/>
        <v>5.4027777777777777</v>
      </c>
      <c r="G2399">
        <f t="shared" ca="1" si="75"/>
        <v>0</v>
      </c>
    </row>
    <row r="2400" spans="1:7">
      <c r="A2400">
        <v>837</v>
      </c>
      <c r="B2400" t="s">
        <v>8</v>
      </c>
      <c r="C2400" t="s">
        <v>146</v>
      </c>
      <c r="D2400" s="9">
        <v>40072.50503472222</v>
      </c>
      <c r="F2400">
        <f t="shared" ca="1" si="74"/>
        <v>5.3694444444444445</v>
      </c>
      <c r="G2400">
        <f t="shared" ca="1" si="75"/>
        <v>0</v>
      </c>
    </row>
    <row r="2401" spans="1:7">
      <c r="A2401">
        <v>838</v>
      </c>
      <c r="B2401" t="s">
        <v>8</v>
      </c>
      <c r="C2401" t="s">
        <v>146</v>
      </c>
      <c r="D2401" s="9">
        <v>40053.597280092596</v>
      </c>
      <c r="F2401">
        <f t="shared" ca="1" si="74"/>
        <v>5.4194444444444443</v>
      </c>
      <c r="G2401">
        <f t="shared" ca="1" si="75"/>
        <v>0</v>
      </c>
    </row>
    <row r="2402" spans="1:7">
      <c r="A2402">
        <v>840</v>
      </c>
      <c r="B2402" t="s">
        <v>101</v>
      </c>
      <c r="C2402" t="s">
        <v>146</v>
      </c>
      <c r="D2402" s="9">
        <v>40081.5153125</v>
      </c>
      <c r="F2402">
        <f t="shared" ca="1" si="74"/>
        <v>5.3444444444444441</v>
      </c>
      <c r="G2402">
        <f t="shared" ca="1" si="75"/>
        <v>0</v>
      </c>
    </row>
    <row r="2403" spans="1:7">
      <c r="A2403">
        <v>841</v>
      </c>
      <c r="B2403" t="s">
        <v>101</v>
      </c>
      <c r="C2403" t="s">
        <v>135</v>
      </c>
      <c r="D2403" s="9">
        <v>41618.678310185183</v>
      </c>
      <c r="F2403">
        <f t="shared" ca="1" si="74"/>
        <v>1.1361111111111111</v>
      </c>
      <c r="G2403">
        <f t="shared" ca="1" si="75"/>
        <v>0</v>
      </c>
    </row>
    <row r="2404" spans="1:7">
      <c r="A2404">
        <v>842</v>
      </c>
      <c r="B2404" t="s">
        <v>102</v>
      </c>
      <c r="C2404" t="s">
        <v>146</v>
      </c>
      <c r="D2404" s="9">
        <v>40085.426574074074</v>
      </c>
      <c r="F2404">
        <f t="shared" ca="1" si="74"/>
        <v>5.333333333333333</v>
      </c>
      <c r="G2404">
        <f t="shared" ca="1" si="75"/>
        <v>0</v>
      </c>
    </row>
    <row r="2405" spans="1:7">
      <c r="A2405">
        <v>843</v>
      </c>
      <c r="B2405" t="s">
        <v>112</v>
      </c>
      <c r="C2405" t="s">
        <v>145</v>
      </c>
      <c r="D2405" s="9">
        <v>40217.45752314815</v>
      </c>
      <c r="F2405">
        <f t="shared" ca="1" si="74"/>
        <v>4.9749999999999996</v>
      </c>
      <c r="G2405">
        <f t="shared" ca="1" si="75"/>
        <v>0</v>
      </c>
    </row>
    <row r="2406" spans="1:7">
      <c r="A2406">
        <v>844</v>
      </c>
      <c r="B2406" t="s">
        <v>8</v>
      </c>
      <c r="C2406" t="s">
        <v>146</v>
      </c>
      <c r="D2406" s="9">
        <v>40072.454618055555</v>
      </c>
      <c r="F2406">
        <f t="shared" ca="1" si="74"/>
        <v>5.3694444444444445</v>
      </c>
      <c r="G2406">
        <f t="shared" ca="1" si="75"/>
        <v>0</v>
      </c>
    </row>
    <row r="2407" spans="1:7">
      <c r="A2407">
        <v>845</v>
      </c>
      <c r="B2407" t="s">
        <v>8</v>
      </c>
      <c r="C2407" t="s">
        <v>146</v>
      </c>
      <c r="D2407" s="9">
        <v>40058.627488425926</v>
      </c>
      <c r="F2407">
        <f t="shared" ca="1" si="74"/>
        <v>5.4083333333333332</v>
      </c>
      <c r="G2407">
        <f t="shared" ca="1" si="75"/>
        <v>0</v>
      </c>
    </row>
    <row r="2408" spans="1:7">
      <c r="A2408">
        <v>846</v>
      </c>
      <c r="B2408" t="s">
        <v>11</v>
      </c>
      <c r="C2408" t="s">
        <v>146</v>
      </c>
      <c r="D2408" s="9">
        <v>40063.5705787037</v>
      </c>
      <c r="F2408">
        <f t="shared" ca="1" si="74"/>
        <v>5.3944444444444448</v>
      </c>
      <c r="G2408">
        <f t="shared" ca="1" si="75"/>
        <v>0</v>
      </c>
    </row>
    <row r="2409" spans="1:7">
      <c r="A2409">
        <v>851</v>
      </c>
      <c r="B2409" t="s">
        <v>11</v>
      </c>
      <c r="C2409" t="s">
        <v>135</v>
      </c>
      <c r="D2409" s="9">
        <v>40267.591932870368</v>
      </c>
      <c r="F2409">
        <f t="shared" ca="1" si="74"/>
        <v>4.8305555555555557</v>
      </c>
      <c r="G2409">
        <f t="shared" ca="1" si="75"/>
        <v>0</v>
      </c>
    </row>
    <row r="2410" spans="1:7">
      <c r="A2410">
        <v>853</v>
      </c>
      <c r="B2410" t="s">
        <v>34</v>
      </c>
      <c r="C2410" t="s">
        <v>137</v>
      </c>
      <c r="D2410" s="9">
        <v>40339.630914351852</v>
      </c>
      <c r="F2410">
        <f t="shared" ca="1" si="74"/>
        <v>4.6361111111111111</v>
      </c>
      <c r="G2410">
        <f t="shared" ca="1" si="75"/>
        <v>0</v>
      </c>
    </row>
    <row r="2411" spans="1:7">
      <c r="A2411">
        <v>854</v>
      </c>
      <c r="B2411" t="s">
        <v>34</v>
      </c>
      <c r="C2411" t="s">
        <v>138</v>
      </c>
      <c r="D2411" s="9">
        <v>40142.705324074072</v>
      </c>
      <c r="F2411">
        <f t="shared" ca="1" si="74"/>
        <v>5.177777777777778</v>
      </c>
      <c r="G2411">
        <f t="shared" ca="1" si="75"/>
        <v>0</v>
      </c>
    </row>
    <row r="2412" spans="1:7">
      <c r="A2412">
        <v>855</v>
      </c>
      <c r="B2412" t="s">
        <v>101</v>
      </c>
      <c r="C2412" t="s">
        <v>135</v>
      </c>
      <c r="D2412" s="9">
        <v>40269.611678240741</v>
      </c>
      <c r="F2412">
        <f t="shared" ca="1" si="74"/>
        <v>4.8277777777777775</v>
      </c>
      <c r="G2412">
        <f t="shared" ca="1" si="75"/>
        <v>0</v>
      </c>
    </row>
    <row r="2413" spans="1:7">
      <c r="A2413">
        <v>858</v>
      </c>
      <c r="B2413" t="s">
        <v>34</v>
      </c>
      <c r="C2413" t="s">
        <v>135</v>
      </c>
      <c r="D2413" s="9">
        <v>40274.405995370369</v>
      </c>
      <c r="F2413">
        <f t="shared" ca="1" si="74"/>
        <v>4.8138888888888891</v>
      </c>
      <c r="G2413">
        <f t="shared" ca="1" si="75"/>
        <v>0</v>
      </c>
    </row>
    <row r="2414" spans="1:7">
      <c r="A2414">
        <v>861</v>
      </c>
      <c r="B2414" t="s">
        <v>8</v>
      </c>
      <c r="C2414" t="s">
        <v>132</v>
      </c>
      <c r="D2414" s="9">
        <v>40660.706550925926</v>
      </c>
      <c r="E2414" t="s">
        <v>11</v>
      </c>
      <c r="F2414">
        <f t="shared" ca="1" si="74"/>
        <v>3.7555555555555555</v>
      </c>
      <c r="G2414">
        <f t="shared" ca="1" si="75"/>
        <v>0</v>
      </c>
    </row>
    <row r="2415" spans="1:7">
      <c r="A2415">
        <v>865</v>
      </c>
      <c r="B2415" t="s">
        <v>38</v>
      </c>
      <c r="C2415" t="s">
        <v>145</v>
      </c>
      <c r="D2415" s="9">
        <v>40163.721400462964</v>
      </c>
      <c r="F2415">
        <f t="shared" ca="1" si="74"/>
        <v>5.1194444444444445</v>
      </c>
      <c r="G2415">
        <f t="shared" ca="1" si="75"/>
        <v>0</v>
      </c>
    </row>
    <row r="2416" spans="1:7">
      <c r="A2416">
        <v>868</v>
      </c>
      <c r="B2416" t="s">
        <v>11</v>
      </c>
      <c r="C2416" t="s">
        <v>146</v>
      </c>
      <c r="D2416" s="9">
        <v>40065.53979166667</v>
      </c>
      <c r="F2416">
        <f t="shared" ca="1" si="74"/>
        <v>5.3888888888888893</v>
      </c>
      <c r="G2416">
        <f t="shared" ca="1" si="75"/>
        <v>0</v>
      </c>
    </row>
    <row r="2417" spans="1:7">
      <c r="A2417">
        <v>869</v>
      </c>
      <c r="B2417" t="s">
        <v>38</v>
      </c>
      <c r="C2417" t="s">
        <v>145</v>
      </c>
      <c r="D2417" s="9">
        <v>40163.721226851849</v>
      </c>
      <c r="F2417">
        <f t="shared" ca="1" si="74"/>
        <v>5.1194444444444445</v>
      </c>
      <c r="G2417">
        <f t="shared" ca="1" si="75"/>
        <v>0</v>
      </c>
    </row>
    <row r="2418" spans="1:7">
      <c r="A2418">
        <v>873</v>
      </c>
      <c r="B2418" t="s">
        <v>8</v>
      </c>
      <c r="C2418" t="s">
        <v>146</v>
      </c>
      <c r="D2418" s="9">
        <v>40070.548958333333</v>
      </c>
      <c r="F2418">
        <f t="shared" ca="1" si="74"/>
        <v>5.375</v>
      </c>
      <c r="G2418">
        <f t="shared" ca="1" si="75"/>
        <v>0</v>
      </c>
    </row>
    <row r="2419" spans="1:7">
      <c r="A2419">
        <v>875</v>
      </c>
      <c r="B2419" t="s">
        <v>77</v>
      </c>
      <c r="C2419" t="s">
        <v>146</v>
      </c>
      <c r="D2419" s="9">
        <v>40067.773657407408</v>
      </c>
      <c r="F2419">
        <f t="shared" ca="1" si="74"/>
        <v>5.3833333333333337</v>
      </c>
      <c r="G2419">
        <f t="shared" ca="1" si="75"/>
        <v>0</v>
      </c>
    </row>
    <row r="2420" spans="1:7">
      <c r="A2420">
        <v>876</v>
      </c>
      <c r="B2420" t="s">
        <v>77</v>
      </c>
      <c r="C2420" t="s">
        <v>146</v>
      </c>
      <c r="D2420" s="9">
        <v>40071.425509259258</v>
      </c>
      <c r="F2420">
        <f t="shared" ca="1" si="74"/>
        <v>5.3722222222222218</v>
      </c>
      <c r="G2420">
        <f t="shared" ca="1" si="75"/>
        <v>0</v>
      </c>
    </row>
    <row r="2421" spans="1:7">
      <c r="A2421">
        <v>877</v>
      </c>
      <c r="B2421" t="s">
        <v>8</v>
      </c>
      <c r="C2421" t="s">
        <v>146</v>
      </c>
      <c r="D2421" s="9">
        <v>40085.426574074074</v>
      </c>
      <c r="F2421">
        <f t="shared" ca="1" si="74"/>
        <v>5.333333333333333</v>
      </c>
      <c r="G2421">
        <f t="shared" ca="1" si="75"/>
        <v>0</v>
      </c>
    </row>
    <row r="2422" spans="1:7">
      <c r="A2422">
        <v>879</v>
      </c>
      <c r="B2422" t="s">
        <v>11</v>
      </c>
      <c r="C2422" t="s">
        <v>146</v>
      </c>
      <c r="D2422" s="9">
        <v>40071.680381944447</v>
      </c>
      <c r="F2422">
        <f t="shared" ca="1" si="74"/>
        <v>5.3722222222222218</v>
      </c>
      <c r="G2422">
        <f t="shared" ca="1" si="75"/>
        <v>0</v>
      </c>
    </row>
    <row r="2423" spans="1:7">
      <c r="A2423">
        <v>880</v>
      </c>
      <c r="B2423" t="s">
        <v>8</v>
      </c>
      <c r="C2423" t="s">
        <v>146</v>
      </c>
      <c r="D2423" s="9">
        <v>40072.453958333332</v>
      </c>
      <c r="F2423">
        <f t="shared" ca="1" si="74"/>
        <v>5.3694444444444445</v>
      </c>
      <c r="G2423">
        <f t="shared" ca="1" si="75"/>
        <v>0</v>
      </c>
    </row>
    <row r="2424" spans="1:7">
      <c r="A2424">
        <v>881</v>
      </c>
      <c r="B2424" t="s">
        <v>8</v>
      </c>
      <c r="C2424" t="s">
        <v>146</v>
      </c>
      <c r="D2424" s="9">
        <v>40072.37568287037</v>
      </c>
      <c r="F2424">
        <f t="shared" ca="1" si="74"/>
        <v>5.3694444444444445</v>
      </c>
      <c r="G2424">
        <f t="shared" ca="1" si="75"/>
        <v>0</v>
      </c>
    </row>
    <row r="2425" spans="1:7">
      <c r="A2425">
        <v>882</v>
      </c>
      <c r="B2425" t="s">
        <v>112</v>
      </c>
      <c r="C2425" t="s">
        <v>146</v>
      </c>
      <c r="D2425" s="9">
        <v>40072.455694444441</v>
      </c>
      <c r="F2425">
        <f t="shared" ca="1" si="74"/>
        <v>5.3694444444444445</v>
      </c>
      <c r="G2425">
        <f t="shared" ca="1" si="75"/>
        <v>0</v>
      </c>
    </row>
    <row r="2426" spans="1:7">
      <c r="A2426">
        <v>883</v>
      </c>
      <c r="B2426" t="s">
        <v>11</v>
      </c>
      <c r="C2426" t="s">
        <v>135</v>
      </c>
      <c r="D2426" s="9">
        <v>40274.411631944444</v>
      </c>
      <c r="F2426">
        <f t="shared" ca="1" si="74"/>
        <v>4.8138888888888891</v>
      </c>
      <c r="G2426">
        <f t="shared" ca="1" si="75"/>
        <v>0</v>
      </c>
    </row>
    <row r="2427" spans="1:7">
      <c r="A2427">
        <v>884</v>
      </c>
      <c r="B2427" t="s">
        <v>8</v>
      </c>
      <c r="C2427" t="s">
        <v>138</v>
      </c>
      <c r="D2427" s="9">
        <v>40134.651331018518</v>
      </c>
      <c r="F2427">
        <f t="shared" ca="1" si="74"/>
        <v>5.2</v>
      </c>
      <c r="G2427">
        <f t="shared" ca="1" si="75"/>
        <v>0</v>
      </c>
    </row>
    <row r="2428" spans="1:7">
      <c r="A2428">
        <v>885</v>
      </c>
      <c r="B2428" t="s">
        <v>8</v>
      </c>
      <c r="C2428" t="s">
        <v>146</v>
      </c>
      <c r="D2428" s="9">
        <v>40074.726643518516</v>
      </c>
      <c r="F2428">
        <f t="shared" ca="1" si="74"/>
        <v>5.3638888888888889</v>
      </c>
      <c r="G2428">
        <f t="shared" ca="1" si="75"/>
        <v>0</v>
      </c>
    </row>
    <row r="2429" spans="1:7">
      <c r="A2429">
        <v>886</v>
      </c>
      <c r="B2429" t="s">
        <v>8</v>
      </c>
      <c r="C2429" t="s">
        <v>146</v>
      </c>
      <c r="D2429" s="9">
        <v>40077.464444444442</v>
      </c>
      <c r="F2429">
        <f t="shared" ca="1" si="74"/>
        <v>5.3555555555555552</v>
      </c>
      <c r="G2429">
        <f t="shared" ca="1" si="75"/>
        <v>0</v>
      </c>
    </row>
    <row r="2430" spans="1:7">
      <c r="A2430">
        <v>889</v>
      </c>
      <c r="B2430" t="s">
        <v>34</v>
      </c>
      <c r="C2430" t="s">
        <v>146</v>
      </c>
      <c r="D2430" s="9">
        <v>40085.426574074074</v>
      </c>
      <c r="F2430">
        <f t="shared" ca="1" si="74"/>
        <v>5.333333333333333</v>
      </c>
      <c r="G2430">
        <f t="shared" ca="1" si="75"/>
        <v>0</v>
      </c>
    </row>
    <row r="2431" spans="1:7">
      <c r="A2431">
        <v>890</v>
      </c>
      <c r="B2431" t="s">
        <v>8</v>
      </c>
      <c r="C2431" t="s">
        <v>146</v>
      </c>
      <c r="D2431" s="9">
        <v>40072.696817129632</v>
      </c>
      <c r="F2431">
        <f t="shared" ca="1" si="74"/>
        <v>5.3694444444444445</v>
      </c>
      <c r="G2431">
        <f t="shared" ca="1" si="75"/>
        <v>0</v>
      </c>
    </row>
    <row r="2432" spans="1:7">
      <c r="A2432">
        <v>891</v>
      </c>
      <c r="B2432" t="s">
        <v>11</v>
      </c>
      <c r="C2432" t="s">
        <v>146</v>
      </c>
      <c r="D2432" s="9">
        <v>40072.721597222226</v>
      </c>
      <c r="F2432">
        <f t="shared" ca="1" si="74"/>
        <v>5.3694444444444445</v>
      </c>
      <c r="G2432">
        <f t="shared" ca="1" si="75"/>
        <v>0</v>
      </c>
    </row>
    <row r="2433" spans="1:7">
      <c r="A2433">
        <v>892</v>
      </c>
      <c r="B2433" t="s">
        <v>91</v>
      </c>
      <c r="C2433" t="s">
        <v>145</v>
      </c>
      <c r="D2433" s="9">
        <v>40183.435104166667</v>
      </c>
      <c r="F2433">
        <f t="shared" ca="1" si="74"/>
        <v>5.0666666666666664</v>
      </c>
      <c r="G2433">
        <f t="shared" ca="1" si="75"/>
        <v>0</v>
      </c>
    </row>
    <row r="2434" spans="1:7">
      <c r="A2434">
        <v>893</v>
      </c>
      <c r="B2434" t="s">
        <v>11</v>
      </c>
      <c r="C2434" t="s">
        <v>135</v>
      </c>
      <c r="D2434" s="9">
        <v>40274.616909722223</v>
      </c>
      <c r="F2434">
        <f t="shared" ca="1" si="74"/>
        <v>4.8138888888888891</v>
      </c>
      <c r="G2434">
        <f t="shared" ca="1" si="75"/>
        <v>0</v>
      </c>
    </row>
    <row r="2435" spans="1:7">
      <c r="A2435">
        <v>894</v>
      </c>
      <c r="C2435" t="s">
        <v>146</v>
      </c>
      <c r="D2435" s="9">
        <v>40085.426574074074</v>
      </c>
      <c r="F2435">
        <f t="shared" ref="F2435:F2498" ca="1" si="76">YEARFRAC(TODAY(),$D2435)</f>
        <v>5.333333333333333</v>
      </c>
      <c r="G2435">
        <f t="shared" ref="G2435:G2498" ca="1" si="77">IF($F2435&lt;1,1,0)</f>
        <v>0</v>
      </c>
    </row>
    <row r="2436" spans="1:7">
      <c r="A2436">
        <v>895</v>
      </c>
      <c r="B2436" t="s">
        <v>8</v>
      </c>
      <c r="C2436" t="s">
        <v>146</v>
      </c>
      <c r="D2436" s="9">
        <v>40085.426585648151</v>
      </c>
      <c r="F2436">
        <f t="shared" ca="1" si="76"/>
        <v>5.333333333333333</v>
      </c>
      <c r="G2436">
        <f t="shared" ca="1" si="77"/>
        <v>0</v>
      </c>
    </row>
    <row r="2437" spans="1:7">
      <c r="A2437">
        <v>896</v>
      </c>
      <c r="B2437" t="s">
        <v>11</v>
      </c>
      <c r="C2437" t="s">
        <v>146</v>
      </c>
      <c r="D2437" s="9">
        <v>40077.519756944443</v>
      </c>
      <c r="F2437">
        <f t="shared" ca="1" si="76"/>
        <v>5.3555555555555552</v>
      </c>
      <c r="G2437">
        <f t="shared" ca="1" si="77"/>
        <v>0</v>
      </c>
    </row>
    <row r="2438" spans="1:7">
      <c r="A2438">
        <v>897</v>
      </c>
      <c r="B2438" t="s">
        <v>8</v>
      </c>
      <c r="C2438" t="s">
        <v>146</v>
      </c>
      <c r="D2438" s="9">
        <v>40085.426585648151</v>
      </c>
      <c r="F2438">
        <f t="shared" ca="1" si="76"/>
        <v>5.333333333333333</v>
      </c>
      <c r="G2438">
        <f t="shared" ca="1" si="77"/>
        <v>0</v>
      </c>
    </row>
    <row r="2439" spans="1:7">
      <c r="A2439">
        <v>898</v>
      </c>
      <c r="B2439" t="s">
        <v>11</v>
      </c>
      <c r="C2439" t="s">
        <v>146</v>
      </c>
      <c r="D2439" s="9">
        <v>40078.455381944441</v>
      </c>
      <c r="F2439">
        <f t="shared" ca="1" si="76"/>
        <v>5.3527777777777779</v>
      </c>
      <c r="G2439">
        <f t="shared" ca="1" si="77"/>
        <v>0</v>
      </c>
    </row>
    <row r="2440" spans="1:7">
      <c r="A2440">
        <v>899</v>
      </c>
      <c r="B2440" t="s">
        <v>8</v>
      </c>
      <c r="C2440" t="s">
        <v>146</v>
      </c>
      <c r="D2440" s="9">
        <v>40085.426585648151</v>
      </c>
      <c r="F2440">
        <f t="shared" ca="1" si="76"/>
        <v>5.333333333333333</v>
      </c>
      <c r="G2440">
        <f t="shared" ca="1" si="77"/>
        <v>0</v>
      </c>
    </row>
    <row r="2441" spans="1:7">
      <c r="A2441">
        <v>901</v>
      </c>
      <c r="B2441" t="s">
        <v>11</v>
      </c>
      <c r="C2441" t="s">
        <v>146</v>
      </c>
      <c r="D2441" s="9">
        <v>40079.49046296296</v>
      </c>
      <c r="F2441">
        <f t="shared" ca="1" si="76"/>
        <v>5.35</v>
      </c>
      <c r="G2441">
        <f t="shared" ca="1" si="77"/>
        <v>0</v>
      </c>
    </row>
    <row r="2442" spans="1:7">
      <c r="A2442">
        <v>903</v>
      </c>
      <c r="B2442" t="s">
        <v>101</v>
      </c>
      <c r="C2442" t="s">
        <v>145</v>
      </c>
      <c r="D2442" s="9">
        <v>40217.475023148145</v>
      </c>
      <c r="F2442">
        <f t="shared" ca="1" si="76"/>
        <v>4.9749999999999996</v>
      </c>
      <c r="G2442">
        <f t="shared" ca="1" si="77"/>
        <v>0</v>
      </c>
    </row>
    <row r="2443" spans="1:7">
      <c r="A2443">
        <v>905</v>
      </c>
      <c r="B2443" t="s">
        <v>44</v>
      </c>
      <c r="C2443" t="s">
        <v>138</v>
      </c>
      <c r="D2443" s="9">
        <v>40086.327268518522</v>
      </c>
      <c r="F2443">
        <f t="shared" ca="1" si="76"/>
        <v>5.3305555555555557</v>
      </c>
      <c r="G2443">
        <f t="shared" ca="1" si="77"/>
        <v>0</v>
      </c>
    </row>
    <row r="2444" spans="1:7">
      <c r="A2444">
        <v>907</v>
      </c>
      <c r="C2444" t="s">
        <v>146</v>
      </c>
      <c r="D2444" s="9">
        <v>40081.513657407406</v>
      </c>
      <c r="F2444">
        <f t="shared" ca="1" si="76"/>
        <v>5.3444444444444441</v>
      </c>
      <c r="G2444">
        <f t="shared" ca="1" si="77"/>
        <v>0</v>
      </c>
    </row>
    <row r="2445" spans="1:7">
      <c r="A2445">
        <v>908</v>
      </c>
      <c r="B2445" t="s">
        <v>11</v>
      </c>
      <c r="C2445" t="s">
        <v>146</v>
      </c>
      <c r="D2445" s="9">
        <v>40081.513020833336</v>
      </c>
      <c r="F2445">
        <f t="shared" ca="1" si="76"/>
        <v>5.3444444444444441</v>
      </c>
      <c r="G2445">
        <f t="shared" ca="1" si="77"/>
        <v>0</v>
      </c>
    </row>
    <row r="2446" spans="1:7">
      <c r="A2446">
        <v>909</v>
      </c>
      <c r="C2446" t="s">
        <v>146</v>
      </c>
      <c r="D2446" s="9">
        <v>40085.42659722222</v>
      </c>
      <c r="F2446">
        <f t="shared" ca="1" si="76"/>
        <v>5.333333333333333</v>
      </c>
      <c r="G2446">
        <f t="shared" ca="1" si="77"/>
        <v>0</v>
      </c>
    </row>
    <row r="2447" spans="1:7">
      <c r="A2447">
        <v>911</v>
      </c>
      <c r="C2447" t="s">
        <v>146</v>
      </c>
      <c r="D2447" s="9">
        <v>40085.42659722222</v>
      </c>
      <c r="F2447">
        <f t="shared" ca="1" si="76"/>
        <v>5.333333333333333</v>
      </c>
      <c r="G2447">
        <f t="shared" ca="1" si="77"/>
        <v>0</v>
      </c>
    </row>
    <row r="2448" spans="1:7">
      <c r="A2448">
        <v>912</v>
      </c>
      <c r="C2448" t="s">
        <v>146</v>
      </c>
      <c r="D2448" s="9">
        <v>40085.42659722222</v>
      </c>
      <c r="F2448">
        <f t="shared" ca="1" si="76"/>
        <v>5.333333333333333</v>
      </c>
      <c r="G2448">
        <f t="shared" ca="1" si="77"/>
        <v>0</v>
      </c>
    </row>
    <row r="2449" spans="1:7">
      <c r="A2449">
        <v>913</v>
      </c>
      <c r="B2449" t="s">
        <v>8</v>
      </c>
      <c r="C2449" t="s">
        <v>138</v>
      </c>
      <c r="D2449" s="9">
        <v>40087.398506944446</v>
      </c>
      <c r="F2449">
        <f t="shared" ca="1" si="76"/>
        <v>5.3277777777777775</v>
      </c>
      <c r="G2449">
        <f t="shared" ca="1" si="77"/>
        <v>0</v>
      </c>
    </row>
    <row r="2450" spans="1:7">
      <c r="A2450">
        <v>914</v>
      </c>
      <c r="B2450" t="s">
        <v>8</v>
      </c>
      <c r="C2450" t="s">
        <v>138</v>
      </c>
      <c r="D2450" s="9">
        <v>40130.673796296294</v>
      </c>
      <c r="F2450">
        <f t="shared" ca="1" si="76"/>
        <v>5.2111111111111112</v>
      </c>
      <c r="G2450">
        <f t="shared" ca="1" si="77"/>
        <v>0</v>
      </c>
    </row>
    <row r="2451" spans="1:7">
      <c r="A2451">
        <v>919</v>
      </c>
      <c r="B2451" t="s">
        <v>8</v>
      </c>
      <c r="C2451" t="s">
        <v>146</v>
      </c>
      <c r="D2451" s="9">
        <v>40085.42659722222</v>
      </c>
      <c r="F2451">
        <f t="shared" ca="1" si="76"/>
        <v>5.333333333333333</v>
      </c>
      <c r="G2451">
        <f t="shared" ca="1" si="77"/>
        <v>0</v>
      </c>
    </row>
    <row r="2452" spans="1:7">
      <c r="A2452">
        <v>920</v>
      </c>
      <c r="B2452" t="s">
        <v>8</v>
      </c>
      <c r="C2452" t="s">
        <v>145</v>
      </c>
      <c r="D2452" s="9">
        <v>40217.592407407406</v>
      </c>
      <c r="F2452">
        <f t="shared" ca="1" si="76"/>
        <v>4.9749999999999996</v>
      </c>
      <c r="G2452">
        <f t="shared" ca="1" si="77"/>
        <v>0</v>
      </c>
    </row>
    <row r="2453" spans="1:7">
      <c r="A2453">
        <v>921</v>
      </c>
      <c r="B2453" t="s">
        <v>8</v>
      </c>
      <c r="C2453" t="s">
        <v>146</v>
      </c>
      <c r="D2453" s="9">
        <v>40085.42659722222</v>
      </c>
      <c r="F2453">
        <f t="shared" ca="1" si="76"/>
        <v>5.333333333333333</v>
      </c>
      <c r="G2453">
        <f t="shared" ca="1" si="77"/>
        <v>0</v>
      </c>
    </row>
    <row r="2454" spans="1:7">
      <c r="A2454">
        <v>922</v>
      </c>
      <c r="B2454" t="s">
        <v>8</v>
      </c>
      <c r="C2454" t="s">
        <v>146</v>
      </c>
      <c r="D2454" s="9">
        <v>40085.426608796297</v>
      </c>
      <c r="F2454">
        <f t="shared" ca="1" si="76"/>
        <v>5.333333333333333</v>
      </c>
      <c r="G2454">
        <f t="shared" ca="1" si="77"/>
        <v>0</v>
      </c>
    </row>
    <row r="2455" spans="1:7">
      <c r="A2455">
        <v>924</v>
      </c>
      <c r="B2455" t="s">
        <v>8</v>
      </c>
      <c r="C2455" t="s">
        <v>136</v>
      </c>
      <c r="D2455" s="9">
        <v>40416.499131944445</v>
      </c>
      <c r="E2455" t="s">
        <v>131</v>
      </c>
      <c r="F2455">
        <f t="shared" ca="1" si="76"/>
        <v>4.4249999999999998</v>
      </c>
      <c r="G2455">
        <f t="shared" ca="1" si="77"/>
        <v>0</v>
      </c>
    </row>
    <row r="2456" spans="1:7">
      <c r="A2456">
        <v>926</v>
      </c>
      <c r="B2456" t="s">
        <v>8</v>
      </c>
      <c r="C2456" t="s">
        <v>136</v>
      </c>
      <c r="D2456" s="9">
        <v>40415.478379629632</v>
      </c>
      <c r="E2456" t="s">
        <v>34</v>
      </c>
      <c r="F2456">
        <f t="shared" ca="1" si="76"/>
        <v>4.427777777777778</v>
      </c>
      <c r="G2456">
        <f t="shared" ca="1" si="77"/>
        <v>0</v>
      </c>
    </row>
    <row r="2457" spans="1:7">
      <c r="A2457">
        <v>927</v>
      </c>
      <c r="B2457" t="s">
        <v>34</v>
      </c>
      <c r="C2457" t="s">
        <v>138</v>
      </c>
      <c r="D2457" s="9">
        <v>40088.604004629633</v>
      </c>
      <c r="F2457">
        <f t="shared" ca="1" si="76"/>
        <v>5.3250000000000002</v>
      </c>
      <c r="G2457">
        <f t="shared" ca="1" si="77"/>
        <v>0</v>
      </c>
    </row>
    <row r="2458" spans="1:7">
      <c r="A2458">
        <v>931</v>
      </c>
      <c r="B2458" t="s">
        <v>77</v>
      </c>
      <c r="C2458" t="s">
        <v>138</v>
      </c>
      <c r="D2458" s="9">
        <v>40095.703773148147</v>
      </c>
      <c r="F2458">
        <f t="shared" ca="1" si="76"/>
        <v>5.3055555555555554</v>
      </c>
      <c r="G2458">
        <f t="shared" ca="1" si="77"/>
        <v>0</v>
      </c>
    </row>
    <row r="2459" spans="1:7">
      <c r="A2459">
        <v>933</v>
      </c>
      <c r="C2459" t="s">
        <v>138</v>
      </c>
      <c r="D2459" s="9">
        <v>40143.67291666667</v>
      </c>
      <c r="F2459">
        <f t="shared" ca="1" si="76"/>
        <v>5.1749999999999998</v>
      </c>
      <c r="G2459">
        <f t="shared" ca="1" si="77"/>
        <v>0</v>
      </c>
    </row>
    <row r="2460" spans="1:7">
      <c r="A2460">
        <v>934</v>
      </c>
      <c r="B2460" t="s">
        <v>34</v>
      </c>
      <c r="C2460" t="s">
        <v>209</v>
      </c>
      <c r="D2460" s="9">
        <v>41900.412974537037</v>
      </c>
      <c r="E2460" t="s">
        <v>8</v>
      </c>
      <c r="F2460">
        <f t="shared" ca="1" si="76"/>
        <v>0.36388888888888887</v>
      </c>
      <c r="G2460">
        <f t="shared" ca="1" si="77"/>
        <v>1</v>
      </c>
    </row>
    <row r="2461" spans="1:7">
      <c r="A2461">
        <v>935</v>
      </c>
      <c r="C2461" t="s">
        <v>138</v>
      </c>
      <c r="D2461" s="9">
        <v>40091.715439814812</v>
      </c>
      <c r="F2461">
        <f t="shared" ca="1" si="76"/>
        <v>5.3166666666666664</v>
      </c>
      <c r="G2461">
        <f t="shared" ca="1" si="77"/>
        <v>0</v>
      </c>
    </row>
    <row r="2462" spans="1:7">
      <c r="A2462">
        <v>936</v>
      </c>
      <c r="B2462" t="s">
        <v>11</v>
      </c>
      <c r="C2462" t="s">
        <v>138</v>
      </c>
      <c r="D2462" s="9">
        <v>40093.51525462963</v>
      </c>
      <c r="F2462">
        <f t="shared" ca="1" si="76"/>
        <v>5.3111111111111109</v>
      </c>
      <c r="G2462">
        <f t="shared" ca="1" si="77"/>
        <v>0</v>
      </c>
    </row>
    <row r="2463" spans="1:7">
      <c r="A2463">
        <v>938</v>
      </c>
      <c r="B2463" t="s">
        <v>44</v>
      </c>
      <c r="C2463" t="s">
        <v>145</v>
      </c>
      <c r="D2463" s="9">
        <v>40217.506493055553</v>
      </c>
      <c r="F2463">
        <f t="shared" ca="1" si="76"/>
        <v>4.9749999999999996</v>
      </c>
      <c r="G2463">
        <f t="shared" ca="1" si="77"/>
        <v>0</v>
      </c>
    </row>
    <row r="2464" spans="1:7">
      <c r="A2464">
        <v>939</v>
      </c>
      <c r="B2464" t="s">
        <v>11</v>
      </c>
      <c r="C2464" t="s">
        <v>138</v>
      </c>
      <c r="D2464" s="9">
        <v>40095.518055555556</v>
      </c>
      <c r="F2464">
        <f t="shared" ca="1" si="76"/>
        <v>5.3055555555555554</v>
      </c>
      <c r="G2464">
        <f t="shared" ca="1" si="77"/>
        <v>0</v>
      </c>
    </row>
    <row r="2465" spans="1:7">
      <c r="A2465">
        <v>940</v>
      </c>
      <c r="B2465" t="s">
        <v>11</v>
      </c>
      <c r="C2465" t="s">
        <v>145</v>
      </c>
      <c r="D2465" s="9">
        <v>40214.611909722225</v>
      </c>
      <c r="F2465">
        <f t="shared" ca="1" si="76"/>
        <v>4.9833333333333334</v>
      </c>
      <c r="G2465">
        <f t="shared" ca="1" si="77"/>
        <v>0</v>
      </c>
    </row>
    <row r="2466" spans="1:7">
      <c r="A2466">
        <v>941</v>
      </c>
      <c r="B2466" t="s">
        <v>101</v>
      </c>
      <c r="C2466" t="s">
        <v>138</v>
      </c>
      <c r="D2466" s="9">
        <v>40142.630393518521</v>
      </c>
      <c r="F2466">
        <f t="shared" ca="1" si="76"/>
        <v>5.177777777777778</v>
      </c>
      <c r="G2466">
        <f t="shared" ca="1" si="77"/>
        <v>0</v>
      </c>
    </row>
    <row r="2467" spans="1:7">
      <c r="A2467">
        <v>942</v>
      </c>
      <c r="B2467" t="s">
        <v>101</v>
      </c>
      <c r="C2467" t="s">
        <v>145</v>
      </c>
      <c r="D2467" s="9">
        <v>40149.469537037039</v>
      </c>
      <c r="F2467">
        <f t="shared" ca="1" si="76"/>
        <v>5.1583333333333332</v>
      </c>
      <c r="G2467">
        <f t="shared" ca="1" si="77"/>
        <v>0</v>
      </c>
    </row>
    <row r="2468" spans="1:7">
      <c r="A2468">
        <v>943</v>
      </c>
      <c r="B2468" t="s">
        <v>101</v>
      </c>
      <c r="C2468" t="s">
        <v>138</v>
      </c>
      <c r="D2468" s="9">
        <v>40142.630162037036</v>
      </c>
      <c r="F2468">
        <f t="shared" ca="1" si="76"/>
        <v>5.177777777777778</v>
      </c>
      <c r="G2468">
        <f t="shared" ca="1" si="77"/>
        <v>0</v>
      </c>
    </row>
    <row r="2469" spans="1:7">
      <c r="A2469">
        <v>945</v>
      </c>
      <c r="B2469" t="s">
        <v>8</v>
      </c>
      <c r="C2469" t="s">
        <v>136</v>
      </c>
      <c r="D2469" s="9">
        <v>40415.573310185187</v>
      </c>
      <c r="E2469" t="s">
        <v>112</v>
      </c>
      <c r="F2469">
        <f t="shared" ca="1" si="76"/>
        <v>4.427777777777778</v>
      </c>
      <c r="G2469">
        <f t="shared" ca="1" si="77"/>
        <v>0</v>
      </c>
    </row>
    <row r="2470" spans="1:7">
      <c r="A2470">
        <v>954</v>
      </c>
      <c r="B2470" t="s">
        <v>102</v>
      </c>
      <c r="C2470" t="s">
        <v>137</v>
      </c>
      <c r="D2470" s="9">
        <v>40338.688564814816</v>
      </c>
      <c r="F2470">
        <f t="shared" ca="1" si="76"/>
        <v>4.6388888888888893</v>
      </c>
      <c r="G2470">
        <f t="shared" ca="1" si="77"/>
        <v>0</v>
      </c>
    </row>
    <row r="2471" spans="1:7">
      <c r="A2471">
        <v>958</v>
      </c>
      <c r="B2471" t="s">
        <v>34</v>
      </c>
      <c r="C2471" t="s">
        <v>138</v>
      </c>
      <c r="D2471" s="9">
        <v>40142.629884259259</v>
      </c>
      <c r="F2471">
        <f t="shared" ca="1" si="76"/>
        <v>5.177777777777778</v>
      </c>
      <c r="G2471">
        <f t="shared" ca="1" si="77"/>
        <v>0</v>
      </c>
    </row>
    <row r="2472" spans="1:7">
      <c r="A2472">
        <v>960</v>
      </c>
      <c r="B2472" t="s">
        <v>34</v>
      </c>
      <c r="C2472" t="s">
        <v>145</v>
      </c>
      <c r="D2472" s="9">
        <v>40217.423900462964</v>
      </c>
      <c r="F2472">
        <f t="shared" ca="1" si="76"/>
        <v>4.9749999999999996</v>
      </c>
      <c r="G2472">
        <f t="shared" ca="1" si="77"/>
        <v>0</v>
      </c>
    </row>
    <row r="2473" spans="1:7">
      <c r="A2473">
        <v>966</v>
      </c>
      <c r="B2473" t="s">
        <v>34</v>
      </c>
      <c r="C2473" t="s">
        <v>129</v>
      </c>
      <c r="D2473" s="9">
        <v>40808.573946759258</v>
      </c>
      <c r="E2473" t="s">
        <v>8</v>
      </c>
      <c r="F2473">
        <f t="shared" ca="1" si="76"/>
        <v>3.3527777777777779</v>
      </c>
      <c r="G2473">
        <f t="shared" ca="1" si="77"/>
        <v>0</v>
      </c>
    </row>
    <row r="2474" spans="1:7">
      <c r="A2474">
        <v>971</v>
      </c>
      <c r="B2474" t="s">
        <v>34</v>
      </c>
      <c r="C2474" t="s">
        <v>136</v>
      </c>
      <c r="D2474" s="9">
        <v>40414.869120370371</v>
      </c>
      <c r="E2474" t="s">
        <v>111</v>
      </c>
      <c r="F2474">
        <f t="shared" ca="1" si="76"/>
        <v>4.4305555555555554</v>
      </c>
      <c r="G2474">
        <f t="shared" ca="1" si="77"/>
        <v>0</v>
      </c>
    </row>
    <row r="2475" spans="1:7">
      <c r="A2475">
        <v>973</v>
      </c>
      <c r="B2475" t="s">
        <v>34</v>
      </c>
      <c r="C2475" t="s">
        <v>136</v>
      </c>
      <c r="D2475" s="9">
        <v>40416.841423611113</v>
      </c>
      <c r="E2475" t="s">
        <v>52</v>
      </c>
      <c r="F2475">
        <f t="shared" ca="1" si="76"/>
        <v>4.4249999999999998</v>
      </c>
      <c r="G2475">
        <f t="shared" ca="1" si="77"/>
        <v>0</v>
      </c>
    </row>
    <row r="2476" spans="1:7">
      <c r="A2476">
        <v>975</v>
      </c>
      <c r="B2476" t="s">
        <v>8</v>
      </c>
      <c r="C2476" t="s">
        <v>138</v>
      </c>
      <c r="D2476" s="9">
        <v>40130.619201388887</v>
      </c>
      <c r="F2476">
        <f t="shared" ca="1" si="76"/>
        <v>5.2111111111111112</v>
      </c>
      <c r="G2476">
        <f t="shared" ca="1" si="77"/>
        <v>0</v>
      </c>
    </row>
    <row r="2477" spans="1:7">
      <c r="A2477">
        <v>979</v>
      </c>
      <c r="C2477" t="s">
        <v>138</v>
      </c>
      <c r="D2477" s="9">
        <v>40101.686215277776</v>
      </c>
      <c r="F2477">
        <f t="shared" ca="1" si="76"/>
        <v>5.2888888888888888</v>
      </c>
      <c r="G2477">
        <f t="shared" ca="1" si="77"/>
        <v>0</v>
      </c>
    </row>
    <row r="2478" spans="1:7">
      <c r="A2478">
        <v>980</v>
      </c>
      <c r="B2478" t="s">
        <v>8</v>
      </c>
      <c r="C2478" t="s">
        <v>138</v>
      </c>
      <c r="D2478" s="9">
        <v>40142.607233796298</v>
      </c>
      <c r="F2478">
        <f t="shared" ca="1" si="76"/>
        <v>5.177777777777778</v>
      </c>
      <c r="G2478">
        <f t="shared" ca="1" si="77"/>
        <v>0</v>
      </c>
    </row>
    <row r="2479" spans="1:7">
      <c r="A2479">
        <v>981</v>
      </c>
      <c r="B2479" t="s">
        <v>112</v>
      </c>
      <c r="C2479" t="s">
        <v>138</v>
      </c>
      <c r="D2479" s="9">
        <v>40102.640601851854</v>
      </c>
      <c r="F2479">
        <f t="shared" ca="1" si="76"/>
        <v>5.2861111111111114</v>
      </c>
      <c r="G2479">
        <f t="shared" ca="1" si="77"/>
        <v>0</v>
      </c>
    </row>
    <row r="2480" spans="1:7">
      <c r="A2480">
        <v>983</v>
      </c>
      <c r="B2480" t="s">
        <v>44</v>
      </c>
      <c r="C2480" t="s">
        <v>145</v>
      </c>
      <c r="D2480" s="9">
        <v>40217.520358796297</v>
      </c>
      <c r="F2480">
        <f t="shared" ca="1" si="76"/>
        <v>4.9749999999999996</v>
      </c>
      <c r="G2480">
        <f t="shared" ca="1" si="77"/>
        <v>0</v>
      </c>
    </row>
    <row r="2481" spans="1:7">
      <c r="A2481">
        <v>986</v>
      </c>
      <c r="B2481" t="s">
        <v>112</v>
      </c>
      <c r="C2481" t="s">
        <v>138</v>
      </c>
      <c r="D2481" s="9">
        <v>40106.698171296295</v>
      </c>
      <c r="F2481">
        <f t="shared" ca="1" si="76"/>
        <v>5.2750000000000004</v>
      </c>
      <c r="G2481">
        <f t="shared" ca="1" si="77"/>
        <v>0</v>
      </c>
    </row>
    <row r="2482" spans="1:7">
      <c r="A2482">
        <v>987</v>
      </c>
      <c r="B2482" t="s">
        <v>8</v>
      </c>
      <c r="C2482" t="s">
        <v>138</v>
      </c>
      <c r="D2482" s="9">
        <v>40108.381331018521</v>
      </c>
      <c r="F2482">
        <f t="shared" ca="1" si="76"/>
        <v>5.2694444444444448</v>
      </c>
      <c r="G2482">
        <f t="shared" ca="1" si="77"/>
        <v>0</v>
      </c>
    </row>
    <row r="2483" spans="1:7">
      <c r="A2483">
        <v>989</v>
      </c>
      <c r="C2483" t="s">
        <v>138</v>
      </c>
      <c r="D2483" s="9">
        <v>40108.703194444446</v>
      </c>
      <c r="F2483">
        <f t="shared" ca="1" si="76"/>
        <v>5.2694444444444448</v>
      </c>
      <c r="G2483">
        <f t="shared" ca="1" si="77"/>
        <v>0</v>
      </c>
    </row>
    <row r="2484" spans="1:7">
      <c r="A2484">
        <v>991</v>
      </c>
      <c r="B2484" t="s">
        <v>8</v>
      </c>
      <c r="C2484" t="s">
        <v>138</v>
      </c>
      <c r="D2484" s="9">
        <v>40142.610150462962</v>
      </c>
      <c r="F2484">
        <f t="shared" ca="1" si="76"/>
        <v>5.177777777777778</v>
      </c>
      <c r="G2484">
        <f t="shared" ca="1" si="77"/>
        <v>0</v>
      </c>
    </row>
    <row r="2485" spans="1:7">
      <c r="A2485">
        <v>992</v>
      </c>
      <c r="B2485" t="s">
        <v>8</v>
      </c>
      <c r="C2485" t="s">
        <v>138</v>
      </c>
      <c r="D2485" s="9">
        <v>40113.415381944447</v>
      </c>
      <c r="F2485">
        <f t="shared" ca="1" si="76"/>
        <v>5.2555555555555555</v>
      </c>
      <c r="G2485">
        <f t="shared" ca="1" si="77"/>
        <v>0</v>
      </c>
    </row>
    <row r="2486" spans="1:7">
      <c r="A2486">
        <v>993</v>
      </c>
      <c r="C2486" t="s">
        <v>138</v>
      </c>
      <c r="D2486" s="9">
        <v>40113.472627314812</v>
      </c>
      <c r="F2486">
        <f t="shared" ca="1" si="76"/>
        <v>5.2555555555555555</v>
      </c>
      <c r="G2486">
        <f t="shared" ca="1" si="77"/>
        <v>0</v>
      </c>
    </row>
    <row r="2487" spans="1:7">
      <c r="A2487">
        <v>994</v>
      </c>
      <c r="B2487" t="s">
        <v>44</v>
      </c>
      <c r="C2487" t="s">
        <v>145</v>
      </c>
      <c r="D2487" s="9">
        <v>40217.520972222221</v>
      </c>
      <c r="F2487">
        <f t="shared" ca="1" si="76"/>
        <v>4.9749999999999996</v>
      </c>
      <c r="G2487">
        <f t="shared" ca="1" si="77"/>
        <v>0</v>
      </c>
    </row>
    <row r="2488" spans="1:7">
      <c r="A2488">
        <v>995</v>
      </c>
      <c r="B2488" t="s">
        <v>11</v>
      </c>
      <c r="C2488" t="s">
        <v>145</v>
      </c>
      <c r="D2488" s="9">
        <v>40217.527141203704</v>
      </c>
      <c r="F2488">
        <f t="shared" ca="1" si="76"/>
        <v>4.9749999999999996</v>
      </c>
      <c r="G2488">
        <f t="shared" ca="1" si="77"/>
        <v>0</v>
      </c>
    </row>
    <row r="2489" spans="1:7">
      <c r="A2489">
        <v>996</v>
      </c>
      <c r="B2489" t="s">
        <v>99</v>
      </c>
      <c r="C2489" t="s">
        <v>127</v>
      </c>
      <c r="D2489" s="9">
        <v>41032.766423611109</v>
      </c>
      <c r="E2489" t="s">
        <v>11</v>
      </c>
      <c r="F2489">
        <f t="shared" ca="1" si="76"/>
        <v>2.7388888888888889</v>
      </c>
      <c r="G2489">
        <f t="shared" ca="1" si="77"/>
        <v>0</v>
      </c>
    </row>
    <row r="2490" spans="1:7">
      <c r="A2490">
        <v>997</v>
      </c>
      <c r="B2490" t="s">
        <v>11</v>
      </c>
      <c r="C2490" t="s">
        <v>132</v>
      </c>
      <c r="D2490" s="9">
        <v>40661.825821759259</v>
      </c>
      <c r="E2490" t="s">
        <v>99</v>
      </c>
      <c r="F2490">
        <f t="shared" ca="1" si="76"/>
        <v>3.7527777777777778</v>
      </c>
      <c r="G2490">
        <f t="shared" ca="1" si="77"/>
        <v>0</v>
      </c>
    </row>
    <row r="2491" spans="1:7">
      <c r="A2491">
        <v>999</v>
      </c>
      <c r="B2491" t="s">
        <v>34</v>
      </c>
      <c r="C2491" t="s">
        <v>145</v>
      </c>
      <c r="D2491" s="9">
        <v>41411.892395833333</v>
      </c>
      <c r="F2491">
        <f t="shared" ca="1" si="76"/>
        <v>1.7</v>
      </c>
      <c r="G2491">
        <f t="shared" ca="1" si="77"/>
        <v>0</v>
      </c>
    </row>
    <row r="2492" spans="1:7">
      <c r="A2492">
        <v>1000</v>
      </c>
      <c r="B2492" t="s">
        <v>112</v>
      </c>
      <c r="C2492" t="s">
        <v>145</v>
      </c>
      <c r="D2492" s="9">
        <v>40220.562372685185</v>
      </c>
      <c r="F2492">
        <f t="shared" ca="1" si="76"/>
        <v>4.9666666666666668</v>
      </c>
      <c r="G2492">
        <f t="shared" ca="1" si="77"/>
        <v>0</v>
      </c>
    </row>
    <row r="2493" spans="1:7">
      <c r="A2493">
        <v>1001</v>
      </c>
      <c r="B2493" t="s">
        <v>8</v>
      </c>
      <c r="C2493" t="s">
        <v>135</v>
      </c>
      <c r="D2493" s="9">
        <v>40239.70994212963</v>
      </c>
      <c r="F2493">
        <f t="shared" ca="1" si="76"/>
        <v>4.9083333333333332</v>
      </c>
      <c r="G2493">
        <f t="shared" ca="1" si="77"/>
        <v>0</v>
      </c>
    </row>
    <row r="2494" spans="1:7">
      <c r="A2494">
        <v>1003</v>
      </c>
      <c r="B2494" t="s">
        <v>34</v>
      </c>
      <c r="C2494" t="s">
        <v>145</v>
      </c>
      <c r="D2494" s="9">
        <v>40217.622453703705</v>
      </c>
      <c r="F2494">
        <f t="shared" ca="1" si="76"/>
        <v>4.9749999999999996</v>
      </c>
      <c r="G2494">
        <f t="shared" ca="1" si="77"/>
        <v>0</v>
      </c>
    </row>
    <row r="2495" spans="1:7">
      <c r="A2495">
        <v>1005</v>
      </c>
      <c r="B2495" t="s">
        <v>8</v>
      </c>
      <c r="C2495" t="s">
        <v>138</v>
      </c>
      <c r="D2495" s="9">
        <v>40126.705868055556</v>
      </c>
      <c r="F2495">
        <f t="shared" ca="1" si="76"/>
        <v>5.2222222222222223</v>
      </c>
      <c r="G2495">
        <f t="shared" ca="1" si="77"/>
        <v>0</v>
      </c>
    </row>
    <row r="2496" spans="1:7">
      <c r="A2496">
        <v>1006</v>
      </c>
      <c r="B2496" t="s">
        <v>8</v>
      </c>
      <c r="C2496" t="s">
        <v>138</v>
      </c>
      <c r="D2496" s="9">
        <v>40133.707546296297</v>
      </c>
      <c r="F2496">
        <f t="shared" ca="1" si="76"/>
        <v>5.2027777777777775</v>
      </c>
      <c r="G2496">
        <f t="shared" ca="1" si="77"/>
        <v>0</v>
      </c>
    </row>
    <row r="2497" spans="1:7">
      <c r="A2497">
        <v>1007</v>
      </c>
      <c r="C2497" t="s">
        <v>138</v>
      </c>
      <c r="D2497" s="9">
        <v>40128.400555555556</v>
      </c>
      <c r="F2497">
        <f t="shared" ca="1" si="76"/>
        <v>5.2166666666666668</v>
      </c>
      <c r="G2497">
        <f t="shared" ca="1" si="77"/>
        <v>0</v>
      </c>
    </row>
    <row r="2498" spans="1:7">
      <c r="A2498">
        <v>1011</v>
      </c>
      <c r="B2498" t="s">
        <v>101</v>
      </c>
      <c r="C2498" t="s">
        <v>135</v>
      </c>
      <c r="D2498" s="9">
        <v>40269.633217592593</v>
      </c>
      <c r="F2498">
        <f t="shared" ca="1" si="76"/>
        <v>4.8277777777777775</v>
      </c>
      <c r="G2498">
        <f t="shared" ca="1" si="77"/>
        <v>0</v>
      </c>
    </row>
    <row r="2499" spans="1:7">
      <c r="A2499">
        <v>1013</v>
      </c>
      <c r="B2499" t="s">
        <v>8</v>
      </c>
      <c r="C2499" t="s">
        <v>145</v>
      </c>
      <c r="D2499" s="9">
        <v>40217.687708333331</v>
      </c>
      <c r="F2499">
        <f t="shared" ref="F2499:F2562" ca="1" si="78">YEARFRAC(TODAY(),$D2499)</f>
        <v>4.9749999999999996</v>
      </c>
      <c r="G2499">
        <f t="shared" ref="G2499:G2562" ca="1" si="79">IF($F2499&lt;1,1,0)</f>
        <v>0</v>
      </c>
    </row>
    <row r="2500" spans="1:7">
      <c r="A2500">
        <v>1014</v>
      </c>
      <c r="B2500" t="s">
        <v>8</v>
      </c>
      <c r="C2500" t="s">
        <v>145</v>
      </c>
      <c r="D2500" s="9">
        <v>40130.619201388887</v>
      </c>
      <c r="F2500">
        <f t="shared" ca="1" si="78"/>
        <v>5.2111111111111112</v>
      </c>
      <c r="G2500">
        <f t="shared" ca="1" si="79"/>
        <v>0</v>
      </c>
    </row>
    <row r="2501" spans="1:7">
      <c r="A2501">
        <v>1016</v>
      </c>
      <c r="B2501" t="s">
        <v>102</v>
      </c>
      <c r="C2501" t="s">
        <v>140</v>
      </c>
      <c r="D2501" s="9">
        <v>40527.418553240743</v>
      </c>
      <c r="E2501" t="s">
        <v>131</v>
      </c>
      <c r="F2501">
        <f t="shared" ca="1" si="78"/>
        <v>4.1222222222222218</v>
      </c>
      <c r="G2501">
        <f t="shared" ca="1" si="79"/>
        <v>0</v>
      </c>
    </row>
    <row r="2502" spans="1:7">
      <c r="A2502">
        <v>1019</v>
      </c>
      <c r="B2502" t="s">
        <v>102</v>
      </c>
      <c r="C2502" t="s">
        <v>145</v>
      </c>
      <c r="D2502" s="9">
        <v>40214.61209490741</v>
      </c>
      <c r="F2502">
        <f t="shared" ca="1" si="78"/>
        <v>4.9833333333333334</v>
      </c>
      <c r="G2502">
        <f t="shared" ca="1" si="79"/>
        <v>0</v>
      </c>
    </row>
    <row r="2503" spans="1:7">
      <c r="A2503">
        <v>1020</v>
      </c>
      <c r="B2503" t="s">
        <v>34</v>
      </c>
      <c r="C2503" t="s">
        <v>145</v>
      </c>
      <c r="D2503" s="9">
        <v>40217.619537037041</v>
      </c>
      <c r="F2503">
        <f t="shared" ca="1" si="78"/>
        <v>4.9749999999999996</v>
      </c>
      <c r="G2503">
        <f t="shared" ca="1" si="79"/>
        <v>0</v>
      </c>
    </row>
    <row r="2504" spans="1:7">
      <c r="A2504">
        <v>1023</v>
      </c>
      <c r="C2504" t="s">
        <v>145</v>
      </c>
      <c r="D2504" s="9">
        <v>40143.66883101852</v>
      </c>
      <c r="F2504">
        <f t="shared" ca="1" si="78"/>
        <v>5.1749999999999998</v>
      </c>
      <c r="G2504">
        <f t="shared" ca="1" si="79"/>
        <v>0</v>
      </c>
    </row>
    <row r="2505" spans="1:7">
      <c r="A2505">
        <v>1024</v>
      </c>
      <c r="B2505" t="s">
        <v>34</v>
      </c>
      <c r="C2505" t="s">
        <v>133</v>
      </c>
      <c r="D2505" s="9">
        <v>40590.413657407407</v>
      </c>
      <c r="E2505" t="s">
        <v>8</v>
      </c>
      <c r="F2505">
        <f t="shared" ca="1" si="78"/>
        <v>3.9527777777777779</v>
      </c>
      <c r="G2505">
        <f t="shared" ca="1" si="79"/>
        <v>0</v>
      </c>
    </row>
    <row r="2506" spans="1:7">
      <c r="A2506">
        <v>1025</v>
      </c>
      <c r="B2506" t="s">
        <v>91</v>
      </c>
      <c r="C2506" t="s">
        <v>145</v>
      </c>
      <c r="D2506" s="9">
        <v>40217.587638888886</v>
      </c>
      <c r="F2506">
        <f t="shared" ca="1" si="78"/>
        <v>4.9749999999999996</v>
      </c>
      <c r="G2506">
        <f t="shared" ca="1" si="79"/>
        <v>0</v>
      </c>
    </row>
    <row r="2507" spans="1:7">
      <c r="A2507">
        <v>1026</v>
      </c>
      <c r="B2507" t="s">
        <v>34</v>
      </c>
      <c r="C2507" t="s">
        <v>145</v>
      </c>
      <c r="D2507" s="9">
        <v>40217.623020833336</v>
      </c>
      <c r="F2507">
        <f t="shared" ca="1" si="78"/>
        <v>4.9749999999999996</v>
      </c>
      <c r="G2507">
        <f t="shared" ca="1" si="79"/>
        <v>0</v>
      </c>
    </row>
    <row r="2508" spans="1:7">
      <c r="A2508">
        <v>1027</v>
      </c>
      <c r="B2508" t="s">
        <v>8</v>
      </c>
      <c r="C2508" t="s">
        <v>138</v>
      </c>
      <c r="D2508" s="9">
        <v>40142.685196759259</v>
      </c>
      <c r="F2508">
        <f t="shared" ca="1" si="78"/>
        <v>5.177777777777778</v>
      </c>
      <c r="G2508">
        <f t="shared" ca="1" si="79"/>
        <v>0</v>
      </c>
    </row>
    <row r="2509" spans="1:7">
      <c r="A2509">
        <v>1028</v>
      </c>
      <c r="B2509" t="s">
        <v>8</v>
      </c>
      <c r="C2509" t="s">
        <v>138</v>
      </c>
      <c r="D2509" s="9">
        <v>40140.697060185186</v>
      </c>
      <c r="F2509">
        <f t="shared" ca="1" si="78"/>
        <v>5.1833333333333336</v>
      </c>
      <c r="G2509">
        <f t="shared" ca="1" si="79"/>
        <v>0</v>
      </c>
    </row>
    <row r="2510" spans="1:7">
      <c r="A2510">
        <v>1029</v>
      </c>
      <c r="B2510" t="s">
        <v>8</v>
      </c>
      <c r="C2510" t="s">
        <v>138</v>
      </c>
      <c r="D2510" s="9">
        <v>40140.432476851849</v>
      </c>
      <c r="F2510">
        <f t="shared" ca="1" si="78"/>
        <v>5.1833333333333336</v>
      </c>
      <c r="G2510">
        <f t="shared" ca="1" si="79"/>
        <v>0</v>
      </c>
    </row>
    <row r="2511" spans="1:7">
      <c r="A2511">
        <v>1030</v>
      </c>
      <c r="B2511" t="s">
        <v>8</v>
      </c>
      <c r="C2511" t="s">
        <v>145</v>
      </c>
      <c r="D2511" s="9">
        <v>40217.422974537039</v>
      </c>
      <c r="F2511">
        <f t="shared" ca="1" si="78"/>
        <v>4.9749999999999996</v>
      </c>
      <c r="G2511">
        <f t="shared" ca="1" si="79"/>
        <v>0</v>
      </c>
    </row>
    <row r="2512" spans="1:7">
      <c r="A2512">
        <v>1031</v>
      </c>
      <c r="B2512" t="s">
        <v>102</v>
      </c>
      <c r="C2512" t="s">
        <v>137</v>
      </c>
      <c r="D2512" s="9">
        <v>40339.575208333335</v>
      </c>
      <c r="F2512">
        <f t="shared" ca="1" si="78"/>
        <v>4.6361111111111111</v>
      </c>
      <c r="G2512">
        <f t="shared" ca="1" si="79"/>
        <v>0</v>
      </c>
    </row>
    <row r="2513" spans="1:7">
      <c r="A2513">
        <v>1032</v>
      </c>
      <c r="B2513" t="s">
        <v>102</v>
      </c>
      <c r="C2513" t="s">
        <v>135</v>
      </c>
      <c r="D2513" s="9">
        <v>40269.492025462961</v>
      </c>
      <c r="F2513">
        <f t="shared" ca="1" si="78"/>
        <v>4.8277777777777775</v>
      </c>
      <c r="G2513">
        <f t="shared" ca="1" si="79"/>
        <v>0</v>
      </c>
    </row>
    <row r="2514" spans="1:7">
      <c r="A2514">
        <v>1033</v>
      </c>
      <c r="B2514" t="s">
        <v>34</v>
      </c>
      <c r="C2514" t="s">
        <v>145</v>
      </c>
      <c r="D2514" s="9">
        <v>40217.630289351851</v>
      </c>
      <c r="F2514">
        <f t="shared" ca="1" si="78"/>
        <v>4.9749999999999996</v>
      </c>
      <c r="G2514">
        <f t="shared" ca="1" si="79"/>
        <v>0</v>
      </c>
    </row>
    <row r="2515" spans="1:7">
      <c r="A2515">
        <v>1037</v>
      </c>
      <c r="B2515" t="s">
        <v>11</v>
      </c>
      <c r="C2515" t="s">
        <v>128</v>
      </c>
      <c r="D2515" s="9">
        <v>40926.690879629627</v>
      </c>
      <c r="E2515" t="s">
        <v>99</v>
      </c>
      <c r="F2515">
        <f t="shared" ca="1" si="78"/>
        <v>3.0305555555555554</v>
      </c>
      <c r="G2515">
        <f t="shared" ca="1" si="79"/>
        <v>0</v>
      </c>
    </row>
    <row r="2516" spans="1:7">
      <c r="A2516">
        <v>1038</v>
      </c>
      <c r="B2516" t="s">
        <v>8</v>
      </c>
      <c r="C2516" t="s">
        <v>145</v>
      </c>
      <c r="D2516" s="9">
        <v>40217.428518518522</v>
      </c>
      <c r="F2516">
        <f t="shared" ca="1" si="78"/>
        <v>4.9749999999999996</v>
      </c>
      <c r="G2516">
        <f t="shared" ca="1" si="79"/>
        <v>0</v>
      </c>
    </row>
    <row r="2517" spans="1:7">
      <c r="A2517">
        <v>1040</v>
      </c>
      <c r="B2517" t="s">
        <v>8</v>
      </c>
      <c r="C2517" t="s">
        <v>135</v>
      </c>
      <c r="D2517" s="9">
        <v>40269.589918981481</v>
      </c>
      <c r="F2517">
        <f t="shared" ca="1" si="78"/>
        <v>4.8277777777777775</v>
      </c>
      <c r="G2517">
        <f t="shared" ca="1" si="79"/>
        <v>0</v>
      </c>
    </row>
    <row r="2518" spans="1:7">
      <c r="A2518">
        <v>1041</v>
      </c>
      <c r="B2518" t="s">
        <v>34</v>
      </c>
      <c r="C2518" t="s">
        <v>132</v>
      </c>
      <c r="D2518" s="9">
        <v>40666.480833333335</v>
      </c>
      <c r="E2518" t="s">
        <v>131</v>
      </c>
      <c r="F2518">
        <f t="shared" ca="1" si="78"/>
        <v>3.7388888888888889</v>
      </c>
      <c r="G2518">
        <f t="shared" ca="1" si="79"/>
        <v>0</v>
      </c>
    </row>
    <row r="2519" spans="1:7">
      <c r="A2519">
        <v>1043</v>
      </c>
      <c r="B2519" t="s">
        <v>102</v>
      </c>
      <c r="C2519" t="s">
        <v>137</v>
      </c>
      <c r="D2519" s="9">
        <v>40338.606562499997</v>
      </c>
      <c r="F2519">
        <f t="shared" ca="1" si="78"/>
        <v>4.6388888888888893</v>
      </c>
      <c r="G2519">
        <f t="shared" ca="1" si="79"/>
        <v>0</v>
      </c>
    </row>
    <row r="2520" spans="1:7">
      <c r="A2520">
        <v>1044</v>
      </c>
      <c r="B2520" t="s">
        <v>44</v>
      </c>
      <c r="C2520" t="s">
        <v>145</v>
      </c>
      <c r="D2520" s="9">
        <v>40217.635405092595</v>
      </c>
      <c r="F2520">
        <f t="shared" ca="1" si="78"/>
        <v>4.9749999999999996</v>
      </c>
      <c r="G2520">
        <f t="shared" ca="1" si="79"/>
        <v>0</v>
      </c>
    </row>
    <row r="2521" spans="1:7">
      <c r="A2521">
        <v>1046</v>
      </c>
      <c r="B2521" t="s">
        <v>8</v>
      </c>
      <c r="C2521" t="s">
        <v>135</v>
      </c>
      <c r="D2521" s="9">
        <v>40269.550266203703</v>
      </c>
      <c r="F2521">
        <f t="shared" ca="1" si="78"/>
        <v>4.8277777777777775</v>
      </c>
      <c r="G2521">
        <f t="shared" ca="1" si="79"/>
        <v>0</v>
      </c>
    </row>
    <row r="2522" spans="1:7">
      <c r="A2522">
        <v>1049</v>
      </c>
      <c r="B2522" t="s">
        <v>101</v>
      </c>
      <c r="C2522" t="s">
        <v>135</v>
      </c>
      <c r="D2522" s="9">
        <v>40212.676018518519</v>
      </c>
      <c r="F2522">
        <f t="shared" ca="1" si="78"/>
        <v>4.9888888888888889</v>
      </c>
      <c r="G2522">
        <f t="shared" ca="1" si="79"/>
        <v>0</v>
      </c>
    </row>
    <row r="2523" spans="1:7">
      <c r="A2523">
        <v>1051</v>
      </c>
      <c r="B2523" t="s">
        <v>11</v>
      </c>
      <c r="C2523" t="s">
        <v>145</v>
      </c>
      <c r="D2523" s="9">
        <v>40214.615902777776</v>
      </c>
      <c r="F2523">
        <f t="shared" ca="1" si="78"/>
        <v>4.9833333333333334</v>
      </c>
      <c r="G2523">
        <f t="shared" ca="1" si="79"/>
        <v>0</v>
      </c>
    </row>
    <row r="2524" spans="1:7">
      <c r="A2524">
        <v>1052</v>
      </c>
      <c r="B2524" t="s">
        <v>8</v>
      </c>
      <c r="C2524" t="s">
        <v>135</v>
      </c>
      <c r="D2524" s="9">
        <v>40269.646817129629</v>
      </c>
      <c r="F2524">
        <f t="shared" ca="1" si="78"/>
        <v>4.8277777777777775</v>
      </c>
      <c r="G2524">
        <f t="shared" ca="1" si="79"/>
        <v>0</v>
      </c>
    </row>
    <row r="2525" spans="1:7">
      <c r="A2525">
        <v>1053</v>
      </c>
      <c r="B2525" t="s">
        <v>8</v>
      </c>
      <c r="C2525" t="s">
        <v>135</v>
      </c>
      <c r="D2525" s="9">
        <v>40269.652719907404</v>
      </c>
      <c r="F2525">
        <f t="shared" ca="1" si="78"/>
        <v>4.8277777777777775</v>
      </c>
      <c r="G2525">
        <f t="shared" ca="1" si="79"/>
        <v>0</v>
      </c>
    </row>
    <row r="2526" spans="1:7">
      <c r="A2526">
        <v>1054</v>
      </c>
      <c r="B2526" t="s">
        <v>34</v>
      </c>
      <c r="C2526" t="s">
        <v>135</v>
      </c>
      <c r="D2526" s="9">
        <v>40274.423518518517</v>
      </c>
      <c r="F2526">
        <f t="shared" ca="1" si="78"/>
        <v>4.8138888888888891</v>
      </c>
      <c r="G2526">
        <f t="shared" ca="1" si="79"/>
        <v>0</v>
      </c>
    </row>
    <row r="2527" spans="1:7">
      <c r="A2527">
        <v>1057</v>
      </c>
      <c r="B2527" t="s">
        <v>11</v>
      </c>
      <c r="C2527" t="s">
        <v>145</v>
      </c>
      <c r="D2527" s="9">
        <v>40214.622499999998</v>
      </c>
      <c r="F2527">
        <f t="shared" ca="1" si="78"/>
        <v>4.9833333333333334</v>
      </c>
      <c r="G2527">
        <f t="shared" ca="1" si="79"/>
        <v>0</v>
      </c>
    </row>
    <row r="2528" spans="1:7">
      <c r="A2528">
        <v>1058</v>
      </c>
      <c r="B2528" t="s">
        <v>34</v>
      </c>
      <c r="C2528" t="s">
        <v>136</v>
      </c>
      <c r="D2528" s="9">
        <v>40416.639050925929</v>
      </c>
      <c r="E2528" t="s">
        <v>32</v>
      </c>
      <c r="F2528">
        <f t="shared" ca="1" si="78"/>
        <v>4.4249999999999998</v>
      </c>
      <c r="G2528">
        <f t="shared" ca="1" si="79"/>
        <v>0</v>
      </c>
    </row>
    <row r="2529" spans="1:7">
      <c r="A2529">
        <v>1059</v>
      </c>
      <c r="B2529" t="s">
        <v>112</v>
      </c>
      <c r="C2529" t="s">
        <v>145</v>
      </c>
      <c r="D2529" s="9">
        <v>40154.640613425923</v>
      </c>
      <c r="F2529">
        <f t="shared" ca="1" si="78"/>
        <v>5.1444444444444448</v>
      </c>
      <c r="G2529">
        <f t="shared" ca="1" si="79"/>
        <v>0</v>
      </c>
    </row>
    <row r="2530" spans="1:7">
      <c r="A2530">
        <v>1062</v>
      </c>
      <c r="B2530" t="s">
        <v>34</v>
      </c>
      <c r="C2530" t="s">
        <v>145</v>
      </c>
      <c r="D2530" s="9">
        <v>40218.440972222219</v>
      </c>
      <c r="F2530">
        <f t="shared" ca="1" si="78"/>
        <v>4.9722222222222223</v>
      </c>
      <c r="G2530">
        <f t="shared" ca="1" si="79"/>
        <v>0</v>
      </c>
    </row>
    <row r="2531" spans="1:7">
      <c r="A2531">
        <v>1063</v>
      </c>
      <c r="B2531" t="s">
        <v>34</v>
      </c>
      <c r="C2531" t="s">
        <v>145</v>
      </c>
      <c r="D2531" s="9">
        <v>40217.655787037038</v>
      </c>
      <c r="F2531">
        <f t="shared" ca="1" si="78"/>
        <v>4.9749999999999996</v>
      </c>
      <c r="G2531">
        <f t="shared" ca="1" si="79"/>
        <v>0</v>
      </c>
    </row>
    <row r="2532" spans="1:7">
      <c r="A2532">
        <v>1064</v>
      </c>
      <c r="B2532" t="s">
        <v>102</v>
      </c>
      <c r="C2532" t="s">
        <v>145</v>
      </c>
      <c r="D2532" s="9">
        <v>40217.588958333334</v>
      </c>
      <c r="F2532">
        <f t="shared" ca="1" si="78"/>
        <v>4.9749999999999996</v>
      </c>
      <c r="G2532">
        <f t="shared" ca="1" si="79"/>
        <v>0</v>
      </c>
    </row>
    <row r="2533" spans="1:7">
      <c r="A2533">
        <v>1065</v>
      </c>
      <c r="B2533" t="s">
        <v>8</v>
      </c>
      <c r="C2533" t="s">
        <v>135</v>
      </c>
      <c r="D2533" s="9">
        <v>40269.65556712963</v>
      </c>
      <c r="F2533">
        <f t="shared" ca="1" si="78"/>
        <v>4.8277777777777775</v>
      </c>
      <c r="G2533">
        <f t="shared" ca="1" si="79"/>
        <v>0</v>
      </c>
    </row>
    <row r="2534" spans="1:7">
      <c r="A2534">
        <v>1066</v>
      </c>
      <c r="B2534" t="s">
        <v>11</v>
      </c>
      <c r="C2534" t="s">
        <v>145</v>
      </c>
      <c r="D2534" s="9">
        <v>40217.696481481478</v>
      </c>
      <c r="F2534">
        <f t="shared" ca="1" si="78"/>
        <v>4.9749999999999996</v>
      </c>
      <c r="G2534">
        <f t="shared" ca="1" si="79"/>
        <v>0</v>
      </c>
    </row>
    <row r="2535" spans="1:7">
      <c r="A2535">
        <v>1067</v>
      </c>
      <c r="B2535" t="s">
        <v>11</v>
      </c>
      <c r="C2535" t="s">
        <v>145</v>
      </c>
      <c r="D2535" s="9">
        <v>40217.665983796294</v>
      </c>
      <c r="F2535">
        <f t="shared" ca="1" si="78"/>
        <v>4.9749999999999996</v>
      </c>
      <c r="G2535">
        <f t="shared" ca="1" si="79"/>
        <v>0</v>
      </c>
    </row>
    <row r="2536" spans="1:7">
      <c r="A2536">
        <v>1069</v>
      </c>
      <c r="B2536" t="s">
        <v>101</v>
      </c>
      <c r="C2536" t="s">
        <v>135</v>
      </c>
      <c r="D2536" s="9">
        <v>40275.35229166667</v>
      </c>
      <c r="F2536">
        <f t="shared" ca="1" si="78"/>
        <v>4.8111111111111109</v>
      </c>
      <c r="G2536">
        <f t="shared" ca="1" si="79"/>
        <v>0</v>
      </c>
    </row>
    <row r="2537" spans="1:7">
      <c r="A2537">
        <v>1072</v>
      </c>
      <c r="B2537" t="s">
        <v>102</v>
      </c>
      <c r="C2537" t="s">
        <v>135</v>
      </c>
      <c r="D2537" s="9">
        <v>40269.555254629631</v>
      </c>
      <c r="F2537">
        <f t="shared" ca="1" si="78"/>
        <v>4.8277777777777775</v>
      </c>
      <c r="G2537">
        <f t="shared" ca="1" si="79"/>
        <v>0</v>
      </c>
    </row>
    <row r="2538" spans="1:7">
      <c r="A2538">
        <v>1075</v>
      </c>
      <c r="B2538" t="s">
        <v>102</v>
      </c>
      <c r="C2538" t="s">
        <v>135</v>
      </c>
      <c r="D2538" s="9">
        <v>40269.577951388892</v>
      </c>
      <c r="F2538">
        <f t="shared" ca="1" si="78"/>
        <v>4.8277777777777775</v>
      </c>
      <c r="G2538">
        <f t="shared" ca="1" si="79"/>
        <v>0</v>
      </c>
    </row>
    <row r="2539" spans="1:7">
      <c r="A2539">
        <v>1076</v>
      </c>
      <c r="B2539" t="s">
        <v>102</v>
      </c>
      <c r="C2539" t="s">
        <v>135</v>
      </c>
      <c r="D2539" s="9">
        <v>40269.579780092594</v>
      </c>
      <c r="F2539">
        <f t="shared" ca="1" si="78"/>
        <v>4.8277777777777775</v>
      </c>
      <c r="G2539">
        <f t="shared" ca="1" si="79"/>
        <v>0</v>
      </c>
    </row>
    <row r="2540" spans="1:7">
      <c r="A2540">
        <v>1077</v>
      </c>
      <c r="B2540" t="s">
        <v>8</v>
      </c>
      <c r="C2540" t="s">
        <v>145</v>
      </c>
      <c r="D2540" s="9">
        <v>40217.705092592594</v>
      </c>
      <c r="F2540">
        <f t="shared" ca="1" si="78"/>
        <v>4.9749999999999996</v>
      </c>
      <c r="G2540">
        <f t="shared" ca="1" si="79"/>
        <v>0</v>
      </c>
    </row>
    <row r="2541" spans="1:7">
      <c r="A2541">
        <v>1078</v>
      </c>
      <c r="B2541" t="s">
        <v>8</v>
      </c>
      <c r="C2541" t="s">
        <v>145</v>
      </c>
      <c r="D2541" s="9">
        <v>40218.380219907405</v>
      </c>
      <c r="F2541">
        <f t="shared" ca="1" si="78"/>
        <v>4.9722222222222223</v>
      </c>
      <c r="G2541">
        <f t="shared" ca="1" si="79"/>
        <v>0</v>
      </c>
    </row>
    <row r="2542" spans="1:7">
      <c r="A2542">
        <v>1079</v>
      </c>
      <c r="B2542" t="s">
        <v>112</v>
      </c>
      <c r="C2542" t="s">
        <v>137</v>
      </c>
      <c r="D2542" s="9">
        <v>40297.445590277777</v>
      </c>
      <c r="F2542">
        <f t="shared" ca="1" si="78"/>
        <v>4.75</v>
      </c>
      <c r="G2542">
        <f t="shared" ca="1" si="79"/>
        <v>0</v>
      </c>
    </row>
    <row r="2543" spans="1:7">
      <c r="A2543">
        <v>1080</v>
      </c>
      <c r="B2543" t="s">
        <v>44</v>
      </c>
      <c r="C2543" t="s">
        <v>145</v>
      </c>
      <c r="D2543" s="9">
        <v>40217.670902777776</v>
      </c>
      <c r="F2543">
        <f t="shared" ca="1" si="78"/>
        <v>4.9749999999999996</v>
      </c>
      <c r="G2543">
        <f t="shared" ca="1" si="79"/>
        <v>0</v>
      </c>
    </row>
    <row r="2544" spans="1:7">
      <c r="A2544">
        <v>1082</v>
      </c>
      <c r="B2544" t="s">
        <v>8</v>
      </c>
      <c r="C2544" t="s">
        <v>145</v>
      </c>
      <c r="D2544" s="9">
        <v>40218.397685185184</v>
      </c>
      <c r="F2544">
        <f t="shared" ca="1" si="78"/>
        <v>4.9722222222222223</v>
      </c>
      <c r="G2544">
        <f t="shared" ca="1" si="79"/>
        <v>0</v>
      </c>
    </row>
    <row r="2545" spans="1:7">
      <c r="A2545">
        <v>1087</v>
      </c>
      <c r="B2545" t="s">
        <v>34</v>
      </c>
      <c r="C2545" t="s">
        <v>145</v>
      </c>
      <c r="D2545" s="9">
        <v>40218.591863425929</v>
      </c>
      <c r="F2545">
        <f t="shared" ca="1" si="78"/>
        <v>4.9722222222222223</v>
      </c>
      <c r="G2545">
        <f t="shared" ca="1" si="79"/>
        <v>0</v>
      </c>
    </row>
    <row r="2546" spans="1:7">
      <c r="A2546">
        <v>1088</v>
      </c>
      <c r="B2546" t="s">
        <v>8</v>
      </c>
      <c r="C2546" t="s">
        <v>145</v>
      </c>
      <c r="D2546" s="9">
        <v>40217.433263888888</v>
      </c>
      <c r="F2546">
        <f t="shared" ca="1" si="78"/>
        <v>4.9749999999999996</v>
      </c>
      <c r="G2546">
        <f t="shared" ca="1" si="79"/>
        <v>0</v>
      </c>
    </row>
    <row r="2547" spans="1:7">
      <c r="A2547">
        <v>1089</v>
      </c>
      <c r="B2547" t="s">
        <v>11</v>
      </c>
      <c r="C2547" t="s">
        <v>145</v>
      </c>
      <c r="D2547" s="9">
        <v>40214.629930555559</v>
      </c>
      <c r="F2547">
        <f t="shared" ca="1" si="78"/>
        <v>4.9833333333333334</v>
      </c>
      <c r="G2547">
        <f t="shared" ca="1" si="79"/>
        <v>0</v>
      </c>
    </row>
    <row r="2548" spans="1:7">
      <c r="A2548">
        <v>1090</v>
      </c>
      <c r="B2548" t="s">
        <v>8</v>
      </c>
      <c r="C2548" t="s">
        <v>145</v>
      </c>
      <c r="D2548" s="9">
        <v>40218.540416666663</v>
      </c>
      <c r="F2548">
        <f t="shared" ca="1" si="78"/>
        <v>4.9722222222222223</v>
      </c>
      <c r="G2548">
        <f t="shared" ca="1" si="79"/>
        <v>0</v>
      </c>
    </row>
    <row r="2549" spans="1:7">
      <c r="A2549">
        <v>1091</v>
      </c>
      <c r="B2549" t="s">
        <v>34</v>
      </c>
      <c r="C2549" t="s">
        <v>135</v>
      </c>
      <c r="D2549" s="9">
        <v>40269.709143518521</v>
      </c>
      <c r="F2549">
        <f t="shared" ca="1" si="78"/>
        <v>4.8277777777777775</v>
      </c>
      <c r="G2549">
        <f t="shared" ca="1" si="79"/>
        <v>0</v>
      </c>
    </row>
    <row r="2550" spans="1:7">
      <c r="A2550">
        <v>1094</v>
      </c>
      <c r="B2550" t="s">
        <v>101</v>
      </c>
      <c r="C2550" t="s">
        <v>135</v>
      </c>
      <c r="D2550" s="9">
        <v>40269.665520833332</v>
      </c>
      <c r="F2550">
        <f t="shared" ca="1" si="78"/>
        <v>4.8277777777777775</v>
      </c>
      <c r="G2550">
        <f t="shared" ca="1" si="79"/>
        <v>0</v>
      </c>
    </row>
    <row r="2551" spans="1:7">
      <c r="A2551">
        <v>1096</v>
      </c>
      <c r="B2551" t="s">
        <v>11</v>
      </c>
      <c r="C2551" t="s">
        <v>145</v>
      </c>
      <c r="D2551" s="9">
        <v>40214.652245370373</v>
      </c>
      <c r="F2551">
        <f t="shared" ca="1" si="78"/>
        <v>4.9833333333333334</v>
      </c>
      <c r="G2551">
        <f t="shared" ca="1" si="79"/>
        <v>0</v>
      </c>
    </row>
    <row r="2552" spans="1:7">
      <c r="A2552">
        <v>1097</v>
      </c>
      <c r="B2552" t="s">
        <v>77</v>
      </c>
      <c r="C2552" t="s">
        <v>145</v>
      </c>
      <c r="D2552" s="9">
        <v>40224.497928240744</v>
      </c>
      <c r="F2552">
        <f t="shared" ca="1" si="78"/>
        <v>4.9555555555555557</v>
      </c>
      <c r="G2552">
        <f t="shared" ca="1" si="79"/>
        <v>0</v>
      </c>
    </row>
    <row r="2553" spans="1:7">
      <c r="A2553">
        <v>1098</v>
      </c>
      <c r="B2553" t="s">
        <v>34</v>
      </c>
      <c r="C2553" t="s">
        <v>135</v>
      </c>
      <c r="D2553" s="9">
        <v>40274.438842592594</v>
      </c>
      <c r="F2553">
        <f t="shared" ca="1" si="78"/>
        <v>4.8138888888888891</v>
      </c>
      <c r="G2553">
        <f t="shared" ca="1" si="79"/>
        <v>0</v>
      </c>
    </row>
    <row r="2554" spans="1:7">
      <c r="A2554">
        <v>1101</v>
      </c>
      <c r="B2554" t="s">
        <v>11</v>
      </c>
      <c r="C2554" t="s">
        <v>145</v>
      </c>
      <c r="D2554" s="9">
        <v>40218.42832175926</v>
      </c>
      <c r="F2554">
        <f t="shared" ca="1" si="78"/>
        <v>4.9722222222222223</v>
      </c>
      <c r="G2554">
        <f t="shared" ca="1" si="79"/>
        <v>0</v>
      </c>
    </row>
    <row r="2555" spans="1:7">
      <c r="A2555">
        <v>1107</v>
      </c>
      <c r="B2555" t="s">
        <v>44</v>
      </c>
      <c r="C2555" t="s">
        <v>137</v>
      </c>
      <c r="D2555" s="9">
        <v>40339.582025462965</v>
      </c>
      <c r="F2555">
        <f t="shared" ca="1" si="78"/>
        <v>4.6361111111111111</v>
      </c>
      <c r="G2555">
        <f t="shared" ca="1" si="79"/>
        <v>0</v>
      </c>
    </row>
    <row r="2556" spans="1:7">
      <c r="A2556">
        <v>1108</v>
      </c>
      <c r="B2556" t="s">
        <v>44</v>
      </c>
      <c r="C2556" t="s">
        <v>135</v>
      </c>
      <c r="D2556" s="9">
        <v>40269.669976851852</v>
      </c>
      <c r="F2556">
        <f t="shared" ca="1" si="78"/>
        <v>4.8277777777777775</v>
      </c>
      <c r="G2556">
        <f t="shared" ca="1" si="79"/>
        <v>0</v>
      </c>
    </row>
    <row r="2557" spans="1:7">
      <c r="A2557">
        <v>1110</v>
      </c>
      <c r="B2557" t="s">
        <v>34</v>
      </c>
      <c r="C2557" t="s">
        <v>135</v>
      </c>
      <c r="D2557" s="9">
        <v>40275.373819444445</v>
      </c>
      <c r="F2557">
        <f t="shared" ca="1" si="78"/>
        <v>4.8111111111111109</v>
      </c>
      <c r="G2557">
        <f t="shared" ca="1" si="79"/>
        <v>0</v>
      </c>
    </row>
    <row r="2558" spans="1:7">
      <c r="A2558">
        <v>1117</v>
      </c>
      <c r="B2558" t="s">
        <v>8</v>
      </c>
      <c r="C2558" t="s">
        <v>135</v>
      </c>
      <c r="D2558" s="9">
        <v>40269.675335648149</v>
      </c>
      <c r="F2558">
        <f t="shared" ca="1" si="78"/>
        <v>4.8277777777777775</v>
      </c>
      <c r="G2558">
        <f t="shared" ca="1" si="79"/>
        <v>0</v>
      </c>
    </row>
    <row r="2559" spans="1:7">
      <c r="A2559">
        <v>1118</v>
      </c>
      <c r="B2559" t="s">
        <v>11</v>
      </c>
      <c r="C2559" t="s">
        <v>135</v>
      </c>
      <c r="D2559" s="9">
        <v>40266.685995370368</v>
      </c>
      <c r="F2559">
        <f t="shared" ca="1" si="78"/>
        <v>4.833333333333333</v>
      </c>
      <c r="G2559">
        <f t="shared" ca="1" si="79"/>
        <v>0</v>
      </c>
    </row>
    <row r="2560" spans="1:7">
      <c r="A2560">
        <v>1121</v>
      </c>
      <c r="B2560" t="s">
        <v>34</v>
      </c>
      <c r="C2560" t="s">
        <v>135</v>
      </c>
      <c r="D2560" s="9">
        <v>40274.475335648145</v>
      </c>
      <c r="F2560">
        <f t="shared" ca="1" si="78"/>
        <v>4.8138888888888891</v>
      </c>
      <c r="G2560">
        <f t="shared" ca="1" si="79"/>
        <v>0</v>
      </c>
    </row>
    <row r="2561" spans="1:7">
      <c r="A2561">
        <v>1126</v>
      </c>
      <c r="B2561" t="s">
        <v>34</v>
      </c>
      <c r="C2561" t="s">
        <v>135</v>
      </c>
      <c r="D2561" s="9">
        <v>40274.477523148147</v>
      </c>
      <c r="F2561">
        <f t="shared" ca="1" si="78"/>
        <v>4.8138888888888891</v>
      </c>
      <c r="G2561">
        <f t="shared" ca="1" si="79"/>
        <v>0</v>
      </c>
    </row>
    <row r="2562" spans="1:7">
      <c r="A2562">
        <v>1127</v>
      </c>
      <c r="B2562" t="s">
        <v>11</v>
      </c>
      <c r="C2562" t="s">
        <v>135</v>
      </c>
      <c r="D2562" s="9">
        <v>40224.694826388892</v>
      </c>
      <c r="F2562">
        <f t="shared" ca="1" si="78"/>
        <v>4.9555555555555557</v>
      </c>
      <c r="G2562">
        <f t="shared" ca="1" si="79"/>
        <v>0</v>
      </c>
    </row>
    <row r="2563" spans="1:7">
      <c r="A2563">
        <v>1129</v>
      </c>
      <c r="B2563" t="s">
        <v>34</v>
      </c>
      <c r="C2563" t="s">
        <v>135</v>
      </c>
      <c r="D2563" s="9">
        <v>40269.67765046296</v>
      </c>
      <c r="F2563">
        <f t="shared" ref="F2563:F2626" ca="1" si="80">YEARFRAC(TODAY(),$D2563)</f>
        <v>4.8277777777777775</v>
      </c>
      <c r="G2563">
        <f t="shared" ref="G2563:G2626" ca="1" si="81">IF($F2563&lt;1,1,0)</f>
        <v>0</v>
      </c>
    </row>
    <row r="2564" spans="1:7">
      <c r="A2564">
        <v>1132</v>
      </c>
      <c r="B2564" t="s">
        <v>44</v>
      </c>
      <c r="C2564" t="s">
        <v>137</v>
      </c>
      <c r="D2564" s="9">
        <v>40337.599027777775</v>
      </c>
      <c r="F2564">
        <f t="shared" ca="1" si="80"/>
        <v>4.6416666666666666</v>
      </c>
      <c r="G2564">
        <f t="shared" ca="1" si="81"/>
        <v>0</v>
      </c>
    </row>
    <row r="2565" spans="1:7">
      <c r="A2565">
        <v>1135</v>
      </c>
      <c r="B2565" t="s">
        <v>44</v>
      </c>
      <c r="C2565" t="s">
        <v>135</v>
      </c>
      <c r="D2565" s="9">
        <v>40269.672673611109</v>
      </c>
      <c r="F2565">
        <f t="shared" ca="1" si="80"/>
        <v>4.8277777777777775</v>
      </c>
      <c r="G2565">
        <f t="shared" ca="1" si="81"/>
        <v>0</v>
      </c>
    </row>
    <row r="2566" spans="1:7">
      <c r="A2566">
        <v>1136</v>
      </c>
      <c r="B2566" t="s">
        <v>101</v>
      </c>
      <c r="C2566" t="s">
        <v>136</v>
      </c>
      <c r="D2566" s="9">
        <v>40415.483831018515</v>
      </c>
      <c r="E2566" t="s">
        <v>34</v>
      </c>
      <c r="F2566">
        <f t="shared" ca="1" si="80"/>
        <v>4.427777777777778</v>
      </c>
      <c r="G2566">
        <f t="shared" ca="1" si="81"/>
        <v>0</v>
      </c>
    </row>
    <row r="2567" spans="1:7">
      <c r="A2567">
        <v>1137</v>
      </c>
      <c r="B2567" t="s">
        <v>101</v>
      </c>
      <c r="C2567" t="s">
        <v>135</v>
      </c>
      <c r="D2567" s="9">
        <v>40274.499479166669</v>
      </c>
      <c r="F2567">
        <f t="shared" ca="1" si="80"/>
        <v>4.8138888888888891</v>
      </c>
      <c r="G2567">
        <f t="shared" ca="1" si="81"/>
        <v>0</v>
      </c>
    </row>
    <row r="2568" spans="1:7">
      <c r="A2568">
        <v>1138</v>
      </c>
      <c r="B2568" t="s">
        <v>8</v>
      </c>
      <c r="C2568" t="s">
        <v>136</v>
      </c>
      <c r="D2568" s="9">
        <v>40415.48609953704</v>
      </c>
      <c r="E2568" t="s">
        <v>131</v>
      </c>
      <c r="F2568">
        <f t="shared" ca="1" si="80"/>
        <v>4.427777777777778</v>
      </c>
      <c r="G2568">
        <f t="shared" ca="1" si="81"/>
        <v>0</v>
      </c>
    </row>
    <row r="2569" spans="1:7">
      <c r="A2569">
        <v>1140</v>
      </c>
      <c r="B2569" t="s">
        <v>101</v>
      </c>
      <c r="C2569" t="s">
        <v>136</v>
      </c>
      <c r="D2569" s="9">
        <v>40414.500613425924</v>
      </c>
      <c r="E2569" t="s">
        <v>131</v>
      </c>
      <c r="F2569">
        <f t="shared" ca="1" si="80"/>
        <v>4.4305555555555554</v>
      </c>
      <c r="G2569">
        <f t="shared" ca="1" si="81"/>
        <v>0</v>
      </c>
    </row>
    <row r="2570" spans="1:7">
      <c r="A2570">
        <v>1141</v>
      </c>
      <c r="B2570" t="s">
        <v>44</v>
      </c>
      <c r="C2570" t="s">
        <v>135</v>
      </c>
      <c r="D2570" s="9">
        <v>40274.367395833331</v>
      </c>
      <c r="F2570">
        <f t="shared" ca="1" si="80"/>
        <v>4.8138888888888891</v>
      </c>
      <c r="G2570">
        <f t="shared" ca="1" si="81"/>
        <v>0</v>
      </c>
    </row>
    <row r="2571" spans="1:7">
      <c r="A2571">
        <v>1142</v>
      </c>
      <c r="B2571" t="s">
        <v>44</v>
      </c>
      <c r="C2571" t="s">
        <v>137</v>
      </c>
      <c r="D2571" s="9">
        <v>40339.660104166665</v>
      </c>
      <c r="F2571">
        <f t="shared" ca="1" si="80"/>
        <v>4.6361111111111111</v>
      </c>
      <c r="G2571">
        <f t="shared" ca="1" si="81"/>
        <v>0</v>
      </c>
    </row>
    <row r="2572" spans="1:7">
      <c r="A2572">
        <v>1143</v>
      </c>
      <c r="B2572" t="s">
        <v>11</v>
      </c>
      <c r="C2572" t="s">
        <v>135</v>
      </c>
      <c r="D2572" s="9">
        <v>40267.386493055557</v>
      </c>
      <c r="F2572">
        <f t="shared" ca="1" si="80"/>
        <v>4.8305555555555557</v>
      </c>
      <c r="G2572">
        <f t="shared" ca="1" si="81"/>
        <v>0</v>
      </c>
    </row>
    <row r="2573" spans="1:7">
      <c r="A2573">
        <v>1148</v>
      </c>
      <c r="B2573" t="s">
        <v>101</v>
      </c>
      <c r="C2573" t="s">
        <v>138</v>
      </c>
      <c r="D2573" s="9">
        <v>40254.655162037037</v>
      </c>
      <c r="F2573">
        <f t="shared" ca="1" si="80"/>
        <v>4.8666666666666663</v>
      </c>
      <c r="G2573">
        <f t="shared" ca="1" si="81"/>
        <v>0</v>
      </c>
    </row>
    <row r="2574" spans="1:7">
      <c r="A2574">
        <v>1149</v>
      </c>
      <c r="B2574" t="s">
        <v>112</v>
      </c>
      <c r="C2574" t="s">
        <v>135</v>
      </c>
      <c r="D2574" s="9">
        <v>40248.452013888891</v>
      </c>
      <c r="F2574">
        <f t="shared" ca="1" si="80"/>
        <v>4.8833333333333337</v>
      </c>
      <c r="G2574">
        <f t="shared" ca="1" si="81"/>
        <v>0</v>
      </c>
    </row>
    <row r="2575" spans="1:7">
      <c r="A2575">
        <v>1150</v>
      </c>
      <c r="B2575" t="s">
        <v>112</v>
      </c>
      <c r="C2575" t="s">
        <v>135</v>
      </c>
      <c r="D2575" s="9">
        <v>40249.448020833333</v>
      </c>
      <c r="F2575">
        <f t="shared" ca="1" si="80"/>
        <v>4.8805555555555555</v>
      </c>
      <c r="G2575">
        <f t="shared" ca="1" si="81"/>
        <v>0</v>
      </c>
    </row>
    <row r="2576" spans="1:7">
      <c r="A2576">
        <v>1151</v>
      </c>
      <c r="B2576" t="s">
        <v>8</v>
      </c>
      <c r="C2576" t="s">
        <v>135</v>
      </c>
      <c r="D2576" s="9">
        <v>40274.377511574072</v>
      </c>
      <c r="F2576">
        <f t="shared" ca="1" si="80"/>
        <v>4.8138888888888891</v>
      </c>
      <c r="G2576">
        <f t="shared" ca="1" si="81"/>
        <v>0</v>
      </c>
    </row>
    <row r="2577" spans="1:7">
      <c r="A2577">
        <v>1152</v>
      </c>
      <c r="B2577" t="s">
        <v>8</v>
      </c>
      <c r="C2577" t="s">
        <v>135</v>
      </c>
      <c r="D2577" s="9">
        <v>40274.383460648147</v>
      </c>
      <c r="F2577">
        <f t="shared" ca="1" si="80"/>
        <v>4.8138888888888891</v>
      </c>
      <c r="G2577">
        <f t="shared" ca="1" si="81"/>
        <v>0</v>
      </c>
    </row>
    <row r="2578" spans="1:7">
      <c r="A2578">
        <v>1153</v>
      </c>
      <c r="B2578" t="s">
        <v>8</v>
      </c>
      <c r="C2578" t="s">
        <v>135</v>
      </c>
      <c r="D2578" s="9">
        <v>40274.386724537035</v>
      </c>
      <c r="F2578">
        <f t="shared" ca="1" si="80"/>
        <v>4.8138888888888891</v>
      </c>
      <c r="G2578">
        <f t="shared" ca="1" si="81"/>
        <v>0</v>
      </c>
    </row>
    <row r="2579" spans="1:7">
      <c r="A2579">
        <v>1155</v>
      </c>
      <c r="B2579" t="s">
        <v>11</v>
      </c>
      <c r="C2579" t="s">
        <v>135</v>
      </c>
      <c r="D2579" s="9">
        <v>40267.423796296294</v>
      </c>
      <c r="F2579">
        <f t="shared" ca="1" si="80"/>
        <v>4.8305555555555557</v>
      </c>
      <c r="G2579">
        <f t="shared" ca="1" si="81"/>
        <v>0</v>
      </c>
    </row>
    <row r="2580" spans="1:7">
      <c r="A2580">
        <v>1156</v>
      </c>
      <c r="B2580" t="s">
        <v>8</v>
      </c>
      <c r="C2580" t="s">
        <v>135</v>
      </c>
      <c r="D2580" s="9">
        <v>40269.628182870372</v>
      </c>
      <c r="F2580">
        <f t="shared" ca="1" si="80"/>
        <v>4.8277777777777775</v>
      </c>
      <c r="G2580">
        <f t="shared" ca="1" si="81"/>
        <v>0</v>
      </c>
    </row>
    <row r="2581" spans="1:7">
      <c r="A2581">
        <v>1157</v>
      </c>
      <c r="B2581" t="s">
        <v>8</v>
      </c>
      <c r="C2581" t="s">
        <v>135</v>
      </c>
      <c r="D2581" s="9">
        <v>40274.489305555559</v>
      </c>
      <c r="F2581">
        <f t="shared" ca="1" si="80"/>
        <v>4.8138888888888891</v>
      </c>
      <c r="G2581">
        <f t="shared" ca="1" si="81"/>
        <v>0</v>
      </c>
    </row>
    <row r="2582" spans="1:7">
      <c r="A2582">
        <v>1158</v>
      </c>
      <c r="B2582" t="s">
        <v>11</v>
      </c>
      <c r="C2582" t="s">
        <v>135</v>
      </c>
      <c r="D2582" s="9">
        <v>40266.756249999999</v>
      </c>
      <c r="F2582">
        <f t="shared" ca="1" si="80"/>
        <v>4.833333333333333</v>
      </c>
      <c r="G2582">
        <f t="shared" ca="1" si="81"/>
        <v>0</v>
      </c>
    </row>
    <row r="2583" spans="1:7">
      <c r="A2583">
        <v>1160</v>
      </c>
      <c r="B2583" t="s">
        <v>44</v>
      </c>
      <c r="C2583" t="s">
        <v>135</v>
      </c>
      <c r="D2583" s="9">
        <v>40274.389386574076</v>
      </c>
      <c r="F2583">
        <f t="shared" ca="1" si="80"/>
        <v>4.8138888888888891</v>
      </c>
      <c r="G2583">
        <f t="shared" ca="1" si="81"/>
        <v>0</v>
      </c>
    </row>
    <row r="2584" spans="1:7">
      <c r="A2584">
        <v>1163</v>
      </c>
      <c r="B2584" t="s">
        <v>8</v>
      </c>
      <c r="C2584" t="s">
        <v>137</v>
      </c>
      <c r="D2584" s="9">
        <v>40339.648356481484</v>
      </c>
      <c r="F2584">
        <f t="shared" ca="1" si="80"/>
        <v>4.6361111111111111</v>
      </c>
      <c r="G2584">
        <f t="shared" ca="1" si="81"/>
        <v>0</v>
      </c>
    </row>
    <row r="2585" spans="1:7">
      <c r="A2585">
        <v>1164</v>
      </c>
      <c r="B2585" t="s">
        <v>101</v>
      </c>
      <c r="C2585" t="s">
        <v>137</v>
      </c>
      <c r="D2585" s="9">
        <v>40340.355879629627</v>
      </c>
      <c r="F2585">
        <f t="shared" ca="1" si="80"/>
        <v>4.6333333333333337</v>
      </c>
      <c r="G2585">
        <f t="shared" ca="1" si="81"/>
        <v>0</v>
      </c>
    </row>
    <row r="2586" spans="1:7">
      <c r="A2586">
        <v>1165</v>
      </c>
      <c r="B2586" t="s">
        <v>101</v>
      </c>
      <c r="C2586" t="s">
        <v>135</v>
      </c>
      <c r="D2586" s="9">
        <v>40274.552175925928</v>
      </c>
      <c r="F2586">
        <f t="shared" ca="1" si="80"/>
        <v>4.8138888888888891</v>
      </c>
      <c r="G2586">
        <f t="shared" ca="1" si="81"/>
        <v>0</v>
      </c>
    </row>
    <row r="2587" spans="1:7">
      <c r="A2587">
        <v>1166</v>
      </c>
      <c r="B2587" t="s">
        <v>101</v>
      </c>
      <c r="C2587" t="s">
        <v>136</v>
      </c>
      <c r="D2587" s="9">
        <v>40415.496064814812</v>
      </c>
      <c r="E2587" t="s">
        <v>131</v>
      </c>
      <c r="F2587">
        <f t="shared" ca="1" si="80"/>
        <v>4.427777777777778</v>
      </c>
      <c r="G2587">
        <f t="shared" ca="1" si="81"/>
        <v>0</v>
      </c>
    </row>
    <row r="2588" spans="1:7">
      <c r="A2588">
        <v>1168</v>
      </c>
      <c r="B2588" t="s">
        <v>11</v>
      </c>
      <c r="C2588" t="s">
        <v>135</v>
      </c>
      <c r="D2588" s="9">
        <v>40274.586597222224</v>
      </c>
      <c r="F2588">
        <f t="shared" ca="1" si="80"/>
        <v>4.8138888888888891</v>
      </c>
      <c r="G2588">
        <f t="shared" ca="1" si="81"/>
        <v>0</v>
      </c>
    </row>
    <row r="2589" spans="1:7">
      <c r="A2589">
        <v>1169</v>
      </c>
      <c r="B2589" t="s">
        <v>11</v>
      </c>
      <c r="C2589" t="s">
        <v>135</v>
      </c>
      <c r="D2589" s="9">
        <v>40274.589247685188</v>
      </c>
      <c r="F2589">
        <f t="shared" ca="1" si="80"/>
        <v>4.8138888888888891</v>
      </c>
      <c r="G2589">
        <f t="shared" ca="1" si="81"/>
        <v>0</v>
      </c>
    </row>
    <row r="2590" spans="1:7">
      <c r="A2590">
        <v>1170</v>
      </c>
      <c r="B2590" t="s">
        <v>11</v>
      </c>
      <c r="C2590" t="s">
        <v>135</v>
      </c>
      <c r="D2590" s="9">
        <v>40269.604317129626</v>
      </c>
      <c r="F2590">
        <f t="shared" ca="1" si="80"/>
        <v>4.8277777777777775</v>
      </c>
      <c r="G2590">
        <f t="shared" ca="1" si="81"/>
        <v>0</v>
      </c>
    </row>
    <row r="2591" spans="1:7">
      <c r="A2591">
        <v>1171</v>
      </c>
      <c r="B2591" t="s">
        <v>44</v>
      </c>
      <c r="C2591" t="s">
        <v>137</v>
      </c>
      <c r="D2591" s="9">
        <v>40339.712060185186</v>
      </c>
      <c r="F2591">
        <f t="shared" ca="1" si="80"/>
        <v>4.6361111111111111</v>
      </c>
      <c r="G2591">
        <f t="shared" ca="1" si="81"/>
        <v>0</v>
      </c>
    </row>
    <row r="2592" spans="1:7">
      <c r="A2592">
        <v>1173</v>
      </c>
      <c r="B2592" t="s">
        <v>34</v>
      </c>
      <c r="C2592" t="s">
        <v>137</v>
      </c>
      <c r="D2592" s="9">
        <v>40338.408842592595</v>
      </c>
      <c r="F2592">
        <f t="shared" ca="1" si="80"/>
        <v>4.6388888888888893</v>
      </c>
      <c r="G2592">
        <f t="shared" ca="1" si="81"/>
        <v>0</v>
      </c>
    </row>
    <row r="2593" spans="1:7">
      <c r="A2593">
        <v>1174</v>
      </c>
      <c r="B2593" t="s">
        <v>11</v>
      </c>
      <c r="C2593" t="s">
        <v>135</v>
      </c>
      <c r="D2593" s="9">
        <v>40274.715381944443</v>
      </c>
      <c r="F2593">
        <f t="shared" ca="1" si="80"/>
        <v>4.8138888888888891</v>
      </c>
      <c r="G2593">
        <f t="shared" ca="1" si="81"/>
        <v>0</v>
      </c>
    </row>
    <row r="2594" spans="1:7">
      <c r="A2594">
        <v>1175</v>
      </c>
      <c r="B2594" t="s">
        <v>102</v>
      </c>
      <c r="C2594" t="s">
        <v>134</v>
      </c>
      <c r="D2594" s="9">
        <v>40485.526250000003</v>
      </c>
      <c r="E2594" t="s">
        <v>131</v>
      </c>
      <c r="F2594">
        <f t="shared" ca="1" si="80"/>
        <v>4.2388888888888889</v>
      </c>
      <c r="G2594">
        <f t="shared" ca="1" si="81"/>
        <v>0</v>
      </c>
    </row>
    <row r="2595" spans="1:7">
      <c r="A2595">
        <v>1179</v>
      </c>
      <c r="B2595" t="s">
        <v>44</v>
      </c>
      <c r="C2595" t="s">
        <v>137</v>
      </c>
      <c r="D2595" s="9">
        <v>40338.448240740741</v>
      </c>
      <c r="F2595">
        <f t="shared" ca="1" si="80"/>
        <v>4.6388888888888893</v>
      </c>
      <c r="G2595">
        <f t="shared" ca="1" si="81"/>
        <v>0</v>
      </c>
    </row>
    <row r="2596" spans="1:7">
      <c r="A2596">
        <v>1180</v>
      </c>
      <c r="B2596" t="s">
        <v>44</v>
      </c>
      <c r="C2596" t="s">
        <v>136</v>
      </c>
      <c r="D2596" s="9">
        <v>40416.382962962962</v>
      </c>
      <c r="E2596" t="s">
        <v>8</v>
      </c>
      <c r="F2596">
        <f t="shared" ca="1" si="80"/>
        <v>4.4249999999999998</v>
      </c>
      <c r="G2596">
        <f t="shared" ca="1" si="81"/>
        <v>0</v>
      </c>
    </row>
    <row r="2597" spans="1:7">
      <c r="A2597">
        <v>1181</v>
      </c>
      <c r="B2597" t="s">
        <v>112</v>
      </c>
      <c r="C2597" t="s">
        <v>136</v>
      </c>
      <c r="D2597" s="9">
        <v>40414.722685185188</v>
      </c>
      <c r="E2597" t="s">
        <v>99</v>
      </c>
      <c r="F2597">
        <f t="shared" ca="1" si="80"/>
        <v>4.4305555555555554</v>
      </c>
      <c r="G2597">
        <f t="shared" ca="1" si="81"/>
        <v>0</v>
      </c>
    </row>
    <row r="2598" spans="1:7">
      <c r="A2598">
        <v>1182</v>
      </c>
      <c r="B2598" t="s">
        <v>112</v>
      </c>
      <c r="C2598" t="s">
        <v>136</v>
      </c>
      <c r="D2598" s="9">
        <v>40415.546712962961</v>
      </c>
      <c r="E2598" t="s">
        <v>8</v>
      </c>
      <c r="F2598">
        <f t="shared" ca="1" si="80"/>
        <v>4.427777777777778</v>
      </c>
      <c r="G2598">
        <f t="shared" ca="1" si="81"/>
        <v>0</v>
      </c>
    </row>
    <row r="2599" spans="1:7">
      <c r="A2599">
        <v>1184</v>
      </c>
      <c r="B2599" t="s">
        <v>34</v>
      </c>
      <c r="C2599" t="s">
        <v>137</v>
      </c>
      <c r="D2599" s="9">
        <v>40339.378645833334</v>
      </c>
      <c r="F2599">
        <f t="shared" ca="1" si="80"/>
        <v>4.6361111111111111</v>
      </c>
      <c r="G2599">
        <f t="shared" ca="1" si="81"/>
        <v>0</v>
      </c>
    </row>
    <row r="2600" spans="1:7">
      <c r="A2600">
        <v>1185</v>
      </c>
      <c r="B2600" t="s">
        <v>8</v>
      </c>
      <c r="C2600" t="s">
        <v>136</v>
      </c>
      <c r="D2600" s="9">
        <v>40415.633460648147</v>
      </c>
      <c r="E2600" t="s">
        <v>38</v>
      </c>
      <c r="F2600">
        <f t="shared" ca="1" si="80"/>
        <v>4.427777777777778</v>
      </c>
      <c r="G2600">
        <f t="shared" ca="1" si="81"/>
        <v>0</v>
      </c>
    </row>
    <row r="2601" spans="1:7">
      <c r="A2601">
        <v>1189</v>
      </c>
      <c r="B2601" t="s">
        <v>77</v>
      </c>
      <c r="C2601" t="s">
        <v>135</v>
      </c>
      <c r="D2601" s="9">
        <v>40276.363136574073</v>
      </c>
      <c r="F2601">
        <f t="shared" ca="1" si="80"/>
        <v>4.8083333333333336</v>
      </c>
      <c r="G2601">
        <f t="shared" ca="1" si="81"/>
        <v>0</v>
      </c>
    </row>
    <row r="2602" spans="1:7">
      <c r="A2602">
        <v>1191</v>
      </c>
      <c r="B2602" t="s">
        <v>34</v>
      </c>
      <c r="C2602" t="s">
        <v>137</v>
      </c>
      <c r="D2602" s="9">
        <v>40276.588148148148</v>
      </c>
      <c r="F2602">
        <f t="shared" ca="1" si="80"/>
        <v>4.8083333333333336</v>
      </c>
      <c r="G2602">
        <f t="shared" ca="1" si="81"/>
        <v>0</v>
      </c>
    </row>
    <row r="2603" spans="1:7">
      <c r="A2603">
        <v>1193</v>
      </c>
      <c r="B2603" t="s">
        <v>8</v>
      </c>
      <c r="C2603" t="s">
        <v>137</v>
      </c>
      <c r="D2603" s="9">
        <v>40340.515972222223</v>
      </c>
      <c r="F2603">
        <f t="shared" ca="1" si="80"/>
        <v>4.6333333333333337</v>
      </c>
      <c r="G2603">
        <f t="shared" ca="1" si="81"/>
        <v>0</v>
      </c>
    </row>
    <row r="2604" spans="1:7">
      <c r="A2604">
        <v>1194</v>
      </c>
      <c r="B2604" t="s">
        <v>34</v>
      </c>
      <c r="C2604" t="s">
        <v>137</v>
      </c>
      <c r="D2604" s="9">
        <v>40277.617002314815</v>
      </c>
      <c r="F2604">
        <f t="shared" ca="1" si="80"/>
        <v>4.8055555555555554</v>
      </c>
      <c r="G2604">
        <f t="shared" ca="1" si="81"/>
        <v>0</v>
      </c>
    </row>
    <row r="2605" spans="1:7">
      <c r="A2605">
        <v>1195</v>
      </c>
      <c r="B2605" t="s">
        <v>8</v>
      </c>
      <c r="C2605" t="s">
        <v>137</v>
      </c>
      <c r="D2605" s="9">
        <v>40338.622453703705</v>
      </c>
      <c r="F2605">
        <f t="shared" ca="1" si="80"/>
        <v>4.6388888888888893</v>
      </c>
      <c r="G2605">
        <f t="shared" ca="1" si="81"/>
        <v>0</v>
      </c>
    </row>
    <row r="2606" spans="1:7">
      <c r="A2606">
        <v>1196</v>
      </c>
      <c r="B2606" t="s">
        <v>8</v>
      </c>
      <c r="C2606" t="s">
        <v>137</v>
      </c>
      <c r="D2606" s="9">
        <v>40340.675162037034</v>
      </c>
      <c r="F2606">
        <f t="shared" ca="1" si="80"/>
        <v>4.6333333333333337</v>
      </c>
      <c r="G2606">
        <f t="shared" ca="1" si="81"/>
        <v>0</v>
      </c>
    </row>
    <row r="2607" spans="1:7">
      <c r="A2607">
        <v>1197</v>
      </c>
      <c r="B2607" t="s">
        <v>77</v>
      </c>
      <c r="C2607" t="s">
        <v>137</v>
      </c>
      <c r="D2607" s="9">
        <v>40335.870671296296</v>
      </c>
      <c r="F2607">
        <f t="shared" ca="1" si="80"/>
        <v>4.6472222222222221</v>
      </c>
      <c r="G2607">
        <f t="shared" ca="1" si="81"/>
        <v>0</v>
      </c>
    </row>
    <row r="2608" spans="1:7">
      <c r="A2608">
        <v>1199</v>
      </c>
      <c r="B2608" t="s">
        <v>34</v>
      </c>
      <c r="C2608" t="s">
        <v>136</v>
      </c>
      <c r="D2608" s="9">
        <v>40415.783449074072</v>
      </c>
      <c r="E2608" t="s">
        <v>20</v>
      </c>
      <c r="F2608">
        <f t="shared" ca="1" si="80"/>
        <v>4.427777777777778</v>
      </c>
      <c r="G2608">
        <f t="shared" ca="1" si="81"/>
        <v>0</v>
      </c>
    </row>
    <row r="2609" spans="1:7">
      <c r="A2609">
        <v>1201</v>
      </c>
      <c r="B2609" t="s">
        <v>8</v>
      </c>
      <c r="C2609" t="s">
        <v>137</v>
      </c>
      <c r="D2609" s="9">
        <v>40287.373252314814</v>
      </c>
      <c r="F2609">
        <f t="shared" ca="1" si="80"/>
        <v>4.7777777777777777</v>
      </c>
      <c r="G2609">
        <f t="shared" ca="1" si="81"/>
        <v>0</v>
      </c>
    </row>
    <row r="2610" spans="1:7">
      <c r="A2610">
        <v>1203</v>
      </c>
      <c r="B2610" t="s">
        <v>34</v>
      </c>
      <c r="C2610" t="s">
        <v>137</v>
      </c>
      <c r="D2610" s="9">
        <v>40337.503668981481</v>
      </c>
      <c r="F2610">
        <f t="shared" ca="1" si="80"/>
        <v>4.6416666666666666</v>
      </c>
      <c r="G2610">
        <f t="shared" ca="1" si="81"/>
        <v>0</v>
      </c>
    </row>
    <row r="2611" spans="1:7">
      <c r="A2611">
        <v>1204</v>
      </c>
      <c r="B2611" t="s">
        <v>8</v>
      </c>
      <c r="C2611" t="s">
        <v>136</v>
      </c>
      <c r="D2611" s="9">
        <v>40415.655451388891</v>
      </c>
      <c r="E2611" t="s">
        <v>32</v>
      </c>
      <c r="F2611">
        <f t="shared" ca="1" si="80"/>
        <v>4.427777777777778</v>
      </c>
      <c r="G2611">
        <f t="shared" ca="1" si="81"/>
        <v>0</v>
      </c>
    </row>
    <row r="2612" spans="1:7">
      <c r="A2612">
        <v>1205</v>
      </c>
      <c r="B2612" t="s">
        <v>44</v>
      </c>
      <c r="C2612" t="s">
        <v>137</v>
      </c>
      <c r="D2612" s="9">
        <v>40339.671076388891</v>
      </c>
      <c r="F2612">
        <f t="shared" ca="1" si="80"/>
        <v>4.6361111111111111</v>
      </c>
      <c r="G2612">
        <f t="shared" ca="1" si="81"/>
        <v>0</v>
      </c>
    </row>
    <row r="2613" spans="1:7">
      <c r="A2613">
        <v>1206</v>
      </c>
      <c r="B2613" t="s">
        <v>34</v>
      </c>
      <c r="C2613" t="s">
        <v>137</v>
      </c>
      <c r="D2613" s="9">
        <v>40337.509594907409</v>
      </c>
      <c r="F2613">
        <f t="shared" ca="1" si="80"/>
        <v>4.6416666666666666</v>
      </c>
      <c r="G2613">
        <f t="shared" ca="1" si="81"/>
        <v>0</v>
      </c>
    </row>
    <row r="2614" spans="1:7">
      <c r="A2614">
        <v>1207</v>
      </c>
      <c r="B2614" t="s">
        <v>91</v>
      </c>
      <c r="C2614" t="s">
        <v>137</v>
      </c>
      <c r="D2614" s="9">
        <v>40338.424004629633</v>
      </c>
      <c r="F2614">
        <f t="shared" ca="1" si="80"/>
        <v>4.6388888888888893</v>
      </c>
      <c r="G2614">
        <f t="shared" ca="1" si="81"/>
        <v>0</v>
      </c>
    </row>
    <row r="2615" spans="1:7">
      <c r="A2615">
        <v>1208</v>
      </c>
      <c r="B2615" t="s">
        <v>8</v>
      </c>
      <c r="C2615" t="s">
        <v>137</v>
      </c>
      <c r="D2615" s="9">
        <v>40340.493449074071</v>
      </c>
      <c r="F2615">
        <f t="shared" ca="1" si="80"/>
        <v>4.6333333333333337</v>
      </c>
      <c r="G2615">
        <f t="shared" ca="1" si="81"/>
        <v>0</v>
      </c>
    </row>
    <row r="2616" spans="1:7">
      <c r="A2616">
        <v>1209</v>
      </c>
      <c r="B2616" t="s">
        <v>91</v>
      </c>
      <c r="C2616" t="s">
        <v>137</v>
      </c>
      <c r="D2616" s="9">
        <v>40338.424837962964</v>
      </c>
      <c r="F2616">
        <f t="shared" ca="1" si="80"/>
        <v>4.6388888888888893</v>
      </c>
      <c r="G2616">
        <f t="shared" ca="1" si="81"/>
        <v>0</v>
      </c>
    </row>
    <row r="2617" spans="1:7">
      <c r="A2617">
        <v>1210</v>
      </c>
      <c r="B2617" t="s">
        <v>101</v>
      </c>
      <c r="C2617" t="s">
        <v>137</v>
      </c>
      <c r="D2617" s="9">
        <v>40339.674444444441</v>
      </c>
      <c r="F2617">
        <f t="shared" ca="1" si="80"/>
        <v>4.6361111111111111</v>
      </c>
      <c r="G2617">
        <f t="shared" ca="1" si="81"/>
        <v>0</v>
      </c>
    </row>
    <row r="2618" spans="1:7">
      <c r="A2618">
        <v>1211</v>
      </c>
      <c r="B2618" t="s">
        <v>34</v>
      </c>
      <c r="C2618" t="s">
        <v>137</v>
      </c>
      <c r="D2618" s="9">
        <v>40309.666076388887</v>
      </c>
      <c r="F2618">
        <f t="shared" ca="1" si="80"/>
        <v>4.7166666666666668</v>
      </c>
      <c r="G2618">
        <f t="shared" ca="1" si="81"/>
        <v>0</v>
      </c>
    </row>
    <row r="2619" spans="1:7">
      <c r="A2619">
        <v>1216</v>
      </c>
      <c r="B2619" t="s">
        <v>112</v>
      </c>
      <c r="C2619" t="s">
        <v>137</v>
      </c>
      <c r="D2619" s="9">
        <v>40291.504386574074</v>
      </c>
      <c r="F2619">
        <f t="shared" ca="1" si="80"/>
        <v>4.7666666666666666</v>
      </c>
      <c r="G2619">
        <f t="shared" ca="1" si="81"/>
        <v>0</v>
      </c>
    </row>
    <row r="2620" spans="1:7">
      <c r="A2620">
        <v>1218</v>
      </c>
      <c r="B2620" t="s">
        <v>8</v>
      </c>
      <c r="C2620" t="s">
        <v>137</v>
      </c>
      <c r="D2620" s="9">
        <v>40337.625173611108</v>
      </c>
      <c r="F2620">
        <f t="shared" ca="1" si="80"/>
        <v>4.6416666666666666</v>
      </c>
      <c r="G2620">
        <f t="shared" ca="1" si="81"/>
        <v>0</v>
      </c>
    </row>
    <row r="2621" spans="1:7">
      <c r="A2621">
        <v>1221</v>
      </c>
      <c r="B2621" t="s">
        <v>8</v>
      </c>
      <c r="C2621" t="s">
        <v>137</v>
      </c>
      <c r="D2621" s="9">
        <v>40339.713483796295</v>
      </c>
      <c r="F2621">
        <f t="shared" ca="1" si="80"/>
        <v>4.6361111111111111</v>
      </c>
      <c r="G2621">
        <f t="shared" ca="1" si="81"/>
        <v>0</v>
      </c>
    </row>
    <row r="2622" spans="1:7">
      <c r="A2622">
        <v>1222</v>
      </c>
      <c r="B2622" t="s">
        <v>11</v>
      </c>
      <c r="C2622" t="s">
        <v>137</v>
      </c>
      <c r="D2622" s="9">
        <v>40337.696712962963</v>
      </c>
      <c r="F2622">
        <f t="shared" ca="1" si="80"/>
        <v>4.6416666666666666</v>
      </c>
      <c r="G2622">
        <f t="shared" ca="1" si="81"/>
        <v>0</v>
      </c>
    </row>
    <row r="2623" spans="1:7">
      <c r="A2623">
        <v>1223</v>
      </c>
      <c r="B2623" t="s">
        <v>44</v>
      </c>
      <c r="C2623" t="s">
        <v>137</v>
      </c>
      <c r="D2623" s="9">
        <v>40340.396481481483</v>
      </c>
      <c r="F2623">
        <f t="shared" ca="1" si="80"/>
        <v>4.6333333333333337</v>
      </c>
      <c r="G2623">
        <f t="shared" ca="1" si="81"/>
        <v>0</v>
      </c>
    </row>
    <row r="2624" spans="1:7">
      <c r="A2624">
        <v>1224</v>
      </c>
      <c r="B2624" t="s">
        <v>8</v>
      </c>
      <c r="C2624" t="s">
        <v>132</v>
      </c>
      <c r="D2624" s="9">
        <v>40660.515277777777</v>
      </c>
      <c r="E2624" t="s">
        <v>131</v>
      </c>
      <c r="F2624">
        <f t="shared" ca="1" si="80"/>
        <v>3.7555555555555555</v>
      </c>
      <c r="G2624">
        <f t="shared" ca="1" si="81"/>
        <v>0</v>
      </c>
    </row>
    <row r="2625" spans="1:7">
      <c r="A2625">
        <v>1226</v>
      </c>
      <c r="B2625" t="s">
        <v>11</v>
      </c>
      <c r="C2625" t="s">
        <v>137</v>
      </c>
      <c r="D2625" s="9">
        <v>40338.584479166668</v>
      </c>
      <c r="F2625">
        <f t="shared" ca="1" si="80"/>
        <v>4.6388888888888893</v>
      </c>
      <c r="G2625">
        <f t="shared" ca="1" si="81"/>
        <v>0</v>
      </c>
    </row>
    <row r="2626" spans="1:7">
      <c r="A2626">
        <v>1227</v>
      </c>
      <c r="B2626" t="s">
        <v>11</v>
      </c>
      <c r="C2626" t="s">
        <v>137</v>
      </c>
      <c r="D2626" s="9">
        <v>40337.608611111114</v>
      </c>
      <c r="F2626">
        <f t="shared" ca="1" si="80"/>
        <v>4.6416666666666666</v>
      </c>
      <c r="G2626">
        <f t="shared" ca="1" si="81"/>
        <v>0</v>
      </c>
    </row>
    <row r="2627" spans="1:7">
      <c r="A2627">
        <v>1229</v>
      </c>
      <c r="B2627" t="s">
        <v>44</v>
      </c>
      <c r="C2627" t="s">
        <v>137</v>
      </c>
      <c r="D2627" s="9">
        <v>40339.683715277781</v>
      </c>
      <c r="F2627">
        <f t="shared" ref="F2627:F2690" ca="1" si="82">YEARFRAC(TODAY(),$D2627)</f>
        <v>4.6361111111111111</v>
      </c>
      <c r="G2627">
        <f t="shared" ref="G2627:G2690" ca="1" si="83">IF($F2627&lt;1,1,0)</f>
        <v>0</v>
      </c>
    </row>
    <row r="2628" spans="1:7">
      <c r="A2628">
        <v>1230</v>
      </c>
      <c r="B2628" t="s">
        <v>34</v>
      </c>
      <c r="C2628" t="s">
        <v>137</v>
      </c>
      <c r="D2628" s="9">
        <v>40338.405474537038</v>
      </c>
      <c r="F2628">
        <f t="shared" ca="1" si="82"/>
        <v>4.6388888888888893</v>
      </c>
      <c r="G2628">
        <f t="shared" ca="1" si="83"/>
        <v>0</v>
      </c>
    </row>
    <row r="2629" spans="1:7">
      <c r="A2629">
        <v>1231</v>
      </c>
      <c r="B2629" t="s">
        <v>101</v>
      </c>
      <c r="C2629" t="s">
        <v>137</v>
      </c>
      <c r="D2629" s="9">
        <v>40340.788935185185</v>
      </c>
      <c r="F2629">
        <f t="shared" ca="1" si="82"/>
        <v>4.6333333333333337</v>
      </c>
      <c r="G2629">
        <f t="shared" ca="1" si="83"/>
        <v>0</v>
      </c>
    </row>
    <row r="2630" spans="1:7">
      <c r="A2630">
        <v>1232</v>
      </c>
      <c r="B2630" t="s">
        <v>8</v>
      </c>
      <c r="C2630" t="s">
        <v>137</v>
      </c>
      <c r="D2630" s="9">
        <v>40340.446793981479</v>
      </c>
      <c r="F2630">
        <f t="shared" ca="1" si="82"/>
        <v>4.6333333333333337</v>
      </c>
      <c r="G2630">
        <f t="shared" ca="1" si="83"/>
        <v>0</v>
      </c>
    </row>
    <row r="2631" spans="1:7">
      <c r="A2631">
        <v>1233</v>
      </c>
      <c r="B2631" t="s">
        <v>44</v>
      </c>
      <c r="C2631" t="s">
        <v>137</v>
      </c>
      <c r="D2631" s="9">
        <v>40339.710381944446</v>
      </c>
      <c r="F2631">
        <f t="shared" ca="1" si="82"/>
        <v>4.6361111111111111</v>
      </c>
      <c r="G2631">
        <f t="shared" ca="1" si="83"/>
        <v>0</v>
      </c>
    </row>
    <row r="2632" spans="1:7">
      <c r="A2632">
        <v>1234</v>
      </c>
      <c r="B2632" t="s">
        <v>101</v>
      </c>
      <c r="C2632" t="s">
        <v>137</v>
      </c>
      <c r="D2632" s="9">
        <v>40303.503541666665</v>
      </c>
      <c r="F2632">
        <f t="shared" ca="1" si="82"/>
        <v>4.7333333333333334</v>
      </c>
      <c r="G2632">
        <f t="shared" ca="1" si="83"/>
        <v>0</v>
      </c>
    </row>
    <row r="2633" spans="1:7">
      <c r="A2633">
        <v>1235</v>
      </c>
      <c r="B2633" t="s">
        <v>8</v>
      </c>
      <c r="C2633" t="s">
        <v>137</v>
      </c>
      <c r="D2633" s="9">
        <v>40340.562476851854</v>
      </c>
      <c r="F2633">
        <f t="shared" ca="1" si="82"/>
        <v>4.6333333333333337</v>
      </c>
      <c r="G2633">
        <f t="shared" ca="1" si="83"/>
        <v>0</v>
      </c>
    </row>
    <row r="2634" spans="1:7">
      <c r="A2634">
        <v>1236</v>
      </c>
      <c r="B2634" t="s">
        <v>8</v>
      </c>
      <c r="C2634" t="s">
        <v>137</v>
      </c>
      <c r="D2634" s="9">
        <v>40340.486296296294</v>
      </c>
      <c r="F2634">
        <f t="shared" ca="1" si="82"/>
        <v>4.6333333333333337</v>
      </c>
      <c r="G2634">
        <f t="shared" ca="1" si="83"/>
        <v>0</v>
      </c>
    </row>
    <row r="2635" spans="1:7">
      <c r="A2635">
        <v>1237</v>
      </c>
      <c r="B2635" t="s">
        <v>101</v>
      </c>
      <c r="C2635" t="s">
        <v>137</v>
      </c>
      <c r="D2635" s="9">
        <v>40338.597546296296</v>
      </c>
      <c r="F2635">
        <f t="shared" ca="1" si="82"/>
        <v>4.6388888888888893</v>
      </c>
      <c r="G2635">
        <f t="shared" ca="1" si="83"/>
        <v>0</v>
      </c>
    </row>
    <row r="2636" spans="1:7">
      <c r="A2636">
        <v>1239</v>
      </c>
      <c r="B2636" t="s">
        <v>23</v>
      </c>
      <c r="C2636" t="s">
        <v>137</v>
      </c>
      <c r="D2636" s="9">
        <v>40339.689652777779</v>
      </c>
      <c r="F2636">
        <f t="shared" ca="1" si="82"/>
        <v>4.6361111111111111</v>
      </c>
      <c r="G2636">
        <f t="shared" ca="1" si="83"/>
        <v>0</v>
      </c>
    </row>
    <row r="2637" spans="1:7">
      <c r="A2637">
        <v>1240</v>
      </c>
      <c r="B2637" t="s">
        <v>19</v>
      </c>
      <c r="C2637" t="s">
        <v>137</v>
      </c>
      <c r="D2637" s="9">
        <v>40343.511793981481</v>
      </c>
      <c r="F2637">
        <f t="shared" ca="1" si="82"/>
        <v>4.625</v>
      </c>
      <c r="G2637">
        <f t="shared" ca="1" si="83"/>
        <v>0</v>
      </c>
    </row>
    <row r="2638" spans="1:7">
      <c r="A2638">
        <v>1241</v>
      </c>
      <c r="B2638" t="s">
        <v>101</v>
      </c>
      <c r="C2638" t="s">
        <v>137</v>
      </c>
      <c r="D2638" s="9">
        <v>40339.682083333333</v>
      </c>
      <c r="F2638">
        <f t="shared" ca="1" si="82"/>
        <v>4.6361111111111111</v>
      </c>
      <c r="G2638">
        <f t="shared" ca="1" si="83"/>
        <v>0</v>
      </c>
    </row>
    <row r="2639" spans="1:7">
      <c r="A2639">
        <v>1242</v>
      </c>
      <c r="B2639" t="s">
        <v>104</v>
      </c>
      <c r="C2639" t="s">
        <v>137</v>
      </c>
      <c r="D2639" s="9">
        <v>40343.510740740741</v>
      </c>
      <c r="F2639">
        <f t="shared" ca="1" si="82"/>
        <v>4.625</v>
      </c>
      <c r="G2639">
        <f t="shared" ca="1" si="83"/>
        <v>0</v>
      </c>
    </row>
    <row r="2640" spans="1:7">
      <c r="A2640">
        <v>1243</v>
      </c>
      <c r="B2640" t="s">
        <v>34</v>
      </c>
      <c r="C2640" t="s">
        <v>137</v>
      </c>
      <c r="D2640" s="9">
        <v>40338.406863425924</v>
      </c>
      <c r="F2640">
        <f t="shared" ca="1" si="82"/>
        <v>4.6388888888888893</v>
      </c>
      <c r="G2640">
        <f t="shared" ca="1" si="83"/>
        <v>0</v>
      </c>
    </row>
    <row r="2641" spans="1:7">
      <c r="A2641">
        <v>1244</v>
      </c>
      <c r="B2641" t="s">
        <v>77</v>
      </c>
      <c r="C2641" t="s">
        <v>137</v>
      </c>
      <c r="D2641" s="9">
        <v>40335.871041666665</v>
      </c>
      <c r="F2641">
        <f t="shared" ca="1" si="82"/>
        <v>4.6472222222222221</v>
      </c>
      <c r="G2641">
        <f t="shared" ca="1" si="83"/>
        <v>0</v>
      </c>
    </row>
    <row r="2642" spans="1:7">
      <c r="A2642">
        <v>1246</v>
      </c>
      <c r="B2642" t="s">
        <v>44</v>
      </c>
      <c r="C2642" t="s">
        <v>137</v>
      </c>
      <c r="D2642" s="9">
        <v>40339.693090277775</v>
      </c>
      <c r="F2642">
        <f t="shared" ca="1" si="82"/>
        <v>4.6361111111111111</v>
      </c>
      <c r="G2642">
        <f t="shared" ca="1" si="83"/>
        <v>0</v>
      </c>
    </row>
    <row r="2643" spans="1:7">
      <c r="A2643">
        <v>1247</v>
      </c>
      <c r="B2643" t="s">
        <v>8</v>
      </c>
      <c r="C2643" t="s">
        <v>137</v>
      </c>
      <c r="D2643" s="9">
        <v>40338.597048611111</v>
      </c>
      <c r="F2643">
        <f t="shared" ca="1" si="82"/>
        <v>4.6388888888888893</v>
      </c>
      <c r="G2643">
        <f t="shared" ca="1" si="83"/>
        <v>0</v>
      </c>
    </row>
    <row r="2644" spans="1:7">
      <c r="A2644">
        <v>1248</v>
      </c>
      <c r="B2644" t="s">
        <v>8</v>
      </c>
      <c r="C2644" t="s">
        <v>137</v>
      </c>
      <c r="D2644" s="9">
        <v>40340.569027777776</v>
      </c>
      <c r="F2644">
        <f t="shared" ca="1" si="82"/>
        <v>4.6333333333333337</v>
      </c>
      <c r="G2644">
        <f t="shared" ca="1" si="83"/>
        <v>0</v>
      </c>
    </row>
    <row r="2645" spans="1:7">
      <c r="A2645">
        <v>1249</v>
      </c>
      <c r="B2645" t="s">
        <v>44</v>
      </c>
      <c r="C2645" t="s">
        <v>137</v>
      </c>
      <c r="D2645" s="9">
        <v>40339.648738425924</v>
      </c>
      <c r="F2645">
        <f t="shared" ca="1" si="82"/>
        <v>4.6361111111111111</v>
      </c>
      <c r="G2645">
        <f t="shared" ca="1" si="83"/>
        <v>0</v>
      </c>
    </row>
    <row r="2646" spans="1:7">
      <c r="A2646">
        <v>1253</v>
      </c>
      <c r="B2646" t="s">
        <v>77</v>
      </c>
      <c r="C2646" t="s">
        <v>137</v>
      </c>
      <c r="D2646" s="9">
        <v>40335.871319444443</v>
      </c>
      <c r="F2646">
        <f t="shared" ca="1" si="82"/>
        <v>4.6472222222222221</v>
      </c>
      <c r="G2646">
        <f t="shared" ca="1" si="83"/>
        <v>0</v>
      </c>
    </row>
    <row r="2647" spans="1:7">
      <c r="A2647">
        <v>1254</v>
      </c>
      <c r="B2647" t="s">
        <v>44</v>
      </c>
      <c r="C2647" t="s">
        <v>137</v>
      </c>
      <c r="D2647" s="9">
        <v>40340.388252314813</v>
      </c>
      <c r="F2647">
        <f t="shared" ca="1" si="82"/>
        <v>4.6333333333333337</v>
      </c>
      <c r="G2647">
        <f t="shared" ca="1" si="83"/>
        <v>0</v>
      </c>
    </row>
    <row r="2648" spans="1:7">
      <c r="A2648">
        <v>1255</v>
      </c>
      <c r="C2648" t="s">
        <v>136</v>
      </c>
      <c r="D2648" s="9">
        <v>40415.685740740744</v>
      </c>
      <c r="E2648" t="s">
        <v>27</v>
      </c>
      <c r="F2648">
        <f t="shared" ca="1" si="82"/>
        <v>4.427777777777778</v>
      </c>
      <c r="G2648">
        <f t="shared" ca="1" si="83"/>
        <v>0</v>
      </c>
    </row>
    <row r="2649" spans="1:7">
      <c r="A2649">
        <v>1256</v>
      </c>
      <c r="B2649" t="s">
        <v>20</v>
      </c>
      <c r="C2649" t="s">
        <v>137</v>
      </c>
      <c r="D2649" s="9">
        <v>40340.38590277778</v>
      </c>
      <c r="F2649">
        <f t="shared" ca="1" si="82"/>
        <v>4.6333333333333337</v>
      </c>
      <c r="G2649">
        <f t="shared" ca="1" si="83"/>
        <v>0</v>
      </c>
    </row>
    <row r="2650" spans="1:7">
      <c r="A2650">
        <v>1259</v>
      </c>
      <c r="B2650" t="s">
        <v>38</v>
      </c>
      <c r="C2650" t="s">
        <v>136</v>
      </c>
      <c r="D2650" s="9">
        <v>40415.58085648148</v>
      </c>
      <c r="E2650" t="s">
        <v>52</v>
      </c>
      <c r="F2650">
        <f t="shared" ca="1" si="82"/>
        <v>4.427777777777778</v>
      </c>
      <c r="G2650">
        <f t="shared" ca="1" si="83"/>
        <v>0</v>
      </c>
    </row>
    <row r="2651" spans="1:7">
      <c r="A2651">
        <v>1260</v>
      </c>
      <c r="B2651" t="s">
        <v>101</v>
      </c>
      <c r="C2651" t="s">
        <v>136</v>
      </c>
      <c r="D2651" s="9">
        <v>40417.46130787037</v>
      </c>
      <c r="E2651" t="s">
        <v>44</v>
      </c>
      <c r="F2651">
        <f t="shared" ca="1" si="82"/>
        <v>4.4222222222222225</v>
      </c>
      <c r="G2651">
        <f t="shared" ca="1" si="83"/>
        <v>0</v>
      </c>
    </row>
    <row r="2652" spans="1:7">
      <c r="A2652">
        <v>1267</v>
      </c>
      <c r="B2652" t="s">
        <v>20</v>
      </c>
      <c r="C2652" t="s">
        <v>136</v>
      </c>
      <c r="D2652" s="9">
        <v>40416.450277777774</v>
      </c>
      <c r="E2652" t="s">
        <v>8</v>
      </c>
      <c r="F2652">
        <f t="shared" ca="1" si="82"/>
        <v>4.4249999999999998</v>
      </c>
      <c r="G2652">
        <f t="shared" ca="1" si="83"/>
        <v>0</v>
      </c>
    </row>
    <row r="2653" spans="1:7">
      <c r="A2653">
        <v>1268</v>
      </c>
      <c r="B2653" t="s">
        <v>99</v>
      </c>
      <c r="C2653" t="s">
        <v>137</v>
      </c>
      <c r="D2653" s="9">
        <v>40319.662569444445</v>
      </c>
      <c r="F2653">
        <f t="shared" ca="1" si="82"/>
        <v>4.6888888888888891</v>
      </c>
      <c r="G2653">
        <f t="shared" ca="1" si="83"/>
        <v>0</v>
      </c>
    </row>
    <row r="2654" spans="1:7">
      <c r="A2654">
        <v>1271</v>
      </c>
      <c r="B2654" t="s">
        <v>99</v>
      </c>
      <c r="C2654" t="s">
        <v>137</v>
      </c>
      <c r="D2654" s="9">
        <v>40322.898969907408</v>
      </c>
      <c r="F2654">
        <f t="shared" ca="1" si="82"/>
        <v>4.6805555555555554</v>
      </c>
      <c r="G2654">
        <f t="shared" ca="1" si="83"/>
        <v>0</v>
      </c>
    </row>
    <row r="2655" spans="1:7">
      <c r="A2655">
        <v>1272</v>
      </c>
      <c r="B2655" t="s">
        <v>99</v>
      </c>
      <c r="C2655" t="s">
        <v>137</v>
      </c>
      <c r="D2655" s="9">
        <v>40322.803703703707</v>
      </c>
      <c r="F2655">
        <f t="shared" ca="1" si="82"/>
        <v>4.6805555555555554</v>
      </c>
      <c r="G2655">
        <f t="shared" ca="1" si="83"/>
        <v>0</v>
      </c>
    </row>
    <row r="2656" spans="1:7">
      <c r="A2656">
        <v>1274</v>
      </c>
      <c r="B2656" t="s">
        <v>99</v>
      </c>
      <c r="C2656" t="s">
        <v>137</v>
      </c>
      <c r="D2656" s="9">
        <v>40322.821215277778</v>
      </c>
      <c r="F2656">
        <f t="shared" ca="1" si="82"/>
        <v>4.6805555555555554</v>
      </c>
      <c r="G2656">
        <f t="shared" ca="1" si="83"/>
        <v>0</v>
      </c>
    </row>
    <row r="2657" spans="1:7">
      <c r="A2657">
        <v>1275</v>
      </c>
      <c r="B2657" t="s">
        <v>99</v>
      </c>
      <c r="C2657" t="s">
        <v>137</v>
      </c>
      <c r="D2657" s="9">
        <v>40322.906909722224</v>
      </c>
      <c r="F2657">
        <f t="shared" ca="1" si="82"/>
        <v>4.6805555555555554</v>
      </c>
      <c r="G2657">
        <f t="shared" ca="1" si="83"/>
        <v>0</v>
      </c>
    </row>
    <row r="2658" spans="1:7">
      <c r="A2658">
        <v>1276</v>
      </c>
      <c r="B2658" t="s">
        <v>99</v>
      </c>
      <c r="C2658" t="s">
        <v>137</v>
      </c>
      <c r="D2658" s="9">
        <v>40323.628159722219</v>
      </c>
      <c r="F2658">
        <f t="shared" ca="1" si="82"/>
        <v>4.677777777777778</v>
      </c>
      <c r="G2658">
        <f t="shared" ca="1" si="83"/>
        <v>0</v>
      </c>
    </row>
    <row r="2659" spans="1:7">
      <c r="A2659">
        <v>1277</v>
      </c>
      <c r="B2659" t="s">
        <v>99</v>
      </c>
      <c r="C2659" t="s">
        <v>137</v>
      </c>
      <c r="D2659" s="9">
        <v>40323.647511574076</v>
      </c>
      <c r="F2659">
        <f t="shared" ca="1" si="82"/>
        <v>4.677777777777778</v>
      </c>
      <c r="G2659">
        <f t="shared" ca="1" si="83"/>
        <v>0</v>
      </c>
    </row>
    <row r="2660" spans="1:7">
      <c r="A2660">
        <v>1279</v>
      </c>
      <c r="B2660" t="s">
        <v>99</v>
      </c>
      <c r="C2660" t="s">
        <v>134</v>
      </c>
      <c r="D2660" s="9">
        <v>40486.57366898148</v>
      </c>
      <c r="E2660" t="s">
        <v>27</v>
      </c>
      <c r="F2660">
        <f t="shared" ca="1" si="82"/>
        <v>4.2361111111111107</v>
      </c>
      <c r="G2660">
        <f t="shared" ca="1" si="83"/>
        <v>0</v>
      </c>
    </row>
    <row r="2661" spans="1:7">
      <c r="A2661">
        <v>1280</v>
      </c>
      <c r="B2661" t="s">
        <v>99</v>
      </c>
      <c r="C2661" t="s">
        <v>137</v>
      </c>
      <c r="D2661" s="9">
        <v>40323.859131944446</v>
      </c>
      <c r="F2661">
        <f t="shared" ca="1" si="82"/>
        <v>4.677777777777778</v>
      </c>
      <c r="G2661">
        <f t="shared" ca="1" si="83"/>
        <v>0</v>
      </c>
    </row>
    <row r="2662" spans="1:7">
      <c r="A2662">
        <v>1282</v>
      </c>
      <c r="B2662" t="s">
        <v>99</v>
      </c>
      <c r="C2662" t="s">
        <v>137</v>
      </c>
      <c r="D2662" s="9">
        <v>40323.859131944446</v>
      </c>
      <c r="F2662">
        <f t="shared" ca="1" si="82"/>
        <v>4.677777777777778</v>
      </c>
      <c r="G2662">
        <f t="shared" ca="1" si="83"/>
        <v>0</v>
      </c>
    </row>
    <row r="2663" spans="1:7">
      <c r="A2663">
        <v>1283</v>
      </c>
      <c r="B2663" t="s">
        <v>99</v>
      </c>
      <c r="C2663" t="s">
        <v>137</v>
      </c>
      <c r="D2663" s="9">
        <v>40324.765902777777</v>
      </c>
      <c r="F2663">
        <f t="shared" ca="1" si="82"/>
        <v>4.6749999999999998</v>
      </c>
      <c r="G2663">
        <f t="shared" ca="1" si="83"/>
        <v>0</v>
      </c>
    </row>
    <row r="2664" spans="1:7">
      <c r="A2664">
        <v>1286</v>
      </c>
      <c r="B2664" t="s">
        <v>11</v>
      </c>
      <c r="C2664" t="s">
        <v>137</v>
      </c>
      <c r="D2664" s="9">
        <v>40340.383425925924</v>
      </c>
      <c r="F2664">
        <f t="shared" ca="1" si="82"/>
        <v>4.6333333333333337</v>
      </c>
      <c r="G2664">
        <f t="shared" ca="1" si="83"/>
        <v>0</v>
      </c>
    </row>
    <row r="2665" spans="1:7">
      <c r="A2665">
        <v>1287</v>
      </c>
      <c r="B2665" t="s">
        <v>99</v>
      </c>
      <c r="C2665" t="s">
        <v>137</v>
      </c>
      <c r="D2665" s="9">
        <v>40324.782743055555</v>
      </c>
      <c r="F2665">
        <f t="shared" ca="1" si="82"/>
        <v>4.6749999999999998</v>
      </c>
      <c r="G2665">
        <f t="shared" ca="1" si="83"/>
        <v>0</v>
      </c>
    </row>
    <row r="2666" spans="1:7">
      <c r="A2666">
        <v>1288</v>
      </c>
      <c r="B2666" t="s">
        <v>99</v>
      </c>
      <c r="C2666" t="s">
        <v>137</v>
      </c>
      <c r="D2666" s="9">
        <v>40324.850439814814</v>
      </c>
      <c r="F2666">
        <f t="shared" ca="1" si="82"/>
        <v>4.6749999999999998</v>
      </c>
      <c r="G2666">
        <f t="shared" ca="1" si="83"/>
        <v>0</v>
      </c>
    </row>
    <row r="2667" spans="1:7">
      <c r="A2667">
        <v>1289</v>
      </c>
      <c r="B2667" t="s">
        <v>102</v>
      </c>
      <c r="C2667" t="s">
        <v>134</v>
      </c>
      <c r="D2667" s="9">
        <v>40484.629293981481</v>
      </c>
      <c r="E2667" t="s">
        <v>131</v>
      </c>
      <c r="F2667">
        <f t="shared" ca="1" si="82"/>
        <v>4.2416666666666663</v>
      </c>
      <c r="G2667">
        <f t="shared" ca="1" si="83"/>
        <v>0</v>
      </c>
    </row>
    <row r="2668" spans="1:7">
      <c r="A2668">
        <v>1290</v>
      </c>
      <c r="B2668" t="s">
        <v>44</v>
      </c>
      <c r="C2668" t="s">
        <v>137</v>
      </c>
      <c r="D2668" s="9">
        <v>40340.382557870369</v>
      </c>
      <c r="F2668">
        <f t="shared" ca="1" si="82"/>
        <v>4.6333333333333337</v>
      </c>
      <c r="G2668">
        <f t="shared" ca="1" si="83"/>
        <v>0</v>
      </c>
    </row>
    <row r="2669" spans="1:7">
      <c r="A2669">
        <v>1291</v>
      </c>
      <c r="B2669" t="s">
        <v>99</v>
      </c>
      <c r="C2669" t="s">
        <v>137</v>
      </c>
      <c r="D2669" s="9">
        <v>40343.398217592592</v>
      </c>
      <c r="F2669">
        <f t="shared" ca="1" si="82"/>
        <v>4.625</v>
      </c>
      <c r="G2669">
        <f t="shared" ca="1" si="83"/>
        <v>0</v>
      </c>
    </row>
    <row r="2670" spans="1:7">
      <c r="A2670">
        <v>1292</v>
      </c>
      <c r="B2670" t="s">
        <v>11</v>
      </c>
      <c r="C2670" t="s">
        <v>137</v>
      </c>
      <c r="D2670" s="9">
        <v>40340.376562500001</v>
      </c>
      <c r="F2670">
        <f t="shared" ca="1" si="82"/>
        <v>4.6333333333333337</v>
      </c>
      <c r="G2670">
        <f t="shared" ca="1" si="83"/>
        <v>0</v>
      </c>
    </row>
    <row r="2671" spans="1:7">
      <c r="A2671">
        <v>1293</v>
      </c>
      <c r="B2671" t="s">
        <v>11</v>
      </c>
      <c r="C2671" t="s">
        <v>137</v>
      </c>
      <c r="D2671" s="9">
        <v>40337.650949074072</v>
      </c>
      <c r="F2671">
        <f t="shared" ca="1" si="82"/>
        <v>4.6416666666666666</v>
      </c>
      <c r="G2671">
        <f t="shared" ca="1" si="83"/>
        <v>0</v>
      </c>
    </row>
    <row r="2672" spans="1:7">
      <c r="A2672">
        <v>1294</v>
      </c>
      <c r="B2672" t="s">
        <v>101</v>
      </c>
      <c r="C2672" t="s">
        <v>133</v>
      </c>
      <c r="D2672" s="9">
        <v>40591.683680555558</v>
      </c>
      <c r="E2672" t="s">
        <v>131</v>
      </c>
      <c r="F2672">
        <f t="shared" ca="1" si="82"/>
        <v>3.95</v>
      </c>
      <c r="G2672">
        <f t="shared" ca="1" si="83"/>
        <v>0</v>
      </c>
    </row>
    <row r="2673" spans="1:7">
      <c r="A2673">
        <v>1296</v>
      </c>
      <c r="B2673" t="s">
        <v>20</v>
      </c>
      <c r="C2673" t="s">
        <v>136</v>
      </c>
      <c r="D2673" s="9">
        <v>40416.451724537037</v>
      </c>
      <c r="E2673" t="s">
        <v>8</v>
      </c>
      <c r="F2673">
        <f t="shared" ca="1" si="82"/>
        <v>4.4249999999999998</v>
      </c>
      <c r="G2673">
        <f t="shared" ca="1" si="83"/>
        <v>0</v>
      </c>
    </row>
    <row r="2674" spans="1:7">
      <c r="A2674">
        <v>1299</v>
      </c>
      <c r="B2674" t="s">
        <v>8</v>
      </c>
      <c r="C2674" t="s">
        <v>136</v>
      </c>
      <c r="D2674" s="9">
        <v>40414.47388888889</v>
      </c>
      <c r="E2674" t="s">
        <v>131</v>
      </c>
      <c r="F2674">
        <f t="shared" ca="1" si="82"/>
        <v>4.4305555555555554</v>
      </c>
      <c r="G2674">
        <f t="shared" ca="1" si="83"/>
        <v>0</v>
      </c>
    </row>
    <row r="2675" spans="1:7">
      <c r="A2675">
        <v>1300</v>
      </c>
      <c r="B2675" t="s">
        <v>11</v>
      </c>
      <c r="C2675" t="s">
        <v>137</v>
      </c>
      <c r="D2675" s="9">
        <v>40339.402615740742</v>
      </c>
      <c r="F2675">
        <f t="shared" ca="1" si="82"/>
        <v>4.6361111111111111</v>
      </c>
      <c r="G2675">
        <f t="shared" ca="1" si="83"/>
        <v>0</v>
      </c>
    </row>
    <row r="2676" spans="1:7">
      <c r="A2676">
        <v>1303</v>
      </c>
      <c r="B2676" t="s">
        <v>20</v>
      </c>
      <c r="C2676" t="s">
        <v>136</v>
      </c>
      <c r="D2676" s="9">
        <v>40414.790486111109</v>
      </c>
      <c r="E2676" t="s">
        <v>111</v>
      </c>
      <c r="F2676">
        <f t="shared" ca="1" si="82"/>
        <v>4.4305555555555554</v>
      </c>
      <c r="G2676">
        <f t="shared" ca="1" si="83"/>
        <v>0</v>
      </c>
    </row>
    <row r="2677" spans="1:7">
      <c r="A2677">
        <v>1304</v>
      </c>
      <c r="B2677" t="s">
        <v>8</v>
      </c>
      <c r="C2677" t="s">
        <v>134</v>
      </c>
      <c r="D2677" s="9">
        <v>40486.367118055554</v>
      </c>
      <c r="E2677" t="s">
        <v>44</v>
      </c>
      <c r="F2677">
        <f t="shared" ca="1" si="82"/>
        <v>4.2361111111111107</v>
      </c>
      <c r="G2677">
        <f t="shared" ca="1" si="83"/>
        <v>0</v>
      </c>
    </row>
    <row r="2678" spans="1:7">
      <c r="A2678">
        <v>1307</v>
      </c>
      <c r="B2678" t="s">
        <v>44</v>
      </c>
      <c r="C2678" t="s">
        <v>136</v>
      </c>
      <c r="D2678" s="9">
        <v>40415.545694444445</v>
      </c>
      <c r="E2678" t="s">
        <v>34</v>
      </c>
      <c r="F2678">
        <f t="shared" ca="1" si="82"/>
        <v>4.427777777777778</v>
      </c>
      <c r="G2678">
        <f t="shared" ca="1" si="83"/>
        <v>0</v>
      </c>
    </row>
    <row r="2679" spans="1:7">
      <c r="A2679">
        <v>1309</v>
      </c>
      <c r="B2679" t="s">
        <v>44</v>
      </c>
      <c r="C2679" t="s">
        <v>136</v>
      </c>
      <c r="D2679" s="9">
        <v>40414.849247685182</v>
      </c>
      <c r="E2679" t="s">
        <v>99</v>
      </c>
      <c r="F2679">
        <f t="shared" ca="1" si="82"/>
        <v>4.4305555555555554</v>
      </c>
      <c r="G2679">
        <f t="shared" ca="1" si="83"/>
        <v>0</v>
      </c>
    </row>
    <row r="2680" spans="1:7">
      <c r="A2680">
        <v>1311</v>
      </c>
      <c r="B2680" t="s">
        <v>20</v>
      </c>
      <c r="C2680" t="s">
        <v>136</v>
      </c>
      <c r="D2680" s="9">
        <v>40415.467939814815</v>
      </c>
      <c r="E2680" t="s">
        <v>34</v>
      </c>
      <c r="F2680">
        <f t="shared" ca="1" si="82"/>
        <v>4.427777777777778</v>
      </c>
      <c r="G2680">
        <f t="shared" ca="1" si="83"/>
        <v>0</v>
      </c>
    </row>
    <row r="2681" spans="1:7">
      <c r="A2681">
        <v>1313</v>
      </c>
      <c r="B2681" t="s">
        <v>99</v>
      </c>
      <c r="C2681" t="s">
        <v>136</v>
      </c>
      <c r="D2681" s="9">
        <v>40414.87699074074</v>
      </c>
      <c r="E2681" t="s">
        <v>27</v>
      </c>
      <c r="F2681">
        <f t="shared" ca="1" si="82"/>
        <v>4.4305555555555554</v>
      </c>
      <c r="G2681">
        <f t="shared" ca="1" si="83"/>
        <v>0</v>
      </c>
    </row>
    <row r="2682" spans="1:7">
      <c r="A2682">
        <v>1316</v>
      </c>
      <c r="B2682" t="s">
        <v>8</v>
      </c>
      <c r="C2682" t="s">
        <v>136</v>
      </c>
      <c r="D2682" s="9">
        <v>40415.534224537034</v>
      </c>
      <c r="E2682" t="s">
        <v>131</v>
      </c>
      <c r="F2682">
        <f t="shared" ca="1" si="82"/>
        <v>4.427777777777778</v>
      </c>
      <c r="G2682">
        <f t="shared" ca="1" si="83"/>
        <v>0</v>
      </c>
    </row>
    <row r="2683" spans="1:7">
      <c r="A2683">
        <v>1317</v>
      </c>
      <c r="B2683" t="s">
        <v>102</v>
      </c>
      <c r="C2683" t="s">
        <v>136</v>
      </c>
      <c r="D2683" s="9">
        <v>40416.589571759258</v>
      </c>
      <c r="E2683" t="s">
        <v>11</v>
      </c>
      <c r="F2683">
        <f t="shared" ca="1" si="82"/>
        <v>4.4249999999999998</v>
      </c>
      <c r="G2683">
        <f t="shared" ca="1" si="83"/>
        <v>0</v>
      </c>
    </row>
    <row r="2684" spans="1:7">
      <c r="A2684">
        <v>1318</v>
      </c>
      <c r="B2684" t="s">
        <v>102</v>
      </c>
      <c r="C2684" t="s">
        <v>136</v>
      </c>
      <c r="D2684" s="9">
        <v>40416.590173611112</v>
      </c>
      <c r="E2684" t="s">
        <v>11</v>
      </c>
      <c r="F2684">
        <f t="shared" ca="1" si="82"/>
        <v>4.4249999999999998</v>
      </c>
      <c r="G2684">
        <f t="shared" ca="1" si="83"/>
        <v>0</v>
      </c>
    </row>
    <row r="2685" spans="1:7">
      <c r="A2685">
        <v>1319</v>
      </c>
      <c r="B2685" t="s">
        <v>112</v>
      </c>
      <c r="C2685" t="s">
        <v>129</v>
      </c>
      <c r="D2685" s="9">
        <v>40806.425451388888</v>
      </c>
      <c r="E2685" t="s">
        <v>8</v>
      </c>
      <c r="F2685">
        <f t="shared" ca="1" si="82"/>
        <v>3.3583333333333334</v>
      </c>
      <c r="G2685">
        <f t="shared" ca="1" si="83"/>
        <v>0</v>
      </c>
    </row>
    <row r="2686" spans="1:7">
      <c r="A2686">
        <v>1321</v>
      </c>
      <c r="B2686" t="s">
        <v>20</v>
      </c>
      <c r="C2686" t="s">
        <v>136</v>
      </c>
      <c r="D2686" s="9">
        <v>40414.677511574075</v>
      </c>
      <c r="E2686" t="s">
        <v>112</v>
      </c>
      <c r="F2686">
        <f t="shared" ca="1" si="82"/>
        <v>4.4305555555555554</v>
      </c>
      <c r="G2686">
        <f t="shared" ca="1" si="83"/>
        <v>0</v>
      </c>
    </row>
    <row r="2687" spans="1:7">
      <c r="A2687">
        <v>1322</v>
      </c>
      <c r="B2687" t="s">
        <v>101</v>
      </c>
      <c r="C2687" t="s">
        <v>138</v>
      </c>
      <c r="D2687" s="9">
        <v>40786.429386574076</v>
      </c>
      <c r="F2687">
        <f t="shared" ca="1" si="82"/>
        <v>3.4138888888888888</v>
      </c>
      <c r="G2687">
        <f t="shared" ca="1" si="83"/>
        <v>0</v>
      </c>
    </row>
    <row r="2688" spans="1:7">
      <c r="A2688">
        <v>1323</v>
      </c>
      <c r="B2688" t="s">
        <v>44</v>
      </c>
      <c r="C2688" t="s">
        <v>138</v>
      </c>
      <c r="D2688" s="9">
        <v>40786.429386574076</v>
      </c>
      <c r="F2688">
        <f t="shared" ca="1" si="82"/>
        <v>3.4138888888888888</v>
      </c>
      <c r="G2688">
        <f t="shared" ca="1" si="83"/>
        <v>0</v>
      </c>
    </row>
    <row r="2689" spans="1:7">
      <c r="A2689">
        <v>1325</v>
      </c>
      <c r="B2689" t="s">
        <v>99</v>
      </c>
      <c r="C2689" t="s">
        <v>136</v>
      </c>
      <c r="D2689" s="9">
        <v>40415.562256944446</v>
      </c>
      <c r="E2689" t="s">
        <v>34</v>
      </c>
      <c r="F2689">
        <f t="shared" ca="1" si="82"/>
        <v>4.427777777777778</v>
      </c>
      <c r="G2689">
        <f t="shared" ca="1" si="83"/>
        <v>0</v>
      </c>
    </row>
    <row r="2690" spans="1:7">
      <c r="A2690">
        <v>1326</v>
      </c>
      <c r="B2690" t="s">
        <v>38</v>
      </c>
      <c r="C2690" t="s">
        <v>136</v>
      </c>
      <c r="D2690" s="9">
        <v>40414.764317129629</v>
      </c>
      <c r="E2690" t="s">
        <v>99</v>
      </c>
      <c r="F2690">
        <f t="shared" ca="1" si="82"/>
        <v>4.4305555555555554</v>
      </c>
      <c r="G2690">
        <f t="shared" ca="1" si="83"/>
        <v>0</v>
      </c>
    </row>
    <row r="2691" spans="1:7">
      <c r="A2691">
        <v>1333</v>
      </c>
      <c r="B2691" t="s">
        <v>11</v>
      </c>
      <c r="C2691" t="s">
        <v>136</v>
      </c>
      <c r="D2691" s="9">
        <v>40415.487650462965</v>
      </c>
      <c r="E2691" t="s">
        <v>102</v>
      </c>
      <c r="F2691">
        <f t="shared" ref="F2691:F2754" ca="1" si="84">YEARFRAC(TODAY(),$D2691)</f>
        <v>4.427777777777778</v>
      </c>
      <c r="G2691">
        <f t="shared" ref="G2691:G2754" ca="1" si="85">IF($F2691&lt;1,1,0)</f>
        <v>0</v>
      </c>
    </row>
    <row r="2692" spans="1:7">
      <c r="A2692">
        <v>1336</v>
      </c>
      <c r="B2692" t="s">
        <v>11</v>
      </c>
      <c r="C2692" t="s">
        <v>136</v>
      </c>
      <c r="D2692" s="9">
        <v>40414.798958333333</v>
      </c>
      <c r="E2692" t="s">
        <v>27</v>
      </c>
      <c r="F2692">
        <f t="shared" ca="1" si="84"/>
        <v>4.4305555555555554</v>
      </c>
      <c r="G2692">
        <f t="shared" ca="1" si="85"/>
        <v>0</v>
      </c>
    </row>
    <row r="2693" spans="1:7">
      <c r="A2693">
        <v>1337</v>
      </c>
      <c r="B2693" t="s">
        <v>99</v>
      </c>
      <c r="C2693" t="s">
        <v>136</v>
      </c>
      <c r="D2693" s="9">
        <v>40414.47828703704</v>
      </c>
      <c r="E2693" t="s">
        <v>131</v>
      </c>
      <c r="F2693">
        <f t="shared" ca="1" si="84"/>
        <v>4.4305555555555554</v>
      </c>
      <c r="G2693">
        <f t="shared" ca="1" si="85"/>
        <v>0</v>
      </c>
    </row>
    <row r="2694" spans="1:7">
      <c r="A2694">
        <v>1338</v>
      </c>
      <c r="B2694" t="s">
        <v>11</v>
      </c>
      <c r="C2694" t="s">
        <v>136</v>
      </c>
      <c r="D2694" s="9">
        <v>40415.687326388892</v>
      </c>
      <c r="E2694" t="s">
        <v>27</v>
      </c>
      <c r="F2694">
        <f t="shared" ca="1" si="84"/>
        <v>4.427777777777778</v>
      </c>
      <c r="G2694">
        <f t="shared" ca="1" si="85"/>
        <v>0</v>
      </c>
    </row>
    <row r="2695" spans="1:7">
      <c r="A2695">
        <v>1339</v>
      </c>
      <c r="B2695" t="s">
        <v>99</v>
      </c>
      <c r="C2695" t="s">
        <v>136</v>
      </c>
      <c r="D2695" s="9">
        <v>40415.807152777779</v>
      </c>
      <c r="E2695" t="s">
        <v>20</v>
      </c>
      <c r="F2695">
        <f t="shared" ca="1" si="84"/>
        <v>4.427777777777778</v>
      </c>
      <c r="G2695">
        <f t="shared" ca="1" si="85"/>
        <v>0</v>
      </c>
    </row>
    <row r="2696" spans="1:7">
      <c r="A2696">
        <v>1341</v>
      </c>
      <c r="B2696" t="s">
        <v>44</v>
      </c>
      <c r="C2696" t="s">
        <v>136</v>
      </c>
      <c r="D2696" s="9">
        <v>40415.900694444441</v>
      </c>
      <c r="E2696" t="s">
        <v>27</v>
      </c>
      <c r="F2696">
        <f t="shared" ca="1" si="84"/>
        <v>4.427777777777778</v>
      </c>
      <c r="G2696">
        <f t="shared" ca="1" si="85"/>
        <v>0</v>
      </c>
    </row>
    <row r="2697" spans="1:7">
      <c r="A2697">
        <v>1342</v>
      </c>
      <c r="B2697" t="s">
        <v>44</v>
      </c>
      <c r="C2697" t="s">
        <v>136</v>
      </c>
      <c r="D2697" s="9">
        <v>40415.911689814813</v>
      </c>
      <c r="E2697" t="s">
        <v>27</v>
      </c>
      <c r="F2697">
        <f t="shared" ca="1" si="84"/>
        <v>4.427777777777778</v>
      </c>
      <c r="G2697">
        <f t="shared" ca="1" si="85"/>
        <v>0</v>
      </c>
    </row>
    <row r="2698" spans="1:7">
      <c r="A2698">
        <v>1344</v>
      </c>
      <c r="B2698" t="s">
        <v>44</v>
      </c>
      <c r="C2698" t="s">
        <v>136</v>
      </c>
      <c r="D2698" s="9">
        <v>40415.673113425924</v>
      </c>
      <c r="E2698" t="s">
        <v>38</v>
      </c>
      <c r="F2698">
        <f t="shared" ca="1" si="84"/>
        <v>4.427777777777778</v>
      </c>
      <c r="G2698">
        <f t="shared" ca="1" si="85"/>
        <v>0</v>
      </c>
    </row>
    <row r="2699" spans="1:7">
      <c r="A2699">
        <v>1346</v>
      </c>
      <c r="B2699" t="s">
        <v>34</v>
      </c>
      <c r="C2699" t="s">
        <v>136</v>
      </c>
      <c r="D2699" s="9">
        <v>40415.644803240742</v>
      </c>
      <c r="E2699" t="s">
        <v>38</v>
      </c>
      <c r="F2699">
        <f t="shared" ca="1" si="84"/>
        <v>4.427777777777778</v>
      </c>
      <c r="G2699">
        <f t="shared" ca="1" si="85"/>
        <v>0</v>
      </c>
    </row>
    <row r="2700" spans="1:7">
      <c r="A2700">
        <v>1347</v>
      </c>
      <c r="B2700" t="s">
        <v>34</v>
      </c>
      <c r="C2700" t="s">
        <v>136</v>
      </c>
      <c r="D2700" s="9">
        <v>40415.819918981484</v>
      </c>
      <c r="E2700" t="s">
        <v>11</v>
      </c>
      <c r="F2700">
        <f t="shared" ca="1" si="84"/>
        <v>4.427777777777778</v>
      </c>
      <c r="G2700">
        <f t="shared" ca="1" si="85"/>
        <v>0</v>
      </c>
    </row>
    <row r="2701" spans="1:7">
      <c r="A2701">
        <v>1351</v>
      </c>
      <c r="B2701" t="s">
        <v>11</v>
      </c>
      <c r="C2701" t="s">
        <v>136</v>
      </c>
      <c r="D2701" s="9">
        <v>40414.776631944442</v>
      </c>
      <c r="E2701" t="s">
        <v>27</v>
      </c>
      <c r="F2701">
        <f t="shared" ca="1" si="84"/>
        <v>4.4305555555555554</v>
      </c>
      <c r="G2701">
        <f t="shared" ca="1" si="85"/>
        <v>0</v>
      </c>
    </row>
    <row r="2702" spans="1:7">
      <c r="A2702">
        <v>1353</v>
      </c>
      <c r="B2702" t="s">
        <v>11</v>
      </c>
      <c r="C2702" t="s">
        <v>133</v>
      </c>
      <c r="D2702" s="9">
        <v>40589.69394675926</v>
      </c>
      <c r="E2702" t="s">
        <v>19</v>
      </c>
      <c r="F2702">
        <f t="shared" ca="1" si="84"/>
        <v>3.9555555555555557</v>
      </c>
      <c r="G2702">
        <f t="shared" ca="1" si="85"/>
        <v>0</v>
      </c>
    </row>
    <row r="2703" spans="1:7">
      <c r="A2703">
        <v>1357</v>
      </c>
      <c r="B2703" t="s">
        <v>99</v>
      </c>
      <c r="C2703" t="s">
        <v>136</v>
      </c>
      <c r="D2703" s="9">
        <v>40417.542326388888</v>
      </c>
      <c r="E2703" t="s">
        <v>34</v>
      </c>
      <c r="F2703">
        <f t="shared" ca="1" si="84"/>
        <v>4.4222222222222225</v>
      </c>
      <c r="G2703">
        <f t="shared" ca="1" si="85"/>
        <v>0</v>
      </c>
    </row>
    <row r="2704" spans="1:7">
      <c r="A2704">
        <v>1358</v>
      </c>
      <c r="B2704" t="s">
        <v>99</v>
      </c>
      <c r="C2704" t="s">
        <v>136</v>
      </c>
      <c r="D2704" s="9">
        <v>40416.695243055554</v>
      </c>
      <c r="E2704" t="s">
        <v>8</v>
      </c>
      <c r="F2704">
        <f t="shared" ca="1" si="84"/>
        <v>4.4249999999999998</v>
      </c>
      <c r="G2704">
        <f t="shared" ca="1" si="85"/>
        <v>0</v>
      </c>
    </row>
    <row r="2705" spans="1:7">
      <c r="A2705">
        <v>1359</v>
      </c>
      <c r="B2705" t="s">
        <v>99</v>
      </c>
      <c r="C2705" t="s">
        <v>136</v>
      </c>
      <c r="D2705" s="9">
        <v>40415.820208333331</v>
      </c>
      <c r="E2705" t="s">
        <v>20</v>
      </c>
      <c r="F2705">
        <f t="shared" ca="1" si="84"/>
        <v>4.427777777777778</v>
      </c>
      <c r="G2705">
        <f t="shared" ca="1" si="85"/>
        <v>0</v>
      </c>
    </row>
    <row r="2706" spans="1:7">
      <c r="A2706">
        <v>1361</v>
      </c>
      <c r="B2706" t="s">
        <v>20</v>
      </c>
      <c r="C2706" t="s">
        <v>136</v>
      </c>
      <c r="D2706" s="9">
        <v>40415.762152777781</v>
      </c>
      <c r="E2706" t="s">
        <v>99</v>
      </c>
      <c r="F2706">
        <f t="shared" ca="1" si="84"/>
        <v>4.427777777777778</v>
      </c>
      <c r="G2706">
        <f t="shared" ca="1" si="85"/>
        <v>0</v>
      </c>
    </row>
    <row r="2707" spans="1:7">
      <c r="A2707">
        <v>1362</v>
      </c>
      <c r="B2707" t="s">
        <v>131</v>
      </c>
      <c r="C2707" t="s">
        <v>136</v>
      </c>
      <c r="D2707" s="9">
        <v>40415.573460648149</v>
      </c>
      <c r="E2707" t="s">
        <v>34</v>
      </c>
      <c r="F2707">
        <f t="shared" ca="1" si="84"/>
        <v>4.427777777777778</v>
      </c>
      <c r="G2707">
        <f t="shared" ca="1" si="85"/>
        <v>0</v>
      </c>
    </row>
    <row r="2708" spans="1:7">
      <c r="A2708">
        <v>1364</v>
      </c>
      <c r="B2708" t="s">
        <v>101</v>
      </c>
      <c r="C2708" t="s">
        <v>134</v>
      </c>
      <c r="D2708" s="9">
        <v>40485.719282407408</v>
      </c>
      <c r="E2708" t="s">
        <v>8</v>
      </c>
      <c r="F2708">
        <f t="shared" ca="1" si="84"/>
        <v>4.2388888888888889</v>
      </c>
      <c r="G2708">
        <f t="shared" ca="1" si="85"/>
        <v>0</v>
      </c>
    </row>
    <row r="2709" spans="1:7">
      <c r="A2709">
        <v>1365</v>
      </c>
      <c r="B2709" t="s">
        <v>99</v>
      </c>
      <c r="C2709" t="s">
        <v>136</v>
      </c>
      <c r="D2709" s="9">
        <v>40415.821828703702</v>
      </c>
      <c r="E2709" t="s">
        <v>20</v>
      </c>
      <c r="F2709">
        <f t="shared" ca="1" si="84"/>
        <v>4.427777777777778</v>
      </c>
      <c r="G2709">
        <f t="shared" ca="1" si="85"/>
        <v>0</v>
      </c>
    </row>
    <row r="2710" spans="1:7">
      <c r="A2710">
        <v>1366</v>
      </c>
      <c r="B2710" t="s">
        <v>44</v>
      </c>
      <c r="C2710" t="s">
        <v>136</v>
      </c>
      <c r="D2710" s="9">
        <v>40415.576608796298</v>
      </c>
      <c r="E2710" t="s">
        <v>34</v>
      </c>
      <c r="F2710">
        <f t="shared" ca="1" si="84"/>
        <v>4.427777777777778</v>
      </c>
      <c r="G2710">
        <f t="shared" ca="1" si="85"/>
        <v>0</v>
      </c>
    </row>
    <row r="2711" spans="1:7">
      <c r="A2711">
        <v>1368</v>
      </c>
      <c r="B2711" t="s">
        <v>11</v>
      </c>
      <c r="C2711" t="s">
        <v>136</v>
      </c>
      <c r="D2711" s="9">
        <v>40414.915590277778</v>
      </c>
      <c r="E2711" t="s">
        <v>99</v>
      </c>
      <c r="F2711">
        <f t="shared" ca="1" si="84"/>
        <v>4.4305555555555554</v>
      </c>
      <c r="G2711">
        <f t="shared" ca="1" si="85"/>
        <v>0</v>
      </c>
    </row>
    <row r="2712" spans="1:7">
      <c r="A2712">
        <v>1369</v>
      </c>
      <c r="B2712" t="s">
        <v>101</v>
      </c>
      <c r="C2712" t="s">
        <v>136</v>
      </c>
      <c r="D2712" s="9">
        <v>40415.648680555554</v>
      </c>
      <c r="E2712" t="s">
        <v>34</v>
      </c>
      <c r="F2712">
        <f t="shared" ca="1" si="84"/>
        <v>4.427777777777778</v>
      </c>
      <c r="G2712">
        <f t="shared" ca="1" si="85"/>
        <v>0</v>
      </c>
    </row>
    <row r="2713" spans="1:7">
      <c r="A2713">
        <v>1370</v>
      </c>
      <c r="B2713" t="s">
        <v>20</v>
      </c>
      <c r="C2713" t="s">
        <v>136</v>
      </c>
      <c r="D2713" s="9">
        <v>40415.929606481484</v>
      </c>
      <c r="E2713" t="s">
        <v>38</v>
      </c>
      <c r="F2713">
        <f t="shared" ca="1" si="84"/>
        <v>4.427777777777778</v>
      </c>
      <c r="G2713">
        <f t="shared" ca="1" si="85"/>
        <v>0</v>
      </c>
    </row>
    <row r="2714" spans="1:7">
      <c r="A2714">
        <v>1372</v>
      </c>
      <c r="B2714" t="s">
        <v>11</v>
      </c>
      <c r="C2714" t="s">
        <v>136</v>
      </c>
      <c r="D2714" s="9">
        <v>40415.632210648146</v>
      </c>
      <c r="E2714" t="s">
        <v>34</v>
      </c>
      <c r="F2714">
        <f t="shared" ca="1" si="84"/>
        <v>4.427777777777778</v>
      </c>
      <c r="G2714">
        <f t="shared" ca="1" si="85"/>
        <v>0</v>
      </c>
    </row>
    <row r="2715" spans="1:7">
      <c r="A2715">
        <v>1374</v>
      </c>
      <c r="B2715" t="s">
        <v>8</v>
      </c>
      <c r="C2715" t="s">
        <v>136</v>
      </c>
      <c r="D2715" s="9">
        <v>40415.812094907407</v>
      </c>
      <c r="E2715" t="s">
        <v>111</v>
      </c>
      <c r="F2715">
        <f t="shared" ca="1" si="84"/>
        <v>4.427777777777778</v>
      </c>
      <c r="G2715">
        <f t="shared" ca="1" si="85"/>
        <v>0</v>
      </c>
    </row>
    <row r="2716" spans="1:7">
      <c r="A2716">
        <v>1375</v>
      </c>
      <c r="B2716" t="s">
        <v>8</v>
      </c>
      <c r="C2716" t="s">
        <v>136</v>
      </c>
      <c r="D2716" s="9">
        <v>40415.432164351849</v>
      </c>
      <c r="E2716" t="s">
        <v>131</v>
      </c>
      <c r="F2716">
        <f t="shared" ca="1" si="84"/>
        <v>4.427777777777778</v>
      </c>
      <c r="G2716">
        <f t="shared" ca="1" si="85"/>
        <v>0</v>
      </c>
    </row>
    <row r="2717" spans="1:7">
      <c r="A2717">
        <v>1376</v>
      </c>
      <c r="B2717" t="s">
        <v>99</v>
      </c>
      <c r="C2717" t="s">
        <v>136</v>
      </c>
      <c r="D2717" s="9">
        <v>40415.828125</v>
      </c>
      <c r="E2717" t="s">
        <v>20</v>
      </c>
      <c r="F2717">
        <f t="shared" ca="1" si="84"/>
        <v>4.427777777777778</v>
      </c>
      <c r="G2717">
        <f t="shared" ca="1" si="85"/>
        <v>0</v>
      </c>
    </row>
    <row r="2718" spans="1:7">
      <c r="A2718">
        <v>1377</v>
      </c>
      <c r="B2718" t="s">
        <v>34</v>
      </c>
      <c r="C2718" t="s">
        <v>136</v>
      </c>
      <c r="D2718" s="9">
        <v>40415.603402777779</v>
      </c>
      <c r="E2718" t="s">
        <v>99</v>
      </c>
      <c r="F2718">
        <f t="shared" ca="1" si="84"/>
        <v>4.427777777777778</v>
      </c>
      <c r="G2718">
        <f t="shared" ca="1" si="85"/>
        <v>0</v>
      </c>
    </row>
    <row r="2719" spans="1:7">
      <c r="A2719">
        <v>1378</v>
      </c>
      <c r="B2719" t="s">
        <v>44</v>
      </c>
      <c r="C2719" t="s">
        <v>136</v>
      </c>
      <c r="D2719" s="9">
        <v>40416.362245370372</v>
      </c>
      <c r="E2719" t="s">
        <v>131</v>
      </c>
      <c r="F2719">
        <f t="shared" ca="1" si="84"/>
        <v>4.4249999999999998</v>
      </c>
      <c r="G2719">
        <f t="shared" ca="1" si="85"/>
        <v>0</v>
      </c>
    </row>
    <row r="2720" spans="1:7">
      <c r="A2720">
        <v>1382</v>
      </c>
      <c r="B2720" t="s">
        <v>99</v>
      </c>
      <c r="C2720" t="s">
        <v>134</v>
      </c>
      <c r="D2720" s="9">
        <v>40485.522546296299</v>
      </c>
      <c r="E2720" t="s">
        <v>34</v>
      </c>
      <c r="F2720">
        <f t="shared" ca="1" si="84"/>
        <v>4.2388888888888889</v>
      </c>
      <c r="G2720">
        <f t="shared" ca="1" si="85"/>
        <v>0</v>
      </c>
    </row>
    <row r="2721" spans="1:7">
      <c r="A2721">
        <v>1384</v>
      </c>
      <c r="B2721" t="s">
        <v>99</v>
      </c>
      <c r="C2721" t="s">
        <v>134</v>
      </c>
      <c r="D2721" s="9">
        <v>40485.534907407404</v>
      </c>
      <c r="E2721" t="s">
        <v>34</v>
      </c>
      <c r="F2721">
        <f t="shared" ca="1" si="84"/>
        <v>4.2388888888888889</v>
      </c>
      <c r="G2721">
        <f t="shared" ca="1" si="85"/>
        <v>0</v>
      </c>
    </row>
    <row r="2722" spans="1:7">
      <c r="A2722">
        <v>1385</v>
      </c>
      <c r="B2722" t="s">
        <v>131</v>
      </c>
      <c r="C2722" t="s">
        <v>136</v>
      </c>
      <c r="D2722" s="9">
        <v>40415.921516203707</v>
      </c>
      <c r="E2722" t="s">
        <v>38</v>
      </c>
      <c r="F2722">
        <f t="shared" ca="1" si="84"/>
        <v>4.427777777777778</v>
      </c>
      <c r="G2722">
        <f t="shared" ca="1" si="85"/>
        <v>0</v>
      </c>
    </row>
    <row r="2723" spans="1:7">
      <c r="A2723">
        <v>1387</v>
      </c>
      <c r="B2723" t="s">
        <v>20</v>
      </c>
      <c r="C2723" t="s">
        <v>136</v>
      </c>
      <c r="D2723" s="9">
        <v>40415.843518518515</v>
      </c>
      <c r="E2723" t="s">
        <v>52</v>
      </c>
      <c r="F2723">
        <f t="shared" ca="1" si="84"/>
        <v>4.427777777777778</v>
      </c>
      <c r="G2723">
        <f t="shared" ca="1" si="85"/>
        <v>0</v>
      </c>
    </row>
    <row r="2724" spans="1:7">
      <c r="A2724">
        <v>1389</v>
      </c>
      <c r="B2724" t="s">
        <v>11</v>
      </c>
      <c r="C2724" t="s">
        <v>134</v>
      </c>
      <c r="D2724" s="9">
        <v>40485.722013888888</v>
      </c>
      <c r="E2724" t="s">
        <v>8</v>
      </c>
      <c r="F2724">
        <f t="shared" ca="1" si="84"/>
        <v>4.2388888888888889</v>
      </c>
      <c r="G2724">
        <f t="shared" ca="1" si="85"/>
        <v>0</v>
      </c>
    </row>
    <row r="2725" spans="1:7">
      <c r="A2725">
        <v>1391</v>
      </c>
      <c r="B2725" t="s">
        <v>99</v>
      </c>
      <c r="C2725" t="s">
        <v>136</v>
      </c>
      <c r="D2725" s="9">
        <v>40415.850810185184</v>
      </c>
      <c r="E2725" t="s">
        <v>20</v>
      </c>
      <c r="F2725">
        <f t="shared" ca="1" si="84"/>
        <v>4.427777777777778</v>
      </c>
      <c r="G2725">
        <f t="shared" ca="1" si="85"/>
        <v>0</v>
      </c>
    </row>
    <row r="2726" spans="1:7">
      <c r="A2726">
        <v>1392</v>
      </c>
      <c r="B2726" t="s">
        <v>111</v>
      </c>
      <c r="C2726" t="s">
        <v>136</v>
      </c>
      <c r="D2726" s="9">
        <v>40416.525694444441</v>
      </c>
      <c r="E2726" t="s">
        <v>131</v>
      </c>
      <c r="F2726">
        <f t="shared" ca="1" si="84"/>
        <v>4.4249999999999998</v>
      </c>
      <c r="G2726">
        <f t="shared" ca="1" si="85"/>
        <v>0</v>
      </c>
    </row>
    <row r="2727" spans="1:7">
      <c r="A2727">
        <v>1394</v>
      </c>
      <c r="B2727" t="s">
        <v>34</v>
      </c>
      <c r="C2727" t="s">
        <v>136</v>
      </c>
      <c r="D2727" s="9">
        <v>40415.541087962964</v>
      </c>
      <c r="E2727" t="s">
        <v>131</v>
      </c>
      <c r="F2727">
        <f t="shared" ca="1" si="84"/>
        <v>4.427777777777778</v>
      </c>
      <c r="G2727">
        <f t="shared" ca="1" si="85"/>
        <v>0</v>
      </c>
    </row>
    <row r="2728" spans="1:7">
      <c r="A2728">
        <v>1395</v>
      </c>
      <c r="B2728" t="s">
        <v>8</v>
      </c>
      <c r="C2728" t="s">
        <v>136</v>
      </c>
      <c r="D2728" s="9">
        <v>40415.517094907409</v>
      </c>
      <c r="E2728" t="s">
        <v>131</v>
      </c>
      <c r="F2728">
        <f t="shared" ca="1" si="84"/>
        <v>4.427777777777778</v>
      </c>
      <c r="G2728">
        <f t="shared" ca="1" si="85"/>
        <v>0</v>
      </c>
    </row>
    <row r="2729" spans="1:7">
      <c r="A2729">
        <v>1398</v>
      </c>
      <c r="B2729" t="s">
        <v>8</v>
      </c>
      <c r="C2729" t="s">
        <v>136</v>
      </c>
      <c r="D2729" s="9">
        <v>40416.599594907406</v>
      </c>
      <c r="E2729" t="s">
        <v>99</v>
      </c>
      <c r="F2729">
        <f t="shared" ca="1" si="84"/>
        <v>4.4249999999999998</v>
      </c>
      <c r="G2729">
        <f t="shared" ca="1" si="85"/>
        <v>0</v>
      </c>
    </row>
    <row r="2730" spans="1:7">
      <c r="A2730">
        <v>1399</v>
      </c>
      <c r="B2730" t="s">
        <v>101</v>
      </c>
      <c r="C2730" t="s">
        <v>132</v>
      </c>
      <c r="D2730" s="9">
        <v>40721.392222222225</v>
      </c>
      <c r="E2730" t="s">
        <v>112</v>
      </c>
      <c r="F2730">
        <f t="shared" ca="1" si="84"/>
        <v>3.588888888888889</v>
      </c>
      <c r="G2730">
        <f t="shared" ca="1" si="85"/>
        <v>0</v>
      </c>
    </row>
    <row r="2731" spans="1:7">
      <c r="A2731">
        <v>1401</v>
      </c>
      <c r="B2731" t="s">
        <v>8</v>
      </c>
      <c r="C2731" t="s">
        <v>136</v>
      </c>
      <c r="D2731" s="9">
        <v>40417.357499999998</v>
      </c>
      <c r="E2731" t="s">
        <v>112</v>
      </c>
      <c r="F2731">
        <f t="shared" ca="1" si="84"/>
        <v>4.4222222222222225</v>
      </c>
      <c r="G2731">
        <f t="shared" ca="1" si="85"/>
        <v>0</v>
      </c>
    </row>
    <row r="2732" spans="1:7">
      <c r="A2732">
        <v>1402</v>
      </c>
      <c r="B2732" t="s">
        <v>131</v>
      </c>
      <c r="C2732" t="s">
        <v>136</v>
      </c>
      <c r="D2732" s="9">
        <v>40416.697280092594</v>
      </c>
      <c r="E2732" t="s">
        <v>8</v>
      </c>
      <c r="F2732">
        <f t="shared" ca="1" si="84"/>
        <v>4.4249999999999998</v>
      </c>
      <c r="G2732">
        <f t="shared" ca="1" si="85"/>
        <v>0</v>
      </c>
    </row>
    <row r="2733" spans="1:7">
      <c r="A2733">
        <v>1403</v>
      </c>
      <c r="B2733" t="s">
        <v>44</v>
      </c>
      <c r="C2733" t="s">
        <v>133</v>
      </c>
      <c r="D2733" s="9">
        <v>40589.39565972222</v>
      </c>
      <c r="E2733" t="s">
        <v>131</v>
      </c>
      <c r="F2733">
        <f t="shared" ca="1" si="84"/>
        <v>3.9555555555555557</v>
      </c>
      <c r="G2733">
        <f t="shared" ca="1" si="85"/>
        <v>0</v>
      </c>
    </row>
    <row r="2734" spans="1:7">
      <c r="A2734">
        <v>1404</v>
      </c>
      <c r="B2734" t="s">
        <v>38</v>
      </c>
      <c r="C2734" t="s">
        <v>130</v>
      </c>
      <c r="D2734" s="9">
        <v>40721.706493055557</v>
      </c>
      <c r="E2734" t="s">
        <v>20</v>
      </c>
      <c r="F2734">
        <f t="shared" ca="1" si="84"/>
        <v>3.588888888888889</v>
      </c>
      <c r="G2734">
        <f t="shared" ca="1" si="85"/>
        <v>0</v>
      </c>
    </row>
    <row r="2735" spans="1:7">
      <c r="A2735">
        <v>1405</v>
      </c>
      <c r="B2735" t="s">
        <v>34</v>
      </c>
      <c r="C2735" t="s">
        <v>136</v>
      </c>
      <c r="D2735" s="9">
        <v>40415.681562500002</v>
      </c>
      <c r="E2735" t="s">
        <v>111</v>
      </c>
      <c r="F2735">
        <f t="shared" ca="1" si="84"/>
        <v>4.427777777777778</v>
      </c>
      <c r="G2735">
        <f t="shared" ca="1" si="85"/>
        <v>0</v>
      </c>
    </row>
    <row r="2736" spans="1:7">
      <c r="A2736">
        <v>1406</v>
      </c>
      <c r="B2736" t="s">
        <v>99</v>
      </c>
      <c r="C2736" t="s">
        <v>136</v>
      </c>
      <c r="D2736" s="9">
        <v>40415.853993055556</v>
      </c>
      <c r="E2736" t="s">
        <v>20</v>
      </c>
      <c r="F2736">
        <f t="shared" ca="1" si="84"/>
        <v>4.427777777777778</v>
      </c>
      <c r="G2736">
        <f t="shared" ca="1" si="85"/>
        <v>0</v>
      </c>
    </row>
    <row r="2737" spans="1:7">
      <c r="A2737">
        <v>1407</v>
      </c>
      <c r="B2737" t="s">
        <v>44</v>
      </c>
      <c r="C2737" t="s">
        <v>134</v>
      </c>
      <c r="D2737" s="9">
        <v>40485.550138888888</v>
      </c>
      <c r="E2737" t="s">
        <v>34</v>
      </c>
      <c r="F2737">
        <f t="shared" ca="1" si="84"/>
        <v>4.2388888888888889</v>
      </c>
      <c r="G2737">
        <f t="shared" ca="1" si="85"/>
        <v>0</v>
      </c>
    </row>
    <row r="2738" spans="1:7">
      <c r="A2738">
        <v>1408</v>
      </c>
      <c r="B2738" t="s">
        <v>111</v>
      </c>
      <c r="C2738" t="s">
        <v>136</v>
      </c>
      <c r="D2738" s="9">
        <v>40416.790798611109</v>
      </c>
      <c r="E2738" t="s">
        <v>101</v>
      </c>
      <c r="F2738">
        <f t="shared" ca="1" si="84"/>
        <v>4.4249999999999998</v>
      </c>
      <c r="G2738">
        <f t="shared" ca="1" si="85"/>
        <v>0</v>
      </c>
    </row>
    <row r="2739" spans="1:7">
      <c r="A2739">
        <v>1409</v>
      </c>
      <c r="B2739" t="s">
        <v>111</v>
      </c>
      <c r="C2739" t="s">
        <v>136</v>
      </c>
      <c r="D2739" s="9">
        <v>40414.684606481482</v>
      </c>
      <c r="E2739" t="s">
        <v>99</v>
      </c>
      <c r="F2739">
        <f t="shared" ca="1" si="84"/>
        <v>4.4305555555555554</v>
      </c>
      <c r="G2739">
        <f t="shared" ca="1" si="85"/>
        <v>0</v>
      </c>
    </row>
    <row r="2740" spans="1:7">
      <c r="A2740">
        <v>1411</v>
      </c>
      <c r="B2740" t="s">
        <v>20</v>
      </c>
      <c r="C2740" t="s">
        <v>136</v>
      </c>
      <c r="D2740" s="9">
        <v>40415.450277777774</v>
      </c>
      <c r="E2740" t="s">
        <v>131</v>
      </c>
      <c r="F2740">
        <f t="shared" ca="1" si="84"/>
        <v>4.427777777777778</v>
      </c>
      <c r="G2740">
        <f t="shared" ca="1" si="85"/>
        <v>0</v>
      </c>
    </row>
    <row r="2741" spans="1:7">
      <c r="A2741">
        <v>1413</v>
      </c>
      <c r="B2741" t="s">
        <v>99</v>
      </c>
      <c r="C2741" t="s">
        <v>136</v>
      </c>
      <c r="D2741" s="9">
        <v>40415.802615740744</v>
      </c>
      <c r="E2741" t="s">
        <v>20</v>
      </c>
      <c r="F2741">
        <f t="shared" ca="1" si="84"/>
        <v>4.427777777777778</v>
      </c>
      <c r="G2741">
        <f t="shared" ca="1" si="85"/>
        <v>0</v>
      </c>
    </row>
    <row r="2742" spans="1:7">
      <c r="A2742">
        <v>1415</v>
      </c>
      <c r="B2742" t="s">
        <v>8</v>
      </c>
      <c r="C2742" t="s">
        <v>140</v>
      </c>
      <c r="D2742" s="9">
        <v>40527.944039351853</v>
      </c>
      <c r="E2742" t="s">
        <v>99</v>
      </c>
      <c r="F2742">
        <f t="shared" ca="1" si="84"/>
        <v>4.1222222222222218</v>
      </c>
      <c r="G2742">
        <f t="shared" ca="1" si="85"/>
        <v>0</v>
      </c>
    </row>
    <row r="2743" spans="1:7">
      <c r="A2743">
        <v>1416</v>
      </c>
      <c r="B2743" t="s">
        <v>8</v>
      </c>
      <c r="C2743" t="s">
        <v>136</v>
      </c>
      <c r="D2743" s="9">
        <v>40415.863206018519</v>
      </c>
      <c r="E2743" t="s">
        <v>20</v>
      </c>
      <c r="F2743">
        <f t="shared" ca="1" si="84"/>
        <v>4.427777777777778</v>
      </c>
      <c r="G2743">
        <f t="shared" ca="1" si="85"/>
        <v>0</v>
      </c>
    </row>
    <row r="2744" spans="1:7">
      <c r="A2744">
        <v>1420</v>
      </c>
      <c r="B2744" t="s">
        <v>38</v>
      </c>
      <c r="C2744" t="s">
        <v>134</v>
      </c>
      <c r="D2744" s="9">
        <v>40486.844155092593</v>
      </c>
      <c r="E2744" t="s">
        <v>36</v>
      </c>
      <c r="F2744">
        <f t="shared" ca="1" si="84"/>
        <v>4.2361111111111107</v>
      </c>
      <c r="G2744">
        <f t="shared" ca="1" si="85"/>
        <v>0</v>
      </c>
    </row>
    <row r="2745" spans="1:7">
      <c r="A2745">
        <v>1421</v>
      </c>
      <c r="B2745" t="s">
        <v>111</v>
      </c>
      <c r="C2745" t="s">
        <v>134</v>
      </c>
      <c r="D2745" s="9">
        <v>40486.479386574072</v>
      </c>
      <c r="E2745" t="s">
        <v>8</v>
      </c>
      <c r="F2745">
        <f t="shared" ca="1" si="84"/>
        <v>4.2361111111111107</v>
      </c>
      <c r="G2745">
        <f t="shared" ca="1" si="85"/>
        <v>0</v>
      </c>
    </row>
    <row r="2746" spans="1:7">
      <c r="A2746">
        <v>1423</v>
      </c>
      <c r="B2746" t="s">
        <v>44</v>
      </c>
      <c r="C2746" t="s">
        <v>136</v>
      </c>
      <c r="D2746" s="9">
        <v>40415.881342592591</v>
      </c>
      <c r="E2746" t="s">
        <v>20</v>
      </c>
      <c r="F2746">
        <f t="shared" ca="1" si="84"/>
        <v>4.427777777777778</v>
      </c>
      <c r="G2746">
        <f t="shared" ca="1" si="85"/>
        <v>0</v>
      </c>
    </row>
    <row r="2747" spans="1:7">
      <c r="A2747">
        <v>1424</v>
      </c>
      <c r="B2747" t="s">
        <v>44</v>
      </c>
      <c r="C2747" t="s">
        <v>136</v>
      </c>
      <c r="D2747" s="9">
        <v>40415.844467592593</v>
      </c>
      <c r="E2747" t="s">
        <v>111</v>
      </c>
      <c r="F2747">
        <f t="shared" ca="1" si="84"/>
        <v>4.427777777777778</v>
      </c>
      <c r="G2747">
        <f t="shared" ca="1" si="85"/>
        <v>0</v>
      </c>
    </row>
    <row r="2748" spans="1:7">
      <c r="A2748">
        <v>1425</v>
      </c>
      <c r="B2748" t="s">
        <v>38</v>
      </c>
      <c r="C2748" t="s">
        <v>134</v>
      </c>
      <c r="D2748" s="9">
        <v>40485.70584490741</v>
      </c>
      <c r="E2748" t="s">
        <v>36</v>
      </c>
      <c r="F2748">
        <f t="shared" ca="1" si="84"/>
        <v>4.2388888888888889</v>
      </c>
      <c r="G2748">
        <f t="shared" ca="1" si="85"/>
        <v>0</v>
      </c>
    </row>
    <row r="2749" spans="1:7">
      <c r="A2749">
        <v>1426</v>
      </c>
      <c r="C2749" t="s">
        <v>136</v>
      </c>
      <c r="D2749" s="9">
        <v>40415.841516203705</v>
      </c>
      <c r="E2749" t="s">
        <v>99</v>
      </c>
      <c r="F2749">
        <f t="shared" ca="1" si="84"/>
        <v>4.427777777777778</v>
      </c>
      <c r="G2749">
        <f t="shared" ca="1" si="85"/>
        <v>0</v>
      </c>
    </row>
    <row r="2750" spans="1:7">
      <c r="A2750">
        <v>1427</v>
      </c>
      <c r="B2750" t="s">
        <v>101</v>
      </c>
      <c r="C2750" t="s">
        <v>134</v>
      </c>
      <c r="D2750" s="9">
        <v>40486.428078703706</v>
      </c>
      <c r="E2750" t="s">
        <v>8</v>
      </c>
      <c r="F2750">
        <f t="shared" ca="1" si="84"/>
        <v>4.2361111111111107</v>
      </c>
      <c r="G2750">
        <f t="shared" ca="1" si="85"/>
        <v>0</v>
      </c>
    </row>
    <row r="2751" spans="1:7">
      <c r="A2751">
        <v>1428</v>
      </c>
      <c r="B2751" t="s">
        <v>32</v>
      </c>
      <c r="C2751" t="s">
        <v>136</v>
      </c>
      <c r="D2751" s="9">
        <v>40415.843865740739</v>
      </c>
      <c r="E2751" t="s">
        <v>20</v>
      </c>
      <c r="F2751">
        <f t="shared" ca="1" si="84"/>
        <v>4.427777777777778</v>
      </c>
      <c r="G2751">
        <f t="shared" ca="1" si="85"/>
        <v>0</v>
      </c>
    </row>
    <row r="2752" spans="1:7">
      <c r="A2752">
        <v>1432</v>
      </c>
      <c r="B2752" t="s">
        <v>32</v>
      </c>
      <c r="C2752" t="s">
        <v>136</v>
      </c>
      <c r="D2752" s="9">
        <v>40416.770567129628</v>
      </c>
      <c r="E2752" t="s">
        <v>20</v>
      </c>
      <c r="F2752">
        <f t="shared" ca="1" si="84"/>
        <v>4.4249999999999998</v>
      </c>
      <c r="G2752">
        <f t="shared" ca="1" si="85"/>
        <v>0</v>
      </c>
    </row>
    <row r="2753" spans="1:7">
      <c r="A2753">
        <v>1433</v>
      </c>
      <c r="B2753" t="s">
        <v>27</v>
      </c>
      <c r="C2753" t="s">
        <v>136</v>
      </c>
      <c r="D2753" s="9">
        <v>40415.669687499998</v>
      </c>
      <c r="E2753" t="s">
        <v>38</v>
      </c>
      <c r="F2753">
        <f t="shared" ca="1" si="84"/>
        <v>4.427777777777778</v>
      </c>
      <c r="G2753">
        <f t="shared" ca="1" si="85"/>
        <v>0</v>
      </c>
    </row>
    <row r="2754" spans="1:7">
      <c r="A2754">
        <v>1434</v>
      </c>
      <c r="B2754" t="s">
        <v>27</v>
      </c>
      <c r="C2754" t="s">
        <v>136</v>
      </c>
      <c r="D2754" s="9">
        <v>40415.670300925929</v>
      </c>
      <c r="E2754" t="s">
        <v>38</v>
      </c>
      <c r="F2754">
        <f t="shared" ca="1" si="84"/>
        <v>4.427777777777778</v>
      </c>
      <c r="G2754">
        <f t="shared" ca="1" si="85"/>
        <v>0</v>
      </c>
    </row>
    <row r="2755" spans="1:7">
      <c r="A2755">
        <v>1436</v>
      </c>
      <c r="B2755" t="s">
        <v>34</v>
      </c>
      <c r="C2755" t="s">
        <v>136</v>
      </c>
      <c r="D2755" s="9">
        <v>40415.88989583333</v>
      </c>
      <c r="E2755" t="s">
        <v>38</v>
      </c>
      <c r="F2755">
        <f t="shared" ref="F2755:F2797" ca="1" si="86">YEARFRAC(TODAY(),$D2755)</f>
        <v>4.427777777777778</v>
      </c>
      <c r="G2755">
        <f t="shared" ref="G2755:G2797" ca="1" si="87">IF($F2755&lt;1,1,0)</f>
        <v>0</v>
      </c>
    </row>
    <row r="2756" spans="1:7">
      <c r="A2756">
        <v>1437</v>
      </c>
      <c r="B2756" t="s">
        <v>102</v>
      </c>
      <c r="C2756" t="s">
        <v>136</v>
      </c>
      <c r="D2756" s="9">
        <v>40414.928506944445</v>
      </c>
      <c r="E2756" t="s">
        <v>38</v>
      </c>
      <c r="F2756">
        <f t="shared" ca="1" si="86"/>
        <v>4.4305555555555554</v>
      </c>
      <c r="G2756">
        <f t="shared" ca="1" si="87"/>
        <v>0</v>
      </c>
    </row>
    <row r="2757" spans="1:7">
      <c r="A2757">
        <v>1438</v>
      </c>
      <c r="B2757" t="s">
        <v>8</v>
      </c>
      <c r="C2757" t="s">
        <v>136</v>
      </c>
      <c r="D2757" s="9">
        <v>40416.489560185182</v>
      </c>
      <c r="E2757" t="s">
        <v>131</v>
      </c>
      <c r="F2757">
        <f t="shared" ca="1" si="86"/>
        <v>4.4249999999999998</v>
      </c>
      <c r="G2757">
        <f t="shared" ca="1" si="87"/>
        <v>0</v>
      </c>
    </row>
    <row r="2758" spans="1:7">
      <c r="A2758">
        <v>1439</v>
      </c>
      <c r="B2758" t="s">
        <v>34</v>
      </c>
      <c r="C2758" t="s">
        <v>136</v>
      </c>
      <c r="D2758" s="9">
        <v>40414.774907407409</v>
      </c>
      <c r="E2758" t="s">
        <v>99</v>
      </c>
      <c r="F2758">
        <f t="shared" ca="1" si="86"/>
        <v>4.4305555555555554</v>
      </c>
      <c r="G2758">
        <f t="shared" ca="1" si="87"/>
        <v>0</v>
      </c>
    </row>
    <row r="2759" spans="1:7">
      <c r="A2759">
        <v>1440</v>
      </c>
      <c r="B2759" t="s">
        <v>99</v>
      </c>
      <c r="C2759" t="s">
        <v>136</v>
      </c>
      <c r="D2759" s="9">
        <v>40415.630856481483</v>
      </c>
      <c r="E2759" t="s">
        <v>38</v>
      </c>
      <c r="F2759">
        <f t="shared" ca="1" si="86"/>
        <v>4.427777777777778</v>
      </c>
      <c r="G2759">
        <f t="shared" ca="1" si="87"/>
        <v>0</v>
      </c>
    </row>
    <row r="2760" spans="1:7">
      <c r="A2760">
        <v>1441</v>
      </c>
      <c r="B2760" t="s">
        <v>99</v>
      </c>
      <c r="C2760" t="s">
        <v>136</v>
      </c>
      <c r="D2760" s="9">
        <v>40416.704918981479</v>
      </c>
      <c r="E2760" t="s">
        <v>11</v>
      </c>
      <c r="F2760">
        <f t="shared" ca="1" si="86"/>
        <v>4.4249999999999998</v>
      </c>
      <c r="G2760">
        <f t="shared" ca="1" si="87"/>
        <v>0</v>
      </c>
    </row>
    <row r="2761" spans="1:7">
      <c r="A2761">
        <v>1442</v>
      </c>
      <c r="B2761" t="s">
        <v>111</v>
      </c>
      <c r="C2761" t="s">
        <v>136</v>
      </c>
      <c r="D2761" s="9">
        <v>40416.868807870371</v>
      </c>
      <c r="E2761" t="s">
        <v>11</v>
      </c>
      <c r="F2761">
        <f t="shared" ca="1" si="86"/>
        <v>4.4249999999999998</v>
      </c>
      <c r="G2761">
        <f t="shared" ca="1" si="87"/>
        <v>0</v>
      </c>
    </row>
    <row r="2762" spans="1:7">
      <c r="A2762">
        <v>1444</v>
      </c>
      <c r="B2762" t="s">
        <v>34</v>
      </c>
      <c r="C2762" t="s">
        <v>136</v>
      </c>
      <c r="D2762" s="9">
        <v>40415.39675925926</v>
      </c>
      <c r="E2762" t="s">
        <v>102</v>
      </c>
      <c r="F2762">
        <f t="shared" ca="1" si="86"/>
        <v>4.427777777777778</v>
      </c>
      <c r="G2762">
        <f t="shared" ca="1" si="87"/>
        <v>0</v>
      </c>
    </row>
    <row r="2763" spans="1:7">
      <c r="A2763">
        <v>1448</v>
      </c>
      <c r="B2763" t="s">
        <v>34</v>
      </c>
      <c r="C2763" t="s">
        <v>136</v>
      </c>
      <c r="D2763" s="9">
        <v>40415.568865740737</v>
      </c>
      <c r="E2763" t="s">
        <v>102</v>
      </c>
      <c r="F2763">
        <f t="shared" ca="1" si="86"/>
        <v>4.427777777777778</v>
      </c>
      <c r="G2763">
        <f t="shared" ca="1" si="87"/>
        <v>0</v>
      </c>
    </row>
    <row r="2764" spans="1:7">
      <c r="A2764">
        <v>1449</v>
      </c>
      <c r="B2764" t="s">
        <v>34</v>
      </c>
      <c r="C2764" t="s">
        <v>136</v>
      </c>
      <c r="D2764" s="9">
        <v>40415.653854166667</v>
      </c>
      <c r="E2764" t="s">
        <v>131</v>
      </c>
      <c r="F2764">
        <f t="shared" ca="1" si="86"/>
        <v>4.427777777777778</v>
      </c>
      <c r="G2764">
        <f t="shared" ca="1" si="87"/>
        <v>0</v>
      </c>
    </row>
    <row r="2765" spans="1:7">
      <c r="A2765">
        <v>1454</v>
      </c>
      <c r="B2765" t="s">
        <v>34</v>
      </c>
      <c r="C2765" t="s">
        <v>128</v>
      </c>
      <c r="D2765" s="9">
        <v>40917.672881944447</v>
      </c>
      <c r="E2765" t="s">
        <v>30</v>
      </c>
      <c r="F2765">
        <f t="shared" ca="1" si="86"/>
        <v>3.0555555555555554</v>
      </c>
      <c r="G2765">
        <f t="shared" ca="1" si="87"/>
        <v>0</v>
      </c>
    </row>
    <row r="2766" spans="1:7">
      <c r="A2766">
        <v>1455</v>
      </c>
      <c r="B2766" t="s">
        <v>99</v>
      </c>
      <c r="C2766" t="s">
        <v>134</v>
      </c>
      <c r="D2766" s="9">
        <v>40485.567002314812</v>
      </c>
      <c r="E2766" t="s">
        <v>34</v>
      </c>
      <c r="F2766">
        <f t="shared" ca="1" si="86"/>
        <v>4.2388888888888889</v>
      </c>
      <c r="G2766">
        <f t="shared" ca="1" si="87"/>
        <v>0</v>
      </c>
    </row>
    <row r="2767" spans="1:7">
      <c r="A2767">
        <v>1456</v>
      </c>
      <c r="B2767" t="s">
        <v>99</v>
      </c>
      <c r="C2767" t="s">
        <v>136</v>
      </c>
      <c r="D2767" s="9">
        <v>40415.770162037035</v>
      </c>
      <c r="E2767" t="s">
        <v>52</v>
      </c>
      <c r="F2767">
        <f t="shared" ca="1" si="86"/>
        <v>4.427777777777778</v>
      </c>
      <c r="G2767">
        <f t="shared" ca="1" si="87"/>
        <v>0</v>
      </c>
    </row>
    <row r="2768" spans="1:7">
      <c r="A2768">
        <v>1459</v>
      </c>
      <c r="B2768" t="s">
        <v>8</v>
      </c>
      <c r="C2768" t="s">
        <v>130</v>
      </c>
      <c r="D2768" s="9">
        <v>40721.76048611111</v>
      </c>
      <c r="E2768" t="s">
        <v>20</v>
      </c>
      <c r="F2768">
        <f t="shared" ca="1" si="86"/>
        <v>3.588888888888889</v>
      </c>
      <c r="G2768">
        <f t="shared" ca="1" si="87"/>
        <v>0</v>
      </c>
    </row>
    <row r="2769" spans="1:7">
      <c r="A2769">
        <v>1460</v>
      </c>
      <c r="B2769" t="s">
        <v>20</v>
      </c>
      <c r="C2769" t="s">
        <v>136</v>
      </c>
      <c r="D2769" s="9">
        <v>40415.820034722223</v>
      </c>
      <c r="E2769" t="s">
        <v>52</v>
      </c>
      <c r="F2769">
        <f t="shared" ca="1" si="86"/>
        <v>4.427777777777778</v>
      </c>
      <c r="G2769">
        <f t="shared" ca="1" si="87"/>
        <v>0</v>
      </c>
    </row>
    <row r="2770" spans="1:7">
      <c r="A2770">
        <v>1461</v>
      </c>
      <c r="B2770" t="s">
        <v>99</v>
      </c>
      <c r="C2770" t="s">
        <v>136</v>
      </c>
      <c r="D2770" s="9">
        <v>40415.391226851854</v>
      </c>
      <c r="E2770" t="s">
        <v>131</v>
      </c>
      <c r="F2770">
        <f t="shared" ca="1" si="86"/>
        <v>4.427777777777778</v>
      </c>
      <c r="G2770">
        <f t="shared" ca="1" si="87"/>
        <v>0</v>
      </c>
    </row>
    <row r="2771" spans="1:7">
      <c r="A2771">
        <v>1463</v>
      </c>
      <c r="B2771" t="s">
        <v>38</v>
      </c>
      <c r="C2771" t="s">
        <v>136</v>
      </c>
      <c r="D2771" s="9">
        <v>40415.662002314813</v>
      </c>
      <c r="E2771" t="s">
        <v>52</v>
      </c>
      <c r="F2771">
        <f t="shared" ca="1" si="86"/>
        <v>4.427777777777778</v>
      </c>
      <c r="G2771">
        <f t="shared" ca="1" si="87"/>
        <v>0</v>
      </c>
    </row>
    <row r="2772" spans="1:7">
      <c r="A2772">
        <v>1464</v>
      </c>
      <c r="B2772" t="s">
        <v>99</v>
      </c>
      <c r="C2772" t="s">
        <v>136</v>
      </c>
      <c r="D2772" s="9">
        <v>40415.887696759259</v>
      </c>
      <c r="E2772" t="s">
        <v>52</v>
      </c>
      <c r="F2772">
        <f t="shared" ca="1" si="86"/>
        <v>4.427777777777778</v>
      </c>
      <c r="G2772">
        <f t="shared" ca="1" si="87"/>
        <v>0</v>
      </c>
    </row>
    <row r="2773" spans="1:7">
      <c r="A2773">
        <v>1465</v>
      </c>
      <c r="B2773" t="s">
        <v>99</v>
      </c>
      <c r="C2773" t="s">
        <v>136</v>
      </c>
      <c r="D2773" s="9">
        <v>40416.475532407407</v>
      </c>
      <c r="E2773" t="s">
        <v>131</v>
      </c>
      <c r="F2773">
        <f t="shared" ca="1" si="86"/>
        <v>4.4249999999999998</v>
      </c>
      <c r="G2773">
        <f t="shared" ca="1" si="87"/>
        <v>0</v>
      </c>
    </row>
    <row r="2774" spans="1:7">
      <c r="A2774">
        <v>1466</v>
      </c>
      <c r="B2774" t="s">
        <v>20</v>
      </c>
      <c r="C2774" t="s">
        <v>136</v>
      </c>
      <c r="D2774" s="9">
        <v>40416.735520833332</v>
      </c>
      <c r="E2774" t="s">
        <v>8</v>
      </c>
      <c r="F2774">
        <f t="shared" ca="1" si="86"/>
        <v>4.4249999999999998</v>
      </c>
      <c r="G2774">
        <f t="shared" ca="1" si="87"/>
        <v>0</v>
      </c>
    </row>
    <row r="2775" spans="1:7">
      <c r="A2775">
        <v>1467</v>
      </c>
      <c r="B2775" t="s">
        <v>99</v>
      </c>
      <c r="C2775" t="s">
        <v>136</v>
      </c>
      <c r="D2775" s="9">
        <v>40415.895243055558</v>
      </c>
      <c r="E2775" t="s">
        <v>20</v>
      </c>
      <c r="F2775">
        <f t="shared" ca="1" si="86"/>
        <v>4.427777777777778</v>
      </c>
      <c r="G2775">
        <f t="shared" ca="1" si="87"/>
        <v>0</v>
      </c>
    </row>
    <row r="2776" spans="1:7">
      <c r="A2776">
        <v>1468</v>
      </c>
      <c r="B2776" t="s">
        <v>34</v>
      </c>
      <c r="C2776" t="s">
        <v>136</v>
      </c>
      <c r="D2776" s="9">
        <v>40415.568645833337</v>
      </c>
      <c r="E2776" t="s">
        <v>102</v>
      </c>
      <c r="F2776">
        <f t="shared" ca="1" si="86"/>
        <v>4.427777777777778</v>
      </c>
      <c r="G2776">
        <f t="shared" ca="1" si="87"/>
        <v>0</v>
      </c>
    </row>
    <row r="2777" spans="1:7">
      <c r="A2777">
        <v>1470</v>
      </c>
      <c r="B2777" t="s">
        <v>99</v>
      </c>
      <c r="C2777" t="s">
        <v>136</v>
      </c>
      <c r="D2777" s="9">
        <v>40415.886828703704</v>
      </c>
      <c r="E2777" t="s">
        <v>20</v>
      </c>
      <c r="F2777">
        <f t="shared" ca="1" si="86"/>
        <v>4.427777777777778</v>
      </c>
      <c r="G2777">
        <f t="shared" ca="1" si="87"/>
        <v>0</v>
      </c>
    </row>
    <row r="2778" spans="1:7">
      <c r="A2778">
        <v>1471</v>
      </c>
      <c r="B2778" t="s">
        <v>99</v>
      </c>
      <c r="C2778" t="s">
        <v>136</v>
      </c>
      <c r="D2778" s="9">
        <v>40415.851145833331</v>
      </c>
      <c r="E2778" t="s">
        <v>11</v>
      </c>
      <c r="F2778">
        <f t="shared" ca="1" si="86"/>
        <v>4.427777777777778</v>
      </c>
      <c r="G2778">
        <f t="shared" ca="1" si="87"/>
        <v>0</v>
      </c>
    </row>
    <row r="2779" spans="1:7">
      <c r="A2779">
        <v>1472</v>
      </c>
      <c r="B2779" t="s">
        <v>8</v>
      </c>
      <c r="C2779" t="s">
        <v>134</v>
      </c>
      <c r="D2779" s="9">
        <v>40484.695925925924</v>
      </c>
      <c r="E2779" t="s">
        <v>131</v>
      </c>
      <c r="F2779">
        <f t="shared" ca="1" si="86"/>
        <v>4.2416666666666663</v>
      </c>
      <c r="G2779">
        <f t="shared" ca="1" si="87"/>
        <v>0</v>
      </c>
    </row>
    <row r="2780" spans="1:7">
      <c r="A2780">
        <v>1473</v>
      </c>
      <c r="B2780" t="s">
        <v>8</v>
      </c>
      <c r="C2780" t="s">
        <v>136</v>
      </c>
      <c r="D2780" s="9">
        <v>40415.873067129629</v>
      </c>
      <c r="E2780" t="s">
        <v>111</v>
      </c>
      <c r="F2780">
        <f t="shared" ca="1" si="86"/>
        <v>4.427777777777778</v>
      </c>
      <c r="G2780">
        <f t="shared" ca="1" si="87"/>
        <v>0</v>
      </c>
    </row>
    <row r="2781" spans="1:7">
      <c r="A2781">
        <v>1475</v>
      </c>
      <c r="B2781" t="s">
        <v>99</v>
      </c>
      <c r="C2781" t="s">
        <v>136</v>
      </c>
      <c r="D2781" s="9">
        <v>40415.883020833331</v>
      </c>
      <c r="E2781" t="s">
        <v>20</v>
      </c>
      <c r="F2781">
        <f t="shared" ca="1" si="86"/>
        <v>4.427777777777778</v>
      </c>
      <c r="G2781">
        <f t="shared" ca="1" si="87"/>
        <v>0</v>
      </c>
    </row>
    <row r="2782" spans="1:7">
      <c r="A2782">
        <v>1477</v>
      </c>
      <c r="B2782" t="s">
        <v>49</v>
      </c>
      <c r="C2782" t="s">
        <v>136</v>
      </c>
      <c r="D2782" s="9">
        <v>40415.823298611111</v>
      </c>
      <c r="E2782" t="s">
        <v>32</v>
      </c>
      <c r="F2782">
        <f t="shared" ca="1" si="86"/>
        <v>4.427777777777778</v>
      </c>
      <c r="G2782">
        <f t="shared" ca="1" si="87"/>
        <v>0</v>
      </c>
    </row>
    <row r="2783" spans="1:7">
      <c r="A2783">
        <v>1478</v>
      </c>
      <c r="B2783" t="s">
        <v>99</v>
      </c>
      <c r="C2783" t="s">
        <v>136</v>
      </c>
      <c r="D2783" s="9">
        <v>40415.888391203705</v>
      </c>
      <c r="E2783" t="s">
        <v>20</v>
      </c>
      <c r="F2783">
        <f t="shared" ca="1" si="86"/>
        <v>4.427777777777778</v>
      </c>
      <c r="G2783">
        <f t="shared" ca="1" si="87"/>
        <v>0</v>
      </c>
    </row>
    <row r="2784" spans="1:7">
      <c r="A2784">
        <v>1480</v>
      </c>
      <c r="B2784" t="s">
        <v>99</v>
      </c>
      <c r="C2784" t="s">
        <v>136</v>
      </c>
      <c r="D2784" s="9">
        <v>40415.674907407411</v>
      </c>
      <c r="E2784" t="s">
        <v>38</v>
      </c>
      <c r="F2784">
        <f t="shared" ca="1" si="86"/>
        <v>4.427777777777778</v>
      </c>
      <c r="G2784">
        <f t="shared" ca="1" si="87"/>
        <v>0</v>
      </c>
    </row>
    <row r="2785" spans="1:7">
      <c r="A2785">
        <v>1483</v>
      </c>
      <c r="B2785" t="s">
        <v>27</v>
      </c>
      <c r="C2785" t="s">
        <v>136</v>
      </c>
      <c r="D2785" s="9">
        <v>40415.514606481483</v>
      </c>
      <c r="E2785" t="s">
        <v>8</v>
      </c>
      <c r="F2785">
        <f t="shared" ca="1" si="86"/>
        <v>4.427777777777778</v>
      </c>
      <c r="G2785">
        <f t="shared" ca="1" si="87"/>
        <v>0</v>
      </c>
    </row>
    <row r="2786" spans="1:7">
      <c r="A2786">
        <v>1485</v>
      </c>
      <c r="B2786" t="s">
        <v>99</v>
      </c>
      <c r="C2786" t="s">
        <v>136</v>
      </c>
      <c r="D2786" s="9">
        <v>40416.739618055559</v>
      </c>
      <c r="E2786" t="s">
        <v>8</v>
      </c>
      <c r="F2786">
        <f t="shared" ca="1" si="86"/>
        <v>4.4249999999999998</v>
      </c>
      <c r="G2786">
        <f t="shared" ca="1" si="87"/>
        <v>0</v>
      </c>
    </row>
    <row r="2787" spans="1:7">
      <c r="A2787">
        <v>1486</v>
      </c>
      <c r="B2787" t="s">
        <v>44</v>
      </c>
      <c r="C2787" t="s">
        <v>136</v>
      </c>
      <c r="D2787" s="9">
        <v>40417.441828703704</v>
      </c>
      <c r="E2787" t="s">
        <v>101</v>
      </c>
      <c r="F2787">
        <f t="shared" ca="1" si="86"/>
        <v>4.4222222222222225</v>
      </c>
      <c r="G2787">
        <f t="shared" ca="1" si="87"/>
        <v>0</v>
      </c>
    </row>
    <row r="2788" spans="1:7">
      <c r="A2788">
        <v>1487</v>
      </c>
      <c r="B2788" t="s">
        <v>131</v>
      </c>
      <c r="C2788" t="s">
        <v>136</v>
      </c>
      <c r="D2788" s="9">
        <v>40416.714363425926</v>
      </c>
      <c r="E2788" t="s">
        <v>111</v>
      </c>
      <c r="F2788">
        <f t="shared" ca="1" si="86"/>
        <v>4.4249999999999998</v>
      </c>
      <c r="G2788">
        <f t="shared" ca="1" si="87"/>
        <v>0</v>
      </c>
    </row>
    <row r="2789" spans="1:7">
      <c r="A2789">
        <v>1488</v>
      </c>
      <c r="B2789" t="s">
        <v>8</v>
      </c>
      <c r="C2789" t="s">
        <v>136</v>
      </c>
      <c r="D2789" s="9">
        <v>40414.837233796294</v>
      </c>
      <c r="E2789" t="s">
        <v>111</v>
      </c>
      <c r="F2789">
        <f t="shared" ca="1" si="86"/>
        <v>4.4305555555555554</v>
      </c>
      <c r="G2789">
        <f t="shared" ca="1" si="87"/>
        <v>0</v>
      </c>
    </row>
    <row r="2790" spans="1:7">
      <c r="A2790">
        <v>1489</v>
      </c>
      <c r="B2790" t="s">
        <v>32</v>
      </c>
      <c r="C2790" t="s">
        <v>136</v>
      </c>
      <c r="D2790" s="9">
        <v>40415.672442129631</v>
      </c>
      <c r="E2790" t="s">
        <v>52</v>
      </c>
      <c r="F2790">
        <f t="shared" ca="1" si="86"/>
        <v>4.427777777777778</v>
      </c>
      <c r="G2790">
        <f t="shared" ca="1" si="87"/>
        <v>0</v>
      </c>
    </row>
    <row r="2791" spans="1:7">
      <c r="A2791">
        <v>1491</v>
      </c>
      <c r="B2791" t="s">
        <v>38</v>
      </c>
      <c r="C2791" t="s">
        <v>136</v>
      </c>
      <c r="D2791" s="9">
        <v>40416.745659722219</v>
      </c>
      <c r="E2791" t="s">
        <v>8</v>
      </c>
      <c r="F2791">
        <f t="shared" ca="1" si="86"/>
        <v>4.4249999999999998</v>
      </c>
      <c r="G2791">
        <f t="shared" ca="1" si="87"/>
        <v>0</v>
      </c>
    </row>
    <row r="2792" spans="1:7">
      <c r="A2792">
        <v>1494</v>
      </c>
      <c r="B2792" t="s">
        <v>38</v>
      </c>
      <c r="C2792" t="s">
        <v>136</v>
      </c>
      <c r="D2792" s="9">
        <v>40414.863715277781</v>
      </c>
      <c r="E2792" t="s">
        <v>52</v>
      </c>
      <c r="F2792">
        <f t="shared" ca="1" si="86"/>
        <v>4.4305555555555554</v>
      </c>
      <c r="G2792">
        <f t="shared" ca="1" si="87"/>
        <v>0</v>
      </c>
    </row>
    <row r="2793" spans="1:7">
      <c r="A2793">
        <v>1495</v>
      </c>
      <c r="B2793" t="s">
        <v>131</v>
      </c>
      <c r="C2793" t="s">
        <v>134</v>
      </c>
      <c r="D2793" s="9">
        <v>40485.583726851852</v>
      </c>
      <c r="E2793" t="s">
        <v>34</v>
      </c>
      <c r="F2793">
        <f t="shared" ca="1" si="86"/>
        <v>4.2388888888888889</v>
      </c>
      <c r="G2793">
        <f t="shared" ca="1" si="87"/>
        <v>0</v>
      </c>
    </row>
    <row r="2794" spans="1:7">
      <c r="A2794">
        <v>1496</v>
      </c>
      <c r="B2794" t="s">
        <v>49</v>
      </c>
      <c r="C2794" t="s">
        <v>136</v>
      </c>
      <c r="D2794" s="9">
        <v>40415.712048611109</v>
      </c>
      <c r="E2794" t="s">
        <v>32</v>
      </c>
      <c r="F2794">
        <f t="shared" ca="1" si="86"/>
        <v>4.427777777777778</v>
      </c>
      <c r="G2794">
        <f t="shared" ca="1" si="87"/>
        <v>0</v>
      </c>
    </row>
    <row r="2795" spans="1:7">
      <c r="A2795">
        <v>1498</v>
      </c>
      <c r="B2795" t="s">
        <v>8</v>
      </c>
      <c r="C2795" t="s">
        <v>136</v>
      </c>
      <c r="D2795" s="9">
        <v>40415.672048611108</v>
      </c>
      <c r="E2795" t="s">
        <v>27</v>
      </c>
      <c r="F2795">
        <f t="shared" ca="1" si="86"/>
        <v>4.427777777777778</v>
      </c>
      <c r="G2795">
        <f t="shared" ca="1" si="87"/>
        <v>0</v>
      </c>
    </row>
    <row r="2796" spans="1:7">
      <c r="A2796">
        <v>1499</v>
      </c>
      <c r="B2796" t="s">
        <v>102</v>
      </c>
      <c r="C2796" t="s">
        <v>136</v>
      </c>
      <c r="D2796" s="9">
        <v>40417.542094907411</v>
      </c>
      <c r="E2796" t="s">
        <v>38</v>
      </c>
      <c r="F2796">
        <f t="shared" ca="1" si="86"/>
        <v>4.4222222222222225</v>
      </c>
      <c r="G2796">
        <f t="shared" ca="1" si="87"/>
        <v>0</v>
      </c>
    </row>
    <row r="2797" spans="1:7">
      <c r="A2797">
        <v>1500</v>
      </c>
      <c r="B2797" t="s">
        <v>99</v>
      </c>
      <c r="C2797" t="s">
        <v>136</v>
      </c>
      <c r="D2797" s="9">
        <v>40415.70826388889</v>
      </c>
      <c r="E2797" t="s">
        <v>52</v>
      </c>
      <c r="F2797">
        <f t="shared" ca="1" si="86"/>
        <v>4.427777777777778</v>
      </c>
      <c r="G2797">
        <f t="shared" ca="1" si="87"/>
        <v>0</v>
      </c>
    </row>
    <row r="2798" spans="1:7">
      <c r="A2798">
        <v>1501</v>
      </c>
      <c r="B2798" t="s">
        <v>27</v>
      </c>
      <c r="C2798" t="s">
        <v>136</v>
      </c>
      <c r="D2798" s="9">
        <v>40415.937013888892</v>
      </c>
      <c r="E2798" t="s">
        <v>52</v>
      </c>
      <c r="F2798">
        <f ca="1">YEARFRAC(TODAY(),$D2798)</f>
        <v>4.427777777777778</v>
      </c>
      <c r="G2798">
        <f ca="1">IF($F2798&lt;1,1,0)</f>
        <v>0</v>
      </c>
    </row>
    <row r="2799" spans="1:7">
      <c r="A2799">
        <v>1502</v>
      </c>
      <c r="B2799" t="s">
        <v>99</v>
      </c>
      <c r="C2799" t="s">
        <v>136</v>
      </c>
      <c r="D2799" s="9">
        <v>40415.522511574076</v>
      </c>
      <c r="E2799" t="s">
        <v>8</v>
      </c>
      <c r="F2799">
        <f t="shared" ref="F2799:F2862" ca="1" si="88">YEARFRAC(TODAY(),$D2799)</f>
        <v>4.427777777777778</v>
      </c>
      <c r="G2799">
        <f t="shared" ref="G2799:G2862" ca="1" si="89">IF($F2799&lt;1,1,0)</f>
        <v>0</v>
      </c>
    </row>
    <row r="2800" spans="1:7">
      <c r="A2800">
        <v>1503</v>
      </c>
      <c r="B2800" t="s">
        <v>99</v>
      </c>
      <c r="C2800" t="s">
        <v>136</v>
      </c>
      <c r="D2800" s="9">
        <v>40416.587141203701</v>
      </c>
      <c r="E2800" t="s">
        <v>32</v>
      </c>
      <c r="F2800">
        <f t="shared" ca="1" si="88"/>
        <v>4.4249999999999998</v>
      </c>
      <c r="G2800">
        <f t="shared" ca="1" si="89"/>
        <v>0</v>
      </c>
    </row>
    <row r="2801" spans="1:7">
      <c r="A2801">
        <v>1504</v>
      </c>
      <c r="B2801" t="s">
        <v>131</v>
      </c>
      <c r="C2801" t="s">
        <v>136</v>
      </c>
      <c r="D2801" s="9">
        <v>40416.621076388888</v>
      </c>
      <c r="E2801" t="s">
        <v>99</v>
      </c>
      <c r="F2801">
        <f t="shared" ca="1" si="88"/>
        <v>4.4249999999999998</v>
      </c>
      <c r="G2801">
        <f t="shared" ca="1" si="89"/>
        <v>0</v>
      </c>
    </row>
    <row r="2802" spans="1:7">
      <c r="A2802">
        <v>1505</v>
      </c>
      <c r="B2802" t="s">
        <v>27</v>
      </c>
      <c r="C2802" t="s">
        <v>136</v>
      </c>
      <c r="D2802" s="9">
        <v>40415.834814814814</v>
      </c>
      <c r="E2802" t="s">
        <v>32</v>
      </c>
      <c r="F2802">
        <f t="shared" ca="1" si="88"/>
        <v>4.427777777777778</v>
      </c>
      <c r="G2802">
        <f t="shared" ca="1" si="89"/>
        <v>0</v>
      </c>
    </row>
    <row r="2803" spans="1:7">
      <c r="A2803">
        <v>1506</v>
      </c>
      <c r="B2803" t="s">
        <v>38</v>
      </c>
      <c r="C2803" t="s">
        <v>136</v>
      </c>
      <c r="D2803" s="9">
        <v>40415.869027777779</v>
      </c>
      <c r="E2803" t="s">
        <v>52</v>
      </c>
      <c r="F2803">
        <f t="shared" ca="1" si="88"/>
        <v>4.427777777777778</v>
      </c>
      <c r="G2803">
        <f t="shared" ca="1" si="89"/>
        <v>0</v>
      </c>
    </row>
    <row r="2804" spans="1:7">
      <c r="A2804">
        <v>1508</v>
      </c>
      <c r="B2804" t="s">
        <v>131</v>
      </c>
      <c r="C2804" t="s">
        <v>136</v>
      </c>
      <c r="D2804" s="9">
        <v>40416.892696759256</v>
      </c>
      <c r="E2804" t="s">
        <v>38</v>
      </c>
      <c r="F2804">
        <f t="shared" ca="1" si="88"/>
        <v>4.4249999999999998</v>
      </c>
      <c r="G2804">
        <f t="shared" ca="1" si="89"/>
        <v>0</v>
      </c>
    </row>
    <row r="2805" spans="1:7">
      <c r="A2805">
        <v>1509</v>
      </c>
      <c r="B2805" t="s">
        <v>11</v>
      </c>
      <c r="C2805" t="s">
        <v>136</v>
      </c>
      <c r="D2805" s="9">
        <v>40416.69332175926</v>
      </c>
      <c r="E2805" t="s">
        <v>111</v>
      </c>
      <c r="F2805">
        <f t="shared" ca="1" si="88"/>
        <v>4.4249999999999998</v>
      </c>
      <c r="G2805">
        <f t="shared" ca="1" si="89"/>
        <v>0</v>
      </c>
    </row>
    <row r="2806" spans="1:7">
      <c r="A2806">
        <v>1511</v>
      </c>
      <c r="B2806" t="s">
        <v>99</v>
      </c>
      <c r="C2806" t="s">
        <v>136</v>
      </c>
      <c r="D2806" s="9">
        <v>40415.892581018517</v>
      </c>
      <c r="E2806" t="s">
        <v>20</v>
      </c>
      <c r="F2806">
        <f t="shared" ca="1" si="88"/>
        <v>4.427777777777778</v>
      </c>
      <c r="G2806">
        <f t="shared" ca="1" si="89"/>
        <v>0</v>
      </c>
    </row>
    <row r="2807" spans="1:7">
      <c r="A2807">
        <v>1512</v>
      </c>
      <c r="B2807" t="s">
        <v>38</v>
      </c>
      <c r="C2807" t="s">
        <v>136</v>
      </c>
      <c r="D2807" s="9">
        <v>40414.864976851852</v>
      </c>
      <c r="E2807" t="s">
        <v>52</v>
      </c>
      <c r="F2807">
        <f t="shared" ca="1" si="88"/>
        <v>4.4305555555555554</v>
      </c>
      <c r="G2807">
        <f t="shared" ca="1" si="89"/>
        <v>0</v>
      </c>
    </row>
    <row r="2808" spans="1:7">
      <c r="A2808">
        <v>1513</v>
      </c>
      <c r="B2808" t="s">
        <v>99</v>
      </c>
      <c r="C2808" t="s">
        <v>134</v>
      </c>
      <c r="D2808" s="9">
        <v>40485.552314814813</v>
      </c>
      <c r="E2808" t="s">
        <v>32</v>
      </c>
      <c r="F2808">
        <f t="shared" ca="1" si="88"/>
        <v>4.2388888888888889</v>
      </c>
      <c r="G2808">
        <f t="shared" ca="1" si="89"/>
        <v>0</v>
      </c>
    </row>
    <row r="2809" spans="1:7">
      <c r="A2809">
        <v>1514</v>
      </c>
      <c r="B2809" t="s">
        <v>131</v>
      </c>
      <c r="C2809" t="s">
        <v>134</v>
      </c>
      <c r="D2809" s="9">
        <v>40485.706342592595</v>
      </c>
      <c r="E2809" t="s">
        <v>34</v>
      </c>
      <c r="F2809">
        <f t="shared" ca="1" si="88"/>
        <v>4.2388888888888889</v>
      </c>
      <c r="G2809">
        <f t="shared" ca="1" si="89"/>
        <v>0</v>
      </c>
    </row>
    <row r="2810" spans="1:7">
      <c r="A2810">
        <v>1515</v>
      </c>
      <c r="B2810" t="s">
        <v>8</v>
      </c>
      <c r="C2810" t="s">
        <v>136</v>
      </c>
      <c r="D2810" s="9">
        <v>40414.922222222223</v>
      </c>
      <c r="E2810" t="s">
        <v>111</v>
      </c>
      <c r="F2810">
        <f t="shared" ca="1" si="88"/>
        <v>4.4305555555555554</v>
      </c>
      <c r="G2810">
        <f t="shared" ca="1" si="89"/>
        <v>0</v>
      </c>
    </row>
    <row r="2811" spans="1:7">
      <c r="A2811">
        <v>1518</v>
      </c>
      <c r="B2811" t="s">
        <v>34</v>
      </c>
      <c r="C2811" t="s">
        <v>136</v>
      </c>
      <c r="D2811" s="9">
        <v>40415.599780092591</v>
      </c>
      <c r="E2811" t="s">
        <v>131</v>
      </c>
      <c r="F2811">
        <f t="shared" ca="1" si="88"/>
        <v>4.427777777777778</v>
      </c>
      <c r="G2811">
        <f t="shared" ca="1" si="89"/>
        <v>0</v>
      </c>
    </row>
    <row r="2812" spans="1:7">
      <c r="A2812">
        <v>1520</v>
      </c>
      <c r="B2812" t="s">
        <v>38</v>
      </c>
      <c r="C2812" t="s">
        <v>136</v>
      </c>
      <c r="D2812" s="9">
        <v>40415.678495370368</v>
      </c>
      <c r="E2812" t="s">
        <v>52</v>
      </c>
      <c r="F2812">
        <f t="shared" ca="1" si="88"/>
        <v>4.427777777777778</v>
      </c>
      <c r="G2812">
        <f t="shared" ca="1" si="89"/>
        <v>0</v>
      </c>
    </row>
    <row r="2813" spans="1:7">
      <c r="A2813">
        <v>1522</v>
      </c>
      <c r="B2813" t="s">
        <v>38</v>
      </c>
      <c r="C2813" t="s">
        <v>132</v>
      </c>
      <c r="D2813" s="9">
        <v>40662.129548611112</v>
      </c>
      <c r="E2813" t="s">
        <v>36</v>
      </c>
      <c r="F2813">
        <f t="shared" ca="1" si="88"/>
        <v>3.75</v>
      </c>
      <c r="G2813">
        <f t="shared" ca="1" si="89"/>
        <v>0</v>
      </c>
    </row>
    <row r="2814" spans="1:7">
      <c r="A2814">
        <v>1524</v>
      </c>
      <c r="B2814" t="s">
        <v>11</v>
      </c>
      <c r="C2814" t="s">
        <v>140</v>
      </c>
      <c r="D2814" s="9">
        <v>40527.882465277777</v>
      </c>
      <c r="E2814" t="s">
        <v>20</v>
      </c>
      <c r="F2814">
        <f t="shared" ca="1" si="88"/>
        <v>4.1222222222222218</v>
      </c>
      <c r="G2814">
        <f t="shared" ca="1" si="89"/>
        <v>0</v>
      </c>
    </row>
    <row r="2815" spans="1:7">
      <c r="A2815">
        <v>1525</v>
      </c>
      <c r="B2815" t="s">
        <v>99</v>
      </c>
      <c r="C2815" t="s">
        <v>133</v>
      </c>
      <c r="D2815" s="9">
        <v>40589.591145833336</v>
      </c>
      <c r="E2815" t="s">
        <v>112</v>
      </c>
      <c r="F2815">
        <f t="shared" ca="1" si="88"/>
        <v>3.9555555555555557</v>
      </c>
      <c r="G2815">
        <f t="shared" ca="1" si="89"/>
        <v>0</v>
      </c>
    </row>
    <row r="2816" spans="1:7">
      <c r="A2816">
        <v>1527</v>
      </c>
      <c r="B2816" t="s">
        <v>102</v>
      </c>
      <c r="C2816" t="s">
        <v>134</v>
      </c>
      <c r="D2816" s="9">
        <v>40484.625879629632</v>
      </c>
      <c r="E2816" t="s">
        <v>112</v>
      </c>
      <c r="F2816">
        <f t="shared" ca="1" si="88"/>
        <v>4.2416666666666663</v>
      </c>
      <c r="G2816">
        <f t="shared" ca="1" si="89"/>
        <v>0</v>
      </c>
    </row>
    <row r="2817" spans="1:7">
      <c r="A2817">
        <v>1528</v>
      </c>
      <c r="B2817" t="s">
        <v>111</v>
      </c>
      <c r="C2817" t="s">
        <v>134</v>
      </c>
      <c r="D2817" s="9">
        <v>40484.645127314812</v>
      </c>
      <c r="E2817" t="s">
        <v>131</v>
      </c>
      <c r="F2817">
        <f t="shared" ca="1" si="88"/>
        <v>4.2416666666666663</v>
      </c>
      <c r="G2817">
        <f t="shared" ca="1" si="89"/>
        <v>0</v>
      </c>
    </row>
    <row r="2818" spans="1:7">
      <c r="A2818">
        <v>1529</v>
      </c>
      <c r="B2818" t="s">
        <v>131</v>
      </c>
      <c r="C2818" t="s">
        <v>136</v>
      </c>
      <c r="D2818" s="9">
        <v>40416.793645833335</v>
      </c>
      <c r="E2818" t="s">
        <v>111</v>
      </c>
      <c r="F2818">
        <f t="shared" ca="1" si="88"/>
        <v>4.4249999999999998</v>
      </c>
      <c r="G2818">
        <f t="shared" ca="1" si="89"/>
        <v>0</v>
      </c>
    </row>
    <row r="2819" spans="1:7">
      <c r="A2819">
        <v>1532</v>
      </c>
      <c r="B2819" t="s">
        <v>44</v>
      </c>
      <c r="C2819" t="s">
        <v>134</v>
      </c>
      <c r="D2819" s="9">
        <v>40485.704652777778</v>
      </c>
      <c r="E2819" t="s">
        <v>20</v>
      </c>
      <c r="F2819">
        <f t="shared" ca="1" si="88"/>
        <v>4.2388888888888889</v>
      </c>
      <c r="G2819">
        <f t="shared" ca="1" si="89"/>
        <v>0</v>
      </c>
    </row>
    <row r="2820" spans="1:7">
      <c r="A2820">
        <v>1535</v>
      </c>
      <c r="B2820" t="s">
        <v>102</v>
      </c>
      <c r="C2820" t="s">
        <v>136</v>
      </c>
      <c r="D2820" s="9">
        <v>40415.629062499997</v>
      </c>
      <c r="E2820" t="s">
        <v>99</v>
      </c>
      <c r="F2820">
        <f t="shared" ca="1" si="88"/>
        <v>4.427777777777778</v>
      </c>
      <c r="G2820">
        <f t="shared" ca="1" si="89"/>
        <v>0</v>
      </c>
    </row>
    <row r="2821" spans="1:7">
      <c r="A2821">
        <v>1538</v>
      </c>
      <c r="B2821" t="s">
        <v>102</v>
      </c>
      <c r="C2821" t="s">
        <v>140</v>
      </c>
      <c r="D2821" s="9">
        <v>40532.560868055552</v>
      </c>
      <c r="E2821" t="s">
        <v>34</v>
      </c>
      <c r="F2821">
        <f t="shared" ca="1" si="88"/>
        <v>4.1083333333333334</v>
      </c>
      <c r="G2821">
        <f t="shared" ca="1" si="89"/>
        <v>0</v>
      </c>
    </row>
    <row r="2822" spans="1:7">
      <c r="A2822">
        <v>1540</v>
      </c>
      <c r="B2822" t="s">
        <v>32</v>
      </c>
      <c r="C2822" t="s">
        <v>134</v>
      </c>
      <c r="D2822" s="9">
        <v>40485.725127314814</v>
      </c>
      <c r="E2822" t="s">
        <v>8</v>
      </c>
      <c r="F2822">
        <f t="shared" ca="1" si="88"/>
        <v>4.2388888888888889</v>
      </c>
      <c r="G2822">
        <f t="shared" ca="1" si="89"/>
        <v>0</v>
      </c>
    </row>
    <row r="2823" spans="1:7">
      <c r="A2823">
        <v>1541</v>
      </c>
      <c r="B2823" t="s">
        <v>99</v>
      </c>
      <c r="C2823" t="s">
        <v>134</v>
      </c>
      <c r="D2823" s="9">
        <v>40484.624236111114</v>
      </c>
      <c r="E2823" t="s">
        <v>131</v>
      </c>
      <c r="F2823">
        <f t="shared" ca="1" si="88"/>
        <v>4.2416666666666663</v>
      </c>
      <c r="G2823">
        <f t="shared" ca="1" si="89"/>
        <v>0</v>
      </c>
    </row>
    <row r="2824" spans="1:7">
      <c r="A2824">
        <v>1545</v>
      </c>
      <c r="B2824" t="s">
        <v>34</v>
      </c>
      <c r="C2824" t="s">
        <v>136</v>
      </c>
      <c r="D2824" s="9">
        <v>40417.603472222225</v>
      </c>
      <c r="E2824" t="s">
        <v>131</v>
      </c>
      <c r="F2824">
        <f t="shared" ca="1" si="88"/>
        <v>4.4222222222222225</v>
      </c>
      <c r="G2824">
        <f t="shared" ca="1" si="89"/>
        <v>0</v>
      </c>
    </row>
    <row r="2825" spans="1:7">
      <c r="A2825">
        <v>1546</v>
      </c>
      <c r="B2825" t="s">
        <v>44</v>
      </c>
      <c r="C2825" t="s">
        <v>140</v>
      </c>
      <c r="D2825" s="9">
        <v>40527.592685185184</v>
      </c>
      <c r="E2825" t="s">
        <v>112</v>
      </c>
      <c r="F2825">
        <f t="shared" ca="1" si="88"/>
        <v>4.1222222222222218</v>
      </c>
      <c r="G2825">
        <f t="shared" ca="1" si="89"/>
        <v>0</v>
      </c>
    </row>
    <row r="2826" spans="1:7">
      <c r="A2826">
        <v>1547</v>
      </c>
      <c r="B2826" t="s">
        <v>44</v>
      </c>
      <c r="C2826" t="s">
        <v>133</v>
      </c>
      <c r="D2826" s="9">
        <v>40589.612581018519</v>
      </c>
      <c r="E2826" t="s">
        <v>112</v>
      </c>
      <c r="F2826">
        <f t="shared" ca="1" si="88"/>
        <v>3.9555555555555557</v>
      </c>
      <c r="G2826">
        <f t="shared" ca="1" si="89"/>
        <v>0</v>
      </c>
    </row>
    <row r="2827" spans="1:7">
      <c r="A2827">
        <v>1550</v>
      </c>
      <c r="B2827" t="s">
        <v>102</v>
      </c>
      <c r="C2827" t="s">
        <v>134</v>
      </c>
      <c r="D2827" s="9">
        <v>40484.611342592594</v>
      </c>
      <c r="E2827" t="s">
        <v>11</v>
      </c>
      <c r="F2827">
        <f t="shared" ca="1" si="88"/>
        <v>4.2416666666666663</v>
      </c>
      <c r="G2827">
        <f t="shared" ca="1" si="89"/>
        <v>0</v>
      </c>
    </row>
    <row r="2828" spans="1:7">
      <c r="A2828">
        <v>1551</v>
      </c>
      <c r="B2828" t="s">
        <v>102</v>
      </c>
      <c r="C2828" t="s">
        <v>133</v>
      </c>
      <c r="D2828" s="9">
        <v>40589.440428240741</v>
      </c>
      <c r="E2828" t="s">
        <v>131</v>
      </c>
      <c r="F2828">
        <f t="shared" ca="1" si="88"/>
        <v>3.9555555555555557</v>
      </c>
      <c r="G2828">
        <f t="shared" ca="1" si="89"/>
        <v>0</v>
      </c>
    </row>
    <row r="2829" spans="1:7">
      <c r="A2829">
        <v>1552</v>
      </c>
      <c r="B2829" t="s">
        <v>8</v>
      </c>
      <c r="C2829" t="s">
        <v>136</v>
      </c>
      <c r="D2829" s="9">
        <v>40416.695752314816</v>
      </c>
      <c r="E2829" t="s">
        <v>99</v>
      </c>
      <c r="F2829">
        <f t="shared" ca="1" si="88"/>
        <v>4.4249999999999998</v>
      </c>
      <c r="G2829">
        <f t="shared" ca="1" si="89"/>
        <v>0</v>
      </c>
    </row>
    <row r="2830" spans="1:7">
      <c r="A2830">
        <v>1554</v>
      </c>
      <c r="B2830" t="s">
        <v>131</v>
      </c>
      <c r="C2830" t="s">
        <v>136</v>
      </c>
      <c r="D2830" s="9">
        <v>40416.751956018517</v>
      </c>
      <c r="E2830" t="s">
        <v>8</v>
      </c>
      <c r="F2830">
        <f t="shared" ca="1" si="88"/>
        <v>4.4249999999999998</v>
      </c>
      <c r="G2830">
        <f t="shared" ca="1" si="89"/>
        <v>0</v>
      </c>
    </row>
    <row r="2831" spans="1:7">
      <c r="A2831">
        <v>1559</v>
      </c>
      <c r="B2831" t="s">
        <v>38</v>
      </c>
      <c r="C2831" t="s">
        <v>136</v>
      </c>
      <c r="D2831" s="9">
        <v>40417.415972222225</v>
      </c>
      <c r="E2831" t="s">
        <v>34</v>
      </c>
      <c r="F2831">
        <f t="shared" ca="1" si="88"/>
        <v>4.4222222222222225</v>
      </c>
      <c r="G2831">
        <f t="shared" ca="1" si="89"/>
        <v>0</v>
      </c>
    </row>
    <row r="2832" spans="1:7">
      <c r="A2832">
        <v>1560</v>
      </c>
      <c r="B2832" t="s">
        <v>34</v>
      </c>
      <c r="C2832" t="s">
        <v>134</v>
      </c>
      <c r="D2832" s="9">
        <v>40484.418680555558</v>
      </c>
      <c r="E2832" t="s">
        <v>131</v>
      </c>
      <c r="F2832">
        <f t="shared" ca="1" si="88"/>
        <v>4.2416666666666663</v>
      </c>
      <c r="G2832">
        <f t="shared" ca="1" si="89"/>
        <v>0</v>
      </c>
    </row>
    <row r="2833" spans="1:7">
      <c r="A2833">
        <v>1561</v>
      </c>
      <c r="B2833" t="s">
        <v>101</v>
      </c>
      <c r="C2833" t="s">
        <v>134</v>
      </c>
      <c r="D2833" s="9">
        <v>40484.435173611113</v>
      </c>
      <c r="E2833" t="s">
        <v>102</v>
      </c>
      <c r="F2833">
        <f t="shared" ca="1" si="88"/>
        <v>4.2416666666666663</v>
      </c>
      <c r="G2833">
        <f t="shared" ca="1" si="89"/>
        <v>0</v>
      </c>
    </row>
    <row r="2834" spans="1:7">
      <c r="A2834">
        <v>1562</v>
      </c>
      <c r="B2834" t="s">
        <v>34</v>
      </c>
      <c r="C2834" t="s">
        <v>136</v>
      </c>
      <c r="D2834" s="9">
        <v>40417.621898148151</v>
      </c>
      <c r="E2834" t="s">
        <v>112</v>
      </c>
      <c r="F2834">
        <f t="shared" ca="1" si="88"/>
        <v>4.4222222222222225</v>
      </c>
      <c r="G2834">
        <f t="shared" ca="1" si="89"/>
        <v>0</v>
      </c>
    </row>
    <row r="2835" spans="1:7">
      <c r="A2835">
        <v>1564</v>
      </c>
      <c r="B2835" t="s">
        <v>112</v>
      </c>
      <c r="C2835" t="s">
        <v>133</v>
      </c>
      <c r="D2835" s="9">
        <v>40588.704189814816</v>
      </c>
      <c r="E2835" t="s">
        <v>112</v>
      </c>
      <c r="F2835">
        <f t="shared" ca="1" si="88"/>
        <v>3.9583333333333335</v>
      </c>
      <c r="G2835">
        <f t="shared" ca="1" si="89"/>
        <v>0</v>
      </c>
    </row>
    <row r="2836" spans="1:7">
      <c r="A2836">
        <v>1566</v>
      </c>
      <c r="B2836" t="s">
        <v>101</v>
      </c>
      <c r="C2836" t="s">
        <v>134</v>
      </c>
      <c r="D2836" s="9">
        <v>40484.414340277777</v>
      </c>
      <c r="E2836" t="s">
        <v>131</v>
      </c>
      <c r="F2836">
        <f t="shared" ca="1" si="88"/>
        <v>4.2416666666666663</v>
      </c>
      <c r="G2836">
        <f t="shared" ca="1" si="89"/>
        <v>0</v>
      </c>
    </row>
    <row r="2837" spans="1:7">
      <c r="A2837">
        <v>1568</v>
      </c>
      <c r="B2837" t="s">
        <v>11</v>
      </c>
      <c r="C2837" t="s">
        <v>134</v>
      </c>
      <c r="D2837" s="9">
        <v>40485.502638888887</v>
      </c>
      <c r="E2837" t="s">
        <v>131</v>
      </c>
      <c r="F2837">
        <f t="shared" ca="1" si="88"/>
        <v>4.2388888888888889</v>
      </c>
      <c r="G2837">
        <f t="shared" ca="1" si="89"/>
        <v>0</v>
      </c>
    </row>
    <row r="2838" spans="1:7">
      <c r="A2838">
        <v>1570</v>
      </c>
      <c r="B2838" t="s">
        <v>101</v>
      </c>
      <c r="C2838" t="s">
        <v>134</v>
      </c>
      <c r="D2838" s="9">
        <v>40486.695300925923</v>
      </c>
      <c r="E2838" t="s">
        <v>34</v>
      </c>
      <c r="F2838">
        <f t="shared" ca="1" si="88"/>
        <v>4.2361111111111107</v>
      </c>
      <c r="G2838">
        <f t="shared" ca="1" si="89"/>
        <v>0</v>
      </c>
    </row>
    <row r="2839" spans="1:7">
      <c r="A2839">
        <v>1575</v>
      </c>
      <c r="B2839" t="s">
        <v>99</v>
      </c>
      <c r="C2839" t="s">
        <v>134</v>
      </c>
      <c r="D2839" s="9">
        <v>40484.607615740744</v>
      </c>
      <c r="E2839" t="s">
        <v>131</v>
      </c>
      <c r="F2839">
        <f t="shared" ca="1" si="88"/>
        <v>4.2416666666666663</v>
      </c>
      <c r="G2839">
        <f t="shared" ca="1" si="89"/>
        <v>0</v>
      </c>
    </row>
    <row r="2840" spans="1:7">
      <c r="A2840">
        <v>1576</v>
      </c>
      <c r="B2840" t="s">
        <v>44</v>
      </c>
      <c r="C2840" t="s">
        <v>134</v>
      </c>
      <c r="D2840" s="9">
        <v>40484.498553240737</v>
      </c>
      <c r="E2840" t="s">
        <v>34</v>
      </c>
      <c r="F2840">
        <f t="shared" ca="1" si="88"/>
        <v>4.2416666666666663</v>
      </c>
      <c r="G2840">
        <f t="shared" ca="1" si="89"/>
        <v>0</v>
      </c>
    </row>
    <row r="2841" spans="1:7">
      <c r="A2841">
        <v>1578</v>
      </c>
      <c r="B2841" t="s">
        <v>99</v>
      </c>
      <c r="C2841" t="s">
        <v>134</v>
      </c>
      <c r="D2841" s="9">
        <v>40484.700312499997</v>
      </c>
      <c r="E2841" t="s">
        <v>131</v>
      </c>
      <c r="F2841">
        <f t="shared" ca="1" si="88"/>
        <v>4.2416666666666663</v>
      </c>
      <c r="G2841">
        <f t="shared" ca="1" si="89"/>
        <v>0</v>
      </c>
    </row>
    <row r="2842" spans="1:7">
      <c r="A2842">
        <v>1581</v>
      </c>
      <c r="B2842" t="s">
        <v>99</v>
      </c>
      <c r="C2842" t="s">
        <v>134</v>
      </c>
      <c r="D2842" s="9">
        <v>40485.536423611113</v>
      </c>
      <c r="E2842" t="s">
        <v>131</v>
      </c>
      <c r="F2842">
        <f t="shared" ca="1" si="88"/>
        <v>4.2388888888888889</v>
      </c>
      <c r="G2842">
        <f t="shared" ca="1" si="89"/>
        <v>0</v>
      </c>
    </row>
    <row r="2843" spans="1:7">
      <c r="A2843">
        <v>1582</v>
      </c>
      <c r="B2843" t="s">
        <v>44</v>
      </c>
      <c r="C2843" t="s">
        <v>134</v>
      </c>
      <c r="D2843" s="9">
        <v>40487.408391203702</v>
      </c>
      <c r="E2843" t="s">
        <v>131</v>
      </c>
      <c r="F2843">
        <f t="shared" ca="1" si="88"/>
        <v>4.2333333333333334</v>
      </c>
      <c r="G2843">
        <f t="shared" ca="1" si="89"/>
        <v>0</v>
      </c>
    </row>
    <row r="2844" spans="1:7">
      <c r="A2844">
        <v>1583</v>
      </c>
      <c r="B2844" t="s">
        <v>34</v>
      </c>
      <c r="C2844" t="s">
        <v>134</v>
      </c>
      <c r="D2844" s="9">
        <v>40484.668749999997</v>
      </c>
      <c r="E2844" t="s">
        <v>44</v>
      </c>
      <c r="F2844">
        <f t="shared" ca="1" si="88"/>
        <v>4.2416666666666663</v>
      </c>
      <c r="G2844">
        <f t="shared" ca="1" si="89"/>
        <v>0</v>
      </c>
    </row>
    <row r="2845" spans="1:7">
      <c r="A2845">
        <v>1584</v>
      </c>
      <c r="B2845" t="s">
        <v>34</v>
      </c>
      <c r="C2845" t="s">
        <v>134</v>
      </c>
      <c r="D2845" s="9">
        <v>40485.485011574077</v>
      </c>
      <c r="E2845" t="s">
        <v>44</v>
      </c>
      <c r="F2845">
        <f t="shared" ca="1" si="88"/>
        <v>4.2388888888888889</v>
      </c>
      <c r="G2845">
        <f t="shared" ca="1" si="89"/>
        <v>0</v>
      </c>
    </row>
    <row r="2846" spans="1:7">
      <c r="A2846">
        <v>1585</v>
      </c>
      <c r="B2846" t="s">
        <v>131</v>
      </c>
      <c r="C2846" t="s">
        <v>134</v>
      </c>
      <c r="D2846" s="9">
        <v>40485.62605324074</v>
      </c>
      <c r="E2846" t="s">
        <v>44</v>
      </c>
      <c r="F2846">
        <f t="shared" ca="1" si="88"/>
        <v>4.2388888888888889</v>
      </c>
      <c r="G2846">
        <f t="shared" ca="1" si="89"/>
        <v>0</v>
      </c>
    </row>
    <row r="2847" spans="1:7">
      <c r="A2847">
        <v>1586</v>
      </c>
      <c r="B2847" t="s">
        <v>99</v>
      </c>
      <c r="C2847" t="s">
        <v>134</v>
      </c>
      <c r="D2847" s="9">
        <v>40485.672395833331</v>
      </c>
      <c r="E2847" t="s">
        <v>32</v>
      </c>
      <c r="F2847">
        <f t="shared" ca="1" si="88"/>
        <v>4.2388888888888889</v>
      </c>
      <c r="G2847">
        <f t="shared" ca="1" si="89"/>
        <v>0</v>
      </c>
    </row>
    <row r="2848" spans="1:7">
      <c r="A2848">
        <v>1587</v>
      </c>
      <c r="B2848" t="s">
        <v>99</v>
      </c>
      <c r="C2848" t="s">
        <v>134</v>
      </c>
      <c r="D2848" s="9">
        <v>40484.544374999998</v>
      </c>
      <c r="E2848" t="s">
        <v>131</v>
      </c>
      <c r="F2848">
        <f t="shared" ca="1" si="88"/>
        <v>4.2416666666666663</v>
      </c>
      <c r="G2848">
        <f t="shared" ca="1" si="89"/>
        <v>0</v>
      </c>
    </row>
    <row r="2849" spans="1:7">
      <c r="A2849">
        <v>1588</v>
      </c>
      <c r="B2849" t="s">
        <v>99</v>
      </c>
      <c r="C2849" t="s">
        <v>134</v>
      </c>
      <c r="D2849" s="9">
        <v>40484.596493055556</v>
      </c>
      <c r="E2849" t="s">
        <v>32</v>
      </c>
      <c r="F2849">
        <f t="shared" ca="1" si="88"/>
        <v>4.2416666666666663</v>
      </c>
      <c r="G2849">
        <f t="shared" ca="1" si="89"/>
        <v>0</v>
      </c>
    </row>
    <row r="2850" spans="1:7">
      <c r="A2850">
        <v>1589</v>
      </c>
      <c r="B2850" t="s">
        <v>99</v>
      </c>
      <c r="C2850" t="s">
        <v>134</v>
      </c>
      <c r="D2850" s="9">
        <v>40485.521770833337</v>
      </c>
      <c r="E2850" t="s">
        <v>131</v>
      </c>
      <c r="F2850">
        <f t="shared" ca="1" si="88"/>
        <v>4.2388888888888889</v>
      </c>
      <c r="G2850">
        <f t="shared" ca="1" si="89"/>
        <v>0</v>
      </c>
    </row>
    <row r="2851" spans="1:7">
      <c r="A2851">
        <v>1590</v>
      </c>
      <c r="B2851" t="s">
        <v>99</v>
      </c>
      <c r="C2851" t="s">
        <v>134</v>
      </c>
      <c r="D2851" s="9">
        <v>40485.55574074074</v>
      </c>
      <c r="E2851" t="s">
        <v>32</v>
      </c>
      <c r="F2851">
        <f t="shared" ca="1" si="88"/>
        <v>4.2388888888888889</v>
      </c>
      <c r="G2851">
        <f t="shared" ca="1" si="89"/>
        <v>0</v>
      </c>
    </row>
    <row r="2852" spans="1:7">
      <c r="A2852">
        <v>1593</v>
      </c>
      <c r="B2852" t="s">
        <v>32</v>
      </c>
      <c r="C2852" t="s">
        <v>134</v>
      </c>
      <c r="D2852" s="9">
        <v>40485.6246875</v>
      </c>
      <c r="E2852" t="s">
        <v>8</v>
      </c>
      <c r="F2852">
        <f t="shared" ca="1" si="88"/>
        <v>4.2388888888888889</v>
      </c>
      <c r="G2852">
        <f t="shared" ca="1" si="89"/>
        <v>0</v>
      </c>
    </row>
    <row r="2853" spans="1:7">
      <c r="A2853">
        <v>1594</v>
      </c>
      <c r="B2853" t="s">
        <v>34</v>
      </c>
      <c r="C2853" t="s">
        <v>133</v>
      </c>
      <c r="D2853" s="9">
        <v>40589.536574074074</v>
      </c>
      <c r="E2853" t="s">
        <v>8</v>
      </c>
      <c r="F2853">
        <f t="shared" ca="1" si="88"/>
        <v>3.9555555555555557</v>
      </c>
      <c r="G2853">
        <f t="shared" ca="1" si="89"/>
        <v>0</v>
      </c>
    </row>
    <row r="2854" spans="1:7">
      <c r="A2854">
        <v>1596</v>
      </c>
      <c r="B2854" t="s">
        <v>99</v>
      </c>
      <c r="C2854" t="s">
        <v>134</v>
      </c>
      <c r="D2854" s="9">
        <v>40484.659282407411</v>
      </c>
      <c r="E2854" t="s">
        <v>27</v>
      </c>
      <c r="F2854">
        <f t="shared" ca="1" si="88"/>
        <v>4.2416666666666663</v>
      </c>
      <c r="G2854">
        <f t="shared" ca="1" si="89"/>
        <v>0</v>
      </c>
    </row>
    <row r="2855" spans="1:7">
      <c r="A2855">
        <v>1597</v>
      </c>
      <c r="B2855" t="s">
        <v>34</v>
      </c>
      <c r="C2855" t="s">
        <v>134</v>
      </c>
      <c r="D2855" s="9">
        <v>40484.430868055555</v>
      </c>
      <c r="E2855" t="s">
        <v>131</v>
      </c>
      <c r="F2855">
        <f t="shared" ca="1" si="88"/>
        <v>4.2416666666666663</v>
      </c>
      <c r="G2855">
        <f t="shared" ca="1" si="89"/>
        <v>0</v>
      </c>
    </row>
    <row r="2856" spans="1:7">
      <c r="A2856">
        <v>1598</v>
      </c>
      <c r="B2856" t="s">
        <v>44</v>
      </c>
      <c r="C2856" t="s">
        <v>134</v>
      </c>
      <c r="D2856" s="9">
        <v>40484.641493055555</v>
      </c>
      <c r="E2856" t="s">
        <v>34</v>
      </c>
      <c r="F2856">
        <f t="shared" ca="1" si="88"/>
        <v>4.2416666666666663</v>
      </c>
      <c r="G2856">
        <f t="shared" ca="1" si="89"/>
        <v>0</v>
      </c>
    </row>
    <row r="2857" spans="1:7">
      <c r="A2857">
        <v>1599</v>
      </c>
      <c r="B2857" t="s">
        <v>34</v>
      </c>
      <c r="C2857" t="s">
        <v>134</v>
      </c>
      <c r="D2857" s="9">
        <v>40484.466770833336</v>
      </c>
      <c r="E2857" t="s">
        <v>44</v>
      </c>
      <c r="F2857">
        <f t="shared" ca="1" si="88"/>
        <v>4.2416666666666663</v>
      </c>
      <c r="G2857">
        <f t="shared" ca="1" si="89"/>
        <v>0</v>
      </c>
    </row>
    <row r="2858" spans="1:7">
      <c r="A2858">
        <v>1600</v>
      </c>
      <c r="B2858" t="s">
        <v>131</v>
      </c>
      <c r="C2858" t="s">
        <v>134</v>
      </c>
      <c r="D2858" s="9">
        <v>40486.434907407405</v>
      </c>
      <c r="E2858" t="s">
        <v>44</v>
      </c>
      <c r="F2858">
        <f t="shared" ca="1" si="88"/>
        <v>4.2361111111111107</v>
      </c>
      <c r="G2858">
        <f t="shared" ca="1" si="89"/>
        <v>0</v>
      </c>
    </row>
    <row r="2859" spans="1:7">
      <c r="A2859">
        <v>1603</v>
      </c>
      <c r="B2859" t="s">
        <v>99</v>
      </c>
      <c r="C2859" t="s">
        <v>134</v>
      </c>
      <c r="D2859" s="9">
        <v>40484.62091435185</v>
      </c>
      <c r="E2859" t="s">
        <v>131</v>
      </c>
      <c r="F2859">
        <f t="shared" ca="1" si="88"/>
        <v>4.2416666666666663</v>
      </c>
      <c r="G2859">
        <f t="shared" ca="1" si="89"/>
        <v>0</v>
      </c>
    </row>
    <row r="2860" spans="1:7">
      <c r="A2860">
        <v>1604</v>
      </c>
      <c r="B2860" t="s">
        <v>11</v>
      </c>
      <c r="C2860" t="s">
        <v>134</v>
      </c>
      <c r="D2860" s="9">
        <v>40484.579039351855</v>
      </c>
      <c r="E2860" t="s">
        <v>99</v>
      </c>
      <c r="F2860">
        <f t="shared" ca="1" si="88"/>
        <v>4.2416666666666663</v>
      </c>
      <c r="G2860">
        <f t="shared" ca="1" si="89"/>
        <v>0</v>
      </c>
    </row>
    <row r="2861" spans="1:7">
      <c r="A2861">
        <v>1605</v>
      </c>
      <c r="B2861" t="s">
        <v>99</v>
      </c>
      <c r="C2861" t="s">
        <v>134</v>
      </c>
      <c r="D2861" s="9">
        <v>40485.742569444446</v>
      </c>
      <c r="E2861" t="s">
        <v>32</v>
      </c>
      <c r="F2861">
        <f t="shared" ca="1" si="88"/>
        <v>4.2388888888888889</v>
      </c>
      <c r="G2861">
        <f t="shared" ca="1" si="89"/>
        <v>0</v>
      </c>
    </row>
    <row r="2862" spans="1:7">
      <c r="A2862">
        <v>1608</v>
      </c>
      <c r="B2862" t="s">
        <v>32</v>
      </c>
      <c r="C2862" t="s">
        <v>134</v>
      </c>
      <c r="D2862" s="9">
        <v>40484.848761574074</v>
      </c>
      <c r="E2862" t="s">
        <v>99</v>
      </c>
      <c r="F2862">
        <f t="shared" ca="1" si="88"/>
        <v>4.2416666666666663</v>
      </c>
      <c r="G2862">
        <f t="shared" ca="1" si="89"/>
        <v>0</v>
      </c>
    </row>
    <row r="2863" spans="1:7">
      <c r="A2863">
        <v>1609</v>
      </c>
      <c r="B2863" t="s">
        <v>131</v>
      </c>
      <c r="C2863" t="s">
        <v>134</v>
      </c>
      <c r="D2863" s="9">
        <v>40484.909988425927</v>
      </c>
      <c r="E2863" t="s">
        <v>38</v>
      </c>
      <c r="F2863">
        <f t="shared" ref="F2863:F2926" ca="1" si="90">YEARFRAC(TODAY(),$D2863)</f>
        <v>4.2416666666666663</v>
      </c>
      <c r="G2863">
        <f t="shared" ref="G2863:G2926" ca="1" si="91">IF($F2863&lt;1,1,0)</f>
        <v>0</v>
      </c>
    </row>
    <row r="2864" spans="1:7">
      <c r="A2864">
        <v>1610</v>
      </c>
      <c r="B2864" t="s">
        <v>44</v>
      </c>
      <c r="C2864" t="s">
        <v>133</v>
      </c>
      <c r="D2864" s="9">
        <v>40589.442060185182</v>
      </c>
      <c r="E2864" t="s">
        <v>112</v>
      </c>
      <c r="F2864">
        <f t="shared" ca="1" si="90"/>
        <v>3.9555555555555557</v>
      </c>
      <c r="G2864">
        <f t="shared" ca="1" si="91"/>
        <v>0</v>
      </c>
    </row>
    <row r="2865" spans="1:7">
      <c r="A2865">
        <v>1611</v>
      </c>
      <c r="B2865" t="s">
        <v>131</v>
      </c>
      <c r="C2865" t="s">
        <v>134</v>
      </c>
      <c r="D2865" s="9">
        <v>40486.463460648149</v>
      </c>
      <c r="E2865" t="s">
        <v>34</v>
      </c>
      <c r="F2865">
        <f t="shared" ca="1" si="90"/>
        <v>4.2361111111111107</v>
      </c>
      <c r="G2865">
        <f t="shared" ca="1" si="91"/>
        <v>0</v>
      </c>
    </row>
    <row r="2866" spans="1:7">
      <c r="A2866">
        <v>1612</v>
      </c>
      <c r="B2866" t="s">
        <v>99</v>
      </c>
      <c r="C2866" t="s">
        <v>134</v>
      </c>
      <c r="D2866" s="9">
        <v>40485.667939814812</v>
      </c>
      <c r="E2866" t="s">
        <v>32</v>
      </c>
      <c r="F2866">
        <f t="shared" ca="1" si="90"/>
        <v>4.2388888888888889</v>
      </c>
      <c r="G2866">
        <f t="shared" ca="1" si="91"/>
        <v>0</v>
      </c>
    </row>
    <row r="2867" spans="1:7">
      <c r="A2867">
        <v>1614</v>
      </c>
      <c r="B2867" t="s">
        <v>131</v>
      </c>
      <c r="C2867" t="s">
        <v>134</v>
      </c>
      <c r="D2867" s="9">
        <v>40485.411562499998</v>
      </c>
      <c r="E2867" t="s">
        <v>44</v>
      </c>
      <c r="F2867">
        <f t="shared" ca="1" si="90"/>
        <v>4.2388888888888889</v>
      </c>
      <c r="G2867">
        <f t="shared" ca="1" si="91"/>
        <v>0</v>
      </c>
    </row>
    <row r="2868" spans="1:7">
      <c r="A2868">
        <v>1615</v>
      </c>
      <c r="B2868" t="s">
        <v>32</v>
      </c>
      <c r="C2868" t="s">
        <v>134</v>
      </c>
      <c r="D2868" s="9">
        <v>40484.56795138889</v>
      </c>
      <c r="E2868" t="s">
        <v>99</v>
      </c>
      <c r="F2868">
        <f t="shared" ca="1" si="90"/>
        <v>4.2416666666666663</v>
      </c>
      <c r="G2868">
        <f t="shared" ca="1" si="91"/>
        <v>0</v>
      </c>
    </row>
    <row r="2869" spans="1:7">
      <c r="A2869">
        <v>1617</v>
      </c>
      <c r="B2869" t="s">
        <v>99</v>
      </c>
      <c r="C2869" t="s">
        <v>134</v>
      </c>
      <c r="D2869" s="9">
        <v>40485.77065972222</v>
      </c>
      <c r="E2869" t="s">
        <v>27</v>
      </c>
      <c r="F2869">
        <f t="shared" ca="1" si="90"/>
        <v>4.2388888888888889</v>
      </c>
      <c r="G2869">
        <f t="shared" ca="1" si="91"/>
        <v>0</v>
      </c>
    </row>
    <row r="2870" spans="1:7">
      <c r="A2870">
        <v>1618</v>
      </c>
      <c r="B2870" t="s">
        <v>32</v>
      </c>
      <c r="C2870" t="s">
        <v>134</v>
      </c>
      <c r="D2870" s="9">
        <v>40485.666307870371</v>
      </c>
      <c r="E2870" t="s">
        <v>131</v>
      </c>
      <c r="F2870">
        <f t="shared" ca="1" si="90"/>
        <v>4.2388888888888889</v>
      </c>
      <c r="G2870">
        <f t="shared" ca="1" si="91"/>
        <v>0</v>
      </c>
    </row>
    <row r="2871" spans="1:7">
      <c r="A2871">
        <v>1619</v>
      </c>
      <c r="B2871" t="s">
        <v>111</v>
      </c>
      <c r="C2871" t="s">
        <v>138</v>
      </c>
      <c r="D2871" s="9">
        <v>40786.429398148146</v>
      </c>
      <c r="F2871">
        <f t="shared" ca="1" si="90"/>
        <v>3.4138888888888888</v>
      </c>
      <c r="G2871">
        <f t="shared" ca="1" si="91"/>
        <v>0</v>
      </c>
    </row>
    <row r="2872" spans="1:7">
      <c r="A2872">
        <v>1620</v>
      </c>
      <c r="B2872" t="s">
        <v>32</v>
      </c>
      <c r="C2872" t="s">
        <v>134</v>
      </c>
      <c r="D2872" s="9">
        <v>40484.733854166669</v>
      </c>
      <c r="E2872" t="s">
        <v>99</v>
      </c>
      <c r="F2872">
        <f t="shared" ca="1" si="90"/>
        <v>4.2416666666666663</v>
      </c>
      <c r="G2872">
        <f t="shared" ca="1" si="91"/>
        <v>0</v>
      </c>
    </row>
    <row r="2873" spans="1:7">
      <c r="A2873">
        <v>1621</v>
      </c>
      <c r="B2873" t="s">
        <v>99</v>
      </c>
      <c r="C2873" t="s">
        <v>134</v>
      </c>
      <c r="D2873" s="9">
        <v>40485.583831018521</v>
      </c>
      <c r="E2873" t="s">
        <v>32</v>
      </c>
      <c r="F2873">
        <f t="shared" ca="1" si="90"/>
        <v>4.2388888888888889</v>
      </c>
      <c r="G2873">
        <f t="shared" ca="1" si="91"/>
        <v>0</v>
      </c>
    </row>
    <row r="2874" spans="1:7">
      <c r="A2874">
        <v>1622</v>
      </c>
      <c r="B2874" t="s">
        <v>99</v>
      </c>
      <c r="C2874" t="s">
        <v>134</v>
      </c>
      <c r="D2874" s="9">
        <v>40485.661076388889</v>
      </c>
      <c r="E2874" t="s">
        <v>32</v>
      </c>
      <c r="F2874">
        <f t="shared" ca="1" si="90"/>
        <v>4.2388888888888889</v>
      </c>
      <c r="G2874">
        <f t="shared" ca="1" si="91"/>
        <v>0</v>
      </c>
    </row>
    <row r="2875" spans="1:7">
      <c r="A2875">
        <v>1623</v>
      </c>
      <c r="B2875" t="s">
        <v>131</v>
      </c>
      <c r="C2875" t="s">
        <v>134</v>
      </c>
      <c r="D2875" s="9">
        <v>40484.669803240744</v>
      </c>
      <c r="E2875" t="s">
        <v>32</v>
      </c>
      <c r="F2875">
        <f t="shared" ca="1" si="90"/>
        <v>4.2416666666666663</v>
      </c>
      <c r="G2875">
        <f t="shared" ca="1" si="91"/>
        <v>0</v>
      </c>
    </row>
    <row r="2876" spans="1:7">
      <c r="A2876">
        <v>1633</v>
      </c>
      <c r="B2876" t="s">
        <v>19</v>
      </c>
      <c r="C2876" t="s">
        <v>132</v>
      </c>
      <c r="D2876" s="9">
        <v>40665.77548611111</v>
      </c>
      <c r="E2876" t="s">
        <v>27</v>
      </c>
      <c r="F2876">
        <f t="shared" ca="1" si="90"/>
        <v>3.7416666666666667</v>
      </c>
      <c r="G2876">
        <f t="shared" ca="1" si="91"/>
        <v>0</v>
      </c>
    </row>
    <row r="2877" spans="1:7">
      <c r="A2877">
        <v>1634</v>
      </c>
      <c r="B2877" t="s">
        <v>99</v>
      </c>
      <c r="C2877" t="s">
        <v>134</v>
      </c>
      <c r="D2877" s="9">
        <v>40484.439456018517</v>
      </c>
      <c r="E2877" t="s">
        <v>131</v>
      </c>
      <c r="F2877">
        <f t="shared" ca="1" si="90"/>
        <v>4.2416666666666663</v>
      </c>
      <c r="G2877">
        <f t="shared" ca="1" si="91"/>
        <v>0</v>
      </c>
    </row>
    <row r="2878" spans="1:7">
      <c r="A2878">
        <v>1635</v>
      </c>
      <c r="B2878" t="s">
        <v>49</v>
      </c>
      <c r="C2878" t="s">
        <v>123</v>
      </c>
      <c r="D2878" s="9">
        <v>41309.464155092595</v>
      </c>
      <c r="E2878" t="s">
        <v>112</v>
      </c>
      <c r="F2878">
        <f t="shared" ca="1" si="90"/>
        <v>1.9861111111111112</v>
      </c>
      <c r="G2878">
        <f t="shared" ca="1" si="91"/>
        <v>0</v>
      </c>
    </row>
    <row r="2879" spans="1:7">
      <c r="A2879">
        <v>1640</v>
      </c>
      <c r="B2879" t="s">
        <v>23</v>
      </c>
      <c r="C2879" t="s">
        <v>133</v>
      </c>
      <c r="D2879" s="9">
        <v>40590.413888888892</v>
      </c>
      <c r="E2879" t="s">
        <v>19</v>
      </c>
      <c r="F2879">
        <f t="shared" ca="1" si="90"/>
        <v>3.9527777777777779</v>
      </c>
      <c r="G2879">
        <f t="shared" ca="1" si="91"/>
        <v>0</v>
      </c>
    </row>
    <row r="2880" spans="1:7">
      <c r="A2880">
        <v>1642</v>
      </c>
      <c r="B2880" t="s">
        <v>19</v>
      </c>
      <c r="C2880" t="s">
        <v>132</v>
      </c>
      <c r="D2880" s="9">
        <v>40660.489305555559</v>
      </c>
      <c r="E2880" t="s">
        <v>131</v>
      </c>
      <c r="F2880">
        <f t="shared" ca="1" si="90"/>
        <v>3.7555555555555555</v>
      </c>
      <c r="G2880">
        <f t="shared" ca="1" si="91"/>
        <v>0</v>
      </c>
    </row>
    <row r="2881" spans="1:7">
      <c r="A2881">
        <v>1644</v>
      </c>
      <c r="B2881" t="s">
        <v>104</v>
      </c>
      <c r="C2881" t="s">
        <v>128</v>
      </c>
      <c r="D2881" s="9">
        <v>40919.929606481484</v>
      </c>
      <c r="E2881" t="s">
        <v>99</v>
      </c>
      <c r="F2881">
        <f t="shared" ca="1" si="90"/>
        <v>3.05</v>
      </c>
      <c r="G2881">
        <f t="shared" ca="1" si="91"/>
        <v>0</v>
      </c>
    </row>
    <row r="2882" spans="1:7">
      <c r="A2882">
        <v>1645</v>
      </c>
      <c r="B2882" t="s">
        <v>32</v>
      </c>
      <c r="C2882" t="s">
        <v>134</v>
      </c>
      <c r="D2882" s="9">
        <v>40485.760208333333</v>
      </c>
      <c r="E2882" t="s">
        <v>20</v>
      </c>
      <c r="F2882">
        <f t="shared" ca="1" si="90"/>
        <v>4.2388888888888889</v>
      </c>
      <c r="G2882">
        <f t="shared" ca="1" si="91"/>
        <v>0</v>
      </c>
    </row>
    <row r="2883" spans="1:7">
      <c r="A2883">
        <v>1646</v>
      </c>
      <c r="B2883" t="s">
        <v>8</v>
      </c>
      <c r="C2883" t="s">
        <v>134</v>
      </c>
      <c r="D2883" s="9">
        <v>40485.56821759259</v>
      </c>
      <c r="E2883" t="s">
        <v>131</v>
      </c>
      <c r="F2883">
        <f t="shared" ca="1" si="90"/>
        <v>4.2388888888888889</v>
      </c>
      <c r="G2883">
        <f t="shared" ca="1" si="91"/>
        <v>0</v>
      </c>
    </row>
    <row r="2884" spans="1:7">
      <c r="A2884">
        <v>1648</v>
      </c>
      <c r="B2884" t="s">
        <v>99</v>
      </c>
      <c r="C2884" t="s">
        <v>134</v>
      </c>
      <c r="D2884" s="9">
        <v>40485.763495370367</v>
      </c>
      <c r="E2884" t="s">
        <v>20</v>
      </c>
      <c r="F2884">
        <f t="shared" ca="1" si="90"/>
        <v>4.2388888888888889</v>
      </c>
      <c r="G2884">
        <f t="shared" ca="1" si="91"/>
        <v>0</v>
      </c>
    </row>
    <row r="2885" spans="1:7">
      <c r="A2885">
        <v>1649</v>
      </c>
      <c r="B2885" t="s">
        <v>131</v>
      </c>
      <c r="C2885" t="s">
        <v>134</v>
      </c>
      <c r="D2885" s="9">
        <v>40484.682581018518</v>
      </c>
      <c r="E2885" t="s">
        <v>99</v>
      </c>
      <c r="F2885">
        <f t="shared" ca="1" si="90"/>
        <v>4.2416666666666663</v>
      </c>
      <c r="G2885">
        <f t="shared" ca="1" si="91"/>
        <v>0</v>
      </c>
    </row>
    <row r="2886" spans="1:7">
      <c r="A2886">
        <v>1650</v>
      </c>
      <c r="B2886" t="s">
        <v>111</v>
      </c>
      <c r="C2886" t="s">
        <v>134</v>
      </c>
      <c r="D2886" s="9">
        <v>40484.661805555559</v>
      </c>
      <c r="E2886" t="s">
        <v>38</v>
      </c>
      <c r="F2886">
        <f t="shared" ca="1" si="90"/>
        <v>4.2416666666666663</v>
      </c>
      <c r="G2886">
        <f t="shared" ca="1" si="91"/>
        <v>0</v>
      </c>
    </row>
    <row r="2887" spans="1:7">
      <c r="A2887">
        <v>1652</v>
      </c>
      <c r="B2887" t="s">
        <v>38</v>
      </c>
      <c r="C2887" t="s">
        <v>140</v>
      </c>
      <c r="D2887" s="9">
        <v>40527.590856481482</v>
      </c>
      <c r="E2887" t="s">
        <v>112</v>
      </c>
      <c r="F2887">
        <f t="shared" ca="1" si="90"/>
        <v>4.1222222222222218</v>
      </c>
      <c r="G2887">
        <f t="shared" ca="1" si="91"/>
        <v>0</v>
      </c>
    </row>
    <row r="2888" spans="1:7">
      <c r="A2888">
        <v>1653</v>
      </c>
      <c r="B2888" t="s">
        <v>101</v>
      </c>
      <c r="C2888" t="s">
        <v>134</v>
      </c>
      <c r="D2888" s="9">
        <v>40484.464270833334</v>
      </c>
      <c r="E2888" t="s">
        <v>131</v>
      </c>
      <c r="F2888">
        <f t="shared" ca="1" si="90"/>
        <v>4.2416666666666663</v>
      </c>
      <c r="G2888">
        <f t="shared" ca="1" si="91"/>
        <v>0</v>
      </c>
    </row>
    <row r="2889" spans="1:7">
      <c r="A2889">
        <v>1656</v>
      </c>
      <c r="B2889" t="s">
        <v>38</v>
      </c>
      <c r="C2889" t="s">
        <v>133</v>
      </c>
      <c r="D2889" s="9">
        <v>40589.826608796298</v>
      </c>
      <c r="E2889" t="s">
        <v>99</v>
      </c>
      <c r="F2889">
        <f t="shared" ca="1" si="90"/>
        <v>3.9555555555555557</v>
      </c>
      <c r="G2889">
        <f t="shared" ca="1" si="91"/>
        <v>0</v>
      </c>
    </row>
    <row r="2890" spans="1:7">
      <c r="A2890">
        <v>1657</v>
      </c>
      <c r="B2890" t="s">
        <v>8</v>
      </c>
      <c r="C2890" t="s">
        <v>134</v>
      </c>
      <c r="D2890" s="9">
        <v>40484.478113425925</v>
      </c>
      <c r="E2890" t="s">
        <v>131</v>
      </c>
      <c r="F2890">
        <f t="shared" ca="1" si="90"/>
        <v>4.2416666666666663</v>
      </c>
      <c r="G2890">
        <f t="shared" ca="1" si="91"/>
        <v>0</v>
      </c>
    </row>
    <row r="2891" spans="1:7">
      <c r="A2891">
        <v>1658</v>
      </c>
      <c r="B2891" t="s">
        <v>131</v>
      </c>
      <c r="C2891" t="s">
        <v>134</v>
      </c>
      <c r="D2891" s="9">
        <v>40484.8512962963</v>
      </c>
      <c r="E2891" t="s">
        <v>27</v>
      </c>
      <c r="F2891">
        <f t="shared" ca="1" si="90"/>
        <v>4.2416666666666663</v>
      </c>
      <c r="G2891">
        <f t="shared" ca="1" si="91"/>
        <v>0</v>
      </c>
    </row>
    <row r="2892" spans="1:7">
      <c r="A2892">
        <v>1659</v>
      </c>
      <c r="B2892" t="s">
        <v>99</v>
      </c>
      <c r="C2892" t="s">
        <v>134</v>
      </c>
      <c r="D2892" s="9">
        <v>40485.751643518517</v>
      </c>
      <c r="E2892" t="s">
        <v>32</v>
      </c>
      <c r="F2892">
        <f t="shared" ca="1" si="90"/>
        <v>4.2388888888888889</v>
      </c>
      <c r="G2892">
        <f t="shared" ca="1" si="91"/>
        <v>0</v>
      </c>
    </row>
    <row r="2893" spans="1:7">
      <c r="A2893">
        <v>1660</v>
      </c>
      <c r="B2893" t="s">
        <v>99</v>
      </c>
      <c r="C2893" t="s">
        <v>134</v>
      </c>
      <c r="D2893" s="9">
        <v>40484.862349537034</v>
      </c>
      <c r="E2893" t="s">
        <v>27</v>
      </c>
      <c r="F2893">
        <f t="shared" ca="1" si="90"/>
        <v>4.2416666666666663</v>
      </c>
      <c r="G2893">
        <f t="shared" ca="1" si="91"/>
        <v>0</v>
      </c>
    </row>
    <row r="2894" spans="1:7">
      <c r="A2894">
        <v>1661</v>
      </c>
      <c r="B2894" t="s">
        <v>99</v>
      </c>
      <c r="C2894" t="s">
        <v>134</v>
      </c>
      <c r="D2894" s="9">
        <v>40485.754594907405</v>
      </c>
      <c r="E2894" t="s">
        <v>32</v>
      </c>
      <c r="F2894">
        <f t="shared" ca="1" si="90"/>
        <v>4.2388888888888889</v>
      </c>
      <c r="G2894">
        <f t="shared" ca="1" si="91"/>
        <v>0</v>
      </c>
    </row>
    <row r="2895" spans="1:7">
      <c r="A2895">
        <v>1662</v>
      </c>
      <c r="B2895" t="s">
        <v>99</v>
      </c>
      <c r="C2895" t="s">
        <v>134</v>
      </c>
      <c r="D2895" s="9">
        <v>40485.694560185184</v>
      </c>
      <c r="E2895" t="s">
        <v>32</v>
      </c>
      <c r="F2895">
        <f t="shared" ca="1" si="90"/>
        <v>4.2388888888888889</v>
      </c>
      <c r="G2895">
        <f t="shared" ca="1" si="91"/>
        <v>0</v>
      </c>
    </row>
    <row r="2896" spans="1:7">
      <c r="A2896">
        <v>1664</v>
      </c>
      <c r="B2896" t="s">
        <v>99</v>
      </c>
      <c r="C2896" t="s">
        <v>134</v>
      </c>
      <c r="D2896" s="9">
        <v>40485.753263888888</v>
      </c>
      <c r="E2896" t="s">
        <v>32</v>
      </c>
      <c r="F2896">
        <f t="shared" ca="1" si="90"/>
        <v>4.2388888888888889</v>
      </c>
      <c r="G2896">
        <f t="shared" ca="1" si="91"/>
        <v>0</v>
      </c>
    </row>
    <row r="2897" spans="1:7">
      <c r="A2897">
        <v>1666</v>
      </c>
      <c r="B2897" t="s">
        <v>112</v>
      </c>
      <c r="C2897" t="s">
        <v>134</v>
      </c>
      <c r="D2897" s="9">
        <v>40484.666493055556</v>
      </c>
      <c r="E2897" t="s">
        <v>99</v>
      </c>
      <c r="F2897">
        <f t="shared" ca="1" si="90"/>
        <v>4.2416666666666663</v>
      </c>
      <c r="G2897">
        <f t="shared" ca="1" si="91"/>
        <v>0</v>
      </c>
    </row>
    <row r="2898" spans="1:7">
      <c r="A2898">
        <v>1667</v>
      </c>
      <c r="B2898" t="s">
        <v>131</v>
      </c>
      <c r="C2898" t="s">
        <v>134</v>
      </c>
      <c r="D2898" s="9">
        <v>40484.83021990741</v>
      </c>
      <c r="E2898" t="s">
        <v>27</v>
      </c>
      <c r="F2898">
        <f t="shared" ca="1" si="90"/>
        <v>4.2416666666666663</v>
      </c>
      <c r="G2898">
        <f t="shared" ca="1" si="91"/>
        <v>0</v>
      </c>
    </row>
    <row r="2899" spans="1:7">
      <c r="A2899">
        <v>1669</v>
      </c>
      <c r="B2899" t="s">
        <v>131</v>
      </c>
      <c r="C2899" t="s">
        <v>134</v>
      </c>
      <c r="D2899" s="9">
        <v>40484.843472222223</v>
      </c>
      <c r="E2899" t="s">
        <v>27</v>
      </c>
      <c r="F2899">
        <f t="shared" ca="1" si="90"/>
        <v>4.2416666666666663</v>
      </c>
      <c r="G2899">
        <f t="shared" ca="1" si="91"/>
        <v>0</v>
      </c>
    </row>
    <row r="2900" spans="1:7">
      <c r="A2900">
        <v>1670</v>
      </c>
      <c r="B2900" t="s">
        <v>99</v>
      </c>
      <c r="C2900" t="s">
        <v>134</v>
      </c>
      <c r="D2900" s="9">
        <v>40484.619363425925</v>
      </c>
      <c r="E2900" t="s">
        <v>131</v>
      </c>
      <c r="F2900">
        <f t="shared" ca="1" si="90"/>
        <v>4.2416666666666663</v>
      </c>
      <c r="G2900">
        <f t="shared" ca="1" si="91"/>
        <v>0</v>
      </c>
    </row>
    <row r="2901" spans="1:7">
      <c r="A2901">
        <v>1671</v>
      </c>
      <c r="B2901" t="s">
        <v>29</v>
      </c>
      <c r="C2901" t="s">
        <v>121</v>
      </c>
      <c r="D2901" s="9">
        <v>41467.670277777775</v>
      </c>
      <c r="E2901" t="s">
        <v>14</v>
      </c>
      <c r="F2901">
        <f t="shared" ca="1" si="90"/>
        <v>1.5472222222222223</v>
      </c>
      <c r="G2901">
        <f t="shared" ca="1" si="91"/>
        <v>0</v>
      </c>
    </row>
    <row r="2902" spans="1:7">
      <c r="A2902">
        <v>1672</v>
      </c>
      <c r="B2902" t="s">
        <v>8</v>
      </c>
      <c r="C2902" t="s">
        <v>134</v>
      </c>
      <c r="D2902" s="9">
        <v>40484.569479166668</v>
      </c>
      <c r="E2902" t="s">
        <v>131</v>
      </c>
      <c r="F2902">
        <f t="shared" ca="1" si="90"/>
        <v>4.2416666666666663</v>
      </c>
      <c r="G2902">
        <f t="shared" ca="1" si="91"/>
        <v>0</v>
      </c>
    </row>
    <row r="2903" spans="1:7">
      <c r="A2903">
        <v>1673</v>
      </c>
      <c r="B2903" t="s">
        <v>131</v>
      </c>
      <c r="C2903" t="s">
        <v>134</v>
      </c>
      <c r="D2903" s="9">
        <v>40484.649467592593</v>
      </c>
      <c r="E2903" t="s">
        <v>8</v>
      </c>
      <c r="F2903">
        <f t="shared" ca="1" si="90"/>
        <v>4.2416666666666663</v>
      </c>
      <c r="G2903">
        <f t="shared" ca="1" si="91"/>
        <v>0</v>
      </c>
    </row>
    <row r="2904" spans="1:7">
      <c r="A2904">
        <v>1674</v>
      </c>
      <c r="B2904" t="s">
        <v>44</v>
      </c>
      <c r="C2904" t="s">
        <v>134</v>
      </c>
      <c r="D2904" s="9">
        <v>40485.636678240742</v>
      </c>
      <c r="E2904" t="s">
        <v>32</v>
      </c>
      <c r="F2904">
        <f t="shared" ca="1" si="90"/>
        <v>4.2388888888888889</v>
      </c>
      <c r="G2904">
        <f t="shared" ca="1" si="91"/>
        <v>0</v>
      </c>
    </row>
    <row r="2905" spans="1:7">
      <c r="A2905">
        <v>1678</v>
      </c>
      <c r="B2905" t="s">
        <v>99</v>
      </c>
      <c r="C2905" t="s">
        <v>134</v>
      </c>
      <c r="D2905" s="9">
        <v>40484.565578703703</v>
      </c>
      <c r="E2905" t="s">
        <v>27</v>
      </c>
      <c r="F2905">
        <f t="shared" ca="1" si="90"/>
        <v>4.2416666666666663</v>
      </c>
      <c r="G2905">
        <f t="shared" ca="1" si="91"/>
        <v>0</v>
      </c>
    </row>
    <row r="2906" spans="1:7">
      <c r="A2906">
        <v>1679</v>
      </c>
      <c r="B2906" t="s">
        <v>99</v>
      </c>
      <c r="C2906" t="s">
        <v>134</v>
      </c>
      <c r="D2906" s="9">
        <v>40484.58011574074</v>
      </c>
      <c r="E2906" t="s">
        <v>27</v>
      </c>
      <c r="F2906">
        <f t="shared" ca="1" si="90"/>
        <v>4.2416666666666663</v>
      </c>
      <c r="G2906">
        <f t="shared" ca="1" si="91"/>
        <v>0</v>
      </c>
    </row>
    <row r="2907" spans="1:7">
      <c r="A2907">
        <v>1680</v>
      </c>
      <c r="B2907" t="s">
        <v>99</v>
      </c>
      <c r="C2907" t="s">
        <v>134</v>
      </c>
      <c r="D2907" s="9">
        <v>40484.7190625</v>
      </c>
      <c r="E2907" t="s">
        <v>112</v>
      </c>
      <c r="F2907">
        <f t="shared" ca="1" si="90"/>
        <v>4.2416666666666663</v>
      </c>
      <c r="G2907">
        <f t="shared" ca="1" si="91"/>
        <v>0</v>
      </c>
    </row>
    <row r="2908" spans="1:7">
      <c r="A2908">
        <v>1681</v>
      </c>
      <c r="B2908" t="s">
        <v>131</v>
      </c>
      <c r="C2908" t="s">
        <v>134</v>
      </c>
      <c r="D2908" s="9">
        <v>40485.881828703707</v>
      </c>
      <c r="E2908" t="s">
        <v>11</v>
      </c>
      <c r="F2908">
        <f t="shared" ca="1" si="90"/>
        <v>4.2388888888888889</v>
      </c>
      <c r="G2908">
        <f t="shared" ca="1" si="91"/>
        <v>0</v>
      </c>
    </row>
    <row r="2909" spans="1:7">
      <c r="A2909">
        <v>1684</v>
      </c>
      <c r="B2909" t="s">
        <v>131</v>
      </c>
      <c r="C2909" t="s">
        <v>134</v>
      </c>
      <c r="D2909" s="9">
        <v>40485.802442129629</v>
      </c>
      <c r="E2909" t="s">
        <v>27</v>
      </c>
      <c r="F2909">
        <f t="shared" ca="1" si="90"/>
        <v>4.2388888888888889</v>
      </c>
      <c r="G2909">
        <f t="shared" ca="1" si="91"/>
        <v>0</v>
      </c>
    </row>
    <row r="2910" spans="1:7">
      <c r="A2910">
        <v>1685</v>
      </c>
      <c r="B2910" t="s">
        <v>131</v>
      </c>
      <c r="C2910" t="s">
        <v>133</v>
      </c>
      <c r="D2910" s="9">
        <v>40589.617268518516</v>
      </c>
      <c r="E2910" t="s">
        <v>112</v>
      </c>
      <c r="F2910">
        <f t="shared" ca="1" si="90"/>
        <v>3.9555555555555557</v>
      </c>
      <c r="G2910">
        <f t="shared" ca="1" si="91"/>
        <v>0</v>
      </c>
    </row>
    <row r="2911" spans="1:7">
      <c r="A2911">
        <v>1686</v>
      </c>
      <c r="B2911" t="s">
        <v>101</v>
      </c>
      <c r="C2911" t="s">
        <v>134</v>
      </c>
      <c r="D2911" s="9">
        <v>40487.497511574074</v>
      </c>
      <c r="E2911" t="s">
        <v>131</v>
      </c>
      <c r="F2911">
        <f t="shared" ca="1" si="90"/>
        <v>4.2333333333333334</v>
      </c>
      <c r="G2911">
        <f t="shared" ca="1" si="91"/>
        <v>0</v>
      </c>
    </row>
    <row r="2912" spans="1:7">
      <c r="A2912">
        <v>1687</v>
      </c>
      <c r="B2912" t="s">
        <v>8</v>
      </c>
      <c r="C2912" t="s">
        <v>134</v>
      </c>
      <c r="D2912" s="9">
        <v>40485.558229166665</v>
      </c>
      <c r="E2912" t="s">
        <v>131</v>
      </c>
      <c r="F2912">
        <f t="shared" ca="1" si="90"/>
        <v>4.2388888888888889</v>
      </c>
      <c r="G2912">
        <f t="shared" ca="1" si="91"/>
        <v>0</v>
      </c>
    </row>
    <row r="2913" spans="1:7">
      <c r="A2913">
        <v>1690</v>
      </c>
      <c r="B2913" t="s">
        <v>131</v>
      </c>
      <c r="C2913" t="s">
        <v>134</v>
      </c>
      <c r="D2913" s="9">
        <v>40484.843530092592</v>
      </c>
      <c r="E2913" t="s">
        <v>99</v>
      </c>
      <c r="F2913">
        <f t="shared" ca="1" si="90"/>
        <v>4.2416666666666663</v>
      </c>
      <c r="G2913">
        <f t="shared" ca="1" si="91"/>
        <v>0</v>
      </c>
    </row>
    <row r="2914" spans="1:7">
      <c r="A2914">
        <v>1692</v>
      </c>
      <c r="B2914" t="s">
        <v>8</v>
      </c>
      <c r="C2914" t="s">
        <v>134</v>
      </c>
      <c r="D2914" s="9">
        <v>40486.595057870371</v>
      </c>
      <c r="E2914" t="s">
        <v>34</v>
      </c>
      <c r="F2914">
        <f t="shared" ca="1" si="90"/>
        <v>4.2361111111111107</v>
      </c>
      <c r="G2914">
        <f t="shared" ca="1" si="91"/>
        <v>0</v>
      </c>
    </row>
    <row r="2915" spans="1:7">
      <c r="A2915">
        <v>1694</v>
      </c>
      <c r="B2915" t="s">
        <v>8</v>
      </c>
      <c r="C2915" t="s">
        <v>134</v>
      </c>
      <c r="D2915" s="9">
        <v>40484.526539351849</v>
      </c>
      <c r="E2915" t="s">
        <v>131</v>
      </c>
      <c r="F2915">
        <f t="shared" ca="1" si="90"/>
        <v>4.2416666666666663</v>
      </c>
      <c r="G2915">
        <f t="shared" ca="1" si="91"/>
        <v>0</v>
      </c>
    </row>
    <row r="2916" spans="1:7">
      <c r="A2916">
        <v>1696</v>
      </c>
      <c r="B2916" t="s">
        <v>32</v>
      </c>
      <c r="C2916" t="s">
        <v>134</v>
      </c>
      <c r="D2916" s="9">
        <v>40484.723946759259</v>
      </c>
      <c r="E2916" t="s">
        <v>99</v>
      </c>
      <c r="F2916">
        <f t="shared" ca="1" si="90"/>
        <v>4.2416666666666663</v>
      </c>
      <c r="G2916">
        <f t="shared" ca="1" si="91"/>
        <v>0</v>
      </c>
    </row>
    <row r="2917" spans="1:7">
      <c r="A2917">
        <v>1697</v>
      </c>
      <c r="B2917" t="s">
        <v>111</v>
      </c>
      <c r="C2917" t="s">
        <v>134</v>
      </c>
      <c r="D2917" s="9">
        <v>40485.569398148145</v>
      </c>
      <c r="E2917" t="s">
        <v>131</v>
      </c>
      <c r="F2917">
        <f t="shared" ca="1" si="90"/>
        <v>4.2388888888888889</v>
      </c>
      <c r="G2917">
        <f t="shared" ca="1" si="91"/>
        <v>0</v>
      </c>
    </row>
    <row r="2918" spans="1:7">
      <c r="A2918">
        <v>1698</v>
      </c>
      <c r="B2918" t="s">
        <v>131</v>
      </c>
      <c r="C2918" t="s">
        <v>134</v>
      </c>
      <c r="D2918" s="9">
        <v>40484.588217592594</v>
      </c>
      <c r="E2918" t="s">
        <v>27</v>
      </c>
      <c r="F2918">
        <f t="shared" ca="1" si="90"/>
        <v>4.2416666666666663</v>
      </c>
      <c r="G2918">
        <f t="shared" ca="1" si="91"/>
        <v>0</v>
      </c>
    </row>
    <row r="2919" spans="1:7">
      <c r="A2919">
        <v>1699</v>
      </c>
      <c r="B2919" t="s">
        <v>102</v>
      </c>
      <c r="C2919" t="s">
        <v>134</v>
      </c>
      <c r="D2919" s="9">
        <v>40484.897361111114</v>
      </c>
      <c r="E2919" t="s">
        <v>11</v>
      </c>
      <c r="F2919">
        <f t="shared" ca="1" si="90"/>
        <v>4.2416666666666663</v>
      </c>
      <c r="G2919">
        <f t="shared" ca="1" si="91"/>
        <v>0</v>
      </c>
    </row>
    <row r="2920" spans="1:7">
      <c r="A2920">
        <v>1700</v>
      </c>
      <c r="B2920" t="s">
        <v>131</v>
      </c>
      <c r="C2920" t="s">
        <v>134</v>
      </c>
      <c r="D2920" s="9">
        <v>40485.584861111114</v>
      </c>
      <c r="E2920" t="s">
        <v>27</v>
      </c>
      <c r="F2920">
        <f t="shared" ca="1" si="90"/>
        <v>4.2388888888888889</v>
      </c>
      <c r="G2920">
        <f t="shared" ca="1" si="91"/>
        <v>0</v>
      </c>
    </row>
    <row r="2921" spans="1:7">
      <c r="A2921">
        <v>1701</v>
      </c>
      <c r="B2921" t="s">
        <v>27</v>
      </c>
      <c r="C2921" t="s">
        <v>134</v>
      </c>
      <c r="D2921" s="9">
        <v>40484.610509259262</v>
      </c>
      <c r="E2921" t="s">
        <v>131</v>
      </c>
      <c r="F2921">
        <f t="shared" ca="1" si="90"/>
        <v>4.2416666666666663</v>
      </c>
      <c r="G2921">
        <f t="shared" ca="1" si="91"/>
        <v>0</v>
      </c>
    </row>
    <row r="2922" spans="1:7">
      <c r="A2922">
        <v>1702</v>
      </c>
      <c r="B2922" t="s">
        <v>8</v>
      </c>
      <c r="C2922" t="s">
        <v>134</v>
      </c>
      <c r="D2922" s="9">
        <v>40484.848680555559</v>
      </c>
      <c r="E2922" t="s">
        <v>27</v>
      </c>
      <c r="F2922">
        <f t="shared" ca="1" si="90"/>
        <v>4.2416666666666663</v>
      </c>
      <c r="G2922">
        <f t="shared" ca="1" si="91"/>
        <v>0</v>
      </c>
    </row>
    <row r="2923" spans="1:7">
      <c r="A2923">
        <v>1704</v>
      </c>
      <c r="B2923" t="s">
        <v>102</v>
      </c>
      <c r="C2923" t="s">
        <v>133</v>
      </c>
      <c r="D2923" s="9">
        <v>40589.392442129632</v>
      </c>
      <c r="E2923" t="s">
        <v>131</v>
      </c>
      <c r="F2923">
        <f t="shared" ca="1" si="90"/>
        <v>3.9555555555555557</v>
      </c>
      <c r="G2923">
        <f t="shared" ca="1" si="91"/>
        <v>0</v>
      </c>
    </row>
    <row r="2924" spans="1:7">
      <c r="A2924">
        <v>1706</v>
      </c>
      <c r="B2924" t="s">
        <v>27</v>
      </c>
      <c r="C2924" t="s">
        <v>134</v>
      </c>
      <c r="D2924" s="9">
        <v>40486.816481481481</v>
      </c>
      <c r="E2924" t="s">
        <v>36</v>
      </c>
      <c r="F2924">
        <f t="shared" ca="1" si="90"/>
        <v>4.2361111111111107</v>
      </c>
      <c r="G2924">
        <f t="shared" ca="1" si="91"/>
        <v>0</v>
      </c>
    </row>
    <row r="2925" spans="1:7">
      <c r="A2925">
        <v>1707</v>
      </c>
      <c r="B2925" t="s">
        <v>99</v>
      </c>
      <c r="D2925" s="9">
        <v>41477.652800925927</v>
      </c>
      <c r="E2925" t="s">
        <v>131</v>
      </c>
      <c r="F2925">
        <f t="shared" ca="1" si="90"/>
        <v>1.5194444444444444</v>
      </c>
      <c r="G2925">
        <f t="shared" ca="1" si="91"/>
        <v>0</v>
      </c>
    </row>
    <row r="2926" spans="1:7">
      <c r="A2926">
        <v>1709</v>
      </c>
      <c r="B2926" t="s">
        <v>8</v>
      </c>
      <c r="C2926" t="s">
        <v>134</v>
      </c>
      <c r="D2926" s="9">
        <v>40485.826643518521</v>
      </c>
      <c r="E2926" t="s">
        <v>11</v>
      </c>
      <c r="F2926">
        <f t="shared" ca="1" si="90"/>
        <v>4.2388888888888889</v>
      </c>
      <c r="G2926">
        <f t="shared" ca="1" si="91"/>
        <v>0</v>
      </c>
    </row>
    <row r="2927" spans="1:7">
      <c r="A2927">
        <v>1710</v>
      </c>
      <c r="B2927" t="s">
        <v>20</v>
      </c>
      <c r="C2927" t="s">
        <v>134</v>
      </c>
      <c r="D2927" s="9">
        <v>40485.629108796296</v>
      </c>
      <c r="E2927" t="s">
        <v>32</v>
      </c>
      <c r="F2927">
        <f t="shared" ref="F2927:F2990" ca="1" si="92">YEARFRAC(TODAY(),$D2927)</f>
        <v>4.2388888888888889</v>
      </c>
      <c r="G2927">
        <f t="shared" ref="G2927:G2990" ca="1" si="93">IF($F2927&lt;1,1,0)</f>
        <v>0</v>
      </c>
    </row>
    <row r="2928" spans="1:7">
      <c r="A2928">
        <v>1711</v>
      </c>
      <c r="B2928" t="s">
        <v>8</v>
      </c>
      <c r="C2928" t="s">
        <v>134</v>
      </c>
      <c r="D2928" s="9">
        <v>40485.825775462959</v>
      </c>
      <c r="E2928" t="s">
        <v>11</v>
      </c>
      <c r="F2928">
        <f t="shared" ca="1" si="92"/>
        <v>4.2388888888888889</v>
      </c>
      <c r="G2928">
        <f t="shared" ca="1" si="93"/>
        <v>0</v>
      </c>
    </row>
    <row r="2929" spans="1:7">
      <c r="A2929">
        <v>1712</v>
      </c>
      <c r="B2929" t="s">
        <v>44</v>
      </c>
      <c r="C2929" t="s">
        <v>134</v>
      </c>
      <c r="D2929" s="9">
        <v>40484.787268518521</v>
      </c>
      <c r="E2929" t="s">
        <v>27</v>
      </c>
      <c r="F2929">
        <f t="shared" ca="1" si="92"/>
        <v>4.2416666666666663</v>
      </c>
      <c r="G2929">
        <f t="shared" ca="1" si="93"/>
        <v>0</v>
      </c>
    </row>
    <row r="2930" spans="1:7">
      <c r="A2930">
        <v>1716</v>
      </c>
      <c r="B2930" t="s">
        <v>99</v>
      </c>
      <c r="C2930" t="s">
        <v>134</v>
      </c>
      <c r="D2930" s="9">
        <v>40485.624861111108</v>
      </c>
      <c r="E2930" t="s">
        <v>32</v>
      </c>
      <c r="F2930">
        <f t="shared" ca="1" si="92"/>
        <v>4.2388888888888889</v>
      </c>
      <c r="G2930">
        <f t="shared" ca="1" si="93"/>
        <v>0</v>
      </c>
    </row>
    <row r="2931" spans="1:7">
      <c r="A2931">
        <v>1718</v>
      </c>
      <c r="B2931" t="s">
        <v>111</v>
      </c>
      <c r="C2931" t="s">
        <v>134</v>
      </c>
      <c r="D2931" s="9">
        <v>40485.668587962966</v>
      </c>
      <c r="E2931" t="s">
        <v>131</v>
      </c>
      <c r="F2931">
        <f t="shared" ca="1" si="92"/>
        <v>4.2388888888888889</v>
      </c>
      <c r="G2931">
        <f t="shared" ca="1" si="93"/>
        <v>0</v>
      </c>
    </row>
    <row r="2932" spans="1:7">
      <c r="A2932">
        <v>1719</v>
      </c>
      <c r="B2932" t="s">
        <v>131</v>
      </c>
      <c r="C2932" t="s">
        <v>134</v>
      </c>
      <c r="D2932" s="9">
        <v>40486.418576388889</v>
      </c>
      <c r="E2932" t="s">
        <v>34</v>
      </c>
      <c r="F2932">
        <f t="shared" ca="1" si="92"/>
        <v>4.2361111111111107</v>
      </c>
      <c r="G2932">
        <f t="shared" ca="1" si="93"/>
        <v>0</v>
      </c>
    </row>
    <row r="2933" spans="1:7">
      <c r="A2933">
        <v>1720</v>
      </c>
      <c r="B2933" t="s">
        <v>111</v>
      </c>
      <c r="C2933" t="s">
        <v>140</v>
      </c>
      <c r="D2933" s="9">
        <v>40527.910138888888</v>
      </c>
      <c r="E2933" t="s">
        <v>20</v>
      </c>
      <c r="F2933">
        <f t="shared" ca="1" si="92"/>
        <v>4.1222222222222218</v>
      </c>
      <c r="G2933">
        <f t="shared" ca="1" si="93"/>
        <v>0</v>
      </c>
    </row>
    <row r="2934" spans="1:7">
      <c r="A2934">
        <v>1721</v>
      </c>
      <c r="B2934" t="s">
        <v>99</v>
      </c>
      <c r="C2934" t="s">
        <v>134</v>
      </c>
      <c r="D2934" s="9">
        <v>40484.588680555556</v>
      </c>
      <c r="E2934" t="s">
        <v>32</v>
      </c>
      <c r="F2934">
        <f t="shared" ca="1" si="92"/>
        <v>4.2416666666666663</v>
      </c>
      <c r="G2934">
        <f t="shared" ca="1" si="93"/>
        <v>0</v>
      </c>
    </row>
    <row r="2935" spans="1:7">
      <c r="A2935">
        <v>1722</v>
      </c>
      <c r="B2935" t="s">
        <v>99</v>
      </c>
      <c r="C2935" t="s">
        <v>134</v>
      </c>
      <c r="D2935" s="9">
        <v>40484.679618055554</v>
      </c>
      <c r="E2935" t="s">
        <v>32</v>
      </c>
      <c r="F2935">
        <f t="shared" ca="1" si="92"/>
        <v>4.2416666666666663</v>
      </c>
      <c r="G2935">
        <f t="shared" ca="1" si="93"/>
        <v>0</v>
      </c>
    </row>
    <row r="2936" spans="1:7">
      <c r="A2936">
        <v>1724</v>
      </c>
      <c r="B2936" t="s">
        <v>131</v>
      </c>
      <c r="C2936" t="s">
        <v>134</v>
      </c>
      <c r="D2936" s="9">
        <v>40486.429282407407</v>
      </c>
      <c r="E2936" t="s">
        <v>34</v>
      </c>
      <c r="F2936">
        <f t="shared" ca="1" si="92"/>
        <v>4.2361111111111107</v>
      </c>
      <c r="G2936">
        <f t="shared" ca="1" si="93"/>
        <v>0</v>
      </c>
    </row>
    <row r="2937" spans="1:7">
      <c r="A2937">
        <v>1725</v>
      </c>
      <c r="B2937" t="s">
        <v>44</v>
      </c>
      <c r="C2937" t="s">
        <v>134</v>
      </c>
      <c r="D2937" s="9">
        <v>40484.803263888891</v>
      </c>
      <c r="E2937" t="s">
        <v>27</v>
      </c>
      <c r="F2937">
        <f t="shared" ca="1" si="92"/>
        <v>4.2416666666666663</v>
      </c>
      <c r="G2937">
        <f t="shared" ca="1" si="93"/>
        <v>0</v>
      </c>
    </row>
    <row r="2938" spans="1:7">
      <c r="A2938">
        <v>1726</v>
      </c>
      <c r="B2938" t="s">
        <v>44</v>
      </c>
      <c r="C2938" t="s">
        <v>134</v>
      </c>
      <c r="D2938" s="9">
        <v>40486.420092592591</v>
      </c>
      <c r="E2938" t="s">
        <v>131</v>
      </c>
      <c r="F2938">
        <f t="shared" ca="1" si="92"/>
        <v>4.2361111111111107</v>
      </c>
      <c r="G2938">
        <f t="shared" ca="1" si="93"/>
        <v>0</v>
      </c>
    </row>
    <row r="2939" spans="1:7">
      <c r="A2939">
        <v>1730</v>
      </c>
      <c r="B2939" t="s">
        <v>8</v>
      </c>
      <c r="C2939" t="s">
        <v>134</v>
      </c>
      <c r="D2939" s="9">
        <v>40485.649467592593</v>
      </c>
      <c r="E2939" t="s">
        <v>32</v>
      </c>
      <c r="F2939">
        <f t="shared" ca="1" si="92"/>
        <v>4.2388888888888889</v>
      </c>
      <c r="G2939">
        <f t="shared" ca="1" si="93"/>
        <v>0</v>
      </c>
    </row>
    <row r="2940" spans="1:7">
      <c r="A2940">
        <v>1734</v>
      </c>
      <c r="B2940" t="s">
        <v>99</v>
      </c>
      <c r="C2940" t="s">
        <v>134</v>
      </c>
      <c r="D2940" s="9">
        <v>40484.660254629627</v>
      </c>
      <c r="E2940" t="s">
        <v>32</v>
      </c>
      <c r="F2940">
        <f t="shared" ca="1" si="92"/>
        <v>4.2416666666666663</v>
      </c>
      <c r="G2940">
        <f t="shared" ca="1" si="93"/>
        <v>0</v>
      </c>
    </row>
    <row r="2941" spans="1:7">
      <c r="A2941">
        <v>1735</v>
      </c>
      <c r="B2941" t="s">
        <v>8</v>
      </c>
      <c r="C2941" t="s">
        <v>134</v>
      </c>
      <c r="D2941" s="9">
        <v>40484.856990740744</v>
      </c>
      <c r="E2941" t="s">
        <v>99</v>
      </c>
      <c r="F2941">
        <f t="shared" ca="1" si="92"/>
        <v>4.2416666666666663</v>
      </c>
      <c r="G2941">
        <f t="shared" ca="1" si="93"/>
        <v>0</v>
      </c>
    </row>
    <row r="2942" spans="1:7">
      <c r="A2942">
        <v>1736</v>
      </c>
      <c r="B2942" t="s">
        <v>111</v>
      </c>
      <c r="C2942" t="s">
        <v>134</v>
      </c>
      <c r="D2942" s="9">
        <v>40484.487881944442</v>
      </c>
      <c r="E2942" t="s">
        <v>131</v>
      </c>
      <c r="F2942">
        <f t="shared" ca="1" si="92"/>
        <v>4.2416666666666663</v>
      </c>
      <c r="G2942">
        <f t="shared" ca="1" si="93"/>
        <v>0</v>
      </c>
    </row>
    <row r="2943" spans="1:7">
      <c r="A2943">
        <v>1739</v>
      </c>
      <c r="B2943" t="s">
        <v>131</v>
      </c>
      <c r="C2943" t="s">
        <v>134</v>
      </c>
      <c r="D2943" s="9">
        <v>40484.671331018515</v>
      </c>
      <c r="E2943" t="s">
        <v>99</v>
      </c>
      <c r="F2943">
        <f t="shared" ca="1" si="92"/>
        <v>4.2416666666666663</v>
      </c>
      <c r="G2943">
        <f t="shared" ca="1" si="93"/>
        <v>0</v>
      </c>
    </row>
    <row r="2944" spans="1:7">
      <c r="A2944">
        <v>1740</v>
      </c>
      <c r="B2944" t="s">
        <v>99</v>
      </c>
      <c r="C2944" t="s">
        <v>140</v>
      </c>
      <c r="D2944" s="9">
        <v>40527.894513888888</v>
      </c>
      <c r="E2944" t="s">
        <v>20</v>
      </c>
      <c r="F2944">
        <f t="shared" ca="1" si="92"/>
        <v>4.1222222222222218</v>
      </c>
      <c r="G2944">
        <f t="shared" ca="1" si="93"/>
        <v>0</v>
      </c>
    </row>
    <row r="2945" spans="1:7">
      <c r="A2945">
        <v>1742</v>
      </c>
      <c r="B2945" t="s">
        <v>111</v>
      </c>
      <c r="C2945" t="s">
        <v>133</v>
      </c>
      <c r="D2945" s="9">
        <v>40590.435115740744</v>
      </c>
      <c r="E2945" t="s">
        <v>8</v>
      </c>
      <c r="F2945">
        <f t="shared" ca="1" si="92"/>
        <v>3.9527777777777779</v>
      </c>
      <c r="G2945">
        <f t="shared" ca="1" si="93"/>
        <v>0</v>
      </c>
    </row>
    <row r="2946" spans="1:7">
      <c r="A2946">
        <v>1744</v>
      </c>
      <c r="B2946" t="s">
        <v>11</v>
      </c>
      <c r="C2946" t="s">
        <v>134</v>
      </c>
      <c r="D2946" s="9">
        <v>40485.432627314818</v>
      </c>
      <c r="E2946" t="s">
        <v>8</v>
      </c>
      <c r="F2946">
        <f t="shared" ca="1" si="92"/>
        <v>4.2388888888888889</v>
      </c>
      <c r="G2946">
        <f t="shared" ca="1" si="93"/>
        <v>0</v>
      </c>
    </row>
    <row r="2947" spans="1:7">
      <c r="A2947">
        <v>1745</v>
      </c>
      <c r="B2947" t="s">
        <v>131</v>
      </c>
      <c r="C2947" t="s">
        <v>134</v>
      </c>
      <c r="D2947" s="9">
        <v>40485.46197916667</v>
      </c>
      <c r="E2947" t="s">
        <v>8</v>
      </c>
      <c r="F2947">
        <f t="shared" ca="1" si="92"/>
        <v>4.2388888888888889</v>
      </c>
      <c r="G2947">
        <f t="shared" ca="1" si="93"/>
        <v>0</v>
      </c>
    </row>
    <row r="2948" spans="1:7">
      <c r="A2948">
        <v>1747</v>
      </c>
      <c r="B2948" t="s">
        <v>101</v>
      </c>
      <c r="C2948" t="s">
        <v>140</v>
      </c>
      <c r="D2948" s="9">
        <v>40528.475706018522</v>
      </c>
      <c r="E2948" t="s">
        <v>44</v>
      </c>
      <c r="F2948">
        <f t="shared" ca="1" si="92"/>
        <v>4.1194444444444445</v>
      </c>
      <c r="G2948">
        <f t="shared" ca="1" si="93"/>
        <v>0</v>
      </c>
    </row>
    <row r="2949" spans="1:7">
      <c r="A2949">
        <v>1748</v>
      </c>
      <c r="B2949" t="s">
        <v>102</v>
      </c>
      <c r="C2949" t="s">
        <v>134</v>
      </c>
      <c r="D2949" s="9">
        <v>40484.649328703701</v>
      </c>
      <c r="E2949" t="s">
        <v>131</v>
      </c>
      <c r="F2949">
        <f t="shared" ca="1" si="92"/>
        <v>4.2416666666666663</v>
      </c>
      <c r="G2949">
        <f t="shared" ca="1" si="93"/>
        <v>0</v>
      </c>
    </row>
    <row r="2950" spans="1:7">
      <c r="A2950">
        <v>1749</v>
      </c>
      <c r="B2950" t="s">
        <v>99</v>
      </c>
      <c r="C2950" t="s">
        <v>134</v>
      </c>
      <c r="D2950" s="9">
        <v>40484.590532407405</v>
      </c>
      <c r="E2950" t="s">
        <v>32</v>
      </c>
      <c r="F2950">
        <f t="shared" ca="1" si="92"/>
        <v>4.2416666666666663</v>
      </c>
      <c r="G2950">
        <f t="shared" ca="1" si="93"/>
        <v>0</v>
      </c>
    </row>
    <row r="2951" spans="1:7">
      <c r="A2951">
        <v>1751</v>
      </c>
      <c r="B2951" t="s">
        <v>44</v>
      </c>
      <c r="C2951" t="s">
        <v>134</v>
      </c>
      <c r="D2951" s="9">
        <v>40484.619756944441</v>
      </c>
      <c r="E2951" t="s">
        <v>99</v>
      </c>
      <c r="F2951">
        <f t="shared" ca="1" si="92"/>
        <v>4.2416666666666663</v>
      </c>
      <c r="G2951">
        <f t="shared" ca="1" si="93"/>
        <v>0</v>
      </c>
    </row>
    <row r="2952" spans="1:7">
      <c r="A2952">
        <v>1752</v>
      </c>
      <c r="B2952" t="s">
        <v>11</v>
      </c>
      <c r="C2952" t="s">
        <v>134</v>
      </c>
      <c r="D2952" s="9">
        <v>40484.893483796295</v>
      </c>
      <c r="E2952" t="s">
        <v>38</v>
      </c>
      <c r="F2952">
        <f t="shared" ca="1" si="92"/>
        <v>4.2416666666666663</v>
      </c>
      <c r="G2952">
        <f t="shared" ca="1" si="93"/>
        <v>0</v>
      </c>
    </row>
    <row r="2953" spans="1:7">
      <c r="A2953">
        <v>1754</v>
      </c>
      <c r="B2953" t="s">
        <v>20</v>
      </c>
      <c r="C2953" t="s">
        <v>134</v>
      </c>
      <c r="D2953" s="9">
        <v>40484.923819444448</v>
      </c>
      <c r="E2953" t="s">
        <v>99</v>
      </c>
      <c r="F2953">
        <f t="shared" ca="1" si="92"/>
        <v>4.2416666666666663</v>
      </c>
      <c r="G2953">
        <f t="shared" ca="1" si="93"/>
        <v>0</v>
      </c>
    </row>
    <row r="2954" spans="1:7">
      <c r="A2954">
        <v>1755</v>
      </c>
      <c r="B2954" t="s">
        <v>32</v>
      </c>
      <c r="C2954" t="s">
        <v>132</v>
      </c>
      <c r="D2954" s="9">
        <v>40662.629467592589</v>
      </c>
      <c r="E2954" t="s">
        <v>99</v>
      </c>
      <c r="F2954">
        <f t="shared" ca="1" si="92"/>
        <v>3.75</v>
      </c>
      <c r="G2954">
        <f t="shared" ca="1" si="93"/>
        <v>0</v>
      </c>
    </row>
    <row r="2955" spans="1:7">
      <c r="A2955">
        <v>1758</v>
      </c>
      <c r="B2955" t="s">
        <v>20</v>
      </c>
      <c r="C2955" t="s">
        <v>134</v>
      </c>
      <c r="D2955" s="9">
        <v>40485.467870370368</v>
      </c>
      <c r="E2955" t="s">
        <v>8</v>
      </c>
      <c r="F2955">
        <f t="shared" ca="1" si="92"/>
        <v>4.2388888888888889</v>
      </c>
      <c r="G2955">
        <f t="shared" ca="1" si="93"/>
        <v>0</v>
      </c>
    </row>
    <row r="2956" spans="1:7">
      <c r="A2956">
        <v>1759</v>
      </c>
      <c r="B2956" t="s">
        <v>27</v>
      </c>
      <c r="C2956" t="s">
        <v>134</v>
      </c>
      <c r="D2956" s="9">
        <v>40485.676076388889</v>
      </c>
      <c r="E2956" t="s">
        <v>32</v>
      </c>
      <c r="F2956">
        <f t="shared" ca="1" si="92"/>
        <v>4.2388888888888889</v>
      </c>
      <c r="G2956">
        <f t="shared" ca="1" si="93"/>
        <v>0</v>
      </c>
    </row>
    <row r="2957" spans="1:7">
      <c r="A2957">
        <v>1760</v>
      </c>
      <c r="B2957" t="s">
        <v>27</v>
      </c>
      <c r="C2957" t="s">
        <v>134</v>
      </c>
      <c r="D2957" s="9">
        <v>40484.684861111113</v>
      </c>
      <c r="E2957" t="s">
        <v>32</v>
      </c>
      <c r="F2957">
        <f t="shared" ca="1" si="92"/>
        <v>4.2416666666666663</v>
      </c>
      <c r="G2957">
        <f t="shared" ca="1" si="93"/>
        <v>0</v>
      </c>
    </row>
    <row r="2958" spans="1:7">
      <c r="A2958">
        <v>1761</v>
      </c>
      <c r="B2958" t="s">
        <v>32</v>
      </c>
      <c r="C2958" t="s">
        <v>134</v>
      </c>
      <c r="D2958" s="9">
        <v>40485.713854166665</v>
      </c>
      <c r="E2958" t="s">
        <v>8</v>
      </c>
      <c r="F2958">
        <f t="shared" ca="1" si="92"/>
        <v>4.2388888888888889</v>
      </c>
      <c r="G2958">
        <f t="shared" ca="1" si="93"/>
        <v>0</v>
      </c>
    </row>
    <row r="2959" spans="1:7">
      <c r="A2959">
        <v>1762</v>
      </c>
      <c r="B2959" t="s">
        <v>8</v>
      </c>
      <c r="C2959" t="s">
        <v>130</v>
      </c>
      <c r="D2959" s="9">
        <v>40721.686516203707</v>
      </c>
      <c r="E2959" t="s">
        <v>38</v>
      </c>
      <c r="F2959">
        <f t="shared" ca="1" si="92"/>
        <v>3.588888888888889</v>
      </c>
      <c r="G2959">
        <f t="shared" ca="1" si="93"/>
        <v>0</v>
      </c>
    </row>
    <row r="2960" spans="1:7">
      <c r="A2960">
        <v>1763</v>
      </c>
      <c r="B2960" t="s">
        <v>99</v>
      </c>
      <c r="C2960" t="s">
        <v>140</v>
      </c>
      <c r="D2960" s="9">
        <v>40527.919166666667</v>
      </c>
      <c r="E2960" t="s">
        <v>36</v>
      </c>
      <c r="F2960">
        <f t="shared" ca="1" si="92"/>
        <v>4.1222222222222218</v>
      </c>
      <c r="G2960">
        <f t="shared" ca="1" si="93"/>
        <v>0</v>
      </c>
    </row>
    <row r="2961" spans="1:7">
      <c r="A2961">
        <v>1764</v>
      </c>
      <c r="B2961" t="s">
        <v>99</v>
      </c>
      <c r="C2961" t="s">
        <v>134</v>
      </c>
      <c r="D2961" s="9">
        <v>40485.558113425926</v>
      </c>
      <c r="E2961" t="s">
        <v>27</v>
      </c>
      <c r="F2961">
        <f t="shared" ca="1" si="92"/>
        <v>4.2388888888888889</v>
      </c>
      <c r="G2961">
        <f t="shared" ca="1" si="93"/>
        <v>0</v>
      </c>
    </row>
    <row r="2962" spans="1:7">
      <c r="A2962">
        <v>1767</v>
      </c>
      <c r="B2962" t="s">
        <v>101</v>
      </c>
      <c r="C2962" t="s">
        <v>138</v>
      </c>
      <c r="D2962" s="9">
        <v>40786.429398148146</v>
      </c>
      <c r="F2962">
        <f t="shared" ca="1" si="92"/>
        <v>3.4138888888888888</v>
      </c>
      <c r="G2962">
        <f t="shared" ca="1" si="93"/>
        <v>0</v>
      </c>
    </row>
    <row r="2963" spans="1:7">
      <c r="A2963">
        <v>1769</v>
      </c>
      <c r="B2963" t="s">
        <v>111</v>
      </c>
      <c r="C2963" t="s">
        <v>134</v>
      </c>
      <c r="D2963" s="9">
        <v>40486.674189814818</v>
      </c>
      <c r="E2963" t="s">
        <v>8</v>
      </c>
      <c r="F2963">
        <f t="shared" ca="1" si="92"/>
        <v>4.2361111111111107</v>
      </c>
      <c r="G2963">
        <f t="shared" ca="1" si="93"/>
        <v>0</v>
      </c>
    </row>
    <row r="2964" spans="1:7">
      <c r="A2964">
        <v>1772</v>
      </c>
      <c r="B2964" t="s">
        <v>131</v>
      </c>
      <c r="C2964" t="s">
        <v>133</v>
      </c>
      <c r="D2964" s="9">
        <v>40590.638333333336</v>
      </c>
      <c r="E2964" t="s">
        <v>34</v>
      </c>
      <c r="F2964">
        <f t="shared" ca="1" si="92"/>
        <v>3.9527777777777779</v>
      </c>
      <c r="G2964">
        <f t="shared" ca="1" si="93"/>
        <v>0</v>
      </c>
    </row>
    <row r="2965" spans="1:7">
      <c r="A2965">
        <v>1773</v>
      </c>
      <c r="B2965" t="s">
        <v>111</v>
      </c>
      <c r="C2965" t="s">
        <v>128</v>
      </c>
      <c r="D2965" s="9">
        <v>40918.410300925927</v>
      </c>
      <c r="E2965" t="s">
        <v>30</v>
      </c>
      <c r="F2965">
        <f t="shared" ca="1" si="92"/>
        <v>3.0527777777777776</v>
      </c>
      <c r="G2965">
        <f t="shared" ca="1" si="93"/>
        <v>0</v>
      </c>
    </row>
    <row r="2966" spans="1:7">
      <c r="A2966">
        <v>1774</v>
      </c>
      <c r="B2966" t="s">
        <v>101</v>
      </c>
      <c r="C2966" t="s">
        <v>133</v>
      </c>
      <c r="D2966" s="9">
        <v>40589.484340277777</v>
      </c>
      <c r="E2966" t="s">
        <v>144</v>
      </c>
      <c r="F2966">
        <f t="shared" ca="1" si="92"/>
        <v>3.9555555555555557</v>
      </c>
      <c r="G2966">
        <f t="shared" ca="1" si="93"/>
        <v>0</v>
      </c>
    </row>
    <row r="2967" spans="1:7">
      <c r="A2967">
        <v>1775</v>
      </c>
      <c r="B2967" t="s">
        <v>8</v>
      </c>
      <c r="C2967" t="s">
        <v>134</v>
      </c>
      <c r="D2967" s="9">
        <v>40486.635439814818</v>
      </c>
      <c r="E2967" t="s">
        <v>101</v>
      </c>
      <c r="F2967">
        <f t="shared" ca="1" si="92"/>
        <v>4.2361111111111107</v>
      </c>
      <c r="G2967">
        <f t="shared" ca="1" si="93"/>
        <v>0</v>
      </c>
    </row>
    <row r="2968" spans="1:7">
      <c r="A2968">
        <v>1776</v>
      </c>
      <c r="B2968" t="s">
        <v>101</v>
      </c>
      <c r="C2968" t="s">
        <v>140</v>
      </c>
      <c r="D2968" s="9">
        <v>40528.564803240741</v>
      </c>
      <c r="E2968" t="s">
        <v>8</v>
      </c>
      <c r="F2968">
        <f t="shared" ca="1" si="92"/>
        <v>4.1194444444444445</v>
      </c>
      <c r="G2968">
        <f t="shared" ca="1" si="93"/>
        <v>0</v>
      </c>
    </row>
    <row r="2969" spans="1:7">
      <c r="A2969">
        <v>1779</v>
      </c>
      <c r="B2969" t="s">
        <v>8</v>
      </c>
      <c r="C2969" t="s">
        <v>134</v>
      </c>
      <c r="D2969" s="9">
        <v>40485.398761574077</v>
      </c>
      <c r="E2969" t="s">
        <v>131</v>
      </c>
      <c r="F2969">
        <f t="shared" ca="1" si="92"/>
        <v>4.2388888888888889</v>
      </c>
      <c r="G2969">
        <f t="shared" ca="1" si="93"/>
        <v>0</v>
      </c>
    </row>
    <row r="2970" spans="1:7">
      <c r="A2970">
        <v>1781</v>
      </c>
      <c r="B2970" t="s">
        <v>99</v>
      </c>
      <c r="C2970" t="s">
        <v>140</v>
      </c>
      <c r="D2970" s="9">
        <v>40528.531666666669</v>
      </c>
      <c r="E2970" t="s">
        <v>8</v>
      </c>
      <c r="F2970">
        <f t="shared" ca="1" si="92"/>
        <v>4.1194444444444445</v>
      </c>
      <c r="G2970">
        <f t="shared" ca="1" si="93"/>
        <v>0</v>
      </c>
    </row>
    <row r="2971" spans="1:7">
      <c r="A2971">
        <v>1784</v>
      </c>
      <c r="B2971" t="s">
        <v>99</v>
      </c>
      <c r="C2971" t="s">
        <v>134</v>
      </c>
      <c r="D2971" s="9">
        <v>40485.542037037034</v>
      </c>
      <c r="E2971" t="s">
        <v>131</v>
      </c>
      <c r="F2971">
        <f t="shared" ca="1" si="92"/>
        <v>4.2388888888888889</v>
      </c>
      <c r="G2971">
        <f t="shared" ca="1" si="93"/>
        <v>0</v>
      </c>
    </row>
    <row r="2972" spans="1:7">
      <c r="A2972">
        <v>1786</v>
      </c>
      <c r="B2972" t="s">
        <v>102</v>
      </c>
      <c r="C2972" t="s">
        <v>133</v>
      </c>
      <c r="D2972" s="9">
        <v>40589.525949074072</v>
      </c>
      <c r="E2972" t="s">
        <v>131</v>
      </c>
      <c r="F2972">
        <f t="shared" ca="1" si="92"/>
        <v>3.9555555555555557</v>
      </c>
      <c r="G2972">
        <f t="shared" ca="1" si="93"/>
        <v>0</v>
      </c>
    </row>
    <row r="2973" spans="1:7">
      <c r="A2973">
        <v>1787</v>
      </c>
      <c r="B2973" t="s">
        <v>20</v>
      </c>
      <c r="C2973" t="s">
        <v>132</v>
      </c>
      <c r="D2973" s="9">
        <v>40659.682870370372</v>
      </c>
      <c r="E2973" t="s">
        <v>131</v>
      </c>
      <c r="F2973">
        <f t="shared" ca="1" si="92"/>
        <v>3.7583333333333333</v>
      </c>
      <c r="G2973">
        <f t="shared" ca="1" si="93"/>
        <v>0</v>
      </c>
    </row>
    <row r="2974" spans="1:7">
      <c r="A2974">
        <v>1792</v>
      </c>
      <c r="B2974" t="s">
        <v>111</v>
      </c>
      <c r="C2974" t="s">
        <v>133</v>
      </c>
      <c r="D2974" s="9">
        <v>40589.613020833334</v>
      </c>
      <c r="E2974" t="s">
        <v>144</v>
      </c>
      <c r="F2974">
        <f t="shared" ca="1" si="92"/>
        <v>3.9555555555555557</v>
      </c>
      <c r="G2974">
        <f t="shared" ca="1" si="93"/>
        <v>0</v>
      </c>
    </row>
    <row r="2975" spans="1:7">
      <c r="A2975">
        <v>1794</v>
      </c>
      <c r="B2975" t="s">
        <v>99</v>
      </c>
      <c r="C2975" t="s">
        <v>134</v>
      </c>
      <c r="D2975" s="9">
        <v>40485.578645833331</v>
      </c>
      <c r="E2975" t="s">
        <v>27</v>
      </c>
      <c r="F2975">
        <f t="shared" ca="1" si="92"/>
        <v>4.2388888888888889</v>
      </c>
      <c r="G2975">
        <f t="shared" ca="1" si="93"/>
        <v>0</v>
      </c>
    </row>
    <row r="2976" spans="1:7">
      <c r="A2976">
        <v>1795</v>
      </c>
      <c r="B2976" t="s">
        <v>99</v>
      </c>
      <c r="C2976" t="s">
        <v>134</v>
      </c>
      <c r="D2976" s="9">
        <v>40485.515625</v>
      </c>
      <c r="E2976" t="s">
        <v>131</v>
      </c>
      <c r="F2976">
        <f t="shared" ca="1" si="92"/>
        <v>4.2388888888888889</v>
      </c>
      <c r="G2976">
        <f t="shared" ca="1" si="93"/>
        <v>0</v>
      </c>
    </row>
    <row r="2977" spans="1:7">
      <c r="A2977">
        <v>1796</v>
      </c>
      <c r="B2977" t="s">
        <v>8</v>
      </c>
      <c r="C2977" t="s">
        <v>134</v>
      </c>
      <c r="D2977" s="9">
        <v>40485.658136574071</v>
      </c>
      <c r="E2977" t="s">
        <v>11</v>
      </c>
      <c r="F2977">
        <f t="shared" ca="1" si="92"/>
        <v>4.2388888888888889</v>
      </c>
      <c r="G2977">
        <f t="shared" ca="1" si="93"/>
        <v>0</v>
      </c>
    </row>
    <row r="2978" spans="1:7">
      <c r="A2978">
        <v>1797</v>
      </c>
      <c r="B2978" t="s">
        <v>102</v>
      </c>
      <c r="C2978" t="s">
        <v>132</v>
      </c>
      <c r="D2978" s="9">
        <v>40659.469675925924</v>
      </c>
      <c r="E2978" t="s">
        <v>131</v>
      </c>
      <c r="F2978">
        <f t="shared" ca="1" si="92"/>
        <v>3.7583333333333333</v>
      </c>
      <c r="G2978">
        <f t="shared" ca="1" si="93"/>
        <v>0</v>
      </c>
    </row>
    <row r="2979" spans="1:7">
      <c r="A2979">
        <v>1801</v>
      </c>
      <c r="B2979" t="s">
        <v>131</v>
      </c>
      <c r="C2979" t="s">
        <v>134</v>
      </c>
      <c r="D2979" s="9">
        <v>40486.444097222222</v>
      </c>
      <c r="E2979" t="s">
        <v>44</v>
      </c>
      <c r="F2979">
        <f t="shared" ca="1" si="92"/>
        <v>4.2361111111111107</v>
      </c>
      <c r="G2979">
        <f t="shared" ca="1" si="93"/>
        <v>0</v>
      </c>
    </row>
    <row r="2980" spans="1:7">
      <c r="A2980">
        <v>1802</v>
      </c>
      <c r="B2980" t="s">
        <v>99</v>
      </c>
      <c r="C2980" t="s">
        <v>140</v>
      </c>
      <c r="D2980" s="9">
        <v>40527.911319444444</v>
      </c>
      <c r="E2980" t="s">
        <v>20</v>
      </c>
      <c r="F2980">
        <f t="shared" ca="1" si="92"/>
        <v>4.1222222222222218</v>
      </c>
      <c r="G2980">
        <f t="shared" ca="1" si="93"/>
        <v>0</v>
      </c>
    </row>
    <row r="2981" spans="1:7">
      <c r="A2981">
        <v>1803</v>
      </c>
      <c r="B2981" t="s">
        <v>44</v>
      </c>
      <c r="C2981" t="s">
        <v>133</v>
      </c>
      <c r="D2981" s="9">
        <v>40590.606620370374</v>
      </c>
      <c r="E2981" t="s">
        <v>131</v>
      </c>
      <c r="F2981">
        <f t="shared" ca="1" si="92"/>
        <v>3.9527777777777779</v>
      </c>
      <c r="G2981">
        <f t="shared" ca="1" si="93"/>
        <v>0</v>
      </c>
    </row>
    <row r="2982" spans="1:7">
      <c r="A2982">
        <v>1812</v>
      </c>
      <c r="B2982" t="s">
        <v>99</v>
      </c>
      <c r="C2982" t="s">
        <v>134</v>
      </c>
      <c r="D2982" s="9">
        <v>40486.76703703704</v>
      </c>
      <c r="E2982" t="s">
        <v>32</v>
      </c>
      <c r="F2982">
        <f t="shared" ca="1" si="92"/>
        <v>4.2361111111111107</v>
      </c>
      <c r="G2982">
        <f t="shared" ca="1" si="93"/>
        <v>0</v>
      </c>
    </row>
    <row r="2983" spans="1:7">
      <c r="A2983">
        <v>1813</v>
      </c>
      <c r="B2983" t="s">
        <v>44</v>
      </c>
      <c r="C2983" t="s">
        <v>133</v>
      </c>
      <c r="D2983" s="9">
        <v>40589.408946759257</v>
      </c>
      <c r="E2983" t="s">
        <v>131</v>
      </c>
      <c r="F2983">
        <f t="shared" ca="1" si="92"/>
        <v>3.9555555555555557</v>
      </c>
      <c r="G2983">
        <f t="shared" ca="1" si="93"/>
        <v>0</v>
      </c>
    </row>
    <row r="2984" spans="1:7">
      <c r="A2984">
        <v>1817</v>
      </c>
      <c r="B2984" t="s">
        <v>44</v>
      </c>
      <c r="C2984" t="s">
        <v>133</v>
      </c>
      <c r="D2984" s="9">
        <v>40589.413912037038</v>
      </c>
      <c r="E2984" t="s">
        <v>131</v>
      </c>
      <c r="F2984">
        <f t="shared" ca="1" si="92"/>
        <v>3.9555555555555557</v>
      </c>
      <c r="G2984">
        <f t="shared" ca="1" si="93"/>
        <v>0</v>
      </c>
    </row>
    <row r="2985" spans="1:7">
      <c r="A2985">
        <v>1818</v>
      </c>
      <c r="B2985" t="s">
        <v>44</v>
      </c>
      <c r="C2985" t="s">
        <v>134</v>
      </c>
      <c r="D2985" s="9">
        <v>40485.686215277776</v>
      </c>
      <c r="E2985" t="s">
        <v>131</v>
      </c>
      <c r="F2985">
        <f t="shared" ca="1" si="92"/>
        <v>4.2388888888888889</v>
      </c>
      <c r="G2985">
        <f t="shared" ca="1" si="93"/>
        <v>0</v>
      </c>
    </row>
    <row r="2986" spans="1:7">
      <c r="A2986">
        <v>1820</v>
      </c>
      <c r="B2986" t="s">
        <v>102</v>
      </c>
      <c r="C2986" t="s">
        <v>134</v>
      </c>
      <c r="D2986" s="9">
        <v>40486.709097222221</v>
      </c>
      <c r="E2986" t="s">
        <v>131</v>
      </c>
      <c r="F2986">
        <f t="shared" ca="1" si="92"/>
        <v>4.2361111111111107</v>
      </c>
      <c r="G2986">
        <f t="shared" ca="1" si="93"/>
        <v>0</v>
      </c>
    </row>
    <row r="2987" spans="1:7">
      <c r="A2987">
        <v>1822</v>
      </c>
      <c r="B2987" t="s">
        <v>99</v>
      </c>
      <c r="C2987" t="s">
        <v>132</v>
      </c>
      <c r="D2987" s="9">
        <v>40662.153784722221</v>
      </c>
      <c r="E2987" t="s">
        <v>36</v>
      </c>
      <c r="F2987">
        <f t="shared" ca="1" si="92"/>
        <v>3.75</v>
      </c>
      <c r="G2987">
        <f t="shared" ca="1" si="93"/>
        <v>0</v>
      </c>
    </row>
    <row r="2988" spans="1:7">
      <c r="A2988">
        <v>1824</v>
      </c>
      <c r="B2988" t="s">
        <v>17</v>
      </c>
      <c r="C2988" t="s">
        <v>119</v>
      </c>
      <c r="D2988" s="9">
        <v>41675.776574074072</v>
      </c>
      <c r="E2988" t="s">
        <v>11</v>
      </c>
      <c r="F2988">
        <f t="shared" ca="1" si="92"/>
        <v>0.98333333333333328</v>
      </c>
      <c r="G2988">
        <f t="shared" ca="1" si="93"/>
        <v>1</v>
      </c>
    </row>
    <row r="2989" spans="1:7">
      <c r="A2989">
        <v>1825</v>
      </c>
      <c r="B2989" t="s">
        <v>27</v>
      </c>
      <c r="C2989" t="s">
        <v>134</v>
      </c>
      <c r="D2989" s="9">
        <v>40486.576168981483</v>
      </c>
      <c r="E2989" t="s">
        <v>112</v>
      </c>
      <c r="F2989">
        <f t="shared" ca="1" si="92"/>
        <v>4.2361111111111107</v>
      </c>
      <c r="G2989">
        <f t="shared" ca="1" si="93"/>
        <v>0</v>
      </c>
    </row>
    <row r="2990" spans="1:7">
      <c r="A2990">
        <v>1827</v>
      </c>
      <c r="B2990" t="s">
        <v>34</v>
      </c>
      <c r="C2990" t="s">
        <v>134</v>
      </c>
      <c r="D2990" s="9">
        <v>40485.727581018517</v>
      </c>
      <c r="E2990" t="s">
        <v>8</v>
      </c>
      <c r="F2990">
        <f t="shared" ca="1" si="92"/>
        <v>4.2388888888888889</v>
      </c>
      <c r="G2990">
        <f t="shared" ca="1" si="93"/>
        <v>0</v>
      </c>
    </row>
    <row r="2991" spans="1:7">
      <c r="A2991">
        <v>1828</v>
      </c>
      <c r="B2991" t="s">
        <v>38</v>
      </c>
      <c r="C2991" t="s">
        <v>134</v>
      </c>
      <c r="D2991" s="9">
        <v>40485.878078703703</v>
      </c>
      <c r="E2991" t="s">
        <v>27</v>
      </c>
      <c r="F2991">
        <f t="shared" ref="F2991:F3054" ca="1" si="94">YEARFRAC(TODAY(),$D2991)</f>
        <v>4.2388888888888889</v>
      </c>
      <c r="G2991">
        <f t="shared" ref="G2991:G3054" ca="1" si="95">IF($F2991&lt;1,1,0)</f>
        <v>0</v>
      </c>
    </row>
    <row r="2992" spans="1:7">
      <c r="A2992">
        <v>1830</v>
      </c>
      <c r="B2992" t="s">
        <v>34</v>
      </c>
      <c r="C2992" t="s">
        <v>140</v>
      </c>
      <c r="D2992" s="9">
        <v>40527.556863425925</v>
      </c>
      <c r="E2992" t="s">
        <v>32</v>
      </c>
      <c r="F2992">
        <f t="shared" ca="1" si="94"/>
        <v>4.1222222222222218</v>
      </c>
      <c r="G2992">
        <f t="shared" ca="1" si="95"/>
        <v>0</v>
      </c>
    </row>
    <row r="2993" spans="1:7">
      <c r="A2993">
        <v>1836</v>
      </c>
      <c r="B2993" t="s">
        <v>8</v>
      </c>
      <c r="C2993" t="s">
        <v>127</v>
      </c>
      <c r="D2993" s="9">
        <v>41029.76666666667</v>
      </c>
      <c r="E2993" t="s">
        <v>38</v>
      </c>
      <c r="F2993">
        <f t="shared" ca="1" si="94"/>
        <v>2.7472222222222222</v>
      </c>
      <c r="G2993">
        <f t="shared" ca="1" si="95"/>
        <v>0</v>
      </c>
    </row>
    <row r="2994" spans="1:7">
      <c r="A2994">
        <v>1838</v>
      </c>
      <c r="B2994" t="s">
        <v>131</v>
      </c>
      <c r="C2994" t="s">
        <v>140</v>
      </c>
      <c r="D2994" s="9">
        <v>40528.507025462961</v>
      </c>
      <c r="E2994" t="s">
        <v>8</v>
      </c>
      <c r="F2994">
        <f t="shared" ca="1" si="94"/>
        <v>4.1194444444444445</v>
      </c>
      <c r="G2994">
        <f t="shared" ca="1" si="95"/>
        <v>0</v>
      </c>
    </row>
    <row r="2995" spans="1:7">
      <c r="A2995">
        <v>1839</v>
      </c>
      <c r="B2995" t="s">
        <v>14</v>
      </c>
      <c r="C2995" t="s">
        <v>121</v>
      </c>
      <c r="D2995" s="9">
        <v>41480.544525462959</v>
      </c>
      <c r="E2995" t="s">
        <v>32</v>
      </c>
      <c r="F2995">
        <f t="shared" ca="1" si="94"/>
        <v>1.5111111111111111</v>
      </c>
      <c r="G2995">
        <f t="shared" ca="1" si="95"/>
        <v>0</v>
      </c>
    </row>
    <row r="2996" spans="1:7">
      <c r="A2996">
        <v>1840</v>
      </c>
      <c r="B2996" t="s">
        <v>8</v>
      </c>
      <c r="C2996" t="s">
        <v>134</v>
      </c>
      <c r="D2996" s="9">
        <v>40486.588587962964</v>
      </c>
      <c r="E2996" t="s">
        <v>111</v>
      </c>
      <c r="F2996">
        <f t="shared" ca="1" si="94"/>
        <v>4.2361111111111107</v>
      </c>
      <c r="G2996">
        <f t="shared" ca="1" si="95"/>
        <v>0</v>
      </c>
    </row>
    <row r="2997" spans="1:7">
      <c r="A2997">
        <v>1841</v>
      </c>
      <c r="B2997" t="s">
        <v>8</v>
      </c>
      <c r="C2997" t="s">
        <v>132</v>
      </c>
      <c r="D2997" s="9">
        <v>40660.605567129627</v>
      </c>
      <c r="E2997" t="s">
        <v>131</v>
      </c>
      <c r="F2997">
        <f t="shared" ca="1" si="94"/>
        <v>3.7555555555555555</v>
      </c>
      <c r="G2997">
        <f t="shared" ca="1" si="95"/>
        <v>0</v>
      </c>
    </row>
    <row r="2998" spans="1:7">
      <c r="A2998">
        <v>1843</v>
      </c>
      <c r="B2998" t="s">
        <v>8</v>
      </c>
      <c r="C2998" t="s">
        <v>140</v>
      </c>
      <c r="D2998" s="9">
        <v>40526.688668981478</v>
      </c>
      <c r="E2998" t="s">
        <v>131</v>
      </c>
      <c r="F2998">
        <f t="shared" ca="1" si="94"/>
        <v>4.125</v>
      </c>
      <c r="G2998">
        <f t="shared" ca="1" si="95"/>
        <v>0</v>
      </c>
    </row>
    <row r="2999" spans="1:7">
      <c r="A2999">
        <v>1845</v>
      </c>
      <c r="B2999" t="s">
        <v>101</v>
      </c>
      <c r="C2999" t="s">
        <v>133</v>
      </c>
      <c r="D2999" s="9">
        <v>40589.680787037039</v>
      </c>
      <c r="E2999" t="s">
        <v>144</v>
      </c>
      <c r="F2999">
        <f t="shared" ca="1" si="94"/>
        <v>3.9555555555555557</v>
      </c>
      <c r="G2999">
        <f t="shared" ca="1" si="95"/>
        <v>0</v>
      </c>
    </row>
    <row r="3000" spans="1:7">
      <c r="A3000">
        <v>1847</v>
      </c>
      <c r="B3000" t="s">
        <v>111</v>
      </c>
      <c r="C3000" t="s">
        <v>140</v>
      </c>
      <c r="D3000" s="9">
        <v>40527.707997685182</v>
      </c>
      <c r="E3000" t="s">
        <v>27</v>
      </c>
      <c r="F3000">
        <f t="shared" ca="1" si="94"/>
        <v>4.1222222222222218</v>
      </c>
      <c r="G3000">
        <f t="shared" ca="1" si="95"/>
        <v>0</v>
      </c>
    </row>
    <row r="3001" spans="1:7">
      <c r="A3001">
        <v>1848</v>
      </c>
      <c r="B3001" t="s">
        <v>38</v>
      </c>
      <c r="C3001" t="s">
        <v>140</v>
      </c>
      <c r="D3001" s="9">
        <v>40526.659884259258</v>
      </c>
      <c r="E3001" t="s">
        <v>131</v>
      </c>
      <c r="F3001">
        <f t="shared" ca="1" si="94"/>
        <v>4.125</v>
      </c>
      <c r="G3001">
        <f t="shared" ca="1" si="95"/>
        <v>0</v>
      </c>
    </row>
    <row r="3002" spans="1:7">
      <c r="A3002">
        <v>1849</v>
      </c>
      <c r="B3002" t="s">
        <v>44</v>
      </c>
      <c r="C3002" t="s">
        <v>133</v>
      </c>
      <c r="D3002" s="9">
        <v>40589.686469907407</v>
      </c>
      <c r="E3002" t="s">
        <v>131</v>
      </c>
      <c r="F3002">
        <f t="shared" ca="1" si="94"/>
        <v>3.9555555555555557</v>
      </c>
      <c r="G3002">
        <f t="shared" ca="1" si="95"/>
        <v>0</v>
      </c>
    </row>
    <row r="3003" spans="1:7">
      <c r="A3003">
        <v>1851</v>
      </c>
      <c r="B3003" t="s">
        <v>131</v>
      </c>
      <c r="C3003" t="s">
        <v>140</v>
      </c>
      <c r="D3003" s="9">
        <v>40527.937048611115</v>
      </c>
      <c r="E3003" t="s">
        <v>27</v>
      </c>
      <c r="F3003">
        <f t="shared" ca="1" si="94"/>
        <v>4.1222222222222218</v>
      </c>
      <c r="G3003">
        <f t="shared" ca="1" si="95"/>
        <v>0</v>
      </c>
    </row>
    <row r="3004" spans="1:7">
      <c r="A3004">
        <v>1852</v>
      </c>
      <c r="B3004" t="s">
        <v>131</v>
      </c>
      <c r="C3004" t="s">
        <v>140</v>
      </c>
      <c r="D3004" s="9">
        <v>40528.673344907409</v>
      </c>
      <c r="E3004" t="s">
        <v>8</v>
      </c>
      <c r="F3004">
        <f t="shared" ca="1" si="94"/>
        <v>4.1194444444444445</v>
      </c>
      <c r="G3004">
        <f t="shared" ca="1" si="95"/>
        <v>0</v>
      </c>
    </row>
    <row r="3005" spans="1:7">
      <c r="A3005">
        <v>1853</v>
      </c>
      <c r="B3005" t="s">
        <v>131</v>
      </c>
      <c r="C3005" t="s">
        <v>140</v>
      </c>
      <c r="D3005" s="9">
        <v>40528.878194444442</v>
      </c>
      <c r="E3005" t="s">
        <v>27</v>
      </c>
      <c r="F3005">
        <f t="shared" ca="1" si="94"/>
        <v>4.1194444444444445</v>
      </c>
      <c r="G3005">
        <f t="shared" ca="1" si="95"/>
        <v>0</v>
      </c>
    </row>
    <row r="3006" spans="1:7">
      <c r="A3006">
        <v>1854</v>
      </c>
      <c r="B3006" t="s">
        <v>131</v>
      </c>
      <c r="C3006" t="s">
        <v>140</v>
      </c>
      <c r="D3006" s="9">
        <v>40527.774143518516</v>
      </c>
      <c r="E3006" t="s">
        <v>99</v>
      </c>
      <c r="F3006">
        <f t="shared" ca="1" si="94"/>
        <v>4.1222222222222218</v>
      </c>
      <c r="G3006">
        <f t="shared" ca="1" si="95"/>
        <v>0</v>
      </c>
    </row>
    <row r="3007" spans="1:7">
      <c r="A3007">
        <v>1855</v>
      </c>
      <c r="B3007" t="s">
        <v>99</v>
      </c>
      <c r="C3007" t="s">
        <v>140</v>
      </c>
      <c r="D3007" s="9">
        <v>40527.561342592591</v>
      </c>
      <c r="E3007" t="s">
        <v>131</v>
      </c>
      <c r="F3007">
        <f t="shared" ca="1" si="94"/>
        <v>4.1222222222222218</v>
      </c>
      <c r="G3007">
        <f t="shared" ca="1" si="95"/>
        <v>0</v>
      </c>
    </row>
    <row r="3008" spans="1:7">
      <c r="A3008">
        <v>1856</v>
      </c>
      <c r="B3008" t="s">
        <v>20</v>
      </c>
      <c r="C3008" t="s">
        <v>140</v>
      </c>
      <c r="D3008" s="9">
        <v>40527.624398148146</v>
      </c>
      <c r="E3008" t="s">
        <v>131</v>
      </c>
      <c r="F3008">
        <f t="shared" ca="1" si="94"/>
        <v>4.1222222222222218</v>
      </c>
      <c r="G3008">
        <f t="shared" ca="1" si="95"/>
        <v>0</v>
      </c>
    </row>
    <row r="3009" spans="1:7">
      <c r="A3009">
        <v>1858</v>
      </c>
      <c r="B3009" t="s">
        <v>131</v>
      </c>
      <c r="C3009" t="s">
        <v>140</v>
      </c>
      <c r="D3009" s="9">
        <v>40528.85193287037</v>
      </c>
      <c r="E3009" t="s">
        <v>27</v>
      </c>
      <c r="F3009">
        <f t="shared" ca="1" si="94"/>
        <v>4.1194444444444445</v>
      </c>
      <c r="G3009">
        <f t="shared" ca="1" si="95"/>
        <v>0</v>
      </c>
    </row>
    <row r="3010" spans="1:7">
      <c r="A3010">
        <v>1859</v>
      </c>
      <c r="B3010" t="s">
        <v>99</v>
      </c>
      <c r="C3010" t="s">
        <v>140</v>
      </c>
      <c r="D3010" s="9">
        <v>40527.689432870371</v>
      </c>
      <c r="E3010" t="s">
        <v>36</v>
      </c>
      <c r="F3010">
        <f t="shared" ca="1" si="94"/>
        <v>4.1222222222222218</v>
      </c>
      <c r="G3010">
        <f t="shared" ca="1" si="95"/>
        <v>0</v>
      </c>
    </row>
    <row r="3011" spans="1:7">
      <c r="A3011">
        <v>1872</v>
      </c>
      <c r="B3011" t="s">
        <v>99</v>
      </c>
      <c r="C3011" t="s">
        <v>140</v>
      </c>
      <c r="D3011" s="9">
        <v>40527.534548611111</v>
      </c>
      <c r="E3011" t="s">
        <v>131</v>
      </c>
      <c r="F3011">
        <f t="shared" ca="1" si="94"/>
        <v>4.1222222222222218</v>
      </c>
      <c r="G3011">
        <f t="shared" ca="1" si="95"/>
        <v>0</v>
      </c>
    </row>
    <row r="3012" spans="1:7">
      <c r="A3012">
        <v>1873</v>
      </c>
      <c r="B3012" t="s">
        <v>44</v>
      </c>
      <c r="C3012" t="s">
        <v>140</v>
      </c>
      <c r="D3012" s="9">
        <v>40527.571111111109</v>
      </c>
      <c r="E3012" t="s">
        <v>32</v>
      </c>
      <c r="F3012">
        <f t="shared" ca="1" si="94"/>
        <v>4.1222222222222218</v>
      </c>
      <c r="G3012">
        <f t="shared" ca="1" si="95"/>
        <v>0</v>
      </c>
    </row>
    <row r="3013" spans="1:7">
      <c r="A3013">
        <v>1876</v>
      </c>
      <c r="B3013" t="s">
        <v>44</v>
      </c>
      <c r="C3013" t="s">
        <v>140</v>
      </c>
      <c r="D3013" s="9">
        <v>40527.602094907408</v>
      </c>
      <c r="E3013" t="s">
        <v>32</v>
      </c>
      <c r="F3013">
        <f t="shared" ca="1" si="94"/>
        <v>4.1222222222222218</v>
      </c>
      <c r="G3013">
        <f t="shared" ca="1" si="95"/>
        <v>0</v>
      </c>
    </row>
    <row r="3014" spans="1:7">
      <c r="A3014">
        <v>1878</v>
      </c>
      <c r="B3014" t="s">
        <v>20</v>
      </c>
      <c r="C3014" t="s">
        <v>140</v>
      </c>
      <c r="D3014" s="9">
        <v>40527.690613425926</v>
      </c>
      <c r="E3014" t="s">
        <v>32</v>
      </c>
      <c r="F3014">
        <f t="shared" ca="1" si="94"/>
        <v>4.1222222222222218</v>
      </c>
      <c r="G3014">
        <f t="shared" ca="1" si="95"/>
        <v>0</v>
      </c>
    </row>
    <row r="3015" spans="1:7">
      <c r="A3015">
        <v>1879</v>
      </c>
      <c r="B3015" t="s">
        <v>111</v>
      </c>
      <c r="C3015" t="s">
        <v>140</v>
      </c>
      <c r="D3015" s="9">
        <v>40527.834189814814</v>
      </c>
      <c r="E3015" t="s">
        <v>99</v>
      </c>
      <c r="F3015">
        <f t="shared" ca="1" si="94"/>
        <v>4.1222222222222218</v>
      </c>
      <c r="G3015">
        <f t="shared" ca="1" si="95"/>
        <v>0</v>
      </c>
    </row>
    <row r="3016" spans="1:7">
      <c r="A3016">
        <v>1884</v>
      </c>
      <c r="B3016" t="s">
        <v>99</v>
      </c>
      <c r="C3016" t="s">
        <v>140</v>
      </c>
      <c r="D3016" s="9">
        <v>40528.409803240742</v>
      </c>
      <c r="E3016" t="s">
        <v>131</v>
      </c>
      <c r="F3016">
        <f t="shared" ca="1" si="94"/>
        <v>4.1194444444444445</v>
      </c>
      <c r="G3016">
        <f t="shared" ca="1" si="95"/>
        <v>0</v>
      </c>
    </row>
    <row r="3017" spans="1:7">
      <c r="A3017">
        <v>1885</v>
      </c>
      <c r="B3017" t="s">
        <v>32</v>
      </c>
      <c r="C3017" t="s">
        <v>140</v>
      </c>
      <c r="D3017" s="9">
        <v>40527.911192129628</v>
      </c>
      <c r="E3017" t="s">
        <v>27</v>
      </c>
      <c r="F3017">
        <f t="shared" ca="1" si="94"/>
        <v>4.1222222222222218</v>
      </c>
      <c r="G3017">
        <f t="shared" ca="1" si="95"/>
        <v>0</v>
      </c>
    </row>
    <row r="3018" spans="1:7">
      <c r="A3018">
        <v>1887</v>
      </c>
      <c r="B3018" t="s">
        <v>32</v>
      </c>
      <c r="C3018" t="s">
        <v>140</v>
      </c>
      <c r="D3018" s="9">
        <v>40527.888923611114</v>
      </c>
      <c r="E3018" t="s">
        <v>99</v>
      </c>
      <c r="F3018">
        <f t="shared" ca="1" si="94"/>
        <v>4.1222222222222218</v>
      </c>
      <c r="G3018">
        <f t="shared" ca="1" si="95"/>
        <v>0</v>
      </c>
    </row>
    <row r="3019" spans="1:7">
      <c r="A3019">
        <v>1888</v>
      </c>
      <c r="B3019" t="s">
        <v>32</v>
      </c>
      <c r="C3019" t="s">
        <v>140</v>
      </c>
      <c r="D3019" s="9">
        <v>40527.801666666666</v>
      </c>
      <c r="E3019" t="s">
        <v>99</v>
      </c>
      <c r="F3019">
        <f t="shared" ca="1" si="94"/>
        <v>4.1222222222222218</v>
      </c>
      <c r="G3019">
        <f t="shared" ca="1" si="95"/>
        <v>0</v>
      </c>
    </row>
    <row r="3020" spans="1:7">
      <c r="A3020">
        <v>1889</v>
      </c>
      <c r="B3020" t="s">
        <v>20</v>
      </c>
      <c r="C3020" t="s">
        <v>140</v>
      </c>
      <c r="D3020" s="9">
        <v>40527.905659722222</v>
      </c>
      <c r="E3020" t="s">
        <v>99</v>
      </c>
      <c r="F3020">
        <f t="shared" ca="1" si="94"/>
        <v>4.1222222222222218</v>
      </c>
      <c r="G3020">
        <f t="shared" ca="1" si="95"/>
        <v>0</v>
      </c>
    </row>
    <row r="3021" spans="1:7">
      <c r="A3021">
        <v>1890</v>
      </c>
      <c r="B3021" t="s">
        <v>20</v>
      </c>
      <c r="C3021" t="s">
        <v>133</v>
      </c>
      <c r="D3021" s="9">
        <v>40589.656041666669</v>
      </c>
      <c r="E3021" t="s">
        <v>8</v>
      </c>
      <c r="F3021">
        <f t="shared" ca="1" si="94"/>
        <v>3.9555555555555557</v>
      </c>
      <c r="G3021">
        <f t="shared" ca="1" si="95"/>
        <v>0</v>
      </c>
    </row>
    <row r="3022" spans="1:7">
      <c r="A3022">
        <v>1891</v>
      </c>
      <c r="B3022" t="s">
        <v>8</v>
      </c>
      <c r="C3022" t="s">
        <v>140</v>
      </c>
      <c r="D3022" s="9">
        <v>40527.518634259257</v>
      </c>
      <c r="E3022" t="s">
        <v>131</v>
      </c>
      <c r="F3022">
        <f t="shared" ca="1" si="94"/>
        <v>4.1222222222222218</v>
      </c>
      <c r="G3022">
        <f t="shared" ca="1" si="95"/>
        <v>0</v>
      </c>
    </row>
    <row r="3023" spans="1:7">
      <c r="A3023">
        <v>1892</v>
      </c>
      <c r="B3023" t="s">
        <v>27</v>
      </c>
      <c r="C3023" t="s">
        <v>140</v>
      </c>
      <c r="D3023" s="9">
        <v>40527.473749999997</v>
      </c>
      <c r="E3023" t="s">
        <v>131</v>
      </c>
      <c r="F3023">
        <f t="shared" ca="1" si="94"/>
        <v>4.1222222222222218</v>
      </c>
      <c r="G3023">
        <f t="shared" ca="1" si="95"/>
        <v>0</v>
      </c>
    </row>
    <row r="3024" spans="1:7">
      <c r="A3024">
        <v>1893</v>
      </c>
      <c r="B3024" t="s">
        <v>27</v>
      </c>
      <c r="C3024" t="s">
        <v>140</v>
      </c>
      <c r="D3024" s="9">
        <v>40527.483530092592</v>
      </c>
      <c r="E3024" t="s">
        <v>131</v>
      </c>
      <c r="F3024">
        <f t="shared" ca="1" si="94"/>
        <v>4.1222222222222218</v>
      </c>
      <c r="G3024">
        <f t="shared" ca="1" si="95"/>
        <v>0</v>
      </c>
    </row>
    <row r="3025" spans="1:7">
      <c r="A3025">
        <v>1897</v>
      </c>
      <c r="B3025" t="s">
        <v>38</v>
      </c>
      <c r="C3025" t="s">
        <v>140</v>
      </c>
      <c r="D3025" s="9">
        <v>40528.487708333334</v>
      </c>
      <c r="E3025" t="s">
        <v>131</v>
      </c>
      <c r="F3025">
        <f t="shared" ca="1" si="94"/>
        <v>4.1194444444444445</v>
      </c>
      <c r="G3025">
        <f t="shared" ca="1" si="95"/>
        <v>0</v>
      </c>
    </row>
    <row r="3026" spans="1:7">
      <c r="A3026">
        <v>1898</v>
      </c>
      <c r="B3026" t="s">
        <v>8</v>
      </c>
      <c r="C3026" t="s">
        <v>140</v>
      </c>
      <c r="D3026" s="9">
        <v>40527.674502314818</v>
      </c>
      <c r="E3026" t="s">
        <v>131</v>
      </c>
      <c r="F3026">
        <f t="shared" ca="1" si="94"/>
        <v>4.1222222222222218</v>
      </c>
      <c r="G3026">
        <f t="shared" ca="1" si="95"/>
        <v>0</v>
      </c>
    </row>
    <row r="3027" spans="1:7">
      <c r="A3027">
        <v>1900</v>
      </c>
      <c r="B3027" t="s">
        <v>131</v>
      </c>
      <c r="C3027" t="s">
        <v>140</v>
      </c>
      <c r="D3027" s="9">
        <v>40528.687974537039</v>
      </c>
      <c r="E3027" t="s">
        <v>32</v>
      </c>
      <c r="F3027">
        <f t="shared" ca="1" si="94"/>
        <v>4.1194444444444445</v>
      </c>
      <c r="G3027">
        <f t="shared" ca="1" si="95"/>
        <v>0</v>
      </c>
    </row>
    <row r="3028" spans="1:7">
      <c r="A3028">
        <v>1907</v>
      </c>
      <c r="B3028" t="s">
        <v>99</v>
      </c>
      <c r="C3028" t="s">
        <v>140</v>
      </c>
      <c r="D3028" s="9">
        <v>40528.5075</v>
      </c>
      <c r="E3028" t="s">
        <v>32</v>
      </c>
      <c r="F3028">
        <f t="shared" ca="1" si="94"/>
        <v>4.1194444444444445</v>
      </c>
      <c r="G3028">
        <f t="shared" ca="1" si="95"/>
        <v>0</v>
      </c>
    </row>
    <row r="3029" spans="1:7">
      <c r="A3029">
        <v>1908</v>
      </c>
      <c r="B3029" t="s">
        <v>99</v>
      </c>
      <c r="C3029" t="s">
        <v>140</v>
      </c>
      <c r="D3029" s="9">
        <v>40528.529189814813</v>
      </c>
      <c r="E3029" t="s">
        <v>131</v>
      </c>
      <c r="F3029">
        <f t="shared" ca="1" si="94"/>
        <v>4.1194444444444445</v>
      </c>
      <c r="G3029">
        <f t="shared" ca="1" si="95"/>
        <v>0</v>
      </c>
    </row>
    <row r="3030" spans="1:7">
      <c r="A3030">
        <v>1910</v>
      </c>
      <c r="B3030" t="s">
        <v>99</v>
      </c>
      <c r="C3030" t="s">
        <v>140</v>
      </c>
      <c r="D3030" s="9">
        <v>40526.874548611115</v>
      </c>
      <c r="E3030" t="s">
        <v>11</v>
      </c>
      <c r="F3030">
        <f t="shared" ca="1" si="94"/>
        <v>4.125</v>
      </c>
      <c r="G3030">
        <f t="shared" ca="1" si="95"/>
        <v>0</v>
      </c>
    </row>
    <row r="3031" spans="1:7">
      <c r="A3031">
        <v>1911</v>
      </c>
      <c r="B3031" t="s">
        <v>8</v>
      </c>
      <c r="C3031" t="s">
        <v>133</v>
      </c>
      <c r="D3031" s="9">
        <v>40589.649895833332</v>
      </c>
      <c r="E3031" t="s">
        <v>99</v>
      </c>
      <c r="F3031">
        <f t="shared" ca="1" si="94"/>
        <v>3.9555555555555557</v>
      </c>
      <c r="G3031">
        <f t="shared" ca="1" si="95"/>
        <v>0</v>
      </c>
    </row>
    <row r="3032" spans="1:7">
      <c r="A3032">
        <v>1912</v>
      </c>
      <c r="B3032" t="s">
        <v>44</v>
      </c>
      <c r="C3032" t="s">
        <v>140</v>
      </c>
      <c r="D3032" s="9">
        <v>40525.843217592592</v>
      </c>
      <c r="E3032" t="s">
        <v>11</v>
      </c>
      <c r="F3032">
        <f t="shared" ca="1" si="94"/>
        <v>4.1277777777777782</v>
      </c>
      <c r="G3032">
        <f t="shared" ca="1" si="95"/>
        <v>0</v>
      </c>
    </row>
    <row r="3033" spans="1:7">
      <c r="A3033">
        <v>1913</v>
      </c>
      <c r="B3033" t="s">
        <v>11</v>
      </c>
      <c r="C3033" t="s">
        <v>133</v>
      </c>
      <c r="D3033" s="9">
        <v>40589.585752314815</v>
      </c>
      <c r="E3033" t="s">
        <v>131</v>
      </c>
      <c r="F3033">
        <f t="shared" ca="1" si="94"/>
        <v>3.9555555555555557</v>
      </c>
      <c r="G3033">
        <f t="shared" ca="1" si="95"/>
        <v>0</v>
      </c>
    </row>
    <row r="3034" spans="1:7">
      <c r="A3034">
        <v>1914</v>
      </c>
      <c r="B3034" t="s">
        <v>36</v>
      </c>
      <c r="C3034" t="s">
        <v>133</v>
      </c>
      <c r="D3034" s="9">
        <v>40589.593113425923</v>
      </c>
      <c r="E3034" t="s">
        <v>131</v>
      </c>
      <c r="F3034">
        <f t="shared" ca="1" si="94"/>
        <v>3.9555555555555557</v>
      </c>
      <c r="G3034">
        <f t="shared" ca="1" si="95"/>
        <v>0</v>
      </c>
    </row>
    <row r="3035" spans="1:7">
      <c r="A3035">
        <v>1915</v>
      </c>
      <c r="B3035" t="s">
        <v>32</v>
      </c>
      <c r="C3035" t="s">
        <v>133</v>
      </c>
      <c r="D3035" s="9">
        <v>40589.594490740739</v>
      </c>
      <c r="E3035" t="s">
        <v>131</v>
      </c>
      <c r="F3035">
        <f t="shared" ca="1" si="94"/>
        <v>3.9555555555555557</v>
      </c>
      <c r="G3035">
        <f t="shared" ca="1" si="95"/>
        <v>0</v>
      </c>
    </row>
    <row r="3036" spans="1:7">
      <c r="A3036">
        <v>1916</v>
      </c>
      <c r="B3036" t="s">
        <v>11</v>
      </c>
      <c r="C3036" t="s">
        <v>133</v>
      </c>
      <c r="D3036" s="9">
        <v>40589.596620370372</v>
      </c>
      <c r="E3036" t="s">
        <v>131</v>
      </c>
      <c r="F3036">
        <f t="shared" ca="1" si="94"/>
        <v>3.9555555555555557</v>
      </c>
      <c r="G3036">
        <f t="shared" ca="1" si="95"/>
        <v>0</v>
      </c>
    </row>
    <row r="3037" spans="1:7">
      <c r="A3037">
        <v>1917</v>
      </c>
      <c r="B3037" t="s">
        <v>44</v>
      </c>
      <c r="C3037" t="s">
        <v>132</v>
      </c>
      <c r="D3037" s="9">
        <v>40659.698634259257</v>
      </c>
      <c r="E3037" t="s">
        <v>131</v>
      </c>
      <c r="F3037">
        <f t="shared" ca="1" si="94"/>
        <v>3.7583333333333333</v>
      </c>
      <c r="G3037">
        <f t="shared" ca="1" si="95"/>
        <v>0</v>
      </c>
    </row>
    <row r="3038" spans="1:7">
      <c r="A3038">
        <v>1919</v>
      </c>
      <c r="B3038" t="s">
        <v>131</v>
      </c>
      <c r="C3038" t="s">
        <v>140</v>
      </c>
      <c r="D3038" s="9">
        <v>40528.463483796295</v>
      </c>
      <c r="E3038" t="s">
        <v>44</v>
      </c>
      <c r="F3038">
        <f t="shared" ca="1" si="94"/>
        <v>4.1194444444444445</v>
      </c>
      <c r="G3038">
        <f t="shared" ca="1" si="95"/>
        <v>0</v>
      </c>
    </row>
    <row r="3039" spans="1:7">
      <c r="A3039">
        <v>1921</v>
      </c>
      <c r="B3039" t="s">
        <v>131</v>
      </c>
      <c r="C3039" t="s">
        <v>140</v>
      </c>
      <c r="D3039" s="9">
        <v>40529.405532407407</v>
      </c>
      <c r="E3039" t="s">
        <v>34</v>
      </c>
      <c r="F3039">
        <f t="shared" ca="1" si="94"/>
        <v>4.1166666666666663</v>
      </c>
      <c r="G3039">
        <f t="shared" ca="1" si="95"/>
        <v>0</v>
      </c>
    </row>
    <row r="3040" spans="1:7">
      <c r="A3040">
        <v>1925</v>
      </c>
      <c r="B3040" t="s">
        <v>8</v>
      </c>
      <c r="C3040" t="s">
        <v>133</v>
      </c>
      <c r="D3040" s="9">
        <v>40590.651597222219</v>
      </c>
      <c r="E3040" t="s">
        <v>19</v>
      </c>
      <c r="F3040">
        <f t="shared" ca="1" si="94"/>
        <v>3.9527777777777779</v>
      </c>
      <c r="G3040">
        <f t="shared" ca="1" si="95"/>
        <v>0</v>
      </c>
    </row>
    <row r="3041" spans="1:7">
      <c r="A3041">
        <v>1927</v>
      </c>
      <c r="B3041" t="s">
        <v>111</v>
      </c>
      <c r="C3041" t="s">
        <v>133</v>
      </c>
      <c r="D3041" s="9">
        <v>40590.660787037035</v>
      </c>
      <c r="E3041" t="s">
        <v>101</v>
      </c>
      <c r="F3041">
        <f t="shared" ca="1" si="94"/>
        <v>3.9527777777777779</v>
      </c>
      <c r="G3041">
        <f t="shared" ca="1" si="95"/>
        <v>0</v>
      </c>
    </row>
    <row r="3042" spans="1:7">
      <c r="A3042">
        <v>1928</v>
      </c>
      <c r="B3042" t="s">
        <v>99</v>
      </c>
      <c r="C3042" t="s">
        <v>140</v>
      </c>
      <c r="D3042" s="9">
        <v>40528.620023148149</v>
      </c>
      <c r="E3042" t="s">
        <v>131</v>
      </c>
      <c r="F3042">
        <f t="shared" ca="1" si="94"/>
        <v>4.1194444444444445</v>
      </c>
      <c r="G3042">
        <f t="shared" ca="1" si="95"/>
        <v>0</v>
      </c>
    </row>
    <row r="3043" spans="1:7">
      <c r="A3043">
        <v>1929</v>
      </c>
      <c r="B3043" t="s">
        <v>38</v>
      </c>
      <c r="C3043" t="s">
        <v>140</v>
      </c>
      <c r="D3043" s="9">
        <v>40527.781793981485</v>
      </c>
      <c r="E3043" t="s">
        <v>99</v>
      </c>
      <c r="F3043">
        <f t="shared" ca="1" si="94"/>
        <v>4.1222222222222218</v>
      </c>
      <c r="G3043">
        <f t="shared" ca="1" si="95"/>
        <v>0</v>
      </c>
    </row>
    <row r="3044" spans="1:7">
      <c r="A3044">
        <v>1930</v>
      </c>
      <c r="B3044" t="s">
        <v>20</v>
      </c>
      <c r="C3044" t="s">
        <v>140</v>
      </c>
      <c r="D3044" s="9">
        <v>40527.613402777781</v>
      </c>
      <c r="E3044" t="s">
        <v>131</v>
      </c>
      <c r="F3044">
        <f t="shared" ca="1" si="94"/>
        <v>4.1222222222222218</v>
      </c>
      <c r="G3044">
        <f t="shared" ca="1" si="95"/>
        <v>0</v>
      </c>
    </row>
    <row r="3045" spans="1:7">
      <c r="A3045">
        <v>1932</v>
      </c>
      <c r="B3045" t="s">
        <v>20</v>
      </c>
      <c r="C3045" t="s">
        <v>140</v>
      </c>
      <c r="D3045" s="9">
        <v>40527.913402777776</v>
      </c>
      <c r="E3045" t="s">
        <v>99</v>
      </c>
      <c r="F3045">
        <f t="shared" ca="1" si="94"/>
        <v>4.1222222222222218</v>
      </c>
      <c r="G3045">
        <f t="shared" ca="1" si="95"/>
        <v>0</v>
      </c>
    </row>
    <row r="3046" spans="1:7">
      <c r="A3046">
        <v>1935</v>
      </c>
      <c r="B3046" t="s">
        <v>8</v>
      </c>
      <c r="C3046" t="s">
        <v>140</v>
      </c>
      <c r="D3046" s="9">
        <v>40527.592777777776</v>
      </c>
      <c r="E3046" t="s">
        <v>131</v>
      </c>
      <c r="F3046">
        <f t="shared" ca="1" si="94"/>
        <v>4.1222222222222218</v>
      </c>
      <c r="G3046">
        <f t="shared" ca="1" si="95"/>
        <v>0</v>
      </c>
    </row>
    <row r="3047" spans="1:7">
      <c r="A3047">
        <v>1937</v>
      </c>
      <c r="B3047" t="s">
        <v>101</v>
      </c>
      <c r="C3047" t="s">
        <v>140</v>
      </c>
      <c r="D3047" s="9">
        <v>40527.565532407411</v>
      </c>
      <c r="E3047" t="s">
        <v>32</v>
      </c>
      <c r="F3047">
        <f t="shared" ca="1" si="94"/>
        <v>4.1222222222222218</v>
      </c>
      <c r="G3047">
        <f t="shared" ca="1" si="95"/>
        <v>0</v>
      </c>
    </row>
    <row r="3048" spans="1:7">
      <c r="A3048">
        <v>1939</v>
      </c>
      <c r="B3048" t="s">
        <v>34</v>
      </c>
      <c r="C3048" t="s">
        <v>133</v>
      </c>
      <c r="D3048" s="9">
        <v>40589.431226851855</v>
      </c>
      <c r="E3048" t="s">
        <v>131</v>
      </c>
      <c r="F3048">
        <f t="shared" ca="1" si="94"/>
        <v>3.9555555555555557</v>
      </c>
      <c r="G3048">
        <f t="shared" ca="1" si="95"/>
        <v>0</v>
      </c>
    </row>
    <row r="3049" spans="1:7">
      <c r="A3049">
        <v>1941</v>
      </c>
      <c r="B3049" t="s">
        <v>38</v>
      </c>
      <c r="C3049" t="s">
        <v>140</v>
      </c>
      <c r="D3049" s="9">
        <v>40527.695381944446</v>
      </c>
      <c r="E3049" t="s">
        <v>32</v>
      </c>
      <c r="F3049">
        <f t="shared" ca="1" si="94"/>
        <v>4.1222222222222218</v>
      </c>
      <c r="G3049">
        <f t="shared" ca="1" si="95"/>
        <v>0</v>
      </c>
    </row>
    <row r="3050" spans="1:7">
      <c r="A3050">
        <v>1943</v>
      </c>
      <c r="B3050" t="s">
        <v>36</v>
      </c>
      <c r="C3050" t="s">
        <v>140</v>
      </c>
      <c r="D3050" s="9">
        <v>40528.416770833333</v>
      </c>
      <c r="E3050" t="s">
        <v>131</v>
      </c>
      <c r="F3050">
        <f t="shared" ca="1" si="94"/>
        <v>4.1194444444444445</v>
      </c>
      <c r="G3050">
        <f t="shared" ca="1" si="95"/>
        <v>0</v>
      </c>
    </row>
    <row r="3051" spans="1:7">
      <c r="A3051">
        <v>1944</v>
      </c>
      <c r="B3051" t="s">
        <v>11</v>
      </c>
      <c r="C3051" t="s">
        <v>128</v>
      </c>
      <c r="D3051" s="9">
        <v>40920.017280092594</v>
      </c>
      <c r="E3051" t="s">
        <v>36</v>
      </c>
      <c r="F3051">
        <f t="shared" ca="1" si="94"/>
        <v>3.0472222222222221</v>
      </c>
      <c r="G3051">
        <f t="shared" ca="1" si="95"/>
        <v>0</v>
      </c>
    </row>
    <row r="3052" spans="1:7">
      <c r="A3052">
        <v>1945</v>
      </c>
      <c r="B3052" t="s">
        <v>99</v>
      </c>
      <c r="C3052" t="s">
        <v>140</v>
      </c>
      <c r="D3052" s="9">
        <v>40528.644942129627</v>
      </c>
      <c r="E3052" t="s">
        <v>131</v>
      </c>
      <c r="F3052">
        <f t="shared" ca="1" si="94"/>
        <v>4.1194444444444445</v>
      </c>
      <c r="G3052">
        <f t="shared" ca="1" si="95"/>
        <v>0</v>
      </c>
    </row>
    <row r="3053" spans="1:7">
      <c r="A3053">
        <v>1946</v>
      </c>
      <c r="B3053" t="s">
        <v>111</v>
      </c>
      <c r="C3053" t="s">
        <v>140</v>
      </c>
      <c r="D3053" s="9">
        <v>40528.483078703706</v>
      </c>
      <c r="E3053" t="s">
        <v>131</v>
      </c>
      <c r="F3053">
        <f t="shared" ca="1" si="94"/>
        <v>4.1194444444444445</v>
      </c>
      <c r="G3053">
        <f t="shared" ca="1" si="95"/>
        <v>0</v>
      </c>
    </row>
    <row r="3054" spans="1:7">
      <c r="A3054">
        <v>1948</v>
      </c>
      <c r="B3054" t="s">
        <v>20</v>
      </c>
      <c r="C3054" t="s">
        <v>140</v>
      </c>
      <c r="D3054" s="9">
        <v>40527.574490740742</v>
      </c>
      <c r="E3054" t="s">
        <v>32</v>
      </c>
      <c r="F3054">
        <f t="shared" ca="1" si="94"/>
        <v>4.1222222222222218</v>
      </c>
      <c r="G3054">
        <f t="shared" ca="1" si="95"/>
        <v>0</v>
      </c>
    </row>
    <row r="3055" spans="1:7">
      <c r="A3055">
        <v>1952</v>
      </c>
      <c r="B3055" t="s">
        <v>34</v>
      </c>
      <c r="C3055" t="s">
        <v>140</v>
      </c>
      <c r="D3055" s="9">
        <v>40527.573472222219</v>
      </c>
      <c r="E3055" t="s">
        <v>44</v>
      </c>
      <c r="F3055">
        <f t="shared" ref="F3055:F3118" ca="1" si="96">YEARFRAC(TODAY(),$D3055)</f>
        <v>4.1222222222222218</v>
      </c>
      <c r="G3055">
        <f t="shared" ref="G3055:G3118" ca="1" si="97">IF($F3055&lt;1,1,0)</f>
        <v>0</v>
      </c>
    </row>
    <row r="3056" spans="1:7">
      <c r="A3056">
        <v>1953</v>
      </c>
      <c r="B3056" t="s">
        <v>44</v>
      </c>
      <c r="C3056" t="s">
        <v>133</v>
      </c>
      <c r="D3056" s="9">
        <v>40589.541724537034</v>
      </c>
      <c r="E3056" t="s">
        <v>8</v>
      </c>
      <c r="F3056">
        <f t="shared" ca="1" si="96"/>
        <v>3.9555555555555557</v>
      </c>
      <c r="G3056">
        <f t="shared" ca="1" si="97"/>
        <v>0</v>
      </c>
    </row>
    <row r="3057" spans="1:7">
      <c r="A3057">
        <v>1954</v>
      </c>
      <c r="B3057" t="s">
        <v>99</v>
      </c>
      <c r="C3057" t="s">
        <v>140</v>
      </c>
      <c r="D3057" s="9">
        <v>40527.826967592591</v>
      </c>
      <c r="E3057" t="s">
        <v>27</v>
      </c>
      <c r="F3057">
        <f t="shared" ca="1" si="96"/>
        <v>4.1222222222222218</v>
      </c>
      <c r="G3057">
        <f t="shared" ca="1" si="97"/>
        <v>0</v>
      </c>
    </row>
    <row r="3058" spans="1:7">
      <c r="A3058">
        <v>1955</v>
      </c>
      <c r="B3058" t="s">
        <v>99</v>
      </c>
      <c r="C3058" t="s">
        <v>140</v>
      </c>
      <c r="D3058" s="9">
        <v>40528.788946759261</v>
      </c>
      <c r="E3058" t="s">
        <v>27</v>
      </c>
      <c r="F3058">
        <f t="shared" ca="1" si="96"/>
        <v>4.1194444444444445</v>
      </c>
      <c r="G3058">
        <f t="shared" ca="1" si="97"/>
        <v>0</v>
      </c>
    </row>
    <row r="3059" spans="1:7">
      <c r="A3059">
        <v>1956</v>
      </c>
      <c r="B3059" t="s">
        <v>99</v>
      </c>
      <c r="C3059" t="s">
        <v>140</v>
      </c>
      <c r="D3059" s="9">
        <v>40527.796111111114</v>
      </c>
      <c r="E3059" t="s">
        <v>20</v>
      </c>
      <c r="F3059">
        <f t="shared" ca="1" si="96"/>
        <v>4.1222222222222218</v>
      </c>
      <c r="G3059">
        <f t="shared" ca="1" si="97"/>
        <v>0</v>
      </c>
    </row>
    <row r="3060" spans="1:7">
      <c r="A3060">
        <v>1957</v>
      </c>
      <c r="B3060" t="s">
        <v>99</v>
      </c>
      <c r="C3060" t="s">
        <v>140</v>
      </c>
      <c r="D3060" s="9">
        <v>40527.796527777777</v>
      </c>
      <c r="E3060" t="s">
        <v>20</v>
      </c>
      <c r="F3060">
        <f t="shared" ca="1" si="96"/>
        <v>4.1222222222222218</v>
      </c>
      <c r="G3060">
        <f t="shared" ca="1" si="97"/>
        <v>0</v>
      </c>
    </row>
    <row r="3061" spans="1:7">
      <c r="A3061">
        <v>1959</v>
      </c>
      <c r="B3061" t="s">
        <v>99</v>
      </c>
      <c r="C3061" t="s">
        <v>140</v>
      </c>
      <c r="D3061" s="9">
        <v>40528.664988425924</v>
      </c>
      <c r="E3061" t="s">
        <v>131</v>
      </c>
      <c r="F3061">
        <f t="shared" ca="1" si="96"/>
        <v>4.1194444444444445</v>
      </c>
      <c r="G3061">
        <f t="shared" ca="1" si="97"/>
        <v>0</v>
      </c>
    </row>
    <row r="3062" spans="1:7">
      <c r="A3062">
        <v>1960</v>
      </c>
      <c r="B3062" t="s">
        <v>111</v>
      </c>
      <c r="C3062" t="s">
        <v>140</v>
      </c>
      <c r="D3062" s="9">
        <v>41190.689027777778</v>
      </c>
      <c r="E3062" t="s">
        <v>131</v>
      </c>
      <c r="F3062">
        <f t="shared" ca="1" si="96"/>
        <v>2.3083333333333331</v>
      </c>
      <c r="G3062">
        <f t="shared" ca="1" si="97"/>
        <v>0</v>
      </c>
    </row>
    <row r="3063" spans="1:7">
      <c r="A3063">
        <v>1962</v>
      </c>
      <c r="B3063" t="s">
        <v>131</v>
      </c>
      <c r="C3063" t="s">
        <v>140</v>
      </c>
      <c r="D3063" s="9">
        <v>40529.216238425928</v>
      </c>
      <c r="E3063" t="s">
        <v>38</v>
      </c>
      <c r="F3063">
        <f t="shared" ca="1" si="96"/>
        <v>4.1166666666666663</v>
      </c>
      <c r="G3063">
        <f t="shared" ca="1" si="97"/>
        <v>0</v>
      </c>
    </row>
    <row r="3064" spans="1:7">
      <c r="A3064">
        <v>1964</v>
      </c>
      <c r="B3064" t="s">
        <v>44</v>
      </c>
      <c r="C3064" t="s">
        <v>140</v>
      </c>
      <c r="D3064" s="9">
        <v>40527.779074074075</v>
      </c>
      <c r="E3064" t="s">
        <v>99</v>
      </c>
      <c r="F3064">
        <f t="shared" ca="1" si="96"/>
        <v>4.1222222222222218</v>
      </c>
      <c r="G3064">
        <f t="shared" ca="1" si="97"/>
        <v>0</v>
      </c>
    </row>
    <row r="3065" spans="1:7">
      <c r="A3065">
        <v>1968</v>
      </c>
      <c r="B3065" t="s">
        <v>99</v>
      </c>
      <c r="C3065" t="s">
        <v>140</v>
      </c>
      <c r="D3065" s="9">
        <v>40527.844131944446</v>
      </c>
      <c r="E3065" t="s">
        <v>38</v>
      </c>
      <c r="F3065">
        <f t="shared" ca="1" si="96"/>
        <v>4.1222222222222218</v>
      </c>
      <c r="G3065">
        <f t="shared" ca="1" si="97"/>
        <v>0</v>
      </c>
    </row>
    <row r="3066" spans="1:7">
      <c r="A3066">
        <v>1969</v>
      </c>
      <c r="B3066" t="s">
        <v>99</v>
      </c>
      <c r="C3066" t="s">
        <v>133</v>
      </c>
      <c r="D3066" s="9">
        <v>40589.62877314815</v>
      </c>
      <c r="E3066" t="s">
        <v>8</v>
      </c>
      <c r="F3066">
        <f t="shared" ca="1" si="96"/>
        <v>3.9555555555555557</v>
      </c>
      <c r="G3066">
        <f t="shared" ca="1" si="97"/>
        <v>0</v>
      </c>
    </row>
    <row r="3067" spans="1:7">
      <c r="A3067">
        <v>1971</v>
      </c>
      <c r="B3067" t="s">
        <v>38</v>
      </c>
      <c r="C3067" t="s">
        <v>140</v>
      </c>
      <c r="D3067" s="9">
        <v>40527.591620370367</v>
      </c>
      <c r="E3067" t="s">
        <v>112</v>
      </c>
      <c r="F3067">
        <f t="shared" ca="1" si="96"/>
        <v>4.1222222222222218</v>
      </c>
      <c r="G3067">
        <f t="shared" ca="1" si="97"/>
        <v>0</v>
      </c>
    </row>
    <row r="3068" spans="1:7">
      <c r="A3068">
        <v>1972</v>
      </c>
      <c r="B3068" t="s">
        <v>34</v>
      </c>
      <c r="C3068" t="s">
        <v>133</v>
      </c>
      <c r="D3068" s="9">
        <v>40589.503680555557</v>
      </c>
      <c r="E3068" t="s">
        <v>144</v>
      </c>
      <c r="F3068">
        <f t="shared" ca="1" si="96"/>
        <v>3.9555555555555557</v>
      </c>
      <c r="G3068">
        <f t="shared" ca="1" si="97"/>
        <v>0</v>
      </c>
    </row>
    <row r="3069" spans="1:7">
      <c r="A3069">
        <v>1973</v>
      </c>
      <c r="B3069" t="s">
        <v>99</v>
      </c>
      <c r="C3069" t="s">
        <v>140</v>
      </c>
      <c r="D3069" s="9">
        <v>40528.579247685186</v>
      </c>
      <c r="E3069" t="s">
        <v>20</v>
      </c>
      <c r="F3069">
        <f t="shared" ca="1" si="96"/>
        <v>4.1194444444444445</v>
      </c>
      <c r="G3069">
        <f t="shared" ca="1" si="97"/>
        <v>0</v>
      </c>
    </row>
    <row r="3070" spans="1:7">
      <c r="A3070">
        <v>1974</v>
      </c>
      <c r="B3070" t="s">
        <v>99</v>
      </c>
      <c r="C3070" t="s">
        <v>140</v>
      </c>
      <c r="D3070" s="9">
        <v>40528.644999999997</v>
      </c>
      <c r="E3070" t="s">
        <v>32</v>
      </c>
      <c r="F3070">
        <f t="shared" ca="1" si="96"/>
        <v>4.1194444444444445</v>
      </c>
      <c r="G3070">
        <f t="shared" ca="1" si="97"/>
        <v>0</v>
      </c>
    </row>
    <row r="3071" spans="1:7">
      <c r="A3071">
        <v>1975</v>
      </c>
      <c r="B3071" t="s">
        <v>99</v>
      </c>
      <c r="C3071" t="s">
        <v>140</v>
      </c>
      <c r="D3071" s="9">
        <v>40528.810844907406</v>
      </c>
      <c r="E3071" t="s">
        <v>27</v>
      </c>
      <c r="F3071">
        <f t="shared" ca="1" si="96"/>
        <v>4.1194444444444445</v>
      </c>
      <c r="G3071">
        <f t="shared" ca="1" si="97"/>
        <v>0</v>
      </c>
    </row>
    <row r="3072" spans="1:7">
      <c r="A3072">
        <v>1976</v>
      </c>
      <c r="B3072" t="s">
        <v>19</v>
      </c>
      <c r="C3072" t="s">
        <v>140</v>
      </c>
      <c r="D3072" s="9">
        <v>40528.670324074075</v>
      </c>
      <c r="E3072" t="s">
        <v>131</v>
      </c>
      <c r="F3072">
        <f t="shared" ca="1" si="96"/>
        <v>4.1194444444444445</v>
      </c>
      <c r="G3072">
        <f t="shared" ca="1" si="97"/>
        <v>0</v>
      </c>
    </row>
    <row r="3073" spans="1:7">
      <c r="A3073">
        <v>1977</v>
      </c>
      <c r="B3073" t="s">
        <v>19</v>
      </c>
      <c r="C3073" t="s">
        <v>132</v>
      </c>
      <c r="D3073" s="9">
        <v>40665.932962962965</v>
      </c>
      <c r="E3073" t="s">
        <v>11</v>
      </c>
      <c r="F3073">
        <f t="shared" ca="1" si="96"/>
        <v>3.7416666666666667</v>
      </c>
      <c r="G3073">
        <f t="shared" ca="1" si="97"/>
        <v>0</v>
      </c>
    </row>
    <row r="3074" spans="1:7">
      <c r="A3074">
        <v>1978</v>
      </c>
      <c r="B3074" t="s">
        <v>19</v>
      </c>
      <c r="C3074" t="s">
        <v>132</v>
      </c>
      <c r="D3074" s="9">
        <v>40667.953229166669</v>
      </c>
      <c r="E3074" t="s">
        <v>38</v>
      </c>
      <c r="F3074">
        <f t="shared" ca="1" si="96"/>
        <v>3.7361111111111112</v>
      </c>
      <c r="G3074">
        <f t="shared" ca="1" si="97"/>
        <v>0</v>
      </c>
    </row>
    <row r="3075" spans="1:7">
      <c r="A3075">
        <v>1979</v>
      </c>
      <c r="B3075" t="s">
        <v>99</v>
      </c>
      <c r="C3075" t="s">
        <v>140</v>
      </c>
      <c r="D3075" s="9">
        <v>40527.706793981481</v>
      </c>
      <c r="E3075" t="s">
        <v>27</v>
      </c>
      <c r="F3075">
        <f t="shared" ca="1" si="96"/>
        <v>4.1222222222222218</v>
      </c>
      <c r="G3075">
        <f t="shared" ca="1" si="97"/>
        <v>0</v>
      </c>
    </row>
    <row r="3076" spans="1:7">
      <c r="A3076">
        <v>1982</v>
      </c>
      <c r="B3076" t="s">
        <v>99</v>
      </c>
      <c r="C3076" t="s">
        <v>140</v>
      </c>
      <c r="D3076" s="9">
        <v>40527.767546296294</v>
      </c>
      <c r="E3076" t="s">
        <v>36</v>
      </c>
      <c r="F3076">
        <f t="shared" ca="1" si="96"/>
        <v>4.1222222222222218</v>
      </c>
      <c r="G3076">
        <f t="shared" ca="1" si="97"/>
        <v>0</v>
      </c>
    </row>
    <row r="3077" spans="1:7">
      <c r="A3077">
        <v>1983</v>
      </c>
      <c r="B3077" t="s">
        <v>99</v>
      </c>
      <c r="C3077" t="s">
        <v>140</v>
      </c>
      <c r="D3077" s="9">
        <v>40528.581574074073</v>
      </c>
      <c r="E3077" t="s">
        <v>20</v>
      </c>
      <c r="F3077">
        <f t="shared" ca="1" si="96"/>
        <v>4.1194444444444445</v>
      </c>
      <c r="G3077">
        <f t="shared" ca="1" si="97"/>
        <v>0</v>
      </c>
    </row>
    <row r="3078" spans="1:7">
      <c r="A3078">
        <v>1984</v>
      </c>
      <c r="B3078" t="s">
        <v>99</v>
      </c>
      <c r="C3078" t="s">
        <v>140</v>
      </c>
      <c r="D3078" s="9">
        <v>40527.762407407405</v>
      </c>
      <c r="E3078" t="s">
        <v>36</v>
      </c>
      <c r="F3078">
        <f t="shared" ca="1" si="96"/>
        <v>4.1222222222222218</v>
      </c>
      <c r="G3078">
        <f t="shared" ca="1" si="97"/>
        <v>0</v>
      </c>
    </row>
    <row r="3079" spans="1:7">
      <c r="A3079">
        <v>1986</v>
      </c>
      <c r="B3079" t="s">
        <v>131</v>
      </c>
      <c r="C3079" t="s">
        <v>140</v>
      </c>
      <c r="D3079" s="9">
        <v>40527.82230324074</v>
      </c>
      <c r="E3079" t="s">
        <v>38</v>
      </c>
      <c r="F3079">
        <f t="shared" ca="1" si="96"/>
        <v>4.1222222222222218</v>
      </c>
      <c r="G3079">
        <f t="shared" ca="1" si="97"/>
        <v>0</v>
      </c>
    </row>
    <row r="3080" spans="1:7">
      <c r="A3080">
        <v>1988</v>
      </c>
      <c r="B3080" t="s">
        <v>131</v>
      </c>
      <c r="C3080" t="s">
        <v>140</v>
      </c>
      <c r="D3080" s="9">
        <v>40527.953275462962</v>
      </c>
      <c r="E3080" t="s">
        <v>99</v>
      </c>
      <c r="F3080">
        <f t="shared" ca="1" si="96"/>
        <v>4.1222222222222218</v>
      </c>
      <c r="G3080">
        <f t="shared" ca="1" si="97"/>
        <v>0</v>
      </c>
    </row>
    <row r="3081" spans="1:7">
      <c r="A3081">
        <v>1990</v>
      </c>
      <c r="B3081" t="s">
        <v>8</v>
      </c>
      <c r="C3081" t="s">
        <v>133</v>
      </c>
      <c r="D3081" s="9">
        <v>40589.457743055558</v>
      </c>
      <c r="E3081" t="s">
        <v>131</v>
      </c>
      <c r="F3081">
        <f t="shared" ca="1" si="96"/>
        <v>3.9555555555555557</v>
      </c>
      <c r="G3081">
        <f t="shared" ca="1" si="97"/>
        <v>0</v>
      </c>
    </row>
    <row r="3082" spans="1:7">
      <c r="A3082">
        <v>1993</v>
      </c>
      <c r="B3082" t="s">
        <v>131</v>
      </c>
      <c r="C3082" t="s">
        <v>140</v>
      </c>
      <c r="D3082" s="9">
        <v>40528.743935185186</v>
      </c>
      <c r="E3082" t="s">
        <v>101</v>
      </c>
      <c r="F3082">
        <f t="shared" ca="1" si="96"/>
        <v>4.1194444444444445</v>
      </c>
      <c r="G3082">
        <f t="shared" ca="1" si="97"/>
        <v>0</v>
      </c>
    </row>
    <row r="3083" spans="1:7">
      <c r="A3083">
        <v>1994</v>
      </c>
      <c r="B3083" t="s">
        <v>101</v>
      </c>
      <c r="C3083" t="s">
        <v>133</v>
      </c>
      <c r="D3083" s="9">
        <v>40588.659629629627</v>
      </c>
      <c r="E3083" t="s">
        <v>112</v>
      </c>
      <c r="F3083">
        <f t="shared" ca="1" si="96"/>
        <v>3.9583333333333335</v>
      </c>
      <c r="G3083">
        <f t="shared" ca="1" si="97"/>
        <v>0</v>
      </c>
    </row>
    <row r="3084" spans="1:7">
      <c r="A3084">
        <v>1997</v>
      </c>
      <c r="B3084" t="s">
        <v>44</v>
      </c>
      <c r="C3084" t="s">
        <v>140</v>
      </c>
      <c r="D3084" s="9">
        <v>40527.82671296296</v>
      </c>
      <c r="E3084" t="s">
        <v>99</v>
      </c>
      <c r="F3084">
        <f t="shared" ca="1" si="96"/>
        <v>4.1222222222222218</v>
      </c>
      <c r="G3084">
        <f t="shared" ca="1" si="97"/>
        <v>0</v>
      </c>
    </row>
    <row r="3085" spans="1:7">
      <c r="A3085">
        <v>1998</v>
      </c>
      <c r="B3085" t="s">
        <v>131</v>
      </c>
      <c r="C3085" t="s">
        <v>140</v>
      </c>
      <c r="D3085" s="9">
        <v>40528.3983912037</v>
      </c>
      <c r="E3085" t="s">
        <v>44</v>
      </c>
      <c r="F3085">
        <f t="shared" ca="1" si="96"/>
        <v>4.1194444444444445</v>
      </c>
      <c r="G3085">
        <f t="shared" ca="1" si="97"/>
        <v>0</v>
      </c>
    </row>
    <row r="3086" spans="1:7">
      <c r="A3086">
        <v>1999</v>
      </c>
      <c r="B3086" t="s">
        <v>131</v>
      </c>
      <c r="C3086" t="s">
        <v>140</v>
      </c>
      <c r="D3086" s="9">
        <v>40527.783842592595</v>
      </c>
      <c r="E3086" t="s">
        <v>99</v>
      </c>
      <c r="F3086">
        <f t="shared" ca="1" si="96"/>
        <v>4.1222222222222218</v>
      </c>
      <c r="G3086">
        <f t="shared" ca="1" si="97"/>
        <v>0</v>
      </c>
    </row>
    <row r="3087" spans="1:7">
      <c r="A3087">
        <v>2001</v>
      </c>
      <c r="B3087" t="s">
        <v>32</v>
      </c>
      <c r="C3087" t="s">
        <v>140</v>
      </c>
      <c r="D3087" s="9">
        <v>40521.113298611112</v>
      </c>
      <c r="E3087" t="s">
        <v>38</v>
      </c>
      <c r="F3087">
        <f t="shared" ca="1" si="96"/>
        <v>4.1388888888888893</v>
      </c>
      <c r="G3087">
        <f t="shared" ca="1" si="97"/>
        <v>0</v>
      </c>
    </row>
    <row r="3088" spans="1:7">
      <c r="A3088">
        <v>2002</v>
      </c>
      <c r="B3088" t="s">
        <v>11</v>
      </c>
      <c r="C3088" t="s">
        <v>140</v>
      </c>
      <c r="D3088" s="9">
        <v>40527.541388888887</v>
      </c>
      <c r="E3088" t="s">
        <v>131</v>
      </c>
      <c r="F3088">
        <f t="shared" ca="1" si="96"/>
        <v>4.1222222222222218</v>
      </c>
      <c r="G3088">
        <f t="shared" ca="1" si="97"/>
        <v>0</v>
      </c>
    </row>
    <row r="3089" spans="1:7">
      <c r="A3089">
        <v>2003</v>
      </c>
      <c r="B3089" t="s">
        <v>20</v>
      </c>
      <c r="C3089" t="s">
        <v>140</v>
      </c>
      <c r="D3089" s="9">
        <v>40527.821712962963</v>
      </c>
      <c r="E3089" t="s">
        <v>38</v>
      </c>
      <c r="F3089">
        <f t="shared" ca="1" si="96"/>
        <v>4.1222222222222218</v>
      </c>
      <c r="G3089">
        <f t="shared" ca="1" si="97"/>
        <v>0</v>
      </c>
    </row>
    <row r="3090" spans="1:7">
      <c r="A3090">
        <v>2004</v>
      </c>
      <c r="B3090" t="s">
        <v>101</v>
      </c>
      <c r="C3090" t="s">
        <v>140</v>
      </c>
      <c r="D3090" s="9">
        <v>40528.505289351851</v>
      </c>
      <c r="E3090" t="s">
        <v>131</v>
      </c>
      <c r="F3090">
        <f t="shared" ca="1" si="96"/>
        <v>4.1194444444444445</v>
      </c>
      <c r="G3090">
        <f t="shared" ca="1" si="97"/>
        <v>0</v>
      </c>
    </row>
    <row r="3091" spans="1:7">
      <c r="A3091">
        <v>2007</v>
      </c>
      <c r="B3091" t="s">
        <v>111</v>
      </c>
      <c r="C3091" t="s">
        <v>140</v>
      </c>
      <c r="D3091" s="9">
        <v>40528.484085648146</v>
      </c>
      <c r="E3091" t="s">
        <v>131</v>
      </c>
      <c r="F3091">
        <f t="shared" ca="1" si="96"/>
        <v>4.1194444444444445</v>
      </c>
      <c r="G3091">
        <f t="shared" ca="1" si="97"/>
        <v>0</v>
      </c>
    </row>
    <row r="3092" spans="1:7">
      <c r="A3092">
        <v>2008</v>
      </c>
      <c r="B3092" t="s">
        <v>32</v>
      </c>
      <c r="C3092" t="s">
        <v>133</v>
      </c>
      <c r="D3092" s="9">
        <v>40590.648287037038</v>
      </c>
      <c r="E3092" t="s">
        <v>8</v>
      </c>
      <c r="F3092">
        <f t="shared" ca="1" si="96"/>
        <v>3.9527777777777779</v>
      </c>
      <c r="G3092">
        <f t="shared" ca="1" si="97"/>
        <v>0</v>
      </c>
    </row>
    <row r="3093" spans="1:7">
      <c r="A3093">
        <v>2009</v>
      </c>
      <c r="B3093" t="s">
        <v>32</v>
      </c>
      <c r="C3093" t="s">
        <v>140</v>
      </c>
      <c r="D3093" s="9">
        <v>40527.423217592594</v>
      </c>
      <c r="E3093" t="s">
        <v>131</v>
      </c>
      <c r="F3093">
        <f t="shared" ca="1" si="96"/>
        <v>4.1222222222222218</v>
      </c>
      <c r="G3093">
        <f t="shared" ca="1" si="97"/>
        <v>0</v>
      </c>
    </row>
    <row r="3094" spans="1:7">
      <c r="A3094">
        <v>2011</v>
      </c>
      <c r="B3094" t="s">
        <v>99</v>
      </c>
      <c r="C3094" t="s">
        <v>140</v>
      </c>
      <c r="D3094" s="9">
        <v>40528.665798611109</v>
      </c>
      <c r="E3094" t="s">
        <v>36</v>
      </c>
      <c r="F3094">
        <f t="shared" ca="1" si="96"/>
        <v>4.1194444444444445</v>
      </c>
      <c r="G3094">
        <f t="shared" ca="1" si="97"/>
        <v>0</v>
      </c>
    </row>
    <row r="3095" spans="1:7">
      <c r="A3095">
        <v>2013</v>
      </c>
      <c r="B3095" t="s">
        <v>99</v>
      </c>
      <c r="C3095" t="s">
        <v>140</v>
      </c>
      <c r="D3095" s="9">
        <v>40529.58252314815</v>
      </c>
      <c r="E3095" t="s">
        <v>27</v>
      </c>
      <c r="F3095">
        <f t="shared" ca="1" si="96"/>
        <v>4.1166666666666663</v>
      </c>
      <c r="G3095">
        <f t="shared" ca="1" si="97"/>
        <v>0</v>
      </c>
    </row>
    <row r="3096" spans="1:7">
      <c r="A3096">
        <v>2015</v>
      </c>
      <c r="B3096" t="s">
        <v>111</v>
      </c>
      <c r="C3096" t="s">
        <v>140</v>
      </c>
      <c r="D3096" s="9">
        <v>40528.481793981482</v>
      </c>
      <c r="E3096" t="s">
        <v>131</v>
      </c>
      <c r="F3096">
        <f t="shared" ca="1" si="96"/>
        <v>4.1194444444444445</v>
      </c>
      <c r="G3096">
        <f t="shared" ca="1" si="97"/>
        <v>0</v>
      </c>
    </row>
    <row r="3097" spans="1:7">
      <c r="A3097">
        <v>2017</v>
      </c>
      <c r="B3097" t="s">
        <v>32</v>
      </c>
      <c r="C3097" t="s">
        <v>140</v>
      </c>
      <c r="D3097" s="9">
        <v>40527.431921296295</v>
      </c>
      <c r="E3097" t="s">
        <v>44</v>
      </c>
      <c r="F3097">
        <f t="shared" ca="1" si="96"/>
        <v>4.1222222222222218</v>
      </c>
      <c r="G3097">
        <f t="shared" ca="1" si="97"/>
        <v>0</v>
      </c>
    </row>
    <row r="3098" spans="1:7">
      <c r="A3098">
        <v>2019</v>
      </c>
      <c r="B3098" t="s">
        <v>111</v>
      </c>
      <c r="C3098" t="s">
        <v>140</v>
      </c>
      <c r="D3098" s="9">
        <v>40529.612569444442</v>
      </c>
      <c r="E3098" t="s">
        <v>27</v>
      </c>
      <c r="F3098">
        <f t="shared" ca="1" si="96"/>
        <v>4.1166666666666663</v>
      </c>
      <c r="G3098">
        <f t="shared" ca="1" si="97"/>
        <v>0</v>
      </c>
    </row>
    <row r="3099" spans="1:7">
      <c r="A3099">
        <v>2023</v>
      </c>
      <c r="B3099" t="s">
        <v>32</v>
      </c>
      <c r="C3099" t="s">
        <v>133</v>
      </c>
      <c r="D3099" s="9">
        <v>40591.794560185182</v>
      </c>
      <c r="E3099" t="s">
        <v>36</v>
      </c>
      <c r="F3099">
        <f t="shared" ca="1" si="96"/>
        <v>3.95</v>
      </c>
      <c r="G3099">
        <f t="shared" ca="1" si="97"/>
        <v>0</v>
      </c>
    </row>
    <row r="3100" spans="1:7">
      <c r="A3100">
        <v>2025</v>
      </c>
      <c r="B3100" t="s">
        <v>8</v>
      </c>
      <c r="C3100" t="s">
        <v>140</v>
      </c>
      <c r="D3100" s="9">
        <v>40527.657557870371</v>
      </c>
      <c r="E3100" t="s">
        <v>131</v>
      </c>
      <c r="F3100">
        <f t="shared" ca="1" si="96"/>
        <v>4.1222222222222218</v>
      </c>
      <c r="G3100">
        <f t="shared" ca="1" si="97"/>
        <v>0</v>
      </c>
    </row>
    <row r="3101" spans="1:7">
      <c r="A3101">
        <v>2031</v>
      </c>
      <c r="B3101" t="s">
        <v>111</v>
      </c>
      <c r="C3101" t="s">
        <v>133</v>
      </c>
      <c r="D3101" s="9">
        <v>40590.629803240743</v>
      </c>
      <c r="E3101" t="s">
        <v>8</v>
      </c>
      <c r="F3101">
        <f t="shared" ca="1" si="96"/>
        <v>3.9527777777777779</v>
      </c>
      <c r="G3101">
        <f t="shared" ca="1" si="97"/>
        <v>0</v>
      </c>
    </row>
    <row r="3102" spans="1:7">
      <c r="A3102">
        <v>2032</v>
      </c>
      <c r="B3102" t="s">
        <v>37</v>
      </c>
      <c r="C3102" t="s">
        <v>127</v>
      </c>
      <c r="D3102" s="9">
        <v>41030.598807870374</v>
      </c>
      <c r="E3102" t="s">
        <v>34</v>
      </c>
      <c r="F3102">
        <f t="shared" ca="1" si="96"/>
        <v>2.7444444444444445</v>
      </c>
      <c r="G3102">
        <f t="shared" ca="1" si="97"/>
        <v>0</v>
      </c>
    </row>
    <row r="3103" spans="1:7">
      <c r="A3103">
        <v>2033</v>
      </c>
      <c r="B3103" t="s">
        <v>99</v>
      </c>
      <c r="C3103" t="s">
        <v>133</v>
      </c>
      <c r="D3103" s="9">
        <v>40590.708599537036</v>
      </c>
      <c r="E3103" t="s">
        <v>32</v>
      </c>
      <c r="F3103">
        <f t="shared" ca="1" si="96"/>
        <v>3.9527777777777779</v>
      </c>
      <c r="G3103">
        <f t="shared" ca="1" si="97"/>
        <v>0</v>
      </c>
    </row>
    <row r="3104" spans="1:7">
      <c r="A3104">
        <v>2034</v>
      </c>
      <c r="B3104" t="s">
        <v>99</v>
      </c>
      <c r="C3104" t="s">
        <v>140</v>
      </c>
      <c r="D3104" s="9">
        <v>40527.912685185183</v>
      </c>
      <c r="E3104" t="s">
        <v>20</v>
      </c>
      <c r="F3104">
        <f t="shared" ca="1" si="96"/>
        <v>4.1222222222222218</v>
      </c>
      <c r="G3104">
        <f t="shared" ca="1" si="97"/>
        <v>0</v>
      </c>
    </row>
    <row r="3105" spans="1:7">
      <c r="A3105">
        <v>2035</v>
      </c>
      <c r="B3105" t="s">
        <v>111</v>
      </c>
      <c r="C3105" t="s">
        <v>133</v>
      </c>
      <c r="D3105" s="9">
        <v>40590.450335648151</v>
      </c>
      <c r="E3105" t="s">
        <v>8</v>
      </c>
      <c r="F3105">
        <f t="shared" ca="1" si="96"/>
        <v>3.9527777777777779</v>
      </c>
      <c r="G3105">
        <f t="shared" ca="1" si="97"/>
        <v>0</v>
      </c>
    </row>
    <row r="3106" spans="1:7">
      <c r="A3106">
        <v>2038</v>
      </c>
      <c r="B3106" t="s">
        <v>99</v>
      </c>
      <c r="C3106" t="s">
        <v>140</v>
      </c>
      <c r="D3106" s="9">
        <v>40528.671249999999</v>
      </c>
      <c r="E3106" t="s">
        <v>32</v>
      </c>
      <c r="F3106">
        <f t="shared" ca="1" si="96"/>
        <v>4.1194444444444445</v>
      </c>
      <c r="G3106">
        <f t="shared" ca="1" si="97"/>
        <v>0</v>
      </c>
    </row>
    <row r="3107" spans="1:7">
      <c r="A3107">
        <v>2039</v>
      </c>
      <c r="B3107" t="s">
        <v>11</v>
      </c>
      <c r="C3107" t="s">
        <v>140</v>
      </c>
      <c r="D3107" s="9">
        <v>40522.610717592594</v>
      </c>
      <c r="E3107" t="s">
        <v>27</v>
      </c>
      <c r="F3107">
        <f t="shared" ca="1" si="96"/>
        <v>4.1361111111111111</v>
      </c>
      <c r="G3107">
        <f t="shared" ca="1" si="97"/>
        <v>0</v>
      </c>
    </row>
    <row r="3108" spans="1:7">
      <c r="A3108">
        <v>2042</v>
      </c>
      <c r="B3108" t="s">
        <v>99</v>
      </c>
      <c r="C3108" t="s">
        <v>133</v>
      </c>
      <c r="D3108" s="9">
        <v>40590.646504629629</v>
      </c>
      <c r="E3108" t="s">
        <v>36</v>
      </c>
      <c r="F3108">
        <f t="shared" ca="1" si="96"/>
        <v>3.9527777777777779</v>
      </c>
      <c r="G3108">
        <f t="shared" ca="1" si="97"/>
        <v>0</v>
      </c>
    </row>
    <row r="3109" spans="1:7">
      <c r="A3109">
        <v>2043</v>
      </c>
      <c r="B3109" t="s">
        <v>99</v>
      </c>
      <c r="C3109" t="s">
        <v>140</v>
      </c>
      <c r="D3109" s="9">
        <v>40527.711284722223</v>
      </c>
      <c r="E3109" t="s">
        <v>32</v>
      </c>
      <c r="F3109">
        <f t="shared" ca="1" si="96"/>
        <v>4.1222222222222218</v>
      </c>
      <c r="G3109">
        <f t="shared" ca="1" si="97"/>
        <v>0</v>
      </c>
    </row>
    <row r="3110" spans="1:7">
      <c r="A3110">
        <v>2046</v>
      </c>
      <c r="B3110" t="s">
        <v>44</v>
      </c>
      <c r="C3110" t="s">
        <v>133</v>
      </c>
      <c r="D3110" s="9">
        <v>40590.469849537039</v>
      </c>
      <c r="E3110" t="s">
        <v>131</v>
      </c>
      <c r="F3110">
        <f t="shared" ca="1" si="96"/>
        <v>3.9527777777777779</v>
      </c>
      <c r="G3110">
        <f t="shared" ca="1" si="97"/>
        <v>0</v>
      </c>
    </row>
    <row r="3111" spans="1:7">
      <c r="A3111">
        <v>2047</v>
      </c>
      <c r="B3111" t="s">
        <v>101</v>
      </c>
      <c r="C3111" t="s">
        <v>140</v>
      </c>
      <c r="D3111" s="9">
        <v>40528.490740740737</v>
      </c>
      <c r="E3111" t="s">
        <v>131</v>
      </c>
      <c r="F3111">
        <f t="shared" ca="1" si="96"/>
        <v>4.1194444444444445</v>
      </c>
      <c r="G3111">
        <f t="shared" ca="1" si="97"/>
        <v>0</v>
      </c>
    </row>
    <row r="3112" spans="1:7">
      <c r="A3112">
        <v>2054</v>
      </c>
      <c r="B3112" t="s">
        <v>99</v>
      </c>
      <c r="C3112" t="s">
        <v>140</v>
      </c>
      <c r="D3112" s="9">
        <v>40528.578784722224</v>
      </c>
      <c r="E3112" t="s">
        <v>44</v>
      </c>
      <c r="F3112">
        <f t="shared" ca="1" si="96"/>
        <v>4.1194444444444445</v>
      </c>
      <c r="G3112">
        <f t="shared" ca="1" si="97"/>
        <v>0</v>
      </c>
    </row>
    <row r="3113" spans="1:7">
      <c r="A3113">
        <v>2055</v>
      </c>
      <c r="B3113" t="s">
        <v>20</v>
      </c>
      <c r="C3113" t="s">
        <v>140</v>
      </c>
      <c r="D3113" s="9">
        <v>40526.706365740742</v>
      </c>
      <c r="E3113" t="s">
        <v>131</v>
      </c>
      <c r="F3113">
        <f t="shared" ca="1" si="96"/>
        <v>4.125</v>
      </c>
      <c r="G3113">
        <f t="shared" ca="1" si="97"/>
        <v>0</v>
      </c>
    </row>
    <row r="3114" spans="1:7">
      <c r="A3114">
        <v>2056</v>
      </c>
      <c r="B3114" t="s">
        <v>101</v>
      </c>
      <c r="C3114" t="s">
        <v>140</v>
      </c>
      <c r="D3114" s="9">
        <v>40528.513159722221</v>
      </c>
      <c r="E3114" t="s">
        <v>131</v>
      </c>
      <c r="F3114">
        <f t="shared" ca="1" si="96"/>
        <v>4.1194444444444445</v>
      </c>
      <c r="G3114">
        <f t="shared" ca="1" si="97"/>
        <v>0</v>
      </c>
    </row>
    <row r="3115" spans="1:7">
      <c r="A3115">
        <v>2058</v>
      </c>
      <c r="B3115" t="s">
        <v>36</v>
      </c>
      <c r="C3115" t="s">
        <v>140</v>
      </c>
      <c r="D3115" s="9">
        <v>40527.559155092589</v>
      </c>
      <c r="E3115" t="s">
        <v>131</v>
      </c>
      <c r="F3115">
        <f t="shared" ca="1" si="96"/>
        <v>4.1222222222222218</v>
      </c>
      <c r="G3115">
        <f t="shared" ca="1" si="97"/>
        <v>0</v>
      </c>
    </row>
    <row r="3116" spans="1:7">
      <c r="A3116">
        <v>2059</v>
      </c>
      <c r="B3116" t="s">
        <v>131</v>
      </c>
      <c r="C3116" t="s">
        <v>140</v>
      </c>
      <c r="D3116" s="9">
        <v>40528.429143518515</v>
      </c>
      <c r="E3116" t="s">
        <v>44</v>
      </c>
      <c r="F3116">
        <f t="shared" ca="1" si="96"/>
        <v>4.1194444444444445</v>
      </c>
      <c r="G3116">
        <f t="shared" ca="1" si="97"/>
        <v>0</v>
      </c>
    </row>
    <row r="3117" spans="1:7">
      <c r="A3117">
        <v>2060</v>
      </c>
      <c r="B3117" t="s">
        <v>131</v>
      </c>
      <c r="C3117" t="s">
        <v>140</v>
      </c>
      <c r="D3117" s="9">
        <v>40528.433171296296</v>
      </c>
      <c r="E3117" t="s">
        <v>44</v>
      </c>
      <c r="F3117">
        <f t="shared" ca="1" si="96"/>
        <v>4.1194444444444445</v>
      </c>
      <c r="G3117">
        <f t="shared" ca="1" si="97"/>
        <v>0</v>
      </c>
    </row>
    <row r="3118" spans="1:7">
      <c r="A3118">
        <v>2064</v>
      </c>
      <c r="B3118" t="s">
        <v>99</v>
      </c>
      <c r="C3118" t="s">
        <v>140</v>
      </c>
      <c r="D3118" s="9">
        <v>40528.663877314815</v>
      </c>
      <c r="E3118" t="s">
        <v>20</v>
      </c>
      <c r="F3118">
        <f t="shared" ca="1" si="96"/>
        <v>4.1194444444444445</v>
      </c>
      <c r="G3118">
        <f t="shared" ca="1" si="97"/>
        <v>0</v>
      </c>
    </row>
    <row r="3119" spans="1:7">
      <c r="A3119">
        <v>2065</v>
      </c>
      <c r="B3119" t="s">
        <v>99</v>
      </c>
      <c r="C3119" t="s">
        <v>140</v>
      </c>
      <c r="D3119" s="9">
        <v>40528.588125000002</v>
      </c>
      <c r="E3119" t="s">
        <v>20</v>
      </c>
      <c r="F3119">
        <f t="shared" ref="F3119:F3182" ca="1" si="98">YEARFRAC(TODAY(),$D3119)</f>
        <v>4.1194444444444445</v>
      </c>
      <c r="G3119">
        <f t="shared" ref="G3119:G3182" ca="1" si="99">IF($F3119&lt;1,1,0)</f>
        <v>0</v>
      </c>
    </row>
    <row r="3120" spans="1:7">
      <c r="A3120">
        <v>2066</v>
      </c>
      <c r="B3120" t="s">
        <v>11</v>
      </c>
      <c r="C3120" t="s">
        <v>133</v>
      </c>
      <c r="D3120" s="9">
        <v>40589.443333333336</v>
      </c>
      <c r="E3120" t="s">
        <v>131</v>
      </c>
      <c r="F3120">
        <f t="shared" ca="1" si="98"/>
        <v>3.9555555555555557</v>
      </c>
      <c r="G3120">
        <f t="shared" ca="1" si="99"/>
        <v>0</v>
      </c>
    </row>
    <row r="3121" spans="1:7">
      <c r="A3121">
        <v>2069</v>
      </c>
      <c r="B3121" t="s">
        <v>99</v>
      </c>
      <c r="C3121" t="s">
        <v>140</v>
      </c>
      <c r="D3121" s="9">
        <v>40528.422418981485</v>
      </c>
      <c r="E3121" t="s">
        <v>131</v>
      </c>
      <c r="F3121">
        <f t="shared" ca="1" si="98"/>
        <v>4.1194444444444445</v>
      </c>
      <c r="G3121">
        <f t="shared" ca="1" si="99"/>
        <v>0</v>
      </c>
    </row>
    <row r="3122" spans="1:7">
      <c r="A3122">
        <v>2074</v>
      </c>
      <c r="B3122" t="s">
        <v>99</v>
      </c>
      <c r="C3122" t="s">
        <v>133</v>
      </c>
      <c r="D3122" s="9">
        <v>40590.554224537038</v>
      </c>
      <c r="E3122" t="s">
        <v>32</v>
      </c>
      <c r="F3122">
        <f t="shared" ca="1" si="98"/>
        <v>3.9527777777777779</v>
      </c>
      <c r="G3122">
        <f t="shared" ca="1" si="99"/>
        <v>0</v>
      </c>
    </row>
    <row r="3123" spans="1:7">
      <c r="A3123">
        <v>2075</v>
      </c>
      <c r="B3123" t="s">
        <v>38</v>
      </c>
      <c r="C3123" t="s">
        <v>128</v>
      </c>
      <c r="D3123" s="9">
        <v>40931.838692129626</v>
      </c>
      <c r="E3123" t="s">
        <v>27</v>
      </c>
      <c r="F3123">
        <f t="shared" ca="1" si="98"/>
        <v>3.0166666666666666</v>
      </c>
      <c r="G3123">
        <f t="shared" ca="1" si="99"/>
        <v>0</v>
      </c>
    </row>
    <row r="3124" spans="1:7">
      <c r="A3124">
        <v>2078</v>
      </c>
      <c r="B3124" t="s">
        <v>111</v>
      </c>
      <c r="C3124" t="s">
        <v>133</v>
      </c>
      <c r="D3124" s="9">
        <v>40589.851331018515</v>
      </c>
      <c r="E3124" t="s">
        <v>99</v>
      </c>
      <c r="F3124">
        <f t="shared" ca="1" si="98"/>
        <v>3.9555555555555557</v>
      </c>
      <c r="G3124">
        <f t="shared" ca="1" si="99"/>
        <v>0</v>
      </c>
    </row>
    <row r="3125" spans="1:7">
      <c r="A3125">
        <v>2081</v>
      </c>
      <c r="B3125" t="s">
        <v>11</v>
      </c>
      <c r="C3125" t="s">
        <v>140</v>
      </c>
      <c r="D3125" s="9">
        <v>40528.766585648147</v>
      </c>
      <c r="E3125" t="s">
        <v>101</v>
      </c>
      <c r="F3125">
        <f t="shared" ca="1" si="98"/>
        <v>4.1194444444444445</v>
      </c>
      <c r="G3125">
        <f t="shared" ca="1" si="99"/>
        <v>0</v>
      </c>
    </row>
    <row r="3126" spans="1:7">
      <c r="A3126">
        <v>2086</v>
      </c>
      <c r="B3126" t="s">
        <v>34</v>
      </c>
      <c r="C3126" t="s">
        <v>133</v>
      </c>
      <c r="D3126" s="9">
        <v>40589.436643518522</v>
      </c>
      <c r="E3126" t="s">
        <v>131</v>
      </c>
      <c r="F3126">
        <f t="shared" ca="1" si="98"/>
        <v>3.9555555555555557</v>
      </c>
      <c r="G3126">
        <f t="shared" ca="1" si="99"/>
        <v>0</v>
      </c>
    </row>
    <row r="3127" spans="1:7">
      <c r="A3127">
        <v>2087</v>
      </c>
      <c r="B3127" t="s">
        <v>8</v>
      </c>
      <c r="C3127" t="s">
        <v>140</v>
      </c>
      <c r="D3127" s="9">
        <v>40528.656018518515</v>
      </c>
      <c r="E3127" t="s">
        <v>111</v>
      </c>
      <c r="F3127">
        <f t="shared" ca="1" si="98"/>
        <v>4.1194444444444445</v>
      </c>
      <c r="G3127">
        <f t="shared" ca="1" si="99"/>
        <v>0</v>
      </c>
    </row>
    <row r="3128" spans="1:7">
      <c r="A3128">
        <v>2090</v>
      </c>
      <c r="B3128" t="s">
        <v>8</v>
      </c>
      <c r="C3128" t="s">
        <v>140</v>
      </c>
      <c r="D3128" s="9">
        <v>40529.517939814818</v>
      </c>
      <c r="E3128" t="s">
        <v>131</v>
      </c>
      <c r="F3128">
        <f t="shared" ca="1" si="98"/>
        <v>4.1166666666666663</v>
      </c>
      <c r="G3128">
        <f t="shared" ca="1" si="99"/>
        <v>0</v>
      </c>
    </row>
    <row r="3129" spans="1:7">
      <c r="A3129">
        <v>2095</v>
      </c>
      <c r="B3129" t="s">
        <v>11</v>
      </c>
      <c r="C3129" t="s">
        <v>133</v>
      </c>
      <c r="D3129" s="9">
        <v>40589.388888888891</v>
      </c>
      <c r="E3129" t="s">
        <v>131</v>
      </c>
      <c r="F3129">
        <f t="shared" ca="1" si="98"/>
        <v>3.9555555555555557</v>
      </c>
      <c r="G3129">
        <f t="shared" ca="1" si="99"/>
        <v>0</v>
      </c>
    </row>
    <row r="3130" spans="1:7">
      <c r="A3130">
        <v>2104</v>
      </c>
      <c r="B3130" t="s">
        <v>99</v>
      </c>
      <c r="C3130" t="s">
        <v>133</v>
      </c>
      <c r="D3130" s="9">
        <v>40588.703402777777</v>
      </c>
      <c r="E3130" t="s">
        <v>112</v>
      </c>
      <c r="F3130">
        <f t="shared" ca="1" si="98"/>
        <v>3.9583333333333335</v>
      </c>
      <c r="G3130">
        <f t="shared" ca="1" si="99"/>
        <v>0</v>
      </c>
    </row>
    <row r="3131" spans="1:7">
      <c r="A3131">
        <v>2105</v>
      </c>
      <c r="B3131" t="s">
        <v>11</v>
      </c>
      <c r="C3131" t="s">
        <v>140</v>
      </c>
      <c r="D3131" s="9">
        <v>40529.790555555555</v>
      </c>
      <c r="E3131" t="s">
        <v>20</v>
      </c>
      <c r="F3131">
        <f t="shared" ca="1" si="98"/>
        <v>4.1166666666666663</v>
      </c>
      <c r="G3131">
        <f t="shared" ca="1" si="99"/>
        <v>0</v>
      </c>
    </row>
    <row r="3132" spans="1:7">
      <c r="A3132">
        <v>2111</v>
      </c>
      <c r="B3132" t="s">
        <v>99</v>
      </c>
      <c r="C3132" t="s">
        <v>133</v>
      </c>
      <c r="D3132" s="9">
        <v>40590.66814814815</v>
      </c>
      <c r="E3132" t="s">
        <v>36</v>
      </c>
      <c r="F3132">
        <f t="shared" ca="1" si="98"/>
        <v>3.9527777777777779</v>
      </c>
      <c r="G3132">
        <f t="shared" ca="1" si="99"/>
        <v>0</v>
      </c>
    </row>
    <row r="3133" spans="1:7">
      <c r="A3133">
        <v>2113</v>
      </c>
      <c r="B3133" t="s">
        <v>38</v>
      </c>
      <c r="C3133" t="s">
        <v>133</v>
      </c>
      <c r="D3133" s="9">
        <v>40591.594282407408</v>
      </c>
      <c r="E3133" t="s">
        <v>131</v>
      </c>
      <c r="F3133">
        <f t="shared" ca="1" si="98"/>
        <v>3.95</v>
      </c>
      <c r="G3133">
        <f t="shared" ca="1" si="99"/>
        <v>0</v>
      </c>
    </row>
    <row r="3134" spans="1:7">
      <c r="A3134">
        <v>2114</v>
      </c>
      <c r="C3134" t="s">
        <v>140</v>
      </c>
      <c r="D3134" s="9">
        <v>40529.873657407406</v>
      </c>
      <c r="E3134" t="s">
        <v>38</v>
      </c>
      <c r="F3134">
        <f t="shared" ca="1" si="98"/>
        <v>4.1166666666666663</v>
      </c>
      <c r="G3134">
        <f t="shared" ca="1" si="99"/>
        <v>0</v>
      </c>
    </row>
    <row r="3135" spans="1:7">
      <c r="A3135">
        <v>2116</v>
      </c>
      <c r="B3135" t="s">
        <v>44</v>
      </c>
      <c r="C3135" t="s">
        <v>133</v>
      </c>
      <c r="D3135" s="9">
        <v>40589.615949074076</v>
      </c>
      <c r="E3135" t="s">
        <v>112</v>
      </c>
      <c r="F3135">
        <f t="shared" ca="1" si="98"/>
        <v>3.9555555555555557</v>
      </c>
      <c r="G3135">
        <f t="shared" ca="1" si="99"/>
        <v>0</v>
      </c>
    </row>
    <row r="3136" spans="1:7">
      <c r="A3136">
        <v>2117</v>
      </c>
      <c r="B3136" t="s">
        <v>8</v>
      </c>
      <c r="C3136" t="s">
        <v>133</v>
      </c>
      <c r="D3136" s="9">
        <v>40589.620370370372</v>
      </c>
      <c r="E3136" t="s">
        <v>112</v>
      </c>
      <c r="F3136">
        <f t="shared" ca="1" si="98"/>
        <v>3.9555555555555557</v>
      </c>
      <c r="G3136">
        <f t="shared" ca="1" si="99"/>
        <v>0</v>
      </c>
    </row>
    <row r="3137" spans="1:7">
      <c r="A3137">
        <v>2118</v>
      </c>
      <c r="B3137" t="s">
        <v>20</v>
      </c>
      <c r="C3137" t="s">
        <v>133</v>
      </c>
      <c r="D3137" s="9">
        <v>40590.548611111109</v>
      </c>
      <c r="E3137" t="s">
        <v>112</v>
      </c>
      <c r="F3137">
        <f t="shared" ca="1" si="98"/>
        <v>3.9527777777777779</v>
      </c>
      <c r="G3137">
        <f t="shared" ca="1" si="99"/>
        <v>0</v>
      </c>
    </row>
    <row r="3138" spans="1:7">
      <c r="A3138">
        <v>2119</v>
      </c>
      <c r="B3138" t="s">
        <v>111</v>
      </c>
      <c r="C3138" t="s">
        <v>133</v>
      </c>
      <c r="D3138" s="9">
        <v>40591.593993055554</v>
      </c>
      <c r="E3138" t="s">
        <v>8</v>
      </c>
      <c r="F3138">
        <f t="shared" ca="1" si="98"/>
        <v>3.95</v>
      </c>
      <c r="G3138">
        <f t="shared" ca="1" si="99"/>
        <v>0</v>
      </c>
    </row>
    <row r="3139" spans="1:7">
      <c r="A3139">
        <v>2122</v>
      </c>
      <c r="B3139" t="s">
        <v>131</v>
      </c>
      <c r="C3139" t="s">
        <v>133</v>
      </c>
      <c r="D3139" s="9">
        <v>40591.396157407406</v>
      </c>
      <c r="E3139" t="s">
        <v>34</v>
      </c>
      <c r="F3139">
        <f t="shared" ca="1" si="98"/>
        <v>3.95</v>
      </c>
      <c r="G3139">
        <f t="shared" ca="1" si="99"/>
        <v>0</v>
      </c>
    </row>
    <row r="3140" spans="1:7">
      <c r="A3140">
        <v>2124</v>
      </c>
      <c r="B3140" t="s">
        <v>32</v>
      </c>
      <c r="C3140" t="s">
        <v>133</v>
      </c>
      <c r="D3140" s="9">
        <v>40591.435833333337</v>
      </c>
      <c r="E3140" t="s">
        <v>131</v>
      </c>
      <c r="F3140">
        <f t="shared" ca="1" si="98"/>
        <v>3.95</v>
      </c>
      <c r="G3140">
        <f t="shared" ca="1" si="99"/>
        <v>0</v>
      </c>
    </row>
    <row r="3141" spans="1:7">
      <c r="A3141">
        <v>2125</v>
      </c>
      <c r="B3141" t="s">
        <v>112</v>
      </c>
      <c r="C3141" t="s">
        <v>130</v>
      </c>
      <c r="D3141" s="9">
        <v>40721.591354166667</v>
      </c>
      <c r="E3141" t="s">
        <v>8</v>
      </c>
      <c r="F3141">
        <f t="shared" ca="1" si="98"/>
        <v>3.588888888888889</v>
      </c>
      <c r="G3141">
        <f t="shared" ca="1" si="99"/>
        <v>0</v>
      </c>
    </row>
    <row r="3142" spans="1:7">
      <c r="A3142">
        <v>2126</v>
      </c>
      <c r="B3142" t="s">
        <v>112</v>
      </c>
      <c r="C3142" t="s">
        <v>130</v>
      </c>
      <c r="D3142" s="9">
        <v>40722.337141203701</v>
      </c>
      <c r="E3142" t="s">
        <v>8</v>
      </c>
      <c r="F3142">
        <f t="shared" ca="1" si="98"/>
        <v>3.5861111111111112</v>
      </c>
      <c r="G3142">
        <f t="shared" ca="1" si="99"/>
        <v>0</v>
      </c>
    </row>
    <row r="3143" spans="1:7">
      <c r="A3143">
        <v>2127</v>
      </c>
      <c r="B3143" t="s">
        <v>112</v>
      </c>
      <c r="C3143" t="s">
        <v>130</v>
      </c>
      <c r="D3143" s="9">
        <v>40722.340844907405</v>
      </c>
      <c r="E3143" t="s">
        <v>8</v>
      </c>
      <c r="F3143">
        <f t="shared" ca="1" si="98"/>
        <v>3.5861111111111112</v>
      </c>
      <c r="G3143">
        <f t="shared" ca="1" si="99"/>
        <v>0</v>
      </c>
    </row>
    <row r="3144" spans="1:7">
      <c r="A3144">
        <v>2128</v>
      </c>
      <c r="B3144" t="s">
        <v>112</v>
      </c>
      <c r="C3144" t="s">
        <v>130</v>
      </c>
      <c r="D3144" s="9">
        <v>40721.753935185188</v>
      </c>
      <c r="E3144" t="s">
        <v>36</v>
      </c>
      <c r="F3144">
        <f t="shared" ca="1" si="98"/>
        <v>3.588888888888889</v>
      </c>
      <c r="G3144">
        <f t="shared" ca="1" si="99"/>
        <v>0</v>
      </c>
    </row>
    <row r="3145" spans="1:7">
      <c r="A3145">
        <v>2129</v>
      </c>
      <c r="B3145" t="s">
        <v>111</v>
      </c>
      <c r="C3145" t="s">
        <v>133</v>
      </c>
      <c r="D3145" s="9">
        <v>40591.426076388889</v>
      </c>
      <c r="E3145" t="s">
        <v>131</v>
      </c>
      <c r="F3145">
        <f t="shared" ca="1" si="98"/>
        <v>3.95</v>
      </c>
      <c r="G3145">
        <f t="shared" ca="1" si="99"/>
        <v>0</v>
      </c>
    </row>
    <row r="3146" spans="1:7">
      <c r="A3146">
        <v>2136</v>
      </c>
      <c r="B3146" t="s">
        <v>102</v>
      </c>
      <c r="C3146" t="s">
        <v>133</v>
      </c>
      <c r="D3146" s="9">
        <v>40589.716666666667</v>
      </c>
      <c r="E3146" t="s">
        <v>144</v>
      </c>
      <c r="F3146">
        <f t="shared" ca="1" si="98"/>
        <v>3.9555555555555557</v>
      </c>
      <c r="G3146">
        <f t="shared" ca="1" si="99"/>
        <v>0</v>
      </c>
    </row>
    <row r="3147" spans="1:7">
      <c r="A3147">
        <v>2137</v>
      </c>
      <c r="B3147" t="s">
        <v>34</v>
      </c>
      <c r="C3147" t="s">
        <v>133</v>
      </c>
      <c r="D3147" s="9">
        <v>40591.467905092592</v>
      </c>
      <c r="E3147" t="s">
        <v>19</v>
      </c>
      <c r="F3147">
        <f t="shared" ca="1" si="98"/>
        <v>3.95</v>
      </c>
      <c r="G3147">
        <f t="shared" ca="1" si="99"/>
        <v>0</v>
      </c>
    </row>
    <row r="3148" spans="1:7">
      <c r="A3148">
        <v>2141</v>
      </c>
      <c r="B3148" t="s">
        <v>112</v>
      </c>
      <c r="C3148" t="s">
        <v>133</v>
      </c>
      <c r="D3148" s="9">
        <v>40588.702118055553</v>
      </c>
      <c r="E3148" t="s">
        <v>112</v>
      </c>
      <c r="F3148">
        <f t="shared" ca="1" si="98"/>
        <v>3.9583333333333335</v>
      </c>
      <c r="G3148">
        <f t="shared" ca="1" si="99"/>
        <v>0</v>
      </c>
    </row>
    <row r="3149" spans="1:7">
      <c r="A3149">
        <v>2158</v>
      </c>
      <c r="B3149" t="s">
        <v>101</v>
      </c>
      <c r="C3149" t="s">
        <v>129</v>
      </c>
      <c r="D3149" s="9">
        <v>40805.591192129628</v>
      </c>
      <c r="E3149" t="s">
        <v>44</v>
      </c>
      <c r="F3149">
        <f t="shared" ca="1" si="98"/>
        <v>3.3611111111111112</v>
      </c>
      <c r="G3149">
        <f t="shared" ca="1" si="99"/>
        <v>0</v>
      </c>
    </row>
    <row r="3150" spans="1:7">
      <c r="A3150">
        <v>2160</v>
      </c>
      <c r="B3150" t="s">
        <v>101</v>
      </c>
      <c r="C3150" t="s">
        <v>133</v>
      </c>
      <c r="D3150" s="9">
        <v>40589.679143518515</v>
      </c>
      <c r="E3150" t="s">
        <v>144</v>
      </c>
      <c r="F3150">
        <f t="shared" ca="1" si="98"/>
        <v>3.9555555555555557</v>
      </c>
      <c r="G3150">
        <f t="shared" ca="1" si="99"/>
        <v>0</v>
      </c>
    </row>
    <row r="3151" spans="1:7">
      <c r="A3151">
        <v>2163</v>
      </c>
      <c r="B3151" t="s">
        <v>111</v>
      </c>
      <c r="C3151" t="s">
        <v>133</v>
      </c>
      <c r="D3151" s="9">
        <v>40590.644953703704</v>
      </c>
      <c r="E3151" t="s">
        <v>144</v>
      </c>
      <c r="F3151">
        <f t="shared" ca="1" si="98"/>
        <v>3.9527777777777779</v>
      </c>
      <c r="G3151">
        <f t="shared" ca="1" si="99"/>
        <v>0</v>
      </c>
    </row>
    <row r="3152" spans="1:7">
      <c r="A3152">
        <v>2165</v>
      </c>
      <c r="B3152" t="s">
        <v>131</v>
      </c>
      <c r="C3152" t="s">
        <v>133</v>
      </c>
      <c r="D3152" s="9">
        <v>40589.621423611112</v>
      </c>
      <c r="E3152" t="s">
        <v>112</v>
      </c>
      <c r="F3152">
        <f t="shared" ca="1" si="98"/>
        <v>3.9555555555555557</v>
      </c>
      <c r="G3152">
        <f t="shared" ca="1" si="99"/>
        <v>0</v>
      </c>
    </row>
    <row r="3153" spans="1:7">
      <c r="A3153">
        <v>2166</v>
      </c>
      <c r="B3153" t="s">
        <v>131</v>
      </c>
      <c r="C3153" t="s">
        <v>133</v>
      </c>
      <c r="D3153" s="9">
        <v>40589.621898148151</v>
      </c>
      <c r="E3153" t="s">
        <v>112</v>
      </c>
      <c r="F3153">
        <f t="shared" ca="1" si="98"/>
        <v>3.9555555555555557</v>
      </c>
      <c r="G3153">
        <f t="shared" ca="1" si="99"/>
        <v>0</v>
      </c>
    </row>
    <row r="3154" spans="1:7">
      <c r="A3154">
        <v>2172</v>
      </c>
      <c r="B3154" t="s">
        <v>20</v>
      </c>
      <c r="C3154" t="s">
        <v>133</v>
      </c>
      <c r="D3154" s="9">
        <v>40589.657962962963</v>
      </c>
      <c r="E3154" t="s">
        <v>99</v>
      </c>
      <c r="F3154">
        <f t="shared" ca="1" si="98"/>
        <v>3.9555555555555557</v>
      </c>
      <c r="G3154">
        <f t="shared" ca="1" si="99"/>
        <v>0</v>
      </c>
    </row>
    <row r="3155" spans="1:7">
      <c r="A3155">
        <v>2174</v>
      </c>
      <c r="B3155" t="s">
        <v>131</v>
      </c>
      <c r="C3155" t="s">
        <v>133</v>
      </c>
      <c r="D3155" s="9">
        <v>40589.545023148145</v>
      </c>
      <c r="E3155" t="s">
        <v>8</v>
      </c>
      <c r="F3155">
        <f t="shared" ca="1" si="98"/>
        <v>3.9555555555555557</v>
      </c>
      <c r="G3155">
        <f t="shared" ca="1" si="99"/>
        <v>0</v>
      </c>
    </row>
    <row r="3156" spans="1:7">
      <c r="A3156">
        <v>2175</v>
      </c>
      <c r="B3156" t="s">
        <v>131</v>
      </c>
      <c r="C3156" t="s">
        <v>133</v>
      </c>
      <c r="D3156" s="9">
        <v>40589.519421296296</v>
      </c>
      <c r="E3156" t="s">
        <v>144</v>
      </c>
      <c r="F3156">
        <f t="shared" ca="1" si="98"/>
        <v>3.9555555555555557</v>
      </c>
      <c r="G3156">
        <f t="shared" ca="1" si="99"/>
        <v>0</v>
      </c>
    </row>
    <row r="3157" spans="1:7">
      <c r="A3157">
        <v>2176</v>
      </c>
      <c r="B3157" t="s">
        <v>23</v>
      </c>
      <c r="C3157" t="s">
        <v>133</v>
      </c>
      <c r="D3157" s="9">
        <v>40589.708518518521</v>
      </c>
      <c r="E3157" t="s">
        <v>19</v>
      </c>
      <c r="F3157">
        <f t="shared" ca="1" si="98"/>
        <v>3.9555555555555557</v>
      </c>
      <c r="G3157">
        <f t="shared" ca="1" si="99"/>
        <v>0</v>
      </c>
    </row>
    <row r="3158" spans="1:7">
      <c r="A3158">
        <v>2179</v>
      </c>
      <c r="B3158" t="s">
        <v>20</v>
      </c>
      <c r="C3158" t="s">
        <v>133</v>
      </c>
      <c r="D3158" s="9">
        <v>40591.665185185186</v>
      </c>
      <c r="E3158" t="s">
        <v>36</v>
      </c>
      <c r="F3158">
        <f t="shared" ca="1" si="98"/>
        <v>3.95</v>
      </c>
      <c r="G3158">
        <f t="shared" ca="1" si="99"/>
        <v>0</v>
      </c>
    </row>
    <row r="3159" spans="1:7">
      <c r="A3159">
        <v>2180</v>
      </c>
      <c r="B3159" t="s">
        <v>38</v>
      </c>
      <c r="C3159" t="s">
        <v>130</v>
      </c>
      <c r="D3159" s="9">
        <v>40724.955694444441</v>
      </c>
      <c r="E3159" t="s">
        <v>27</v>
      </c>
      <c r="F3159">
        <f t="shared" ca="1" si="98"/>
        <v>3.5805555555555557</v>
      </c>
      <c r="G3159">
        <f t="shared" ca="1" si="99"/>
        <v>0</v>
      </c>
    </row>
    <row r="3160" spans="1:7">
      <c r="A3160">
        <v>2187</v>
      </c>
      <c r="B3160" t="s">
        <v>99</v>
      </c>
      <c r="C3160" t="s">
        <v>133</v>
      </c>
      <c r="D3160" s="9">
        <v>40590.736712962964</v>
      </c>
      <c r="E3160" t="s">
        <v>11</v>
      </c>
      <c r="F3160">
        <f t="shared" ca="1" si="98"/>
        <v>3.9527777777777779</v>
      </c>
      <c r="G3160">
        <f t="shared" ca="1" si="99"/>
        <v>0</v>
      </c>
    </row>
    <row r="3161" spans="1:7">
      <c r="A3161">
        <v>2191</v>
      </c>
      <c r="B3161" t="s">
        <v>99</v>
      </c>
      <c r="C3161" t="s">
        <v>133</v>
      </c>
      <c r="D3161" s="9">
        <v>40590.408773148149</v>
      </c>
      <c r="E3161" t="s">
        <v>19</v>
      </c>
      <c r="F3161">
        <f t="shared" ca="1" si="98"/>
        <v>3.9527777777777779</v>
      </c>
      <c r="G3161">
        <f t="shared" ca="1" si="99"/>
        <v>0</v>
      </c>
    </row>
    <row r="3162" spans="1:7">
      <c r="A3162">
        <v>2192</v>
      </c>
      <c r="B3162" t="s">
        <v>131</v>
      </c>
      <c r="C3162" t="s">
        <v>133</v>
      </c>
      <c r="D3162" s="9">
        <v>40590.666284722225</v>
      </c>
      <c r="E3162" t="s">
        <v>34</v>
      </c>
      <c r="F3162">
        <f t="shared" ca="1" si="98"/>
        <v>3.9527777777777779</v>
      </c>
      <c r="G3162">
        <f t="shared" ca="1" si="99"/>
        <v>0</v>
      </c>
    </row>
    <row r="3163" spans="1:7">
      <c r="A3163">
        <v>2193</v>
      </c>
      <c r="B3163" t="s">
        <v>32</v>
      </c>
      <c r="C3163" t="s">
        <v>133</v>
      </c>
      <c r="D3163" s="9">
        <v>40590.739189814813</v>
      </c>
      <c r="E3163" t="s">
        <v>11</v>
      </c>
      <c r="F3163">
        <f t="shared" ca="1" si="98"/>
        <v>3.9527777777777779</v>
      </c>
      <c r="G3163">
        <f t="shared" ca="1" si="99"/>
        <v>0</v>
      </c>
    </row>
    <row r="3164" spans="1:7">
      <c r="A3164">
        <v>2195</v>
      </c>
      <c r="B3164" t="s">
        <v>112</v>
      </c>
      <c r="C3164" t="s">
        <v>133</v>
      </c>
      <c r="D3164" s="9">
        <v>40589.487604166665</v>
      </c>
      <c r="E3164" t="s">
        <v>131</v>
      </c>
      <c r="F3164">
        <f t="shared" ca="1" si="98"/>
        <v>3.9555555555555557</v>
      </c>
      <c r="G3164">
        <f t="shared" ca="1" si="99"/>
        <v>0</v>
      </c>
    </row>
    <row r="3165" spans="1:7">
      <c r="A3165">
        <v>2196</v>
      </c>
      <c r="B3165" t="s">
        <v>8</v>
      </c>
      <c r="C3165" t="s">
        <v>133</v>
      </c>
      <c r="D3165" s="9">
        <v>40589.807476851849</v>
      </c>
      <c r="E3165" t="s">
        <v>99</v>
      </c>
      <c r="F3165">
        <f t="shared" ca="1" si="98"/>
        <v>3.9555555555555557</v>
      </c>
      <c r="G3165">
        <f t="shared" ca="1" si="99"/>
        <v>0</v>
      </c>
    </row>
    <row r="3166" spans="1:7">
      <c r="A3166">
        <v>2197</v>
      </c>
      <c r="B3166" t="s">
        <v>101</v>
      </c>
      <c r="C3166" t="s">
        <v>130</v>
      </c>
      <c r="D3166" s="9">
        <v>40723.488206018519</v>
      </c>
      <c r="E3166" t="s">
        <v>8</v>
      </c>
      <c r="F3166">
        <f t="shared" ca="1" si="98"/>
        <v>3.5833333333333335</v>
      </c>
      <c r="G3166">
        <f t="shared" ca="1" si="99"/>
        <v>0</v>
      </c>
    </row>
    <row r="3167" spans="1:7">
      <c r="A3167">
        <v>2201</v>
      </c>
      <c r="B3167" t="s">
        <v>32</v>
      </c>
      <c r="C3167" t="s">
        <v>133</v>
      </c>
      <c r="D3167" s="9">
        <v>40589.547546296293</v>
      </c>
      <c r="E3167" t="s">
        <v>8</v>
      </c>
      <c r="F3167">
        <f t="shared" ca="1" si="98"/>
        <v>3.9555555555555557</v>
      </c>
      <c r="G3167">
        <f t="shared" ca="1" si="99"/>
        <v>0</v>
      </c>
    </row>
    <row r="3168" spans="1:7">
      <c r="A3168">
        <v>2202</v>
      </c>
      <c r="B3168" t="s">
        <v>8</v>
      </c>
      <c r="C3168" t="s">
        <v>133</v>
      </c>
      <c r="D3168" s="9">
        <v>40589.415949074071</v>
      </c>
      <c r="E3168" t="s">
        <v>131</v>
      </c>
      <c r="F3168">
        <f t="shared" ca="1" si="98"/>
        <v>3.9555555555555557</v>
      </c>
      <c r="G3168">
        <f t="shared" ca="1" si="99"/>
        <v>0</v>
      </c>
    </row>
    <row r="3169" spans="1:7">
      <c r="A3169">
        <v>2205</v>
      </c>
      <c r="B3169" t="s">
        <v>36</v>
      </c>
      <c r="C3169" t="s">
        <v>133</v>
      </c>
      <c r="D3169" s="9">
        <v>40589.643912037034</v>
      </c>
      <c r="E3169" t="s">
        <v>8</v>
      </c>
      <c r="F3169">
        <f t="shared" ca="1" si="98"/>
        <v>3.9555555555555557</v>
      </c>
      <c r="G3169">
        <f t="shared" ca="1" si="99"/>
        <v>0</v>
      </c>
    </row>
    <row r="3170" spans="1:7">
      <c r="A3170">
        <v>2206</v>
      </c>
      <c r="B3170" t="s">
        <v>32</v>
      </c>
      <c r="C3170" t="s">
        <v>133</v>
      </c>
      <c r="D3170" s="9">
        <v>40590.713148148148</v>
      </c>
      <c r="E3170" t="s">
        <v>112</v>
      </c>
      <c r="F3170">
        <f t="shared" ca="1" si="98"/>
        <v>3.9527777777777779</v>
      </c>
      <c r="G3170">
        <f t="shared" ca="1" si="99"/>
        <v>0</v>
      </c>
    </row>
    <row r="3171" spans="1:7">
      <c r="A3171">
        <v>2210</v>
      </c>
      <c r="B3171" t="s">
        <v>11</v>
      </c>
      <c r="C3171" t="s">
        <v>133</v>
      </c>
      <c r="D3171" s="9">
        <v>40590.62222222222</v>
      </c>
      <c r="E3171" t="s">
        <v>131</v>
      </c>
      <c r="F3171">
        <f t="shared" ca="1" si="98"/>
        <v>3.9527777777777779</v>
      </c>
      <c r="G3171">
        <f t="shared" ca="1" si="99"/>
        <v>0</v>
      </c>
    </row>
    <row r="3172" spans="1:7">
      <c r="A3172">
        <v>2217</v>
      </c>
      <c r="B3172" t="s">
        <v>101</v>
      </c>
      <c r="C3172" t="s">
        <v>129</v>
      </c>
      <c r="D3172" s="9">
        <v>40806.437881944446</v>
      </c>
      <c r="E3172" t="s">
        <v>44</v>
      </c>
      <c r="F3172">
        <f t="shared" ca="1" si="98"/>
        <v>3.3583333333333334</v>
      </c>
      <c r="G3172">
        <f t="shared" ca="1" si="99"/>
        <v>0</v>
      </c>
    </row>
    <row r="3173" spans="1:7">
      <c r="A3173">
        <v>2219</v>
      </c>
      <c r="B3173" t="s">
        <v>101</v>
      </c>
      <c r="C3173" t="s">
        <v>129</v>
      </c>
      <c r="D3173" s="9">
        <v>40806.411666666667</v>
      </c>
      <c r="E3173" t="s">
        <v>44</v>
      </c>
      <c r="F3173">
        <f t="shared" ca="1" si="98"/>
        <v>3.3583333333333334</v>
      </c>
      <c r="G3173">
        <f t="shared" ca="1" si="99"/>
        <v>0</v>
      </c>
    </row>
    <row r="3174" spans="1:7">
      <c r="A3174">
        <v>2222</v>
      </c>
      <c r="B3174" t="s">
        <v>99</v>
      </c>
      <c r="C3174" t="s">
        <v>133</v>
      </c>
      <c r="D3174" s="9">
        <v>40590.730914351851</v>
      </c>
      <c r="E3174" t="s">
        <v>11</v>
      </c>
      <c r="F3174">
        <f t="shared" ca="1" si="98"/>
        <v>3.9527777777777779</v>
      </c>
      <c r="G3174">
        <f t="shared" ca="1" si="99"/>
        <v>0</v>
      </c>
    </row>
    <row r="3175" spans="1:7">
      <c r="A3175">
        <v>2223</v>
      </c>
      <c r="B3175" t="s">
        <v>131</v>
      </c>
      <c r="C3175" t="s">
        <v>133</v>
      </c>
      <c r="D3175" s="9">
        <v>40590.784618055557</v>
      </c>
      <c r="E3175" t="s">
        <v>11</v>
      </c>
      <c r="F3175">
        <f t="shared" ca="1" si="98"/>
        <v>3.9527777777777779</v>
      </c>
      <c r="G3175">
        <f t="shared" ca="1" si="99"/>
        <v>0</v>
      </c>
    </row>
    <row r="3176" spans="1:7">
      <c r="A3176">
        <v>2226</v>
      </c>
      <c r="B3176" t="s">
        <v>111</v>
      </c>
      <c r="C3176" t="s">
        <v>133</v>
      </c>
      <c r="D3176" s="9">
        <v>40591.602071759262</v>
      </c>
      <c r="E3176" t="s">
        <v>34</v>
      </c>
      <c r="F3176">
        <f t="shared" ca="1" si="98"/>
        <v>3.95</v>
      </c>
      <c r="G3176">
        <f t="shared" ca="1" si="99"/>
        <v>0</v>
      </c>
    </row>
    <row r="3177" spans="1:7">
      <c r="A3177">
        <v>2227</v>
      </c>
      <c r="B3177" t="s">
        <v>20</v>
      </c>
      <c r="C3177" t="s">
        <v>133</v>
      </c>
      <c r="D3177" s="9">
        <v>40589.551423611112</v>
      </c>
      <c r="E3177" t="s">
        <v>8</v>
      </c>
      <c r="F3177">
        <f t="shared" ca="1" si="98"/>
        <v>3.9555555555555557</v>
      </c>
      <c r="G3177">
        <f t="shared" ca="1" si="99"/>
        <v>0</v>
      </c>
    </row>
    <row r="3178" spans="1:7">
      <c r="A3178">
        <v>2230</v>
      </c>
      <c r="B3178" t="s">
        <v>36</v>
      </c>
      <c r="C3178" t="s">
        <v>130</v>
      </c>
      <c r="D3178" s="9">
        <v>40722.799490740741</v>
      </c>
      <c r="E3178" t="s">
        <v>21</v>
      </c>
      <c r="F3178">
        <f t="shared" ca="1" si="98"/>
        <v>3.5861111111111112</v>
      </c>
      <c r="G3178">
        <f t="shared" ca="1" si="99"/>
        <v>0</v>
      </c>
    </row>
    <row r="3179" spans="1:7">
      <c r="A3179">
        <v>2231</v>
      </c>
      <c r="B3179" t="s">
        <v>131</v>
      </c>
      <c r="C3179" t="s">
        <v>133</v>
      </c>
      <c r="D3179" s="9">
        <v>40590.662789351853</v>
      </c>
      <c r="E3179" t="s">
        <v>36</v>
      </c>
      <c r="F3179">
        <f t="shared" ca="1" si="98"/>
        <v>3.9527777777777779</v>
      </c>
      <c r="G3179">
        <f t="shared" ca="1" si="99"/>
        <v>0</v>
      </c>
    </row>
    <row r="3180" spans="1:7">
      <c r="A3180">
        <v>2232</v>
      </c>
      <c r="B3180" t="s">
        <v>131</v>
      </c>
      <c r="C3180" t="s">
        <v>133</v>
      </c>
      <c r="D3180" s="9">
        <v>40590.708807870367</v>
      </c>
      <c r="E3180" t="s">
        <v>19</v>
      </c>
      <c r="F3180">
        <f t="shared" ca="1" si="98"/>
        <v>3.9527777777777779</v>
      </c>
      <c r="G3180">
        <f t="shared" ca="1" si="99"/>
        <v>0</v>
      </c>
    </row>
    <row r="3181" spans="1:7">
      <c r="A3181">
        <v>2233</v>
      </c>
      <c r="B3181" t="s">
        <v>8</v>
      </c>
      <c r="C3181" t="s">
        <v>128</v>
      </c>
      <c r="D3181" s="9">
        <v>40940.665324074071</v>
      </c>
      <c r="E3181" t="s">
        <v>38</v>
      </c>
      <c r="F3181">
        <f t="shared" ca="1" si="98"/>
        <v>2.9944444444444445</v>
      </c>
      <c r="G3181">
        <f t="shared" ca="1" si="99"/>
        <v>0</v>
      </c>
    </row>
    <row r="3182" spans="1:7">
      <c r="A3182">
        <v>2234</v>
      </c>
      <c r="B3182" t="s">
        <v>8</v>
      </c>
      <c r="C3182" t="s">
        <v>133</v>
      </c>
      <c r="D3182" s="9">
        <v>40591.405335648145</v>
      </c>
      <c r="E3182" t="s">
        <v>131</v>
      </c>
      <c r="F3182">
        <f t="shared" ca="1" si="98"/>
        <v>3.95</v>
      </c>
      <c r="G3182">
        <f t="shared" ca="1" si="99"/>
        <v>0</v>
      </c>
    </row>
    <row r="3183" spans="1:7">
      <c r="A3183">
        <v>2237</v>
      </c>
      <c r="B3183" t="s">
        <v>8</v>
      </c>
      <c r="C3183" t="s">
        <v>133</v>
      </c>
      <c r="D3183" s="9">
        <v>40589.588194444441</v>
      </c>
      <c r="E3183" t="s">
        <v>144</v>
      </c>
      <c r="F3183">
        <f t="shared" ref="F3183:F3246" ca="1" si="100">YEARFRAC(TODAY(),$D3183)</f>
        <v>3.9555555555555557</v>
      </c>
      <c r="G3183">
        <f t="shared" ref="G3183:G3246" ca="1" si="101">IF($F3183&lt;1,1,0)</f>
        <v>0</v>
      </c>
    </row>
    <row r="3184" spans="1:7">
      <c r="A3184">
        <v>2238</v>
      </c>
      <c r="B3184" t="s">
        <v>101</v>
      </c>
      <c r="C3184" t="s">
        <v>133</v>
      </c>
      <c r="D3184" s="9">
        <v>40589.478495370371</v>
      </c>
      <c r="E3184" t="s">
        <v>131</v>
      </c>
      <c r="F3184">
        <f t="shared" ca="1" si="100"/>
        <v>3.9555555555555557</v>
      </c>
      <c r="G3184">
        <f t="shared" ca="1" si="101"/>
        <v>0</v>
      </c>
    </row>
    <row r="3185" spans="1:7">
      <c r="A3185">
        <v>2239</v>
      </c>
      <c r="B3185" t="s">
        <v>99</v>
      </c>
      <c r="C3185" t="s">
        <v>129</v>
      </c>
      <c r="D3185" s="9">
        <v>40806.388935185183</v>
      </c>
      <c r="E3185" t="s">
        <v>34</v>
      </c>
      <c r="F3185">
        <f t="shared" ca="1" si="100"/>
        <v>3.3583333333333334</v>
      </c>
      <c r="G3185">
        <f t="shared" ca="1" si="101"/>
        <v>0</v>
      </c>
    </row>
    <row r="3186" spans="1:7">
      <c r="A3186">
        <v>2244</v>
      </c>
      <c r="B3186" t="s">
        <v>99</v>
      </c>
      <c r="C3186" t="s">
        <v>133</v>
      </c>
      <c r="D3186" s="9">
        <v>40590.504108796296</v>
      </c>
      <c r="E3186" t="s">
        <v>131</v>
      </c>
      <c r="F3186">
        <f t="shared" ca="1" si="100"/>
        <v>3.9527777777777779</v>
      </c>
      <c r="G3186">
        <f t="shared" ca="1" si="101"/>
        <v>0</v>
      </c>
    </row>
    <row r="3187" spans="1:7">
      <c r="A3187">
        <v>2248</v>
      </c>
      <c r="B3187" t="s">
        <v>34</v>
      </c>
      <c r="C3187" t="s">
        <v>132</v>
      </c>
      <c r="D3187" s="9">
        <v>40660.492847222224</v>
      </c>
      <c r="E3187" t="s">
        <v>131</v>
      </c>
      <c r="F3187">
        <f t="shared" ca="1" si="100"/>
        <v>3.7555555555555555</v>
      </c>
      <c r="G3187">
        <f t="shared" ca="1" si="101"/>
        <v>0</v>
      </c>
    </row>
    <row r="3188" spans="1:7">
      <c r="A3188">
        <v>2249</v>
      </c>
      <c r="B3188" t="s">
        <v>34</v>
      </c>
      <c r="C3188" t="s">
        <v>129</v>
      </c>
      <c r="D3188" s="9">
        <v>40805.701342592591</v>
      </c>
      <c r="E3188" t="s">
        <v>99</v>
      </c>
      <c r="F3188">
        <f t="shared" ca="1" si="100"/>
        <v>3.3611111111111112</v>
      </c>
      <c r="G3188">
        <f t="shared" ca="1" si="101"/>
        <v>0</v>
      </c>
    </row>
    <row r="3189" spans="1:7">
      <c r="A3189">
        <v>2250</v>
      </c>
      <c r="B3189" t="s">
        <v>8</v>
      </c>
      <c r="C3189" t="s">
        <v>133</v>
      </c>
      <c r="D3189" s="9">
        <v>40589.42827546296</v>
      </c>
      <c r="E3189" t="s">
        <v>131</v>
      </c>
      <c r="F3189">
        <f t="shared" ca="1" si="100"/>
        <v>3.9555555555555557</v>
      </c>
      <c r="G3189">
        <f t="shared" ca="1" si="101"/>
        <v>0</v>
      </c>
    </row>
    <row r="3190" spans="1:7">
      <c r="A3190">
        <v>2251</v>
      </c>
      <c r="B3190" t="s">
        <v>101</v>
      </c>
      <c r="C3190" t="s">
        <v>132</v>
      </c>
      <c r="D3190" s="9">
        <v>40666.855497685188</v>
      </c>
      <c r="E3190" t="s">
        <v>27</v>
      </c>
      <c r="F3190">
        <f t="shared" ca="1" si="100"/>
        <v>3.7388888888888889</v>
      </c>
      <c r="G3190">
        <f t="shared" ca="1" si="101"/>
        <v>0</v>
      </c>
    </row>
    <row r="3191" spans="1:7">
      <c r="A3191">
        <v>2255</v>
      </c>
      <c r="B3191" t="s">
        <v>131</v>
      </c>
      <c r="C3191" t="s">
        <v>133</v>
      </c>
      <c r="D3191" s="9">
        <v>40589.6565625</v>
      </c>
      <c r="E3191" t="s">
        <v>99</v>
      </c>
      <c r="F3191">
        <f t="shared" ca="1" si="100"/>
        <v>3.9555555555555557</v>
      </c>
      <c r="G3191">
        <f t="shared" ca="1" si="101"/>
        <v>0</v>
      </c>
    </row>
    <row r="3192" spans="1:7">
      <c r="A3192">
        <v>2256</v>
      </c>
      <c r="B3192" t="s">
        <v>8</v>
      </c>
      <c r="C3192" t="s">
        <v>133</v>
      </c>
      <c r="D3192" s="9">
        <v>40590.751168981478</v>
      </c>
      <c r="E3192" t="s">
        <v>11</v>
      </c>
      <c r="F3192">
        <f t="shared" ca="1" si="100"/>
        <v>3.9527777777777779</v>
      </c>
      <c r="G3192">
        <f t="shared" ca="1" si="101"/>
        <v>0</v>
      </c>
    </row>
    <row r="3193" spans="1:7">
      <c r="A3193">
        <v>2257</v>
      </c>
      <c r="B3193" t="s">
        <v>11</v>
      </c>
      <c r="C3193" t="s">
        <v>133</v>
      </c>
      <c r="D3193" s="9">
        <v>40589.671956018516</v>
      </c>
      <c r="E3193" t="s">
        <v>131</v>
      </c>
      <c r="F3193">
        <f t="shared" ca="1" si="100"/>
        <v>3.9555555555555557</v>
      </c>
      <c r="G3193">
        <f t="shared" ca="1" si="101"/>
        <v>0</v>
      </c>
    </row>
    <row r="3194" spans="1:7">
      <c r="A3194">
        <v>2261</v>
      </c>
      <c r="B3194" t="s">
        <v>111</v>
      </c>
      <c r="C3194" t="s">
        <v>133</v>
      </c>
      <c r="D3194" s="9">
        <v>40589.641284722224</v>
      </c>
      <c r="E3194" t="s">
        <v>8</v>
      </c>
      <c r="F3194">
        <f t="shared" ca="1" si="100"/>
        <v>3.9555555555555557</v>
      </c>
      <c r="G3194">
        <f t="shared" ca="1" si="101"/>
        <v>0</v>
      </c>
    </row>
    <row r="3195" spans="1:7">
      <c r="A3195">
        <v>2263</v>
      </c>
      <c r="B3195" t="s">
        <v>131</v>
      </c>
      <c r="C3195" t="s">
        <v>133</v>
      </c>
      <c r="D3195" s="9">
        <v>40591.439942129633</v>
      </c>
      <c r="E3195" t="s">
        <v>101</v>
      </c>
      <c r="F3195">
        <f t="shared" ca="1" si="100"/>
        <v>3.95</v>
      </c>
      <c r="G3195">
        <f t="shared" ca="1" si="101"/>
        <v>0</v>
      </c>
    </row>
    <row r="3196" spans="1:7">
      <c r="A3196">
        <v>2265</v>
      </c>
      <c r="B3196" t="s">
        <v>99</v>
      </c>
      <c r="C3196" t="s">
        <v>129</v>
      </c>
      <c r="D3196" s="9">
        <v>40806.629513888889</v>
      </c>
      <c r="E3196" t="s">
        <v>20</v>
      </c>
      <c r="F3196">
        <f t="shared" ca="1" si="100"/>
        <v>3.3583333333333334</v>
      </c>
      <c r="G3196">
        <f t="shared" ca="1" si="101"/>
        <v>0</v>
      </c>
    </row>
    <row r="3197" spans="1:7">
      <c r="A3197">
        <v>2267</v>
      </c>
      <c r="B3197" t="s">
        <v>8</v>
      </c>
      <c r="C3197" t="s">
        <v>133</v>
      </c>
      <c r="D3197" s="9">
        <v>40590.705648148149</v>
      </c>
      <c r="E3197" t="s">
        <v>131</v>
      </c>
      <c r="F3197">
        <f t="shared" ca="1" si="100"/>
        <v>3.9527777777777779</v>
      </c>
      <c r="G3197">
        <f t="shared" ca="1" si="101"/>
        <v>0</v>
      </c>
    </row>
    <row r="3198" spans="1:7">
      <c r="A3198">
        <v>2269</v>
      </c>
      <c r="B3198" t="s">
        <v>99</v>
      </c>
      <c r="C3198" t="s">
        <v>133</v>
      </c>
      <c r="D3198" s="9">
        <v>40589.637685185182</v>
      </c>
      <c r="E3198" t="s">
        <v>8</v>
      </c>
      <c r="F3198">
        <f t="shared" ca="1" si="100"/>
        <v>3.9555555555555557</v>
      </c>
      <c r="G3198">
        <f t="shared" ca="1" si="101"/>
        <v>0</v>
      </c>
    </row>
    <row r="3199" spans="1:7">
      <c r="A3199">
        <v>2270</v>
      </c>
      <c r="B3199" t="s">
        <v>111</v>
      </c>
      <c r="C3199" t="s">
        <v>133</v>
      </c>
      <c r="D3199" s="9">
        <v>40591.373356481483</v>
      </c>
      <c r="E3199" t="s">
        <v>8</v>
      </c>
      <c r="F3199">
        <f t="shared" ca="1" si="100"/>
        <v>3.95</v>
      </c>
      <c r="G3199">
        <f t="shared" ca="1" si="101"/>
        <v>0</v>
      </c>
    </row>
    <row r="3200" spans="1:7">
      <c r="A3200">
        <v>2271</v>
      </c>
      <c r="B3200" t="s">
        <v>8</v>
      </c>
      <c r="C3200" t="s">
        <v>133</v>
      </c>
      <c r="D3200" s="9">
        <v>40590.575115740743</v>
      </c>
      <c r="E3200" t="s">
        <v>112</v>
      </c>
      <c r="F3200">
        <f t="shared" ca="1" si="100"/>
        <v>3.9527777777777779</v>
      </c>
      <c r="G3200">
        <f t="shared" ca="1" si="101"/>
        <v>0</v>
      </c>
    </row>
    <row r="3201" spans="1:7">
      <c r="A3201">
        <v>2274</v>
      </c>
      <c r="B3201" t="s">
        <v>131</v>
      </c>
      <c r="C3201" t="s">
        <v>133</v>
      </c>
      <c r="D3201" s="9">
        <v>40591.406041666669</v>
      </c>
      <c r="E3201" t="s">
        <v>19</v>
      </c>
      <c r="F3201">
        <f t="shared" ca="1" si="100"/>
        <v>3.95</v>
      </c>
      <c r="G3201">
        <f t="shared" ca="1" si="101"/>
        <v>0</v>
      </c>
    </row>
    <row r="3202" spans="1:7">
      <c r="A3202">
        <v>2276</v>
      </c>
      <c r="B3202" t="s">
        <v>112</v>
      </c>
      <c r="C3202" t="s">
        <v>133</v>
      </c>
      <c r="D3202" s="9">
        <v>40592.382581018515</v>
      </c>
      <c r="E3202" t="s">
        <v>19</v>
      </c>
      <c r="F3202">
        <f t="shared" ca="1" si="100"/>
        <v>3.9472222222222224</v>
      </c>
      <c r="G3202">
        <f t="shared" ca="1" si="101"/>
        <v>0</v>
      </c>
    </row>
    <row r="3203" spans="1:7">
      <c r="A3203">
        <v>2277</v>
      </c>
      <c r="B3203" t="s">
        <v>99</v>
      </c>
      <c r="C3203" t="s">
        <v>133</v>
      </c>
      <c r="D3203" s="9">
        <v>40590.425532407404</v>
      </c>
      <c r="E3203" t="s">
        <v>131</v>
      </c>
      <c r="F3203">
        <f t="shared" ca="1" si="100"/>
        <v>3.9527777777777779</v>
      </c>
      <c r="G3203">
        <f t="shared" ca="1" si="101"/>
        <v>0</v>
      </c>
    </row>
    <row r="3204" spans="1:7">
      <c r="A3204">
        <v>2280</v>
      </c>
      <c r="B3204" t="s">
        <v>44</v>
      </c>
      <c r="C3204" t="s">
        <v>133</v>
      </c>
      <c r="D3204" s="9">
        <v>40589.70652777778</v>
      </c>
      <c r="E3204" t="s">
        <v>99</v>
      </c>
      <c r="F3204">
        <f t="shared" ca="1" si="100"/>
        <v>3.9555555555555557</v>
      </c>
      <c r="G3204">
        <f t="shared" ca="1" si="101"/>
        <v>0</v>
      </c>
    </row>
    <row r="3205" spans="1:7">
      <c r="A3205">
        <v>2283</v>
      </c>
      <c r="B3205" t="s">
        <v>131</v>
      </c>
      <c r="C3205" t="s">
        <v>133</v>
      </c>
      <c r="D3205" s="9">
        <v>40591.41851851852</v>
      </c>
      <c r="E3205" t="s">
        <v>19</v>
      </c>
      <c r="F3205">
        <f t="shared" ca="1" si="100"/>
        <v>3.95</v>
      </c>
      <c r="G3205">
        <f t="shared" ca="1" si="101"/>
        <v>0</v>
      </c>
    </row>
    <row r="3206" spans="1:7">
      <c r="A3206">
        <v>2288</v>
      </c>
      <c r="B3206" t="s">
        <v>27</v>
      </c>
      <c r="C3206" t="s">
        <v>132</v>
      </c>
      <c r="D3206" s="9">
        <v>40661.57472222222</v>
      </c>
      <c r="E3206" t="s">
        <v>131</v>
      </c>
      <c r="F3206">
        <f t="shared" ca="1" si="100"/>
        <v>3.7527777777777778</v>
      </c>
      <c r="G3206">
        <f t="shared" ca="1" si="101"/>
        <v>0</v>
      </c>
    </row>
    <row r="3207" spans="1:7">
      <c r="A3207">
        <v>2289</v>
      </c>
      <c r="B3207" t="s">
        <v>131</v>
      </c>
      <c r="C3207" t="s">
        <v>133</v>
      </c>
      <c r="D3207" s="9">
        <v>40591.440034722225</v>
      </c>
      <c r="E3207" t="s">
        <v>19</v>
      </c>
      <c r="F3207">
        <f t="shared" ca="1" si="100"/>
        <v>3.95</v>
      </c>
      <c r="G3207">
        <f t="shared" ca="1" si="101"/>
        <v>0</v>
      </c>
    </row>
    <row r="3208" spans="1:7">
      <c r="A3208">
        <v>2290</v>
      </c>
      <c r="B3208" t="s">
        <v>131</v>
      </c>
      <c r="C3208" t="s">
        <v>133</v>
      </c>
      <c r="D3208" s="9">
        <v>40591.562974537039</v>
      </c>
      <c r="E3208" t="s">
        <v>34</v>
      </c>
      <c r="F3208">
        <f t="shared" ca="1" si="100"/>
        <v>3.95</v>
      </c>
      <c r="G3208">
        <f t="shared" ca="1" si="101"/>
        <v>0</v>
      </c>
    </row>
    <row r="3209" spans="1:7">
      <c r="A3209">
        <v>2292</v>
      </c>
      <c r="B3209" t="s">
        <v>36</v>
      </c>
      <c r="C3209" t="s">
        <v>128</v>
      </c>
      <c r="D3209" s="9">
        <v>40918.79650462963</v>
      </c>
      <c r="E3209" t="s">
        <v>27</v>
      </c>
      <c r="F3209">
        <f t="shared" ca="1" si="100"/>
        <v>3.0527777777777776</v>
      </c>
      <c r="G3209">
        <f t="shared" ca="1" si="101"/>
        <v>0</v>
      </c>
    </row>
    <row r="3210" spans="1:7">
      <c r="A3210">
        <v>2294</v>
      </c>
      <c r="B3210" t="s">
        <v>111</v>
      </c>
      <c r="C3210" t="s">
        <v>130</v>
      </c>
      <c r="D3210" s="9">
        <v>40722.934606481482</v>
      </c>
      <c r="E3210" t="s">
        <v>38</v>
      </c>
      <c r="F3210">
        <f t="shared" ca="1" si="100"/>
        <v>3.5861111111111112</v>
      </c>
      <c r="G3210">
        <f t="shared" ca="1" si="101"/>
        <v>0</v>
      </c>
    </row>
    <row r="3211" spans="1:7">
      <c r="A3211">
        <v>2295</v>
      </c>
      <c r="B3211" t="s">
        <v>99</v>
      </c>
      <c r="C3211" t="s">
        <v>133</v>
      </c>
      <c r="D3211" s="9">
        <v>40590.682719907411</v>
      </c>
      <c r="E3211" t="s">
        <v>131</v>
      </c>
      <c r="F3211">
        <f t="shared" ca="1" si="100"/>
        <v>3.9527777777777779</v>
      </c>
      <c r="G3211">
        <f t="shared" ca="1" si="101"/>
        <v>0</v>
      </c>
    </row>
    <row r="3212" spans="1:7">
      <c r="A3212">
        <v>2298</v>
      </c>
      <c r="B3212" t="s">
        <v>44</v>
      </c>
      <c r="C3212" t="s">
        <v>133</v>
      </c>
      <c r="D3212" s="9">
        <v>40589.766701388886</v>
      </c>
      <c r="E3212" t="s">
        <v>32</v>
      </c>
      <c r="F3212">
        <f t="shared" ca="1" si="100"/>
        <v>3.9555555555555557</v>
      </c>
      <c r="G3212">
        <f t="shared" ca="1" si="101"/>
        <v>0</v>
      </c>
    </row>
    <row r="3213" spans="1:7">
      <c r="A3213">
        <v>2299</v>
      </c>
      <c r="B3213" t="s">
        <v>44</v>
      </c>
      <c r="C3213" t="s">
        <v>133</v>
      </c>
      <c r="D3213" s="9">
        <v>40588.6953587963</v>
      </c>
      <c r="E3213" t="s">
        <v>38</v>
      </c>
      <c r="F3213">
        <f t="shared" ca="1" si="100"/>
        <v>3.9583333333333335</v>
      </c>
      <c r="G3213">
        <f t="shared" ca="1" si="101"/>
        <v>0</v>
      </c>
    </row>
    <row r="3214" spans="1:7">
      <c r="A3214">
        <v>2300</v>
      </c>
      <c r="B3214" t="s">
        <v>44</v>
      </c>
      <c r="C3214" t="s">
        <v>133</v>
      </c>
      <c r="D3214" s="9">
        <v>40590.541203703702</v>
      </c>
      <c r="E3214" t="s">
        <v>32</v>
      </c>
      <c r="F3214">
        <f t="shared" ca="1" si="100"/>
        <v>3.9527777777777779</v>
      </c>
      <c r="G3214">
        <f t="shared" ca="1" si="101"/>
        <v>0</v>
      </c>
    </row>
    <row r="3215" spans="1:7">
      <c r="A3215">
        <v>2301</v>
      </c>
      <c r="B3215" t="s">
        <v>34</v>
      </c>
      <c r="C3215" t="s">
        <v>132</v>
      </c>
      <c r="D3215" s="9">
        <v>40659.446064814816</v>
      </c>
      <c r="E3215" t="s">
        <v>131</v>
      </c>
      <c r="F3215">
        <f t="shared" ca="1" si="100"/>
        <v>3.7583333333333333</v>
      </c>
      <c r="G3215">
        <f t="shared" ca="1" si="101"/>
        <v>0</v>
      </c>
    </row>
    <row r="3216" spans="1:7">
      <c r="A3216">
        <v>2302</v>
      </c>
      <c r="B3216" t="s">
        <v>8</v>
      </c>
      <c r="C3216" t="s">
        <v>132</v>
      </c>
      <c r="D3216" s="9">
        <v>40659.468425925923</v>
      </c>
      <c r="E3216" t="s">
        <v>131</v>
      </c>
      <c r="F3216">
        <f t="shared" ca="1" si="100"/>
        <v>3.7583333333333333</v>
      </c>
      <c r="G3216">
        <f t="shared" ca="1" si="101"/>
        <v>0</v>
      </c>
    </row>
    <row r="3217" spans="1:7">
      <c r="A3217">
        <v>2303</v>
      </c>
      <c r="B3217" t="s">
        <v>143</v>
      </c>
      <c r="C3217" t="s">
        <v>129</v>
      </c>
      <c r="D3217" s="9">
        <v>40807.472372685188</v>
      </c>
      <c r="E3217" t="s">
        <v>44</v>
      </c>
      <c r="F3217">
        <f t="shared" ca="1" si="100"/>
        <v>3.3555555555555556</v>
      </c>
      <c r="G3217">
        <f t="shared" ca="1" si="101"/>
        <v>0</v>
      </c>
    </row>
    <row r="3218" spans="1:7">
      <c r="A3218">
        <v>2307</v>
      </c>
      <c r="B3218" t="s">
        <v>111</v>
      </c>
      <c r="C3218" t="s">
        <v>133</v>
      </c>
      <c r="D3218" s="9">
        <v>40590.409791666665</v>
      </c>
      <c r="E3218" t="s">
        <v>8</v>
      </c>
      <c r="F3218">
        <f t="shared" ca="1" si="100"/>
        <v>3.9527777777777779</v>
      </c>
      <c r="G3218">
        <f t="shared" ca="1" si="101"/>
        <v>0</v>
      </c>
    </row>
    <row r="3219" spans="1:7">
      <c r="A3219">
        <v>2309</v>
      </c>
      <c r="B3219" t="s">
        <v>11</v>
      </c>
      <c r="C3219" t="s">
        <v>128</v>
      </c>
      <c r="D3219" s="9">
        <v>40918.851504629631</v>
      </c>
      <c r="E3219" t="s">
        <v>27</v>
      </c>
      <c r="F3219">
        <f t="shared" ca="1" si="100"/>
        <v>3.0527777777777776</v>
      </c>
      <c r="G3219">
        <f t="shared" ca="1" si="101"/>
        <v>0</v>
      </c>
    </row>
    <row r="3220" spans="1:7">
      <c r="A3220">
        <v>2310</v>
      </c>
      <c r="B3220" t="s">
        <v>112</v>
      </c>
      <c r="C3220" t="s">
        <v>133</v>
      </c>
      <c r="D3220" s="9">
        <v>40589.482731481483</v>
      </c>
      <c r="E3220" t="s">
        <v>131</v>
      </c>
      <c r="F3220">
        <f t="shared" ca="1" si="100"/>
        <v>3.9555555555555557</v>
      </c>
      <c r="G3220">
        <f t="shared" ca="1" si="101"/>
        <v>0</v>
      </c>
    </row>
    <row r="3221" spans="1:7">
      <c r="A3221">
        <v>2315</v>
      </c>
      <c r="B3221" t="s">
        <v>8</v>
      </c>
      <c r="C3221" t="s">
        <v>133</v>
      </c>
      <c r="D3221" s="9">
        <v>40590.674467592595</v>
      </c>
      <c r="E3221" t="s">
        <v>131</v>
      </c>
      <c r="F3221">
        <f t="shared" ca="1" si="100"/>
        <v>3.9527777777777779</v>
      </c>
      <c r="G3221">
        <f t="shared" ca="1" si="101"/>
        <v>0</v>
      </c>
    </row>
    <row r="3222" spans="1:7">
      <c r="A3222">
        <v>2317</v>
      </c>
      <c r="B3222" t="s">
        <v>99</v>
      </c>
      <c r="C3222" t="s">
        <v>133</v>
      </c>
      <c r="D3222" s="9">
        <v>40589.882638888892</v>
      </c>
      <c r="E3222" t="s">
        <v>32</v>
      </c>
      <c r="F3222">
        <f t="shared" ca="1" si="100"/>
        <v>3.9555555555555557</v>
      </c>
      <c r="G3222">
        <f t="shared" ca="1" si="101"/>
        <v>0</v>
      </c>
    </row>
    <row r="3223" spans="1:7">
      <c r="A3223">
        <v>2318</v>
      </c>
      <c r="B3223" t="s">
        <v>44</v>
      </c>
      <c r="C3223" t="s">
        <v>133</v>
      </c>
      <c r="D3223" s="9">
        <v>40590.728564814817</v>
      </c>
      <c r="E3223" t="s">
        <v>112</v>
      </c>
      <c r="F3223">
        <f t="shared" ca="1" si="100"/>
        <v>3.9527777777777779</v>
      </c>
      <c r="G3223">
        <f t="shared" ca="1" si="101"/>
        <v>0</v>
      </c>
    </row>
    <row r="3224" spans="1:7">
      <c r="A3224">
        <v>2320</v>
      </c>
      <c r="B3224" t="s">
        <v>20</v>
      </c>
      <c r="C3224" t="s">
        <v>127</v>
      </c>
      <c r="D3224" s="9">
        <v>41029.855543981481</v>
      </c>
      <c r="E3224" t="s">
        <v>38</v>
      </c>
      <c r="F3224">
        <f t="shared" ca="1" si="100"/>
        <v>2.7472222222222222</v>
      </c>
      <c r="G3224">
        <f t="shared" ca="1" si="101"/>
        <v>0</v>
      </c>
    </row>
    <row r="3225" spans="1:7">
      <c r="A3225">
        <v>2321</v>
      </c>
      <c r="B3225" t="s">
        <v>8</v>
      </c>
      <c r="C3225" t="s">
        <v>133</v>
      </c>
      <c r="D3225" s="9">
        <v>40590.756828703707</v>
      </c>
      <c r="E3225" t="s">
        <v>11</v>
      </c>
      <c r="F3225">
        <f t="shared" ca="1" si="100"/>
        <v>3.9527777777777779</v>
      </c>
      <c r="G3225">
        <f t="shared" ca="1" si="101"/>
        <v>0</v>
      </c>
    </row>
    <row r="3226" spans="1:7">
      <c r="A3226">
        <v>2322</v>
      </c>
      <c r="B3226" t="s">
        <v>38</v>
      </c>
      <c r="C3226" t="s">
        <v>133</v>
      </c>
      <c r="D3226" s="9">
        <v>40591.379803240743</v>
      </c>
      <c r="E3226" t="s">
        <v>8</v>
      </c>
      <c r="F3226">
        <f t="shared" ca="1" si="100"/>
        <v>3.95</v>
      </c>
      <c r="G3226">
        <f t="shared" ca="1" si="101"/>
        <v>0</v>
      </c>
    </row>
    <row r="3227" spans="1:7">
      <c r="A3227">
        <v>2323</v>
      </c>
      <c r="B3227" t="s">
        <v>112</v>
      </c>
      <c r="C3227" t="s">
        <v>133</v>
      </c>
      <c r="D3227" s="9">
        <v>40591.593206018515</v>
      </c>
      <c r="E3227" t="s">
        <v>8</v>
      </c>
      <c r="F3227">
        <f t="shared" ca="1" si="100"/>
        <v>3.95</v>
      </c>
      <c r="G3227">
        <f t="shared" ca="1" si="101"/>
        <v>0</v>
      </c>
    </row>
    <row r="3228" spans="1:7">
      <c r="A3228">
        <v>2326</v>
      </c>
      <c r="B3228" t="s">
        <v>38</v>
      </c>
      <c r="C3228" t="s">
        <v>133</v>
      </c>
      <c r="D3228" s="9">
        <v>40591.918217592596</v>
      </c>
      <c r="E3228" t="s">
        <v>36</v>
      </c>
      <c r="F3228">
        <f t="shared" ca="1" si="100"/>
        <v>3.95</v>
      </c>
      <c r="G3228">
        <f t="shared" ca="1" si="101"/>
        <v>0</v>
      </c>
    </row>
    <row r="3229" spans="1:7">
      <c r="A3229">
        <v>2327</v>
      </c>
      <c r="B3229" t="s">
        <v>131</v>
      </c>
      <c r="C3229" t="s">
        <v>133</v>
      </c>
      <c r="D3229" s="9">
        <v>40591.638553240744</v>
      </c>
      <c r="E3229" t="s">
        <v>101</v>
      </c>
      <c r="F3229">
        <f t="shared" ca="1" si="100"/>
        <v>3.95</v>
      </c>
      <c r="G3229">
        <f t="shared" ca="1" si="101"/>
        <v>0</v>
      </c>
    </row>
    <row r="3230" spans="1:7">
      <c r="A3230">
        <v>2331</v>
      </c>
      <c r="B3230" t="s">
        <v>131</v>
      </c>
      <c r="C3230" t="s">
        <v>133</v>
      </c>
      <c r="D3230" s="9">
        <v>40590.691701388889</v>
      </c>
      <c r="E3230" t="s">
        <v>19</v>
      </c>
      <c r="F3230">
        <f t="shared" ca="1" si="100"/>
        <v>3.9527777777777779</v>
      </c>
      <c r="G3230">
        <f t="shared" ca="1" si="101"/>
        <v>0</v>
      </c>
    </row>
    <row r="3231" spans="1:7">
      <c r="A3231">
        <v>2333</v>
      </c>
      <c r="B3231" t="s">
        <v>11</v>
      </c>
      <c r="C3231" t="s">
        <v>133</v>
      </c>
      <c r="D3231" s="9">
        <v>40590.480821759258</v>
      </c>
      <c r="E3231" t="s">
        <v>19</v>
      </c>
      <c r="F3231">
        <f t="shared" ca="1" si="100"/>
        <v>3.9527777777777779</v>
      </c>
      <c r="G3231">
        <f t="shared" ca="1" si="101"/>
        <v>0</v>
      </c>
    </row>
    <row r="3232" spans="1:7">
      <c r="A3232">
        <v>2334</v>
      </c>
      <c r="B3232" t="s">
        <v>99</v>
      </c>
      <c r="C3232" t="s">
        <v>133</v>
      </c>
      <c r="D3232" s="9">
        <v>40590.561435185184</v>
      </c>
      <c r="E3232" t="s">
        <v>32</v>
      </c>
      <c r="F3232">
        <f t="shared" ca="1" si="100"/>
        <v>3.9527777777777779</v>
      </c>
      <c r="G3232">
        <f t="shared" ca="1" si="101"/>
        <v>0</v>
      </c>
    </row>
    <row r="3233" spans="1:7">
      <c r="A3233">
        <v>2336</v>
      </c>
      <c r="B3233" t="s">
        <v>99</v>
      </c>
      <c r="C3233" t="s">
        <v>133</v>
      </c>
      <c r="D3233" s="9">
        <v>40590.48914351852</v>
      </c>
      <c r="E3233" t="s">
        <v>19</v>
      </c>
      <c r="F3233">
        <f t="shared" ca="1" si="100"/>
        <v>3.9527777777777779</v>
      </c>
      <c r="G3233">
        <f t="shared" ca="1" si="101"/>
        <v>0</v>
      </c>
    </row>
    <row r="3234" spans="1:7">
      <c r="A3234">
        <v>2337</v>
      </c>
      <c r="B3234" t="s">
        <v>101</v>
      </c>
      <c r="C3234" t="s">
        <v>132</v>
      </c>
      <c r="D3234" s="9">
        <v>40667.964965277781</v>
      </c>
      <c r="E3234" t="s">
        <v>38</v>
      </c>
      <c r="F3234">
        <f t="shared" ca="1" si="100"/>
        <v>3.7361111111111112</v>
      </c>
      <c r="G3234">
        <f t="shared" ca="1" si="101"/>
        <v>0</v>
      </c>
    </row>
    <row r="3235" spans="1:7">
      <c r="A3235">
        <v>2339</v>
      </c>
      <c r="B3235" t="s">
        <v>131</v>
      </c>
      <c r="C3235" t="s">
        <v>132</v>
      </c>
      <c r="D3235" s="9">
        <v>40660.595891203702</v>
      </c>
      <c r="E3235" t="s">
        <v>44</v>
      </c>
      <c r="F3235">
        <f t="shared" ca="1" si="100"/>
        <v>3.7555555555555555</v>
      </c>
      <c r="G3235">
        <f t="shared" ca="1" si="101"/>
        <v>0</v>
      </c>
    </row>
    <row r="3236" spans="1:7">
      <c r="A3236">
        <v>2340</v>
      </c>
      <c r="B3236" t="s">
        <v>131</v>
      </c>
      <c r="C3236" t="s">
        <v>132</v>
      </c>
      <c r="D3236" s="9">
        <v>40660.402789351851</v>
      </c>
      <c r="E3236" t="s">
        <v>44</v>
      </c>
      <c r="F3236">
        <f t="shared" ca="1" si="100"/>
        <v>3.7555555555555555</v>
      </c>
      <c r="G3236">
        <f t="shared" ca="1" si="101"/>
        <v>0</v>
      </c>
    </row>
    <row r="3237" spans="1:7">
      <c r="A3237">
        <v>2343</v>
      </c>
      <c r="B3237" t="s">
        <v>20</v>
      </c>
      <c r="C3237" t="s">
        <v>133</v>
      </c>
      <c r="D3237" s="9">
        <v>40590.615752314814</v>
      </c>
      <c r="E3237" t="s">
        <v>8</v>
      </c>
      <c r="F3237">
        <f t="shared" ca="1" si="100"/>
        <v>3.9527777777777779</v>
      </c>
      <c r="G3237">
        <f t="shared" ca="1" si="101"/>
        <v>0</v>
      </c>
    </row>
    <row r="3238" spans="1:7">
      <c r="A3238">
        <v>2344</v>
      </c>
      <c r="B3238" t="s">
        <v>99</v>
      </c>
      <c r="C3238" t="s">
        <v>133</v>
      </c>
      <c r="D3238" s="9">
        <v>40589.625335648147</v>
      </c>
      <c r="E3238" t="s">
        <v>131</v>
      </c>
      <c r="F3238">
        <f t="shared" ca="1" si="100"/>
        <v>3.9555555555555557</v>
      </c>
      <c r="G3238">
        <f t="shared" ca="1" si="101"/>
        <v>0</v>
      </c>
    </row>
    <row r="3239" spans="1:7">
      <c r="A3239">
        <v>2346</v>
      </c>
      <c r="B3239" t="s">
        <v>8</v>
      </c>
      <c r="C3239" t="s">
        <v>133</v>
      </c>
      <c r="D3239" s="9">
        <v>40590.449930555558</v>
      </c>
      <c r="E3239" t="s">
        <v>131</v>
      </c>
      <c r="F3239">
        <f t="shared" ca="1" si="100"/>
        <v>3.9527777777777779</v>
      </c>
      <c r="G3239">
        <f t="shared" ca="1" si="101"/>
        <v>0</v>
      </c>
    </row>
    <row r="3240" spans="1:7">
      <c r="A3240">
        <v>2347</v>
      </c>
      <c r="B3240" t="s">
        <v>131</v>
      </c>
      <c r="C3240" t="s">
        <v>133</v>
      </c>
      <c r="D3240" s="9">
        <v>40591.501793981479</v>
      </c>
      <c r="E3240" t="s">
        <v>101</v>
      </c>
      <c r="F3240">
        <f t="shared" ca="1" si="100"/>
        <v>3.95</v>
      </c>
      <c r="G3240">
        <f t="shared" ca="1" si="101"/>
        <v>0</v>
      </c>
    </row>
    <row r="3241" spans="1:7">
      <c r="A3241">
        <v>2350</v>
      </c>
      <c r="B3241" t="s">
        <v>111</v>
      </c>
      <c r="C3241" t="s">
        <v>133</v>
      </c>
      <c r="D3241" s="9">
        <v>40591.580081018517</v>
      </c>
      <c r="E3241" t="s">
        <v>8</v>
      </c>
      <c r="F3241">
        <f t="shared" ca="1" si="100"/>
        <v>3.95</v>
      </c>
      <c r="G3241">
        <f t="shared" ca="1" si="101"/>
        <v>0</v>
      </c>
    </row>
    <row r="3242" spans="1:7">
      <c r="A3242">
        <v>2351</v>
      </c>
      <c r="B3242" t="s">
        <v>111</v>
      </c>
      <c r="C3242" t="s">
        <v>130</v>
      </c>
      <c r="D3242" s="9">
        <v>40723.633055555554</v>
      </c>
      <c r="E3242" t="s">
        <v>101</v>
      </c>
      <c r="F3242">
        <f t="shared" ca="1" si="100"/>
        <v>3.5833333333333335</v>
      </c>
      <c r="G3242">
        <f t="shared" ca="1" si="101"/>
        <v>0</v>
      </c>
    </row>
    <row r="3243" spans="1:7">
      <c r="A3243">
        <v>2352</v>
      </c>
      <c r="B3243" t="s">
        <v>8</v>
      </c>
      <c r="C3243" t="s">
        <v>133</v>
      </c>
      <c r="D3243" s="9">
        <v>40590.464965277781</v>
      </c>
      <c r="E3243" t="s">
        <v>131</v>
      </c>
      <c r="F3243">
        <f t="shared" ca="1" si="100"/>
        <v>3.9527777777777779</v>
      </c>
      <c r="G3243">
        <f t="shared" ca="1" si="101"/>
        <v>0</v>
      </c>
    </row>
    <row r="3244" spans="1:7">
      <c r="A3244">
        <v>2353</v>
      </c>
      <c r="B3244" t="s">
        <v>20</v>
      </c>
      <c r="C3244" t="s">
        <v>133</v>
      </c>
      <c r="D3244" s="9">
        <v>40590.615046296298</v>
      </c>
      <c r="E3244" t="s">
        <v>8</v>
      </c>
      <c r="F3244">
        <f t="shared" ca="1" si="100"/>
        <v>3.9527777777777779</v>
      </c>
      <c r="G3244">
        <f t="shared" ca="1" si="101"/>
        <v>0</v>
      </c>
    </row>
    <row r="3245" spans="1:7">
      <c r="A3245">
        <v>2354</v>
      </c>
      <c r="B3245" t="s">
        <v>20</v>
      </c>
      <c r="C3245" t="s">
        <v>133</v>
      </c>
      <c r="D3245" s="9">
        <v>40590.482928240737</v>
      </c>
      <c r="E3245" t="s">
        <v>8</v>
      </c>
      <c r="F3245">
        <f t="shared" ca="1" si="100"/>
        <v>3.9527777777777779</v>
      </c>
      <c r="G3245">
        <f t="shared" ca="1" si="101"/>
        <v>0</v>
      </c>
    </row>
    <row r="3246" spans="1:7">
      <c r="A3246">
        <v>2355</v>
      </c>
      <c r="B3246" t="s">
        <v>99</v>
      </c>
      <c r="C3246" t="s">
        <v>132</v>
      </c>
      <c r="D3246" s="9">
        <v>40659.651226851849</v>
      </c>
      <c r="E3246" t="s">
        <v>131</v>
      </c>
      <c r="F3246">
        <f t="shared" ca="1" si="100"/>
        <v>3.7583333333333333</v>
      </c>
      <c r="G3246">
        <f t="shared" ca="1" si="101"/>
        <v>0</v>
      </c>
    </row>
    <row r="3247" spans="1:7">
      <c r="A3247">
        <v>2358</v>
      </c>
      <c r="B3247" t="s">
        <v>32</v>
      </c>
      <c r="C3247" t="s">
        <v>133</v>
      </c>
      <c r="D3247" s="9">
        <v>40590.624131944445</v>
      </c>
      <c r="E3247" t="s">
        <v>8</v>
      </c>
      <c r="F3247">
        <f t="shared" ref="F3247:F3310" ca="1" si="102">YEARFRAC(TODAY(),$D3247)</f>
        <v>3.9527777777777779</v>
      </c>
      <c r="G3247">
        <f t="shared" ref="G3247:G3310" ca="1" si="103">IF($F3247&lt;1,1,0)</f>
        <v>0</v>
      </c>
    </row>
    <row r="3248" spans="1:7">
      <c r="A3248">
        <v>2359</v>
      </c>
      <c r="B3248" t="s">
        <v>112</v>
      </c>
      <c r="C3248" t="s">
        <v>133</v>
      </c>
      <c r="D3248" s="9">
        <v>40591.647476851853</v>
      </c>
      <c r="E3248" t="s">
        <v>19</v>
      </c>
      <c r="F3248">
        <f t="shared" ca="1" si="102"/>
        <v>3.95</v>
      </c>
      <c r="G3248">
        <f t="shared" ca="1" si="103"/>
        <v>0</v>
      </c>
    </row>
    <row r="3249" spans="1:7">
      <c r="A3249">
        <v>2360</v>
      </c>
      <c r="B3249" t="s">
        <v>99</v>
      </c>
      <c r="C3249" t="s">
        <v>133</v>
      </c>
      <c r="D3249" s="9">
        <v>40589.535381944443</v>
      </c>
      <c r="E3249" t="s">
        <v>112</v>
      </c>
      <c r="F3249">
        <f t="shared" ca="1" si="102"/>
        <v>3.9555555555555557</v>
      </c>
      <c r="G3249">
        <f t="shared" ca="1" si="103"/>
        <v>0</v>
      </c>
    </row>
    <row r="3250" spans="1:7">
      <c r="A3250">
        <v>2361</v>
      </c>
      <c r="B3250" t="s">
        <v>99</v>
      </c>
      <c r="C3250" t="s">
        <v>133</v>
      </c>
      <c r="D3250" s="9">
        <v>40590.501122685186</v>
      </c>
      <c r="E3250" t="s">
        <v>131</v>
      </c>
      <c r="F3250">
        <f t="shared" ca="1" si="102"/>
        <v>3.9527777777777779</v>
      </c>
      <c r="G3250">
        <f t="shared" ca="1" si="103"/>
        <v>0</v>
      </c>
    </row>
    <row r="3251" spans="1:7">
      <c r="A3251">
        <v>2364</v>
      </c>
      <c r="B3251" t="s">
        <v>99</v>
      </c>
      <c r="C3251" t="s">
        <v>133</v>
      </c>
      <c r="D3251" s="9">
        <v>40590.618587962963</v>
      </c>
      <c r="E3251" t="s">
        <v>32</v>
      </c>
      <c r="F3251">
        <f t="shared" ca="1" si="102"/>
        <v>3.9527777777777779</v>
      </c>
      <c r="G3251">
        <f t="shared" ca="1" si="103"/>
        <v>0</v>
      </c>
    </row>
    <row r="3252" spans="1:7">
      <c r="A3252">
        <v>2365</v>
      </c>
      <c r="B3252" t="s">
        <v>44</v>
      </c>
      <c r="C3252" t="s">
        <v>132</v>
      </c>
      <c r="D3252" s="9">
        <v>40661.622407407405</v>
      </c>
      <c r="E3252" t="s">
        <v>131</v>
      </c>
      <c r="F3252">
        <f t="shared" ca="1" si="102"/>
        <v>3.7527777777777778</v>
      </c>
      <c r="G3252">
        <f t="shared" ca="1" si="103"/>
        <v>0</v>
      </c>
    </row>
    <row r="3253" spans="1:7">
      <c r="A3253">
        <v>2368</v>
      </c>
      <c r="B3253" t="s">
        <v>44</v>
      </c>
      <c r="C3253" t="s">
        <v>133</v>
      </c>
      <c r="D3253" s="9">
        <v>40590.620393518519</v>
      </c>
      <c r="E3253" t="s">
        <v>131</v>
      </c>
      <c r="F3253">
        <f t="shared" ca="1" si="102"/>
        <v>3.9527777777777779</v>
      </c>
      <c r="G3253">
        <f t="shared" ca="1" si="103"/>
        <v>0</v>
      </c>
    </row>
    <row r="3254" spans="1:7">
      <c r="A3254">
        <v>2370</v>
      </c>
      <c r="B3254" t="s">
        <v>8</v>
      </c>
      <c r="C3254" t="s">
        <v>133</v>
      </c>
      <c r="D3254" s="9">
        <v>40591.635868055557</v>
      </c>
      <c r="E3254" t="s">
        <v>44</v>
      </c>
      <c r="F3254">
        <f t="shared" ca="1" si="102"/>
        <v>3.95</v>
      </c>
      <c r="G3254">
        <f t="shared" ca="1" si="103"/>
        <v>0</v>
      </c>
    </row>
    <row r="3255" spans="1:7">
      <c r="A3255">
        <v>2371</v>
      </c>
      <c r="B3255" t="s">
        <v>131</v>
      </c>
      <c r="C3255" t="s">
        <v>132</v>
      </c>
      <c r="D3255" s="9">
        <v>40660.947268518517</v>
      </c>
      <c r="E3255" t="s">
        <v>99</v>
      </c>
      <c r="F3255">
        <f t="shared" ca="1" si="102"/>
        <v>3.7555555555555555</v>
      </c>
      <c r="G3255">
        <f t="shared" ca="1" si="103"/>
        <v>0</v>
      </c>
    </row>
    <row r="3256" spans="1:7">
      <c r="A3256">
        <v>2374</v>
      </c>
      <c r="B3256" t="s">
        <v>111</v>
      </c>
      <c r="C3256" t="s">
        <v>133</v>
      </c>
      <c r="D3256" s="9">
        <v>40590.46670138889</v>
      </c>
      <c r="E3256" t="s">
        <v>131</v>
      </c>
      <c r="F3256">
        <f t="shared" ca="1" si="102"/>
        <v>3.9527777777777779</v>
      </c>
      <c r="G3256">
        <f t="shared" ca="1" si="103"/>
        <v>0</v>
      </c>
    </row>
    <row r="3257" spans="1:7">
      <c r="A3257">
        <v>2375</v>
      </c>
      <c r="B3257" t="s">
        <v>44</v>
      </c>
      <c r="C3257" t="s">
        <v>132</v>
      </c>
      <c r="D3257" s="9">
        <v>40659.45412037037</v>
      </c>
      <c r="E3257" t="s">
        <v>131</v>
      </c>
      <c r="F3257">
        <f t="shared" ca="1" si="102"/>
        <v>3.7583333333333333</v>
      </c>
      <c r="G3257">
        <f t="shared" ca="1" si="103"/>
        <v>0</v>
      </c>
    </row>
    <row r="3258" spans="1:7">
      <c r="A3258">
        <v>2376</v>
      </c>
      <c r="B3258" t="s">
        <v>111</v>
      </c>
      <c r="C3258" t="s">
        <v>133</v>
      </c>
      <c r="D3258" s="9">
        <v>40592.58152777778</v>
      </c>
      <c r="E3258" t="s">
        <v>101</v>
      </c>
      <c r="F3258">
        <f t="shared" ca="1" si="102"/>
        <v>3.9472222222222224</v>
      </c>
      <c r="G3258">
        <f t="shared" ca="1" si="103"/>
        <v>0</v>
      </c>
    </row>
    <row r="3259" spans="1:7">
      <c r="A3259">
        <v>2378</v>
      </c>
      <c r="B3259" t="s">
        <v>143</v>
      </c>
      <c r="C3259" t="s">
        <v>128</v>
      </c>
      <c r="D3259" s="9">
        <v>40918.58390046296</v>
      </c>
      <c r="E3259" t="s">
        <v>44</v>
      </c>
      <c r="F3259">
        <f t="shared" ca="1" si="102"/>
        <v>3.0527777777777776</v>
      </c>
      <c r="G3259">
        <f t="shared" ca="1" si="103"/>
        <v>0</v>
      </c>
    </row>
    <row r="3260" spans="1:7">
      <c r="A3260">
        <v>2379</v>
      </c>
      <c r="B3260" t="s">
        <v>32</v>
      </c>
      <c r="C3260" t="s">
        <v>129</v>
      </c>
      <c r="D3260" s="9">
        <v>40806.677754629629</v>
      </c>
      <c r="E3260" t="s">
        <v>99</v>
      </c>
      <c r="F3260">
        <f t="shared" ca="1" si="102"/>
        <v>3.3583333333333334</v>
      </c>
      <c r="G3260">
        <f t="shared" ca="1" si="103"/>
        <v>0</v>
      </c>
    </row>
    <row r="3261" spans="1:7">
      <c r="A3261">
        <v>2380</v>
      </c>
      <c r="B3261" t="s">
        <v>44</v>
      </c>
      <c r="C3261" t="s">
        <v>130</v>
      </c>
      <c r="D3261" s="9">
        <v>40722.158078703702</v>
      </c>
      <c r="E3261" t="s">
        <v>38</v>
      </c>
      <c r="F3261">
        <f t="shared" ca="1" si="102"/>
        <v>3.5861111111111112</v>
      </c>
      <c r="G3261">
        <f t="shared" ca="1" si="103"/>
        <v>0</v>
      </c>
    </row>
    <row r="3262" spans="1:7">
      <c r="A3262">
        <v>2381</v>
      </c>
      <c r="B3262" t="s">
        <v>23</v>
      </c>
      <c r="C3262" t="s">
        <v>130</v>
      </c>
      <c r="D3262" s="9">
        <v>40723.633460648147</v>
      </c>
      <c r="E3262" t="s">
        <v>44</v>
      </c>
      <c r="F3262">
        <f t="shared" ca="1" si="102"/>
        <v>3.5833333333333335</v>
      </c>
      <c r="G3262">
        <f t="shared" ca="1" si="103"/>
        <v>0</v>
      </c>
    </row>
    <row r="3263" spans="1:7">
      <c r="A3263">
        <v>2389</v>
      </c>
      <c r="B3263" t="s">
        <v>34</v>
      </c>
      <c r="C3263" t="s">
        <v>119</v>
      </c>
      <c r="D3263" s="9">
        <v>41603.703252314815</v>
      </c>
      <c r="E3263" t="s">
        <v>14</v>
      </c>
      <c r="F3263">
        <f t="shared" ca="1" si="102"/>
        <v>1.1777777777777778</v>
      </c>
      <c r="G3263">
        <f t="shared" ca="1" si="103"/>
        <v>0</v>
      </c>
    </row>
    <row r="3264" spans="1:7">
      <c r="A3264">
        <v>2394</v>
      </c>
      <c r="B3264" t="s">
        <v>8</v>
      </c>
      <c r="C3264" t="s">
        <v>132</v>
      </c>
      <c r="D3264" s="9">
        <v>40659.939895833333</v>
      </c>
      <c r="E3264" t="s">
        <v>11</v>
      </c>
      <c r="F3264">
        <f t="shared" ca="1" si="102"/>
        <v>3.7583333333333333</v>
      </c>
      <c r="G3264">
        <f t="shared" ca="1" si="103"/>
        <v>0</v>
      </c>
    </row>
    <row r="3265" spans="1:7">
      <c r="A3265">
        <v>2395</v>
      </c>
      <c r="B3265" t="s">
        <v>111</v>
      </c>
      <c r="C3265" t="s">
        <v>133</v>
      </c>
      <c r="D3265" s="9">
        <v>40590.701354166667</v>
      </c>
      <c r="E3265" t="s">
        <v>144</v>
      </c>
      <c r="F3265">
        <f t="shared" ca="1" si="102"/>
        <v>3.9527777777777779</v>
      </c>
      <c r="G3265">
        <f t="shared" ca="1" si="103"/>
        <v>0</v>
      </c>
    </row>
    <row r="3266" spans="1:7">
      <c r="A3266">
        <v>2396</v>
      </c>
      <c r="B3266" t="s">
        <v>111</v>
      </c>
      <c r="C3266" t="s">
        <v>132</v>
      </c>
      <c r="D3266" s="9">
        <v>40661.809016203704</v>
      </c>
      <c r="E3266" t="s">
        <v>99</v>
      </c>
      <c r="F3266">
        <f t="shared" ca="1" si="102"/>
        <v>3.7527777777777778</v>
      </c>
      <c r="G3266">
        <f t="shared" ca="1" si="103"/>
        <v>0</v>
      </c>
    </row>
    <row r="3267" spans="1:7">
      <c r="A3267">
        <v>2398</v>
      </c>
      <c r="B3267" t="s">
        <v>99</v>
      </c>
      <c r="C3267" t="s">
        <v>133</v>
      </c>
      <c r="D3267" s="9">
        <v>40589.760613425926</v>
      </c>
      <c r="E3267" t="s">
        <v>32</v>
      </c>
      <c r="F3267">
        <f t="shared" ca="1" si="102"/>
        <v>3.9555555555555557</v>
      </c>
      <c r="G3267">
        <f t="shared" ca="1" si="103"/>
        <v>0</v>
      </c>
    </row>
    <row r="3268" spans="1:7">
      <c r="A3268">
        <v>2399</v>
      </c>
      <c r="B3268" t="s">
        <v>111</v>
      </c>
      <c r="C3268" t="s">
        <v>133</v>
      </c>
      <c r="D3268" s="9">
        <v>40590.685578703706</v>
      </c>
      <c r="E3268" t="s">
        <v>144</v>
      </c>
      <c r="F3268">
        <f t="shared" ca="1" si="102"/>
        <v>3.9527777777777779</v>
      </c>
      <c r="G3268">
        <f t="shared" ca="1" si="103"/>
        <v>0</v>
      </c>
    </row>
    <row r="3269" spans="1:7">
      <c r="A3269">
        <v>2400</v>
      </c>
      <c r="B3269" t="s">
        <v>99</v>
      </c>
      <c r="C3269" t="s">
        <v>132</v>
      </c>
      <c r="D3269" s="9">
        <v>40665.709710648145</v>
      </c>
      <c r="E3269" t="s">
        <v>32</v>
      </c>
      <c r="F3269">
        <f t="shared" ca="1" si="102"/>
        <v>3.7416666666666667</v>
      </c>
      <c r="G3269">
        <f t="shared" ca="1" si="103"/>
        <v>0</v>
      </c>
    </row>
    <row r="3270" spans="1:7">
      <c r="A3270">
        <v>2401</v>
      </c>
      <c r="B3270" t="s">
        <v>131</v>
      </c>
      <c r="C3270" t="s">
        <v>133</v>
      </c>
      <c r="D3270" s="9">
        <v>40591.485868055555</v>
      </c>
      <c r="E3270" t="s">
        <v>19</v>
      </c>
      <c r="F3270">
        <f t="shared" ca="1" si="102"/>
        <v>3.95</v>
      </c>
      <c r="G3270">
        <f t="shared" ca="1" si="103"/>
        <v>0</v>
      </c>
    </row>
    <row r="3271" spans="1:7">
      <c r="A3271">
        <v>2403</v>
      </c>
      <c r="B3271" t="s">
        <v>131</v>
      </c>
      <c r="C3271" t="s">
        <v>133</v>
      </c>
      <c r="D3271" s="9">
        <v>40590.62296296296</v>
      </c>
      <c r="E3271" t="s">
        <v>8</v>
      </c>
      <c r="F3271">
        <f t="shared" ca="1" si="102"/>
        <v>3.9527777777777779</v>
      </c>
      <c r="G3271">
        <f t="shared" ca="1" si="103"/>
        <v>0</v>
      </c>
    </row>
    <row r="3272" spans="1:7">
      <c r="A3272">
        <v>2406</v>
      </c>
      <c r="B3272" t="s">
        <v>8</v>
      </c>
      <c r="C3272" t="s">
        <v>132</v>
      </c>
      <c r="D3272" s="9">
        <v>40661.107534722221</v>
      </c>
      <c r="E3272" t="s">
        <v>38</v>
      </c>
      <c r="F3272">
        <f t="shared" ca="1" si="102"/>
        <v>3.7527777777777778</v>
      </c>
      <c r="G3272">
        <f t="shared" ca="1" si="103"/>
        <v>0</v>
      </c>
    </row>
    <row r="3273" spans="1:7">
      <c r="A3273">
        <v>2407</v>
      </c>
      <c r="B3273" t="s">
        <v>36</v>
      </c>
      <c r="C3273" t="s">
        <v>133</v>
      </c>
      <c r="D3273" s="9">
        <v>40589.466064814813</v>
      </c>
      <c r="E3273" t="s">
        <v>131</v>
      </c>
      <c r="F3273">
        <f t="shared" ca="1" si="102"/>
        <v>3.9555555555555557</v>
      </c>
      <c r="G3273">
        <f t="shared" ca="1" si="103"/>
        <v>0</v>
      </c>
    </row>
    <row r="3274" spans="1:7">
      <c r="A3274">
        <v>2408</v>
      </c>
      <c r="B3274" t="s">
        <v>99</v>
      </c>
      <c r="C3274" t="s">
        <v>133</v>
      </c>
      <c r="D3274" s="9">
        <v>40589.701701388891</v>
      </c>
      <c r="E3274" t="s">
        <v>19</v>
      </c>
      <c r="F3274">
        <f t="shared" ca="1" si="102"/>
        <v>3.9555555555555557</v>
      </c>
      <c r="G3274">
        <f t="shared" ca="1" si="103"/>
        <v>0</v>
      </c>
    </row>
    <row r="3275" spans="1:7">
      <c r="A3275">
        <v>2415</v>
      </c>
      <c r="B3275" t="s">
        <v>30</v>
      </c>
      <c r="C3275" t="s">
        <v>126</v>
      </c>
      <c r="D3275" s="9">
        <v>41127.8596412037</v>
      </c>
      <c r="E3275" t="s">
        <v>21</v>
      </c>
      <c r="F3275">
        <f t="shared" ca="1" si="102"/>
        <v>2.4805555555555556</v>
      </c>
      <c r="G3275">
        <f t="shared" ca="1" si="103"/>
        <v>0</v>
      </c>
    </row>
    <row r="3276" spans="1:7">
      <c r="A3276">
        <v>2418</v>
      </c>
      <c r="B3276" t="s">
        <v>34</v>
      </c>
      <c r="C3276" t="s">
        <v>132</v>
      </c>
      <c r="D3276" s="9">
        <v>40659.669421296298</v>
      </c>
      <c r="E3276" t="s">
        <v>19</v>
      </c>
      <c r="F3276">
        <f t="shared" ca="1" si="102"/>
        <v>3.7583333333333333</v>
      </c>
      <c r="G3276">
        <f t="shared" ca="1" si="103"/>
        <v>0</v>
      </c>
    </row>
    <row r="3277" spans="1:7">
      <c r="A3277">
        <v>2421</v>
      </c>
      <c r="B3277" t="s">
        <v>20</v>
      </c>
      <c r="C3277" t="s">
        <v>133</v>
      </c>
      <c r="D3277" s="9">
        <v>40589.777905092589</v>
      </c>
      <c r="E3277" t="s">
        <v>99</v>
      </c>
      <c r="F3277">
        <f t="shared" ca="1" si="102"/>
        <v>3.9555555555555557</v>
      </c>
      <c r="G3277">
        <f t="shared" ca="1" si="103"/>
        <v>0</v>
      </c>
    </row>
    <row r="3278" spans="1:7">
      <c r="A3278">
        <v>2422</v>
      </c>
      <c r="B3278" t="s">
        <v>32</v>
      </c>
      <c r="C3278" t="s">
        <v>133</v>
      </c>
      <c r="D3278" s="9">
        <v>40591.818877314814</v>
      </c>
      <c r="E3278" t="s">
        <v>99</v>
      </c>
      <c r="F3278">
        <f t="shared" ca="1" si="102"/>
        <v>3.95</v>
      </c>
      <c r="G3278">
        <f t="shared" ca="1" si="103"/>
        <v>0</v>
      </c>
    </row>
    <row r="3279" spans="1:7">
      <c r="A3279">
        <v>2424</v>
      </c>
      <c r="B3279" t="s">
        <v>44</v>
      </c>
      <c r="C3279" t="s">
        <v>132</v>
      </c>
      <c r="D3279" s="9">
        <v>40660.466203703705</v>
      </c>
      <c r="E3279" t="s">
        <v>131</v>
      </c>
      <c r="F3279">
        <f t="shared" ca="1" si="102"/>
        <v>3.7555555555555555</v>
      </c>
      <c r="G3279">
        <f t="shared" ca="1" si="103"/>
        <v>0</v>
      </c>
    </row>
    <row r="3280" spans="1:7">
      <c r="A3280">
        <v>2425</v>
      </c>
      <c r="B3280" t="s">
        <v>44</v>
      </c>
      <c r="C3280" t="s">
        <v>129</v>
      </c>
      <c r="D3280" s="9">
        <v>40808.446168981478</v>
      </c>
      <c r="E3280" t="s">
        <v>30</v>
      </c>
      <c r="F3280">
        <f t="shared" ca="1" si="102"/>
        <v>3.3527777777777779</v>
      </c>
      <c r="G3280">
        <f t="shared" ca="1" si="103"/>
        <v>0</v>
      </c>
    </row>
    <row r="3281" spans="1:7">
      <c r="A3281">
        <v>2432</v>
      </c>
      <c r="B3281" t="s">
        <v>111</v>
      </c>
      <c r="C3281" t="s">
        <v>132</v>
      </c>
      <c r="D3281" s="9">
        <v>40661.042847222219</v>
      </c>
      <c r="E3281" t="s">
        <v>36</v>
      </c>
      <c r="F3281">
        <f t="shared" ca="1" si="102"/>
        <v>3.7527777777777778</v>
      </c>
      <c r="G3281">
        <f t="shared" ca="1" si="103"/>
        <v>0</v>
      </c>
    </row>
    <row r="3282" spans="1:7">
      <c r="A3282">
        <v>2434</v>
      </c>
      <c r="B3282" t="s">
        <v>36</v>
      </c>
      <c r="C3282" t="s">
        <v>130</v>
      </c>
      <c r="D3282" s="9">
        <v>40721.684108796297</v>
      </c>
      <c r="E3282" t="s">
        <v>38</v>
      </c>
      <c r="F3282">
        <f t="shared" ca="1" si="102"/>
        <v>3.588888888888889</v>
      </c>
      <c r="G3282">
        <f t="shared" ca="1" si="103"/>
        <v>0</v>
      </c>
    </row>
    <row r="3283" spans="1:7">
      <c r="A3283">
        <v>2438</v>
      </c>
      <c r="B3283" t="s">
        <v>111</v>
      </c>
      <c r="C3283" t="s">
        <v>129</v>
      </c>
      <c r="D3283" s="9">
        <v>40807.791412037041</v>
      </c>
      <c r="E3283" t="s">
        <v>11</v>
      </c>
      <c r="F3283">
        <f t="shared" ca="1" si="102"/>
        <v>3.3555555555555556</v>
      </c>
      <c r="G3283">
        <f t="shared" ca="1" si="103"/>
        <v>0</v>
      </c>
    </row>
    <row r="3284" spans="1:7">
      <c r="A3284">
        <v>2439</v>
      </c>
      <c r="B3284" t="s">
        <v>34</v>
      </c>
      <c r="C3284" t="s">
        <v>129</v>
      </c>
      <c r="D3284" s="9">
        <v>40807.943287037036</v>
      </c>
      <c r="E3284" t="s">
        <v>38</v>
      </c>
      <c r="F3284">
        <f t="shared" ca="1" si="102"/>
        <v>3.3555555555555556</v>
      </c>
      <c r="G3284">
        <f t="shared" ca="1" si="103"/>
        <v>0</v>
      </c>
    </row>
    <row r="3285" spans="1:7">
      <c r="A3285">
        <v>2440</v>
      </c>
      <c r="B3285" t="s">
        <v>32</v>
      </c>
      <c r="C3285" t="s">
        <v>132</v>
      </c>
      <c r="D3285" s="9">
        <v>40660.93041666667</v>
      </c>
      <c r="E3285" t="s">
        <v>99</v>
      </c>
      <c r="F3285">
        <f t="shared" ca="1" si="102"/>
        <v>3.7555555555555555</v>
      </c>
      <c r="G3285">
        <f t="shared" ca="1" si="103"/>
        <v>0</v>
      </c>
    </row>
    <row r="3286" spans="1:7">
      <c r="A3286">
        <v>2443</v>
      </c>
      <c r="B3286" t="s">
        <v>8</v>
      </c>
      <c r="C3286" t="s">
        <v>132</v>
      </c>
      <c r="D3286" s="9">
        <v>40659.631562499999</v>
      </c>
      <c r="E3286" t="s">
        <v>131</v>
      </c>
      <c r="F3286">
        <f t="shared" ca="1" si="102"/>
        <v>3.7583333333333333</v>
      </c>
      <c r="G3286">
        <f t="shared" ca="1" si="103"/>
        <v>0</v>
      </c>
    </row>
    <row r="3287" spans="1:7">
      <c r="A3287">
        <v>2446</v>
      </c>
      <c r="B3287" t="s">
        <v>44</v>
      </c>
      <c r="C3287" t="s">
        <v>132</v>
      </c>
      <c r="D3287" s="9">
        <v>40665.565752314818</v>
      </c>
      <c r="E3287" t="s">
        <v>32</v>
      </c>
      <c r="F3287">
        <f t="shared" ca="1" si="102"/>
        <v>3.7416666666666667</v>
      </c>
      <c r="G3287">
        <f t="shared" ca="1" si="103"/>
        <v>0</v>
      </c>
    </row>
    <row r="3288" spans="1:7">
      <c r="A3288">
        <v>2452</v>
      </c>
      <c r="B3288" t="s">
        <v>99</v>
      </c>
      <c r="C3288" t="s">
        <v>132</v>
      </c>
      <c r="D3288" s="9">
        <v>40665.627071759256</v>
      </c>
      <c r="E3288" t="s">
        <v>32</v>
      </c>
      <c r="F3288">
        <f t="shared" ca="1" si="102"/>
        <v>3.7416666666666667</v>
      </c>
      <c r="G3288">
        <f t="shared" ca="1" si="103"/>
        <v>0</v>
      </c>
    </row>
    <row r="3289" spans="1:7">
      <c r="A3289">
        <v>2454</v>
      </c>
      <c r="B3289" t="s">
        <v>11</v>
      </c>
      <c r="C3289" t="s">
        <v>132</v>
      </c>
      <c r="D3289" s="9">
        <v>40659.59752314815</v>
      </c>
      <c r="E3289" t="s">
        <v>131</v>
      </c>
      <c r="F3289">
        <f t="shared" ca="1" si="102"/>
        <v>3.7583333333333333</v>
      </c>
      <c r="G3289">
        <f t="shared" ca="1" si="103"/>
        <v>0</v>
      </c>
    </row>
    <row r="3290" spans="1:7">
      <c r="A3290">
        <v>2459</v>
      </c>
      <c r="B3290" t="s">
        <v>8</v>
      </c>
      <c r="C3290" t="s">
        <v>133</v>
      </c>
      <c r="D3290" s="9">
        <v>40591.59412037037</v>
      </c>
      <c r="E3290" t="s">
        <v>19</v>
      </c>
      <c r="F3290">
        <f t="shared" ca="1" si="102"/>
        <v>3.95</v>
      </c>
      <c r="G3290">
        <f t="shared" ca="1" si="103"/>
        <v>0</v>
      </c>
    </row>
    <row r="3291" spans="1:7">
      <c r="A3291">
        <v>2461</v>
      </c>
      <c r="B3291" t="s">
        <v>32</v>
      </c>
      <c r="C3291" t="s">
        <v>132</v>
      </c>
      <c r="D3291" s="9">
        <v>40661.854826388888</v>
      </c>
      <c r="E3291" t="s">
        <v>99</v>
      </c>
      <c r="F3291">
        <f t="shared" ca="1" si="102"/>
        <v>3.7527777777777778</v>
      </c>
      <c r="G3291">
        <f t="shared" ca="1" si="103"/>
        <v>0</v>
      </c>
    </row>
    <row r="3292" spans="1:7">
      <c r="A3292">
        <v>2466</v>
      </c>
      <c r="B3292" t="s">
        <v>19</v>
      </c>
      <c r="C3292" t="s">
        <v>132</v>
      </c>
      <c r="D3292" s="9">
        <v>40661.570486111108</v>
      </c>
      <c r="E3292" t="s">
        <v>34</v>
      </c>
      <c r="F3292">
        <f t="shared" ca="1" si="102"/>
        <v>3.7527777777777778</v>
      </c>
      <c r="G3292">
        <f t="shared" ca="1" si="103"/>
        <v>0</v>
      </c>
    </row>
    <row r="3293" spans="1:7">
      <c r="A3293">
        <v>2467</v>
      </c>
      <c r="B3293" t="s">
        <v>19</v>
      </c>
      <c r="C3293" t="s">
        <v>132</v>
      </c>
      <c r="D3293" s="9">
        <v>40661.608668981484</v>
      </c>
      <c r="E3293" t="s">
        <v>34</v>
      </c>
      <c r="F3293">
        <f t="shared" ca="1" si="102"/>
        <v>3.7527777777777778</v>
      </c>
      <c r="G3293">
        <f t="shared" ca="1" si="103"/>
        <v>0</v>
      </c>
    </row>
    <row r="3294" spans="1:7">
      <c r="A3294">
        <v>2470</v>
      </c>
      <c r="B3294" t="s">
        <v>24</v>
      </c>
      <c r="C3294" t="s">
        <v>125</v>
      </c>
      <c r="D3294" s="9">
        <v>41215.698136574072</v>
      </c>
      <c r="E3294" t="s">
        <v>112</v>
      </c>
      <c r="F3294">
        <f t="shared" ca="1" si="102"/>
        <v>2.2416666666666667</v>
      </c>
      <c r="G3294">
        <f t="shared" ca="1" si="103"/>
        <v>0</v>
      </c>
    </row>
    <row r="3295" spans="1:7">
      <c r="A3295">
        <v>2471</v>
      </c>
      <c r="B3295" t="s">
        <v>111</v>
      </c>
      <c r="C3295" t="s">
        <v>132</v>
      </c>
      <c r="D3295" s="9">
        <v>40661.860208333332</v>
      </c>
      <c r="E3295" t="s">
        <v>99</v>
      </c>
      <c r="F3295">
        <f t="shared" ca="1" si="102"/>
        <v>3.7527777777777778</v>
      </c>
      <c r="G3295">
        <f t="shared" ca="1" si="103"/>
        <v>0</v>
      </c>
    </row>
    <row r="3296" spans="1:7">
      <c r="A3296">
        <v>2472</v>
      </c>
      <c r="B3296" t="s">
        <v>11</v>
      </c>
      <c r="C3296" t="s">
        <v>133</v>
      </c>
      <c r="D3296" s="9">
        <v>40592.382199074076</v>
      </c>
      <c r="E3296" t="s">
        <v>131</v>
      </c>
      <c r="F3296">
        <f t="shared" ca="1" si="102"/>
        <v>3.9472222222222224</v>
      </c>
      <c r="G3296">
        <f t="shared" ca="1" si="103"/>
        <v>0</v>
      </c>
    </row>
    <row r="3297" spans="1:7">
      <c r="A3297">
        <v>2476</v>
      </c>
      <c r="B3297" t="s">
        <v>11</v>
      </c>
      <c r="C3297" t="s">
        <v>132</v>
      </c>
      <c r="D3297" s="9">
        <v>40659.621261574073</v>
      </c>
      <c r="E3297" t="s">
        <v>131</v>
      </c>
      <c r="F3297">
        <f t="shared" ca="1" si="102"/>
        <v>3.7583333333333333</v>
      </c>
      <c r="G3297">
        <f t="shared" ca="1" si="103"/>
        <v>0</v>
      </c>
    </row>
    <row r="3298" spans="1:7">
      <c r="A3298">
        <v>2480</v>
      </c>
      <c r="B3298" t="s">
        <v>37</v>
      </c>
      <c r="C3298" t="s">
        <v>118</v>
      </c>
      <c r="D3298" s="9">
        <v>41750.882372685184</v>
      </c>
      <c r="E3298" t="s">
        <v>20</v>
      </c>
      <c r="F3298">
        <f t="shared" ca="1" si="102"/>
        <v>0.77222222222222225</v>
      </c>
      <c r="G3298">
        <f t="shared" ca="1" si="103"/>
        <v>1</v>
      </c>
    </row>
    <row r="3299" spans="1:7">
      <c r="A3299">
        <v>2486</v>
      </c>
      <c r="B3299" t="s">
        <v>8</v>
      </c>
      <c r="C3299" t="s">
        <v>132</v>
      </c>
      <c r="D3299" s="9">
        <v>40660.36986111111</v>
      </c>
      <c r="E3299" t="s">
        <v>34</v>
      </c>
      <c r="F3299">
        <f t="shared" ca="1" si="102"/>
        <v>3.7555555555555555</v>
      </c>
      <c r="G3299">
        <f t="shared" ca="1" si="103"/>
        <v>0</v>
      </c>
    </row>
    <row r="3300" spans="1:7">
      <c r="A3300">
        <v>2493</v>
      </c>
      <c r="B3300" t="s">
        <v>8</v>
      </c>
      <c r="C3300" t="s">
        <v>132</v>
      </c>
      <c r="D3300" s="9">
        <v>40660.5153125</v>
      </c>
      <c r="E3300" t="s">
        <v>34</v>
      </c>
      <c r="F3300">
        <f t="shared" ca="1" si="102"/>
        <v>3.7555555555555555</v>
      </c>
      <c r="G3300">
        <f t="shared" ca="1" si="103"/>
        <v>0</v>
      </c>
    </row>
    <row r="3301" spans="1:7">
      <c r="A3301">
        <v>2494</v>
      </c>
      <c r="B3301" t="s">
        <v>34</v>
      </c>
      <c r="C3301" t="s">
        <v>132</v>
      </c>
      <c r="D3301" s="9">
        <v>40659.665150462963</v>
      </c>
      <c r="E3301" t="s">
        <v>19</v>
      </c>
      <c r="F3301">
        <f t="shared" ca="1" si="102"/>
        <v>3.7583333333333333</v>
      </c>
      <c r="G3301">
        <f t="shared" ca="1" si="103"/>
        <v>0</v>
      </c>
    </row>
    <row r="3302" spans="1:7">
      <c r="A3302">
        <v>2495</v>
      </c>
      <c r="B3302" t="s">
        <v>111</v>
      </c>
      <c r="C3302" t="s">
        <v>132</v>
      </c>
      <c r="D3302" s="9">
        <v>40661.607199074075</v>
      </c>
      <c r="E3302" t="s">
        <v>131</v>
      </c>
      <c r="F3302">
        <f t="shared" ca="1" si="102"/>
        <v>3.7527777777777778</v>
      </c>
      <c r="G3302">
        <f t="shared" ca="1" si="103"/>
        <v>0</v>
      </c>
    </row>
    <row r="3303" spans="1:7">
      <c r="A3303">
        <v>2496</v>
      </c>
      <c r="B3303" t="s">
        <v>34</v>
      </c>
      <c r="C3303" t="s">
        <v>132</v>
      </c>
      <c r="D3303" s="9">
        <v>40661.067210648151</v>
      </c>
      <c r="E3303" t="s">
        <v>36</v>
      </c>
      <c r="F3303">
        <f t="shared" ca="1" si="102"/>
        <v>3.7527777777777778</v>
      </c>
      <c r="G3303">
        <f t="shared" ca="1" si="103"/>
        <v>0</v>
      </c>
    </row>
    <row r="3304" spans="1:7">
      <c r="A3304">
        <v>2500</v>
      </c>
      <c r="B3304" t="s">
        <v>34</v>
      </c>
      <c r="C3304" t="s">
        <v>132</v>
      </c>
      <c r="D3304" s="9">
        <v>40660.624328703707</v>
      </c>
      <c r="E3304" t="s">
        <v>131</v>
      </c>
      <c r="F3304">
        <f t="shared" ca="1" si="102"/>
        <v>3.7555555555555555</v>
      </c>
      <c r="G3304">
        <f t="shared" ca="1" si="103"/>
        <v>0</v>
      </c>
    </row>
    <row r="3305" spans="1:7">
      <c r="A3305">
        <v>2502</v>
      </c>
      <c r="B3305" t="s">
        <v>20</v>
      </c>
      <c r="C3305" t="s">
        <v>132</v>
      </c>
      <c r="D3305" s="9">
        <v>40667.786550925928</v>
      </c>
      <c r="E3305" t="s">
        <v>32</v>
      </c>
      <c r="F3305">
        <f t="shared" ca="1" si="102"/>
        <v>3.7361111111111112</v>
      </c>
      <c r="G3305">
        <f t="shared" ca="1" si="103"/>
        <v>0</v>
      </c>
    </row>
    <row r="3306" spans="1:7">
      <c r="A3306">
        <v>2510</v>
      </c>
      <c r="B3306" t="s">
        <v>38</v>
      </c>
      <c r="C3306" t="s">
        <v>132</v>
      </c>
      <c r="D3306" s="9">
        <v>40664.448599537034</v>
      </c>
      <c r="E3306" t="s">
        <v>36</v>
      </c>
      <c r="F3306">
        <f t="shared" ca="1" si="102"/>
        <v>3.7444444444444445</v>
      </c>
      <c r="G3306">
        <f t="shared" ca="1" si="103"/>
        <v>0</v>
      </c>
    </row>
    <row r="3307" spans="1:7">
      <c r="A3307">
        <v>2512</v>
      </c>
      <c r="B3307" t="s">
        <v>131</v>
      </c>
      <c r="C3307" t="s">
        <v>132</v>
      </c>
      <c r="D3307" s="9">
        <v>40661.561192129629</v>
      </c>
      <c r="E3307" t="s">
        <v>34</v>
      </c>
      <c r="F3307">
        <f t="shared" ca="1" si="102"/>
        <v>3.7527777777777778</v>
      </c>
      <c r="G3307">
        <f t="shared" ca="1" si="103"/>
        <v>0</v>
      </c>
    </row>
    <row r="3308" spans="1:7">
      <c r="A3308">
        <v>2513</v>
      </c>
      <c r="B3308" t="s">
        <v>19</v>
      </c>
      <c r="C3308" t="s">
        <v>132</v>
      </c>
      <c r="D3308" s="9">
        <v>40666.585439814815</v>
      </c>
      <c r="E3308" t="s">
        <v>27</v>
      </c>
      <c r="F3308">
        <f t="shared" ca="1" si="102"/>
        <v>3.7388888888888889</v>
      </c>
      <c r="G3308">
        <f t="shared" ca="1" si="103"/>
        <v>0</v>
      </c>
    </row>
    <row r="3309" spans="1:7">
      <c r="A3309">
        <v>2515</v>
      </c>
      <c r="B3309" t="s">
        <v>131</v>
      </c>
      <c r="C3309" t="s">
        <v>132</v>
      </c>
      <c r="D3309" s="9">
        <v>40666.51462962963</v>
      </c>
      <c r="E3309" t="s">
        <v>19</v>
      </c>
      <c r="F3309">
        <f t="shared" ca="1" si="102"/>
        <v>3.7388888888888889</v>
      </c>
      <c r="G3309">
        <f t="shared" ca="1" si="103"/>
        <v>0</v>
      </c>
    </row>
    <row r="3310" spans="1:7">
      <c r="A3310">
        <v>2516</v>
      </c>
      <c r="B3310" t="s">
        <v>131</v>
      </c>
      <c r="C3310" t="s">
        <v>132</v>
      </c>
      <c r="D3310" s="9">
        <v>40659.694502314815</v>
      </c>
      <c r="E3310" t="s">
        <v>19</v>
      </c>
      <c r="F3310">
        <f t="shared" ca="1" si="102"/>
        <v>3.7583333333333333</v>
      </c>
      <c r="G3310">
        <f t="shared" ca="1" si="103"/>
        <v>0</v>
      </c>
    </row>
    <row r="3311" spans="1:7">
      <c r="A3311">
        <v>2517</v>
      </c>
      <c r="B3311" t="s">
        <v>34</v>
      </c>
      <c r="C3311" t="s">
        <v>132</v>
      </c>
      <c r="D3311" s="9">
        <v>40660.620347222219</v>
      </c>
      <c r="E3311" t="s">
        <v>131</v>
      </c>
      <c r="F3311">
        <f t="shared" ref="F3311:F3374" ca="1" si="104">YEARFRAC(TODAY(),$D3311)</f>
        <v>3.7555555555555555</v>
      </c>
      <c r="G3311">
        <f t="shared" ref="G3311:G3374" ca="1" si="105">IF($F3311&lt;1,1,0)</f>
        <v>0</v>
      </c>
    </row>
    <row r="3312" spans="1:7">
      <c r="A3312">
        <v>2520</v>
      </c>
      <c r="B3312" t="s">
        <v>11</v>
      </c>
      <c r="C3312" t="s">
        <v>127</v>
      </c>
      <c r="D3312" s="9">
        <v>41029.7658912037</v>
      </c>
      <c r="E3312" t="s">
        <v>38</v>
      </c>
      <c r="F3312">
        <f t="shared" ca="1" si="104"/>
        <v>2.7472222222222222</v>
      </c>
      <c r="G3312">
        <f t="shared" ca="1" si="105"/>
        <v>0</v>
      </c>
    </row>
    <row r="3313" spans="1:7">
      <c r="A3313">
        <v>2523</v>
      </c>
      <c r="B3313" t="s">
        <v>32</v>
      </c>
      <c r="C3313" t="s">
        <v>132</v>
      </c>
      <c r="D3313" s="9">
        <v>40666.712164351855</v>
      </c>
      <c r="E3313" t="s">
        <v>38</v>
      </c>
      <c r="F3313">
        <f t="shared" ca="1" si="104"/>
        <v>3.7388888888888889</v>
      </c>
      <c r="G3313">
        <f t="shared" ca="1" si="105"/>
        <v>0</v>
      </c>
    </row>
    <row r="3314" spans="1:7">
      <c r="A3314">
        <v>2524</v>
      </c>
      <c r="B3314" t="s">
        <v>32</v>
      </c>
      <c r="C3314" t="s">
        <v>132</v>
      </c>
      <c r="D3314" s="9">
        <v>40666.757418981484</v>
      </c>
      <c r="E3314" t="s">
        <v>38</v>
      </c>
      <c r="F3314">
        <f t="shared" ca="1" si="104"/>
        <v>3.7388888888888889</v>
      </c>
      <c r="G3314">
        <f t="shared" ca="1" si="105"/>
        <v>0</v>
      </c>
    </row>
    <row r="3315" spans="1:7">
      <c r="A3315">
        <v>2527</v>
      </c>
      <c r="B3315" t="s">
        <v>131</v>
      </c>
      <c r="C3315" t="s">
        <v>132</v>
      </c>
      <c r="D3315" s="9">
        <v>40666.649189814816</v>
      </c>
      <c r="E3315" t="s">
        <v>27</v>
      </c>
      <c r="F3315">
        <f t="shared" ca="1" si="104"/>
        <v>3.7388888888888889</v>
      </c>
      <c r="G3315">
        <f t="shared" ca="1" si="105"/>
        <v>0</v>
      </c>
    </row>
    <row r="3316" spans="1:7">
      <c r="A3316">
        <v>2528</v>
      </c>
      <c r="B3316" t="s">
        <v>8</v>
      </c>
      <c r="C3316" t="s">
        <v>132</v>
      </c>
      <c r="D3316" s="9">
        <v>40661.690671296295</v>
      </c>
      <c r="E3316" t="s">
        <v>131</v>
      </c>
      <c r="F3316">
        <f t="shared" ca="1" si="104"/>
        <v>3.7527777777777778</v>
      </c>
      <c r="G3316">
        <f t="shared" ca="1" si="105"/>
        <v>0</v>
      </c>
    </row>
    <row r="3317" spans="1:7">
      <c r="A3317">
        <v>2529</v>
      </c>
      <c r="B3317" t="s">
        <v>111</v>
      </c>
      <c r="C3317" t="s">
        <v>132</v>
      </c>
      <c r="D3317" s="9">
        <v>40662.847349537034</v>
      </c>
      <c r="E3317" t="s">
        <v>99</v>
      </c>
      <c r="F3317">
        <f t="shared" ca="1" si="104"/>
        <v>3.75</v>
      </c>
      <c r="G3317">
        <f t="shared" ca="1" si="105"/>
        <v>0</v>
      </c>
    </row>
    <row r="3318" spans="1:7">
      <c r="A3318">
        <v>2532</v>
      </c>
      <c r="B3318" t="s">
        <v>8</v>
      </c>
      <c r="C3318" t="s">
        <v>132</v>
      </c>
      <c r="D3318" s="9">
        <v>40660.837546296294</v>
      </c>
      <c r="E3318" t="s">
        <v>99</v>
      </c>
      <c r="F3318">
        <f t="shared" ca="1" si="104"/>
        <v>3.7555555555555555</v>
      </c>
      <c r="G3318">
        <f t="shared" ca="1" si="105"/>
        <v>0</v>
      </c>
    </row>
    <row r="3319" spans="1:7">
      <c r="A3319">
        <v>2534</v>
      </c>
      <c r="B3319" t="s">
        <v>34</v>
      </c>
      <c r="C3319" t="s">
        <v>132</v>
      </c>
      <c r="D3319" s="9">
        <v>40660.393807870372</v>
      </c>
      <c r="E3319" t="s">
        <v>131</v>
      </c>
      <c r="F3319">
        <f t="shared" ca="1" si="104"/>
        <v>3.7555555555555555</v>
      </c>
      <c r="G3319">
        <f t="shared" ca="1" si="105"/>
        <v>0</v>
      </c>
    </row>
    <row r="3320" spans="1:7">
      <c r="A3320">
        <v>2537</v>
      </c>
      <c r="B3320" t="s">
        <v>34</v>
      </c>
      <c r="C3320" t="s">
        <v>128</v>
      </c>
      <c r="D3320" s="9">
        <v>40920.70212962963</v>
      </c>
      <c r="E3320" t="s">
        <v>32</v>
      </c>
      <c r="F3320">
        <f t="shared" ca="1" si="104"/>
        <v>3.0472222222222221</v>
      </c>
      <c r="G3320">
        <f t="shared" ca="1" si="105"/>
        <v>0</v>
      </c>
    </row>
    <row r="3321" spans="1:7">
      <c r="A3321">
        <v>2539</v>
      </c>
      <c r="B3321" t="s">
        <v>32</v>
      </c>
      <c r="C3321" t="s">
        <v>132</v>
      </c>
      <c r="D3321" s="9">
        <v>40662.862037037034</v>
      </c>
      <c r="E3321" t="s">
        <v>99</v>
      </c>
      <c r="F3321">
        <f t="shared" ca="1" si="104"/>
        <v>3.75</v>
      </c>
      <c r="G3321">
        <f t="shared" ca="1" si="105"/>
        <v>0</v>
      </c>
    </row>
    <row r="3322" spans="1:7">
      <c r="A3322">
        <v>2548</v>
      </c>
      <c r="B3322" t="s">
        <v>111</v>
      </c>
      <c r="C3322" t="s">
        <v>132</v>
      </c>
      <c r="D3322" s="9">
        <v>40659.604675925926</v>
      </c>
      <c r="E3322" t="s">
        <v>131</v>
      </c>
      <c r="F3322">
        <f t="shared" ca="1" si="104"/>
        <v>3.7583333333333333</v>
      </c>
      <c r="G3322">
        <f t="shared" ca="1" si="105"/>
        <v>0</v>
      </c>
    </row>
    <row r="3323" spans="1:7">
      <c r="A3323">
        <v>2549</v>
      </c>
      <c r="B3323" t="s">
        <v>99</v>
      </c>
      <c r="C3323" t="s">
        <v>132</v>
      </c>
      <c r="D3323" s="9">
        <v>40665.71162037037</v>
      </c>
      <c r="E3323" t="s">
        <v>32</v>
      </c>
      <c r="F3323">
        <f t="shared" ca="1" si="104"/>
        <v>3.7416666666666667</v>
      </c>
      <c r="G3323">
        <f t="shared" ca="1" si="105"/>
        <v>0</v>
      </c>
    </row>
    <row r="3324" spans="1:7">
      <c r="A3324">
        <v>2550</v>
      </c>
      <c r="B3324" t="s">
        <v>112</v>
      </c>
      <c r="C3324" t="s">
        <v>122</v>
      </c>
      <c r="D3324" s="9">
        <v>41298.448333333334</v>
      </c>
      <c r="E3324" t="s">
        <v>112</v>
      </c>
      <c r="F3324">
        <f t="shared" ca="1" si="104"/>
        <v>2.0138888888888888</v>
      </c>
      <c r="G3324">
        <f t="shared" ca="1" si="105"/>
        <v>0</v>
      </c>
    </row>
    <row r="3325" spans="1:7">
      <c r="A3325">
        <v>2552</v>
      </c>
      <c r="B3325" t="s">
        <v>131</v>
      </c>
      <c r="C3325" t="s">
        <v>132</v>
      </c>
      <c r="D3325" s="9">
        <v>40666.76494212963</v>
      </c>
      <c r="E3325" t="s">
        <v>27</v>
      </c>
      <c r="F3325">
        <f t="shared" ca="1" si="104"/>
        <v>3.7388888888888889</v>
      </c>
      <c r="G3325">
        <f t="shared" ca="1" si="105"/>
        <v>0</v>
      </c>
    </row>
    <row r="3326" spans="1:7">
      <c r="A3326">
        <v>2553</v>
      </c>
      <c r="B3326" t="s">
        <v>32</v>
      </c>
      <c r="C3326" t="s">
        <v>132</v>
      </c>
      <c r="D3326" s="9">
        <v>40661.063726851855</v>
      </c>
      <c r="E3326" t="s">
        <v>36</v>
      </c>
      <c r="F3326">
        <f t="shared" ca="1" si="104"/>
        <v>3.7527777777777778</v>
      </c>
      <c r="G3326">
        <f t="shared" ca="1" si="105"/>
        <v>0</v>
      </c>
    </row>
    <row r="3327" spans="1:7">
      <c r="A3327">
        <v>2555</v>
      </c>
      <c r="B3327" t="s">
        <v>99</v>
      </c>
      <c r="C3327" t="s">
        <v>132</v>
      </c>
      <c r="D3327" s="9">
        <v>40665.712962962964</v>
      </c>
      <c r="E3327" t="s">
        <v>32</v>
      </c>
      <c r="F3327">
        <f t="shared" ca="1" si="104"/>
        <v>3.7416666666666667</v>
      </c>
      <c r="G3327">
        <f t="shared" ca="1" si="105"/>
        <v>0</v>
      </c>
    </row>
    <row r="3328" spans="1:7">
      <c r="A3328">
        <v>2556</v>
      </c>
      <c r="B3328" t="s">
        <v>8</v>
      </c>
      <c r="C3328" t="s">
        <v>132</v>
      </c>
      <c r="D3328" s="9">
        <v>40667.713750000003</v>
      </c>
      <c r="E3328" t="s">
        <v>19</v>
      </c>
      <c r="F3328">
        <f t="shared" ca="1" si="104"/>
        <v>3.7361111111111112</v>
      </c>
      <c r="G3328">
        <f t="shared" ca="1" si="105"/>
        <v>0</v>
      </c>
    </row>
    <row r="3329" spans="1:7">
      <c r="A3329">
        <v>2557</v>
      </c>
      <c r="B3329" t="s">
        <v>8</v>
      </c>
      <c r="C3329" t="s">
        <v>126</v>
      </c>
      <c r="D3329" s="9">
        <v>41127.708055555559</v>
      </c>
      <c r="E3329" t="s">
        <v>38</v>
      </c>
      <c r="F3329">
        <f t="shared" ca="1" si="104"/>
        <v>2.4805555555555556</v>
      </c>
      <c r="G3329">
        <f t="shared" ca="1" si="105"/>
        <v>0</v>
      </c>
    </row>
    <row r="3330" spans="1:7">
      <c r="A3330">
        <v>2558</v>
      </c>
      <c r="B3330" t="s">
        <v>111</v>
      </c>
      <c r="C3330" t="s">
        <v>132</v>
      </c>
      <c r="D3330" s="9">
        <v>40661.812928240739</v>
      </c>
      <c r="E3330" t="s">
        <v>99</v>
      </c>
      <c r="F3330">
        <f t="shared" ca="1" si="104"/>
        <v>3.7527777777777778</v>
      </c>
      <c r="G3330">
        <f t="shared" ca="1" si="105"/>
        <v>0</v>
      </c>
    </row>
    <row r="3331" spans="1:7">
      <c r="A3331">
        <v>2559</v>
      </c>
      <c r="B3331" t="s">
        <v>32</v>
      </c>
      <c r="C3331" t="s">
        <v>132</v>
      </c>
      <c r="D3331" s="9">
        <v>40666.759594907409</v>
      </c>
      <c r="E3331" t="s">
        <v>38</v>
      </c>
      <c r="F3331">
        <f t="shared" ca="1" si="104"/>
        <v>3.7388888888888889</v>
      </c>
      <c r="G3331">
        <f t="shared" ca="1" si="105"/>
        <v>0</v>
      </c>
    </row>
    <row r="3332" spans="1:7">
      <c r="A3332">
        <v>2561</v>
      </c>
      <c r="B3332" t="s">
        <v>99</v>
      </c>
      <c r="C3332" t="s">
        <v>132</v>
      </c>
      <c r="D3332" s="9">
        <v>40665.721261574072</v>
      </c>
      <c r="E3332" t="s">
        <v>32</v>
      </c>
      <c r="F3332">
        <f t="shared" ca="1" si="104"/>
        <v>3.7416666666666667</v>
      </c>
      <c r="G3332">
        <f t="shared" ca="1" si="105"/>
        <v>0</v>
      </c>
    </row>
    <row r="3333" spans="1:7">
      <c r="A3333">
        <v>2563</v>
      </c>
      <c r="B3333" t="s">
        <v>101</v>
      </c>
      <c r="C3333" t="s">
        <v>132</v>
      </c>
      <c r="D3333" s="9">
        <v>40660.504664351851</v>
      </c>
      <c r="E3333" t="s">
        <v>131</v>
      </c>
      <c r="F3333">
        <f t="shared" ca="1" si="104"/>
        <v>3.7555555555555555</v>
      </c>
      <c r="G3333">
        <f t="shared" ca="1" si="105"/>
        <v>0</v>
      </c>
    </row>
    <row r="3334" spans="1:7">
      <c r="A3334">
        <v>2564</v>
      </c>
      <c r="B3334" t="s">
        <v>131</v>
      </c>
      <c r="C3334" t="s">
        <v>132</v>
      </c>
      <c r="D3334" s="9">
        <v>40666.72587962963</v>
      </c>
      <c r="E3334" t="s">
        <v>8</v>
      </c>
      <c r="F3334">
        <f t="shared" ca="1" si="104"/>
        <v>3.7388888888888889</v>
      </c>
      <c r="G3334">
        <f t="shared" ca="1" si="105"/>
        <v>0</v>
      </c>
    </row>
    <row r="3335" spans="1:7">
      <c r="A3335">
        <v>2565</v>
      </c>
      <c r="B3335" t="s">
        <v>11</v>
      </c>
      <c r="C3335" t="s">
        <v>132</v>
      </c>
      <c r="D3335" s="9">
        <v>40666.641562500001</v>
      </c>
      <c r="E3335" t="s">
        <v>38</v>
      </c>
      <c r="F3335">
        <f t="shared" ca="1" si="104"/>
        <v>3.7388888888888889</v>
      </c>
      <c r="G3335">
        <f t="shared" ca="1" si="105"/>
        <v>0</v>
      </c>
    </row>
    <row r="3336" spans="1:7">
      <c r="A3336">
        <v>2566</v>
      </c>
      <c r="B3336" t="s">
        <v>131</v>
      </c>
      <c r="C3336" t="s">
        <v>132</v>
      </c>
      <c r="D3336" s="9">
        <v>40662.794293981482</v>
      </c>
      <c r="E3336" t="s">
        <v>99</v>
      </c>
      <c r="F3336">
        <f t="shared" ca="1" si="104"/>
        <v>3.75</v>
      </c>
      <c r="G3336">
        <f t="shared" ca="1" si="105"/>
        <v>0</v>
      </c>
    </row>
    <row r="3337" spans="1:7">
      <c r="A3337">
        <v>2571</v>
      </c>
      <c r="B3337" t="s">
        <v>8</v>
      </c>
      <c r="C3337" t="s">
        <v>132</v>
      </c>
      <c r="D3337" s="9">
        <v>40660.643738425926</v>
      </c>
      <c r="E3337" t="s">
        <v>131</v>
      </c>
      <c r="F3337">
        <f t="shared" ca="1" si="104"/>
        <v>3.7555555555555555</v>
      </c>
      <c r="G3337">
        <f t="shared" ca="1" si="105"/>
        <v>0</v>
      </c>
    </row>
    <row r="3338" spans="1:7">
      <c r="A3338">
        <v>2572</v>
      </c>
      <c r="B3338" t="s">
        <v>99</v>
      </c>
      <c r="C3338" t="s">
        <v>132</v>
      </c>
      <c r="D3338" s="9">
        <v>40665.661249999997</v>
      </c>
      <c r="E3338" t="s">
        <v>36</v>
      </c>
      <c r="F3338">
        <f t="shared" ca="1" si="104"/>
        <v>3.7416666666666667</v>
      </c>
      <c r="G3338">
        <f t="shared" ca="1" si="105"/>
        <v>0</v>
      </c>
    </row>
    <row r="3339" spans="1:7">
      <c r="A3339">
        <v>2574</v>
      </c>
      <c r="B3339" t="s">
        <v>112</v>
      </c>
      <c r="C3339" t="s">
        <v>130</v>
      </c>
      <c r="D3339" s="9">
        <v>40722.685046296298</v>
      </c>
      <c r="E3339" t="s">
        <v>8</v>
      </c>
      <c r="F3339">
        <f t="shared" ca="1" si="104"/>
        <v>3.5861111111111112</v>
      </c>
      <c r="G3339">
        <f t="shared" ca="1" si="105"/>
        <v>0</v>
      </c>
    </row>
    <row r="3340" spans="1:7">
      <c r="A3340">
        <v>2577</v>
      </c>
      <c r="B3340" t="s">
        <v>34</v>
      </c>
      <c r="C3340" t="s">
        <v>129</v>
      </c>
      <c r="D3340" s="9">
        <v>40805.826423611114</v>
      </c>
      <c r="E3340" t="s">
        <v>21</v>
      </c>
      <c r="F3340">
        <f t="shared" ca="1" si="104"/>
        <v>3.3611111111111112</v>
      </c>
      <c r="G3340">
        <f t="shared" ca="1" si="105"/>
        <v>0</v>
      </c>
    </row>
    <row r="3341" spans="1:7">
      <c r="A3341">
        <v>2579</v>
      </c>
      <c r="B3341" t="s">
        <v>44</v>
      </c>
      <c r="C3341" t="s">
        <v>129</v>
      </c>
      <c r="D3341" s="9">
        <v>40807.49082175926</v>
      </c>
      <c r="E3341" t="s">
        <v>30</v>
      </c>
      <c r="F3341">
        <f t="shared" ca="1" si="104"/>
        <v>3.3555555555555556</v>
      </c>
      <c r="G3341">
        <f t="shared" ca="1" si="105"/>
        <v>0</v>
      </c>
    </row>
    <row r="3342" spans="1:7">
      <c r="A3342">
        <v>2581</v>
      </c>
      <c r="B3342" t="s">
        <v>32</v>
      </c>
      <c r="C3342" t="s">
        <v>132</v>
      </c>
      <c r="D3342" s="9">
        <v>40667.678506944445</v>
      </c>
      <c r="E3342" t="s">
        <v>27</v>
      </c>
      <c r="F3342">
        <f t="shared" ca="1" si="104"/>
        <v>3.7361111111111112</v>
      </c>
      <c r="G3342">
        <f t="shared" ca="1" si="105"/>
        <v>0</v>
      </c>
    </row>
    <row r="3343" spans="1:7">
      <c r="A3343">
        <v>2584</v>
      </c>
      <c r="B3343" t="s">
        <v>99</v>
      </c>
      <c r="C3343" t="s">
        <v>130</v>
      </c>
      <c r="D3343" s="9">
        <v>40722.480393518519</v>
      </c>
      <c r="E3343" t="s">
        <v>8</v>
      </c>
      <c r="F3343">
        <f t="shared" ca="1" si="104"/>
        <v>3.5861111111111112</v>
      </c>
      <c r="G3343">
        <f t="shared" ca="1" si="105"/>
        <v>0</v>
      </c>
    </row>
    <row r="3344" spans="1:7">
      <c r="A3344">
        <v>2586</v>
      </c>
      <c r="B3344" t="s">
        <v>111</v>
      </c>
      <c r="C3344" t="s">
        <v>130</v>
      </c>
      <c r="D3344" s="9">
        <v>40722.185763888891</v>
      </c>
      <c r="E3344" t="s">
        <v>38</v>
      </c>
      <c r="F3344">
        <f t="shared" ca="1" si="104"/>
        <v>3.5861111111111112</v>
      </c>
      <c r="G3344">
        <f t="shared" ca="1" si="105"/>
        <v>0</v>
      </c>
    </row>
    <row r="3345" spans="1:7">
      <c r="A3345">
        <v>2587</v>
      </c>
      <c r="B3345" t="s">
        <v>34</v>
      </c>
      <c r="C3345" t="s">
        <v>130</v>
      </c>
      <c r="D3345" s="9">
        <v>40721.47314814815</v>
      </c>
      <c r="E3345" t="s">
        <v>112</v>
      </c>
      <c r="F3345">
        <f t="shared" ca="1" si="104"/>
        <v>3.588888888888889</v>
      </c>
      <c r="G3345">
        <f t="shared" ca="1" si="105"/>
        <v>0</v>
      </c>
    </row>
    <row r="3346" spans="1:7">
      <c r="A3346">
        <v>2592</v>
      </c>
      <c r="B3346" t="s">
        <v>111</v>
      </c>
      <c r="C3346" t="s">
        <v>132</v>
      </c>
      <c r="D3346" s="9">
        <v>40660.694560185184</v>
      </c>
      <c r="E3346" t="s">
        <v>131</v>
      </c>
      <c r="F3346">
        <f t="shared" ca="1" si="104"/>
        <v>3.7555555555555555</v>
      </c>
      <c r="G3346">
        <f t="shared" ca="1" si="105"/>
        <v>0</v>
      </c>
    </row>
    <row r="3347" spans="1:7">
      <c r="A3347">
        <v>2593</v>
      </c>
      <c r="B3347" t="s">
        <v>32</v>
      </c>
      <c r="C3347" t="s">
        <v>132</v>
      </c>
      <c r="D3347" s="9">
        <v>40659.599016203705</v>
      </c>
      <c r="E3347" t="s">
        <v>131</v>
      </c>
      <c r="F3347">
        <f t="shared" ca="1" si="104"/>
        <v>3.7583333333333333</v>
      </c>
      <c r="G3347">
        <f t="shared" ca="1" si="105"/>
        <v>0</v>
      </c>
    </row>
    <row r="3348" spans="1:7">
      <c r="A3348">
        <v>2594</v>
      </c>
      <c r="B3348" t="s">
        <v>99</v>
      </c>
      <c r="C3348" t="s">
        <v>132</v>
      </c>
      <c r="D3348" s="9">
        <v>40665.572847222225</v>
      </c>
      <c r="E3348" t="s">
        <v>32</v>
      </c>
      <c r="F3348">
        <f t="shared" ca="1" si="104"/>
        <v>3.7416666666666667</v>
      </c>
      <c r="G3348">
        <f t="shared" ca="1" si="105"/>
        <v>0</v>
      </c>
    </row>
    <row r="3349" spans="1:7">
      <c r="A3349">
        <v>2596</v>
      </c>
      <c r="B3349" t="s">
        <v>8</v>
      </c>
      <c r="C3349" t="s">
        <v>129</v>
      </c>
      <c r="D3349" s="9">
        <v>40805.657465277778</v>
      </c>
      <c r="E3349" t="s">
        <v>38</v>
      </c>
      <c r="F3349">
        <f t="shared" ca="1" si="104"/>
        <v>3.3611111111111112</v>
      </c>
      <c r="G3349">
        <f t="shared" ca="1" si="105"/>
        <v>0</v>
      </c>
    </row>
    <row r="3350" spans="1:7">
      <c r="A3350">
        <v>2598</v>
      </c>
      <c r="B3350" t="s">
        <v>101</v>
      </c>
      <c r="C3350" t="s">
        <v>132</v>
      </c>
      <c r="D3350" s="9">
        <v>40666.488217592596</v>
      </c>
      <c r="E3350" t="s">
        <v>44</v>
      </c>
      <c r="F3350">
        <f t="shared" ca="1" si="104"/>
        <v>3.7388888888888889</v>
      </c>
      <c r="G3350">
        <f t="shared" ca="1" si="105"/>
        <v>0</v>
      </c>
    </row>
    <row r="3351" spans="1:7">
      <c r="A3351">
        <v>2600</v>
      </c>
      <c r="B3351" t="s">
        <v>11</v>
      </c>
      <c r="C3351" t="s">
        <v>132</v>
      </c>
      <c r="D3351" s="9">
        <v>40660.439583333333</v>
      </c>
      <c r="E3351" t="s">
        <v>131</v>
      </c>
      <c r="F3351">
        <f t="shared" ca="1" si="104"/>
        <v>3.7555555555555555</v>
      </c>
      <c r="G3351">
        <f t="shared" ca="1" si="105"/>
        <v>0</v>
      </c>
    </row>
    <row r="3352" spans="1:7">
      <c r="A3352">
        <v>2602</v>
      </c>
      <c r="B3352" t="s">
        <v>8</v>
      </c>
      <c r="C3352" t="s">
        <v>132</v>
      </c>
      <c r="D3352" s="9">
        <v>40660.692326388889</v>
      </c>
      <c r="E3352" t="s">
        <v>131</v>
      </c>
      <c r="F3352">
        <f t="shared" ca="1" si="104"/>
        <v>3.7555555555555555</v>
      </c>
      <c r="G3352">
        <f t="shared" ca="1" si="105"/>
        <v>0</v>
      </c>
    </row>
    <row r="3353" spans="1:7">
      <c r="A3353">
        <v>2605</v>
      </c>
      <c r="B3353" t="s">
        <v>32</v>
      </c>
      <c r="C3353" t="s">
        <v>132</v>
      </c>
      <c r="D3353" s="9">
        <v>40662.845659722225</v>
      </c>
      <c r="E3353" t="s">
        <v>99</v>
      </c>
      <c r="F3353">
        <f t="shared" ca="1" si="104"/>
        <v>3.75</v>
      </c>
      <c r="G3353">
        <f t="shared" ca="1" si="105"/>
        <v>0</v>
      </c>
    </row>
    <row r="3354" spans="1:7">
      <c r="A3354">
        <v>2606</v>
      </c>
      <c r="B3354" t="s">
        <v>101</v>
      </c>
      <c r="C3354" t="s">
        <v>132</v>
      </c>
      <c r="D3354" s="9">
        <v>40661.341620370367</v>
      </c>
      <c r="E3354" t="s">
        <v>44</v>
      </c>
      <c r="F3354">
        <f t="shared" ca="1" si="104"/>
        <v>3.7527777777777778</v>
      </c>
      <c r="G3354">
        <f t="shared" ca="1" si="105"/>
        <v>0</v>
      </c>
    </row>
    <row r="3355" spans="1:7">
      <c r="A3355">
        <v>2607</v>
      </c>
      <c r="B3355" t="s">
        <v>19</v>
      </c>
      <c r="C3355" t="s">
        <v>132</v>
      </c>
      <c r="D3355" s="9">
        <v>40660.930902777778</v>
      </c>
      <c r="E3355" t="s">
        <v>99</v>
      </c>
      <c r="F3355">
        <f t="shared" ca="1" si="104"/>
        <v>3.7555555555555555</v>
      </c>
      <c r="G3355">
        <f t="shared" ca="1" si="105"/>
        <v>0</v>
      </c>
    </row>
    <row r="3356" spans="1:7">
      <c r="A3356">
        <v>2608</v>
      </c>
      <c r="B3356" t="s">
        <v>34</v>
      </c>
      <c r="C3356" t="s">
        <v>132</v>
      </c>
      <c r="D3356" s="9">
        <v>40659.665671296294</v>
      </c>
      <c r="E3356" t="s">
        <v>131</v>
      </c>
      <c r="F3356">
        <f t="shared" ca="1" si="104"/>
        <v>3.7583333333333333</v>
      </c>
      <c r="G3356">
        <f t="shared" ca="1" si="105"/>
        <v>0</v>
      </c>
    </row>
    <row r="3357" spans="1:7">
      <c r="A3357">
        <v>2611</v>
      </c>
      <c r="B3357" t="s">
        <v>38</v>
      </c>
      <c r="C3357" t="s">
        <v>132</v>
      </c>
      <c r="D3357" s="9">
        <v>40660.467106481483</v>
      </c>
      <c r="E3357" t="s">
        <v>34</v>
      </c>
      <c r="F3357">
        <f t="shared" ca="1" si="104"/>
        <v>3.7555555555555555</v>
      </c>
      <c r="G3357">
        <f t="shared" ca="1" si="105"/>
        <v>0</v>
      </c>
    </row>
    <row r="3358" spans="1:7">
      <c r="A3358">
        <v>2614</v>
      </c>
      <c r="B3358" t="s">
        <v>32</v>
      </c>
      <c r="C3358" t="s">
        <v>129</v>
      </c>
      <c r="D3358" s="9">
        <v>40807.758946759262</v>
      </c>
      <c r="E3358" t="s">
        <v>27</v>
      </c>
      <c r="F3358">
        <f t="shared" ca="1" si="104"/>
        <v>3.3555555555555556</v>
      </c>
      <c r="G3358">
        <f t="shared" ca="1" si="105"/>
        <v>0</v>
      </c>
    </row>
    <row r="3359" spans="1:7">
      <c r="A3359">
        <v>2618</v>
      </c>
      <c r="B3359" t="s">
        <v>77</v>
      </c>
      <c r="C3359" t="s">
        <v>132</v>
      </c>
      <c r="D3359" s="9">
        <v>40659.652349537035</v>
      </c>
      <c r="E3359" t="s">
        <v>131</v>
      </c>
      <c r="F3359">
        <f t="shared" ca="1" si="104"/>
        <v>3.7583333333333333</v>
      </c>
      <c r="G3359">
        <f t="shared" ca="1" si="105"/>
        <v>0</v>
      </c>
    </row>
    <row r="3360" spans="1:7">
      <c r="A3360">
        <v>2622</v>
      </c>
      <c r="B3360" t="s">
        <v>34</v>
      </c>
      <c r="C3360" t="s">
        <v>132</v>
      </c>
      <c r="D3360" s="9">
        <v>40659.69189814815</v>
      </c>
      <c r="E3360" t="s">
        <v>131</v>
      </c>
      <c r="F3360">
        <f t="shared" ca="1" si="104"/>
        <v>3.7583333333333333</v>
      </c>
      <c r="G3360">
        <f t="shared" ca="1" si="105"/>
        <v>0</v>
      </c>
    </row>
    <row r="3361" spans="1:7">
      <c r="A3361">
        <v>2624</v>
      </c>
      <c r="B3361" t="s">
        <v>99</v>
      </c>
      <c r="C3361" t="s">
        <v>132</v>
      </c>
      <c r="D3361" s="9">
        <v>40660.634745370371</v>
      </c>
      <c r="E3361" t="s">
        <v>131</v>
      </c>
      <c r="F3361">
        <f t="shared" ca="1" si="104"/>
        <v>3.7555555555555555</v>
      </c>
      <c r="G3361">
        <f t="shared" ca="1" si="105"/>
        <v>0</v>
      </c>
    </row>
    <row r="3362" spans="1:7">
      <c r="A3362">
        <v>2626</v>
      </c>
      <c r="B3362" t="s">
        <v>99</v>
      </c>
      <c r="C3362" t="s">
        <v>132</v>
      </c>
      <c r="D3362" s="9">
        <v>40665.77239583333</v>
      </c>
      <c r="E3362" t="s">
        <v>32</v>
      </c>
      <c r="F3362">
        <f t="shared" ca="1" si="104"/>
        <v>3.7416666666666667</v>
      </c>
      <c r="G3362">
        <f t="shared" ca="1" si="105"/>
        <v>0</v>
      </c>
    </row>
    <row r="3363" spans="1:7">
      <c r="A3363">
        <v>2628</v>
      </c>
      <c r="B3363" t="s">
        <v>111</v>
      </c>
      <c r="C3363" t="s">
        <v>132</v>
      </c>
      <c r="D3363" s="9">
        <v>40666.756736111114</v>
      </c>
      <c r="E3363" t="s">
        <v>38</v>
      </c>
      <c r="F3363">
        <f t="shared" ca="1" si="104"/>
        <v>3.7388888888888889</v>
      </c>
      <c r="G3363">
        <f t="shared" ca="1" si="105"/>
        <v>0</v>
      </c>
    </row>
    <row r="3364" spans="1:7">
      <c r="A3364">
        <v>2631</v>
      </c>
      <c r="B3364" t="s">
        <v>131</v>
      </c>
      <c r="C3364" t="s">
        <v>132</v>
      </c>
      <c r="D3364" s="9">
        <v>40662.067870370367</v>
      </c>
      <c r="E3364" t="s">
        <v>38</v>
      </c>
      <c r="F3364">
        <f t="shared" ca="1" si="104"/>
        <v>3.75</v>
      </c>
      <c r="G3364">
        <f t="shared" ca="1" si="105"/>
        <v>0</v>
      </c>
    </row>
    <row r="3365" spans="1:7">
      <c r="A3365">
        <v>2638</v>
      </c>
      <c r="B3365" t="s">
        <v>99</v>
      </c>
      <c r="C3365" t="s">
        <v>132</v>
      </c>
      <c r="D3365" s="9">
        <v>40666.59584490741</v>
      </c>
      <c r="E3365" t="s">
        <v>44</v>
      </c>
      <c r="F3365">
        <f t="shared" ca="1" si="104"/>
        <v>3.7388888888888889</v>
      </c>
      <c r="G3365">
        <f t="shared" ca="1" si="105"/>
        <v>0</v>
      </c>
    </row>
    <row r="3366" spans="1:7">
      <c r="A3366">
        <v>2640</v>
      </c>
      <c r="B3366" t="s">
        <v>111</v>
      </c>
      <c r="C3366" t="s">
        <v>132</v>
      </c>
      <c r="D3366" s="9">
        <v>40667.776689814818</v>
      </c>
      <c r="E3366" t="s">
        <v>27</v>
      </c>
      <c r="F3366">
        <f t="shared" ca="1" si="104"/>
        <v>3.7361111111111112</v>
      </c>
      <c r="G3366">
        <f t="shared" ca="1" si="105"/>
        <v>0</v>
      </c>
    </row>
    <row r="3367" spans="1:7">
      <c r="A3367">
        <v>2641</v>
      </c>
      <c r="B3367" t="s">
        <v>44</v>
      </c>
      <c r="C3367" t="s">
        <v>132</v>
      </c>
      <c r="D3367" s="9">
        <v>40660.63652777778</v>
      </c>
      <c r="E3367" t="s">
        <v>34</v>
      </c>
      <c r="F3367">
        <f t="shared" ca="1" si="104"/>
        <v>3.7555555555555555</v>
      </c>
      <c r="G3367">
        <f t="shared" ca="1" si="105"/>
        <v>0</v>
      </c>
    </row>
    <row r="3368" spans="1:7">
      <c r="A3368">
        <v>2642</v>
      </c>
      <c r="B3368" t="s">
        <v>131</v>
      </c>
      <c r="C3368" t="s">
        <v>132</v>
      </c>
      <c r="D3368" s="9">
        <v>40661.111018518517</v>
      </c>
      <c r="E3368" t="s">
        <v>38</v>
      </c>
      <c r="F3368">
        <f t="shared" ca="1" si="104"/>
        <v>3.7527777777777778</v>
      </c>
      <c r="G3368">
        <f t="shared" ca="1" si="105"/>
        <v>0</v>
      </c>
    </row>
    <row r="3369" spans="1:7">
      <c r="A3369">
        <v>2643</v>
      </c>
      <c r="B3369" t="s">
        <v>131</v>
      </c>
      <c r="C3369" t="s">
        <v>132</v>
      </c>
      <c r="D3369" s="9">
        <v>40661.818009259259</v>
      </c>
      <c r="E3369" t="s">
        <v>99</v>
      </c>
      <c r="F3369">
        <f t="shared" ca="1" si="104"/>
        <v>3.7527777777777778</v>
      </c>
      <c r="G3369">
        <f t="shared" ca="1" si="105"/>
        <v>0</v>
      </c>
    </row>
    <row r="3370" spans="1:7">
      <c r="A3370">
        <v>2646</v>
      </c>
      <c r="B3370" t="s">
        <v>131</v>
      </c>
      <c r="C3370" t="s">
        <v>132</v>
      </c>
      <c r="D3370" s="9">
        <v>40660.405925925923</v>
      </c>
      <c r="E3370" t="s">
        <v>44</v>
      </c>
      <c r="F3370">
        <f t="shared" ca="1" si="104"/>
        <v>3.7555555555555555</v>
      </c>
      <c r="G3370">
        <f t="shared" ca="1" si="105"/>
        <v>0</v>
      </c>
    </row>
    <row r="3371" spans="1:7">
      <c r="A3371">
        <v>2648</v>
      </c>
      <c r="B3371" t="s">
        <v>111</v>
      </c>
      <c r="C3371" t="s">
        <v>132</v>
      </c>
      <c r="D3371" s="9">
        <v>40666.774745370371</v>
      </c>
      <c r="E3371" t="s">
        <v>38</v>
      </c>
      <c r="F3371">
        <f t="shared" ca="1" si="104"/>
        <v>3.7388888888888889</v>
      </c>
      <c r="G3371">
        <f t="shared" ca="1" si="105"/>
        <v>0</v>
      </c>
    </row>
    <row r="3372" spans="1:7">
      <c r="A3372">
        <v>2649</v>
      </c>
      <c r="B3372" t="s">
        <v>99</v>
      </c>
      <c r="C3372" t="s">
        <v>132</v>
      </c>
      <c r="D3372" s="9">
        <v>40665.873067129629</v>
      </c>
      <c r="E3372" t="s">
        <v>32</v>
      </c>
      <c r="F3372">
        <f t="shared" ca="1" si="104"/>
        <v>3.7416666666666667</v>
      </c>
      <c r="G3372">
        <f t="shared" ca="1" si="105"/>
        <v>0</v>
      </c>
    </row>
    <row r="3373" spans="1:7">
      <c r="A3373">
        <v>2653</v>
      </c>
      <c r="B3373" t="s">
        <v>11</v>
      </c>
      <c r="C3373" t="s">
        <v>128</v>
      </c>
      <c r="D3373" s="9">
        <v>40919.964490740742</v>
      </c>
      <c r="E3373" t="s">
        <v>99</v>
      </c>
      <c r="F3373">
        <f t="shared" ca="1" si="104"/>
        <v>3.05</v>
      </c>
      <c r="G3373">
        <f t="shared" ca="1" si="105"/>
        <v>0</v>
      </c>
    </row>
    <row r="3374" spans="1:7">
      <c r="A3374">
        <v>2654</v>
      </c>
      <c r="B3374" t="s">
        <v>11</v>
      </c>
      <c r="C3374" t="s">
        <v>128</v>
      </c>
      <c r="D3374" s="9">
        <v>40917.724178240744</v>
      </c>
      <c r="E3374" t="s">
        <v>99</v>
      </c>
      <c r="F3374">
        <f t="shared" ca="1" si="104"/>
        <v>3.0555555555555554</v>
      </c>
      <c r="G3374">
        <f t="shared" ca="1" si="105"/>
        <v>0</v>
      </c>
    </row>
    <row r="3375" spans="1:7">
      <c r="A3375">
        <v>2655</v>
      </c>
      <c r="B3375" t="s">
        <v>11</v>
      </c>
      <c r="C3375" t="s">
        <v>128</v>
      </c>
      <c r="D3375" s="9">
        <v>40918.689074074071</v>
      </c>
      <c r="E3375" t="s">
        <v>37</v>
      </c>
      <c r="F3375">
        <f t="shared" ref="F3375:F3438" ca="1" si="106">YEARFRAC(TODAY(),$D3375)</f>
        <v>3.0527777777777776</v>
      </c>
      <c r="G3375">
        <f t="shared" ref="G3375:G3438" ca="1" si="107">IF($F3375&lt;1,1,0)</f>
        <v>0</v>
      </c>
    </row>
    <row r="3376" spans="1:7">
      <c r="A3376">
        <v>2656</v>
      </c>
      <c r="B3376" t="s">
        <v>11</v>
      </c>
      <c r="C3376" t="s">
        <v>128</v>
      </c>
      <c r="D3376" s="9">
        <v>40920.495173611111</v>
      </c>
      <c r="E3376" t="s">
        <v>112</v>
      </c>
      <c r="F3376">
        <f t="shared" ca="1" si="106"/>
        <v>3.0472222222222221</v>
      </c>
      <c r="G3376">
        <f t="shared" ca="1" si="107"/>
        <v>0</v>
      </c>
    </row>
    <row r="3377" spans="1:7">
      <c r="A3377">
        <v>2657</v>
      </c>
      <c r="B3377" t="s">
        <v>11</v>
      </c>
      <c r="C3377" t="s">
        <v>128</v>
      </c>
      <c r="D3377" s="9">
        <v>40920.506840277776</v>
      </c>
      <c r="E3377" t="s">
        <v>112</v>
      </c>
      <c r="F3377">
        <f t="shared" ca="1" si="106"/>
        <v>3.0472222222222221</v>
      </c>
      <c r="G3377">
        <f t="shared" ca="1" si="107"/>
        <v>0</v>
      </c>
    </row>
    <row r="3378" spans="1:7">
      <c r="A3378">
        <v>2658</v>
      </c>
      <c r="B3378" t="s">
        <v>11</v>
      </c>
      <c r="C3378" t="s">
        <v>128</v>
      </c>
      <c r="D3378" s="9">
        <v>40919.671689814815</v>
      </c>
      <c r="E3378" t="s">
        <v>44</v>
      </c>
      <c r="F3378">
        <f t="shared" ca="1" si="106"/>
        <v>3.05</v>
      </c>
      <c r="G3378">
        <f t="shared" ca="1" si="107"/>
        <v>0</v>
      </c>
    </row>
    <row r="3379" spans="1:7">
      <c r="A3379">
        <v>2666</v>
      </c>
      <c r="B3379" t="s">
        <v>99</v>
      </c>
      <c r="C3379" t="s">
        <v>132</v>
      </c>
      <c r="D3379" s="9">
        <v>40666.466203703705</v>
      </c>
      <c r="E3379" t="s">
        <v>19</v>
      </c>
      <c r="F3379">
        <f t="shared" ca="1" si="106"/>
        <v>3.7388888888888889</v>
      </c>
      <c r="G3379">
        <f t="shared" ca="1" si="107"/>
        <v>0</v>
      </c>
    </row>
    <row r="3380" spans="1:7">
      <c r="A3380">
        <v>2668</v>
      </c>
      <c r="B3380" t="s">
        <v>32</v>
      </c>
      <c r="C3380" t="s">
        <v>130</v>
      </c>
      <c r="D3380" s="9">
        <v>40721.843171296299</v>
      </c>
      <c r="E3380" t="s">
        <v>20</v>
      </c>
      <c r="F3380">
        <f t="shared" ca="1" si="106"/>
        <v>3.588888888888889</v>
      </c>
      <c r="G3380">
        <f t="shared" ca="1" si="107"/>
        <v>0</v>
      </c>
    </row>
    <row r="3381" spans="1:7">
      <c r="A3381">
        <v>2670</v>
      </c>
      <c r="B3381" t="s">
        <v>44</v>
      </c>
      <c r="C3381" t="s">
        <v>132</v>
      </c>
      <c r="D3381" s="9">
        <v>40665.146828703706</v>
      </c>
      <c r="E3381" t="s">
        <v>38</v>
      </c>
      <c r="F3381">
        <f t="shared" ca="1" si="106"/>
        <v>3.7416666666666667</v>
      </c>
      <c r="G3381">
        <f t="shared" ca="1" si="107"/>
        <v>0</v>
      </c>
    </row>
    <row r="3382" spans="1:7">
      <c r="A3382">
        <v>2672</v>
      </c>
      <c r="B3382" t="s">
        <v>44</v>
      </c>
      <c r="C3382" t="s">
        <v>132</v>
      </c>
      <c r="D3382" s="9">
        <v>40661.545405092591</v>
      </c>
      <c r="E3382" t="s">
        <v>131</v>
      </c>
      <c r="F3382">
        <f t="shared" ca="1" si="106"/>
        <v>3.7527777777777778</v>
      </c>
      <c r="G3382">
        <f t="shared" ca="1" si="107"/>
        <v>0</v>
      </c>
    </row>
    <row r="3383" spans="1:7">
      <c r="A3383">
        <v>2673</v>
      </c>
      <c r="B3383" t="s">
        <v>8</v>
      </c>
      <c r="C3383" t="s">
        <v>132</v>
      </c>
      <c r="D3383" s="9">
        <v>40666.44190972222</v>
      </c>
      <c r="E3383" t="s">
        <v>131</v>
      </c>
      <c r="F3383">
        <f t="shared" ca="1" si="106"/>
        <v>3.7388888888888889</v>
      </c>
      <c r="G3383">
        <f t="shared" ca="1" si="107"/>
        <v>0</v>
      </c>
    </row>
    <row r="3384" spans="1:7">
      <c r="A3384">
        <v>2677</v>
      </c>
      <c r="B3384" t="s">
        <v>99</v>
      </c>
      <c r="C3384" t="s">
        <v>132</v>
      </c>
      <c r="D3384" s="9">
        <v>40667.944687499999</v>
      </c>
      <c r="E3384" t="s">
        <v>38</v>
      </c>
      <c r="F3384">
        <f t="shared" ca="1" si="106"/>
        <v>3.7361111111111112</v>
      </c>
      <c r="G3384">
        <f t="shared" ca="1" si="107"/>
        <v>0</v>
      </c>
    </row>
    <row r="3385" spans="1:7">
      <c r="A3385">
        <v>2678</v>
      </c>
      <c r="B3385" t="s">
        <v>131</v>
      </c>
      <c r="C3385" t="s">
        <v>132</v>
      </c>
      <c r="D3385" s="9">
        <v>40662.818541666667</v>
      </c>
      <c r="E3385" t="s">
        <v>99</v>
      </c>
      <c r="F3385">
        <f t="shared" ca="1" si="106"/>
        <v>3.75</v>
      </c>
      <c r="G3385">
        <f t="shared" ca="1" si="107"/>
        <v>0</v>
      </c>
    </row>
    <row r="3386" spans="1:7">
      <c r="A3386">
        <v>2680</v>
      </c>
      <c r="B3386" t="s">
        <v>111</v>
      </c>
      <c r="C3386" t="s">
        <v>132</v>
      </c>
      <c r="D3386" s="9">
        <v>40661.81659722222</v>
      </c>
      <c r="E3386" t="s">
        <v>99</v>
      </c>
      <c r="F3386">
        <f t="shared" ca="1" si="106"/>
        <v>3.7527777777777778</v>
      </c>
      <c r="G3386">
        <f t="shared" ca="1" si="107"/>
        <v>0</v>
      </c>
    </row>
    <row r="3387" spans="1:7">
      <c r="A3387">
        <v>2681</v>
      </c>
      <c r="B3387" t="s">
        <v>111</v>
      </c>
      <c r="C3387" t="s">
        <v>132</v>
      </c>
      <c r="D3387" s="9">
        <v>40661.811041666668</v>
      </c>
      <c r="E3387" t="s">
        <v>99</v>
      </c>
      <c r="F3387">
        <f t="shared" ca="1" si="106"/>
        <v>3.7527777777777778</v>
      </c>
      <c r="G3387">
        <f t="shared" ca="1" si="107"/>
        <v>0</v>
      </c>
    </row>
    <row r="3388" spans="1:7">
      <c r="A3388">
        <v>2683</v>
      </c>
      <c r="B3388" t="s">
        <v>99</v>
      </c>
      <c r="C3388" t="s">
        <v>132</v>
      </c>
      <c r="D3388" s="9">
        <v>40665.793611111112</v>
      </c>
      <c r="E3388" t="s">
        <v>32</v>
      </c>
      <c r="F3388">
        <f t="shared" ca="1" si="106"/>
        <v>3.7416666666666667</v>
      </c>
      <c r="G3388">
        <f t="shared" ca="1" si="107"/>
        <v>0</v>
      </c>
    </row>
    <row r="3389" spans="1:7">
      <c r="A3389">
        <v>2688</v>
      </c>
      <c r="B3389" t="s">
        <v>99</v>
      </c>
      <c r="C3389" t="s">
        <v>132</v>
      </c>
      <c r="D3389" s="9">
        <v>40660.631747685184</v>
      </c>
      <c r="E3389" t="s">
        <v>131</v>
      </c>
      <c r="F3389">
        <f t="shared" ca="1" si="106"/>
        <v>3.7555555555555555</v>
      </c>
      <c r="G3389">
        <f t="shared" ca="1" si="107"/>
        <v>0</v>
      </c>
    </row>
    <row r="3390" spans="1:7">
      <c r="A3390">
        <v>2689</v>
      </c>
      <c r="B3390" t="s">
        <v>99</v>
      </c>
      <c r="C3390" t="s">
        <v>132</v>
      </c>
      <c r="D3390" s="9">
        <v>40665.769837962966</v>
      </c>
      <c r="E3390" t="s">
        <v>11</v>
      </c>
      <c r="F3390">
        <f t="shared" ca="1" si="106"/>
        <v>3.7416666666666667</v>
      </c>
      <c r="G3390">
        <f t="shared" ca="1" si="107"/>
        <v>0</v>
      </c>
    </row>
    <row r="3391" spans="1:7">
      <c r="A3391">
        <v>2690</v>
      </c>
      <c r="B3391" t="s">
        <v>111</v>
      </c>
      <c r="C3391" t="s">
        <v>132</v>
      </c>
      <c r="D3391" s="9">
        <v>40661.821747685186</v>
      </c>
      <c r="E3391" t="s">
        <v>99</v>
      </c>
      <c r="F3391">
        <f t="shared" ca="1" si="106"/>
        <v>3.7527777777777778</v>
      </c>
      <c r="G3391">
        <f t="shared" ca="1" si="107"/>
        <v>0</v>
      </c>
    </row>
    <row r="3392" spans="1:7">
      <c r="A3392">
        <v>2694</v>
      </c>
      <c r="B3392" t="s">
        <v>44</v>
      </c>
      <c r="C3392" t="s">
        <v>132</v>
      </c>
      <c r="D3392" s="9">
        <v>40660.659513888888</v>
      </c>
      <c r="E3392" t="s">
        <v>34</v>
      </c>
      <c r="F3392">
        <f t="shared" ca="1" si="106"/>
        <v>3.7555555555555555</v>
      </c>
      <c r="G3392">
        <f t="shared" ca="1" si="107"/>
        <v>0</v>
      </c>
    </row>
    <row r="3393" spans="1:7">
      <c r="A3393">
        <v>2695</v>
      </c>
      <c r="B3393" t="s">
        <v>44</v>
      </c>
      <c r="C3393" t="s">
        <v>128</v>
      </c>
      <c r="D3393" s="9">
        <v>40920.68445601852</v>
      </c>
      <c r="E3393" t="s">
        <v>30</v>
      </c>
      <c r="F3393">
        <f t="shared" ca="1" si="106"/>
        <v>3.0472222222222221</v>
      </c>
      <c r="G3393">
        <f t="shared" ca="1" si="107"/>
        <v>0</v>
      </c>
    </row>
    <row r="3394" spans="1:7">
      <c r="A3394">
        <v>2697</v>
      </c>
      <c r="B3394" t="s">
        <v>112</v>
      </c>
      <c r="C3394" t="s">
        <v>126</v>
      </c>
      <c r="D3394" s="9">
        <v>41135.822534722225</v>
      </c>
      <c r="E3394" t="s">
        <v>8</v>
      </c>
      <c r="F3394">
        <f t="shared" ca="1" si="106"/>
        <v>2.4583333333333335</v>
      </c>
      <c r="G3394">
        <f t="shared" ca="1" si="107"/>
        <v>0</v>
      </c>
    </row>
    <row r="3395" spans="1:7">
      <c r="A3395">
        <v>2698</v>
      </c>
      <c r="B3395" t="s">
        <v>8</v>
      </c>
      <c r="C3395" t="s">
        <v>132</v>
      </c>
      <c r="D3395" s="9">
        <v>40659.702534722222</v>
      </c>
      <c r="E3395" t="s">
        <v>131</v>
      </c>
      <c r="F3395">
        <f t="shared" ca="1" si="106"/>
        <v>3.7583333333333333</v>
      </c>
      <c r="G3395">
        <f t="shared" ca="1" si="107"/>
        <v>0</v>
      </c>
    </row>
    <row r="3396" spans="1:7">
      <c r="A3396">
        <v>2699</v>
      </c>
      <c r="B3396" t="s">
        <v>11</v>
      </c>
      <c r="C3396" t="s">
        <v>132</v>
      </c>
      <c r="D3396" s="9">
        <v>40660.423796296294</v>
      </c>
      <c r="E3396" t="s">
        <v>131</v>
      </c>
      <c r="F3396">
        <f t="shared" ca="1" si="106"/>
        <v>3.7555555555555555</v>
      </c>
      <c r="G3396">
        <f t="shared" ca="1" si="107"/>
        <v>0</v>
      </c>
    </row>
    <row r="3397" spans="1:7">
      <c r="A3397">
        <v>2702</v>
      </c>
      <c r="B3397" t="s">
        <v>34</v>
      </c>
      <c r="C3397" t="s">
        <v>127</v>
      </c>
      <c r="D3397" s="9">
        <v>41031.70140046296</v>
      </c>
      <c r="E3397" t="s">
        <v>43</v>
      </c>
      <c r="F3397">
        <f t="shared" ca="1" si="106"/>
        <v>2.7416666666666667</v>
      </c>
      <c r="G3397">
        <f t="shared" ca="1" si="107"/>
        <v>0</v>
      </c>
    </row>
    <row r="3398" spans="1:7">
      <c r="A3398">
        <v>2704</v>
      </c>
      <c r="B3398" t="s">
        <v>34</v>
      </c>
      <c r="C3398" t="s">
        <v>130</v>
      </c>
      <c r="D3398" s="9">
        <v>40721.646053240744</v>
      </c>
      <c r="E3398" t="s">
        <v>32</v>
      </c>
      <c r="F3398">
        <f t="shared" ca="1" si="106"/>
        <v>3.588888888888889</v>
      </c>
      <c r="G3398">
        <f t="shared" ca="1" si="107"/>
        <v>0</v>
      </c>
    </row>
    <row r="3399" spans="1:7">
      <c r="A3399">
        <v>2706</v>
      </c>
      <c r="B3399" t="s">
        <v>34</v>
      </c>
      <c r="C3399" t="s">
        <v>132</v>
      </c>
      <c r="D3399" s="9">
        <v>40665.934548611112</v>
      </c>
      <c r="E3399" t="s">
        <v>11</v>
      </c>
      <c r="F3399">
        <f t="shared" ca="1" si="106"/>
        <v>3.7416666666666667</v>
      </c>
      <c r="G3399">
        <f t="shared" ca="1" si="107"/>
        <v>0</v>
      </c>
    </row>
    <row r="3400" spans="1:7">
      <c r="A3400">
        <v>2708</v>
      </c>
      <c r="B3400" t="s">
        <v>32</v>
      </c>
      <c r="C3400" t="s">
        <v>130</v>
      </c>
      <c r="D3400" s="9">
        <v>40722.759108796294</v>
      </c>
      <c r="E3400" t="s">
        <v>99</v>
      </c>
      <c r="F3400">
        <f t="shared" ca="1" si="106"/>
        <v>3.5861111111111112</v>
      </c>
      <c r="G3400">
        <f t="shared" ca="1" si="107"/>
        <v>0</v>
      </c>
    </row>
    <row r="3401" spans="1:7">
      <c r="A3401">
        <v>2709</v>
      </c>
      <c r="B3401" t="s">
        <v>112</v>
      </c>
      <c r="C3401" t="s">
        <v>130</v>
      </c>
      <c r="D3401" s="9">
        <v>40724.436412037037</v>
      </c>
      <c r="E3401" t="s">
        <v>19</v>
      </c>
      <c r="F3401">
        <f t="shared" ca="1" si="106"/>
        <v>3.5805555555555557</v>
      </c>
      <c r="G3401">
        <f t="shared" ca="1" si="107"/>
        <v>0</v>
      </c>
    </row>
    <row r="3402" spans="1:7">
      <c r="A3402">
        <v>2710</v>
      </c>
      <c r="B3402" t="s">
        <v>36</v>
      </c>
      <c r="C3402" t="s">
        <v>121</v>
      </c>
      <c r="D3402" s="9">
        <v>41435.519386574073</v>
      </c>
      <c r="E3402" t="s">
        <v>112</v>
      </c>
      <c r="F3402">
        <f t="shared" ca="1" si="106"/>
        <v>1.6361111111111111</v>
      </c>
      <c r="G3402">
        <f t="shared" ca="1" si="107"/>
        <v>0</v>
      </c>
    </row>
    <row r="3403" spans="1:7">
      <c r="A3403">
        <v>2712</v>
      </c>
      <c r="B3403" t="s">
        <v>8</v>
      </c>
      <c r="C3403" t="s">
        <v>132</v>
      </c>
      <c r="D3403" s="9">
        <v>40660.658645833333</v>
      </c>
      <c r="E3403" t="s">
        <v>131</v>
      </c>
      <c r="F3403">
        <f t="shared" ca="1" si="106"/>
        <v>3.7555555555555555</v>
      </c>
      <c r="G3403">
        <f t="shared" ca="1" si="107"/>
        <v>0</v>
      </c>
    </row>
    <row r="3404" spans="1:7">
      <c r="A3404">
        <v>2716</v>
      </c>
      <c r="B3404" t="s">
        <v>111</v>
      </c>
      <c r="C3404" t="s">
        <v>132</v>
      </c>
      <c r="D3404" s="9">
        <v>40660.644548611112</v>
      </c>
      <c r="E3404" t="s">
        <v>131</v>
      </c>
      <c r="F3404">
        <f t="shared" ca="1" si="106"/>
        <v>3.7555555555555555</v>
      </c>
      <c r="G3404">
        <f t="shared" ca="1" si="107"/>
        <v>0</v>
      </c>
    </row>
    <row r="3405" spans="1:7">
      <c r="A3405">
        <v>2717</v>
      </c>
      <c r="B3405" t="s">
        <v>32</v>
      </c>
      <c r="C3405" t="s">
        <v>130</v>
      </c>
      <c r="D3405" s="9">
        <v>40721.780428240738</v>
      </c>
      <c r="E3405" t="s">
        <v>99</v>
      </c>
      <c r="F3405">
        <f t="shared" ca="1" si="106"/>
        <v>3.588888888888889</v>
      </c>
      <c r="G3405">
        <f t="shared" ca="1" si="107"/>
        <v>0</v>
      </c>
    </row>
    <row r="3406" spans="1:7">
      <c r="A3406">
        <v>2718</v>
      </c>
      <c r="B3406" t="s">
        <v>99</v>
      </c>
      <c r="C3406" t="s">
        <v>132</v>
      </c>
      <c r="D3406" s="9">
        <v>40665.687928240739</v>
      </c>
      <c r="E3406" t="s">
        <v>27</v>
      </c>
      <c r="F3406">
        <f t="shared" ca="1" si="106"/>
        <v>3.7416666666666667</v>
      </c>
      <c r="G3406">
        <f t="shared" ca="1" si="107"/>
        <v>0</v>
      </c>
    </row>
    <row r="3407" spans="1:7">
      <c r="A3407">
        <v>2719</v>
      </c>
      <c r="B3407" t="s">
        <v>99</v>
      </c>
      <c r="C3407" t="s">
        <v>132</v>
      </c>
      <c r="D3407" s="9">
        <v>40667.952824074076</v>
      </c>
      <c r="E3407" t="s">
        <v>38</v>
      </c>
      <c r="F3407">
        <f t="shared" ca="1" si="106"/>
        <v>3.7361111111111112</v>
      </c>
      <c r="G3407">
        <f t="shared" ca="1" si="107"/>
        <v>0</v>
      </c>
    </row>
    <row r="3408" spans="1:7">
      <c r="A3408">
        <v>2720</v>
      </c>
      <c r="B3408" t="s">
        <v>34</v>
      </c>
      <c r="C3408" t="s">
        <v>128</v>
      </c>
      <c r="D3408" s="9">
        <v>40920.723553240743</v>
      </c>
      <c r="E3408" t="s">
        <v>32</v>
      </c>
      <c r="F3408">
        <f t="shared" ca="1" si="106"/>
        <v>3.0472222222222221</v>
      </c>
      <c r="G3408">
        <f t="shared" ca="1" si="107"/>
        <v>0</v>
      </c>
    </row>
    <row r="3409" spans="1:7">
      <c r="A3409">
        <v>2723</v>
      </c>
      <c r="B3409" t="s">
        <v>111</v>
      </c>
      <c r="C3409" t="s">
        <v>132</v>
      </c>
      <c r="D3409" s="9">
        <v>40661.820891203701</v>
      </c>
      <c r="E3409" t="s">
        <v>99</v>
      </c>
      <c r="F3409">
        <f t="shared" ca="1" si="106"/>
        <v>3.7527777777777778</v>
      </c>
      <c r="G3409">
        <f t="shared" ca="1" si="107"/>
        <v>0</v>
      </c>
    </row>
    <row r="3410" spans="1:7">
      <c r="A3410">
        <v>2725</v>
      </c>
      <c r="B3410" t="s">
        <v>111</v>
      </c>
      <c r="C3410" t="s">
        <v>132</v>
      </c>
      <c r="D3410" s="9">
        <v>40661.823055555556</v>
      </c>
      <c r="E3410" t="s">
        <v>99</v>
      </c>
      <c r="F3410">
        <f t="shared" ca="1" si="106"/>
        <v>3.7527777777777778</v>
      </c>
      <c r="G3410">
        <f t="shared" ca="1" si="107"/>
        <v>0</v>
      </c>
    </row>
    <row r="3411" spans="1:7">
      <c r="A3411">
        <v>2727</v>
      </c>
      <c r="B3411" t="s">
        <v>111</v>
      </c>
      <c r="C3411" t="s">
        <v>132</v>
      </c>
      <c r="D3411" s="9">
        <v>40660.62872685185</v>
      </c>
      <c r="E3411" t="s">
        <v>131</v>
      </c>
      <c r="F3411">
        <f t="shared" ca="1" si="106"/>
        <v>3.7555555555555555</v>
      </c>
      <c r="G3411">
        <f t="shared" ca="1" si="107"/>
        <v>0</v>
      </c>
    </row>
    <row r="3412" spans="1:7">
      <c r="A3412">
        <v>2728</v>
      </c>
      <c r="B3412" t="s">
        <v>38</v>
      </c>
      <c r="C3412" t="s">
        <v>132</v>
      </c>
      <c r="D3412" s="9">
        <v>40665.84171296296</v>
      </c>
      <c r="E3412" t="s">
        <v>11</v>
      </c>
      <c r="F3412">
        <f t="shared" ca="1" si="106"/>
        <v>3.7416666666666667</v>
      </c>
      <c r="G3412">
        <f t="shared" ca="1" si="107"/>
        <v>0</v>
      </c>
    </row>
    <row r="3413" spans="1:7">
      <c r="A3413">
        <v>2729</v>
      </c>
      <c r="B3413" t="s">
        <v>32</v>
      </c>
      <c r="C3413" t="s">
        <v>130</v>
      </c>
      <c r="D3413" s="9">
        <v>40723.671296296299</v>
      </c>
      <c r="E3413" t="s">
        <v>21</v>
      </c>
      <c r="F3413">
        <f t="shared" ca="1" si="106"/>
        <v>3.5833333333333335</v>
      </c>
      <c r="G3413">
        <f t="shared" ca="1" si="107"/>
        <v>0</v>
      </c>
    </row>
    <row r="3414" spans="1:7">
      <c r="A3414">
        <v>2730</v>
      </c>
      <c r="B3414" t="s">
        <v>38</v>
      </c>
      <c r="C3414" t="s">
        <v>132</v>
      </c>
      <c r="D3414" s="9">
        <v>40664.733599537038</v>
      </c>
      <c r="E3414" t="s">
        <v>36</v>
      </c>
      <c r="F3414">
        <f t="shared" ca="1" si="106"/>
        <v>3.7444444444444445</v>
      </c>
      <c r="G3414">
        <f t="shared" ca="1" si="107"/>
        <v>0</v>
      </c>
    </row>
    <row r="3415" spans="1:7">
      <c r="A3415">
        <v>2731</v>
      </c>
      <c r="B3415" t="s">
        <v>131</v>
      </c>
      <c r="C3415" t="s">
        <v>132</v>
      </c>
      <c r="D3415" s="9">
        <v>40665.14875</v>
      </c>
      <c r="E3415" t="s">
        <v>38</v>
      </c>
      <c r="F3415">
        <f t="shared" ca="1" si="106"/>
        <v>3.7416666666666667</v>
      </c>
      <c r="G3415">
        <f t="shared" ca="1" si="107"/>
        <v>0</v>
      </c>
    </row>
    <row r="3416" spans="1:7">
      <c r="A3416">
        <v>2732</v>
      </c>
      <c r="B3416" t="s">
        <v>112</v>
      </c>
      <c r="C3416" t="s">
        <v>130</v>
      </c>
      <c r="D3416" s="9">
        <v>40722.413437499999</v>
      </c>
      <c r="E3416" t="s">
        <v>44</v>
      </c>
      <c r="F3416">
        <f t="shared" ca="1" si="106"/>
        <v>3.5861111111111112</v>
      </c>
      <c r="G3416">
        <f t="shared" ca="1" si="107"/>
        <v>0</v>
      </c>
    </row>
    <row r="3417" spans="1:7">
      <c r="A3417">
        <v>2736</v>
      </c>
      <c r="B3417" t="s">
        <v>8</v>
      </c>
      <c r="C3417" t="s">
        <v>130</v>
      </c>
      <c r="D3417" s="9">
        <v>40721.84375</v>
      </c>
      <c r="E3417" t="s">
        <v>27</v>
      </c>
      <c r="F3417">
        <f t="shared" ca="1" si="106"/>
        <v>3.588888888888889</v>
      </c>
      <c r="G3417">
        <f t="shared" ca="1" si="107"/>
        <v>0</v>
      </c>
    </row>
    <row r="3418" spans="1:7">
      <c r="A3418">
        <v>2737</v>
      </c>
      <c r="B3418" t="s">
        <v>20</v>
      </c>
      <c r="C3418" t="s">
        <v>132</v>
      </c>
      <c r="D3418" s="9">
        <v>40666.774351851855</v>
      </c>
      <c r="E3418" t="s">
        <v>36</v>
      </c>
      <c r="F3418">
        <f t="shared" ca="1" si="106"/>
        <v>3.7388888888888889</v>
      </c>
      <c r="G3418">
        <f t="shared" ca="1" si="107"/>
        <v>0</v>
      </c>
    </row>
    <row r="3419" spans="1:7">
      <c r="A3419">
        <v>2738</v>
      </c>
      <c r="B3419" t="s">
        <v>11</v>
      </c>
      <c r="C3419" t="s">
        <v>122</v>
      </c>
      <c r="D3419" s="9">
        <v>41334.448657407411</v>
      </c>
      <c r="E3419" t="s">
        <v>8</v>
      </c>
      <c r="F3419">
        <f t="shared" ca="1" si="106"/>
        <v>1.9111111111111112</v>
      </c>
      <c r="G3419">
        <f t="shared" ca="1" si="107"/>
        <v>0</v>
      </c>
    </row>
    <row r="3420" spans="1:7">
      <c r="A3420">
        <v>2739</v>
      </c>
      <c r="B3420" t="s">
        <v>44</v>
      </c>
      <c r="C3420" t="s">
        <v>132</v>
      </c>
      <c r="D3420" s="9">
        <v>40666.489351851851</v>
      </c>
      <c r="E3420" t="s">
        <v>19</v>
      </c>
      <c r="F3420">
        <f t="shared" ca="1" si="106"/>
        <v>3.7388888888888889</v>
      </c>
      <c r="G3420">
        <f t="shared" ca="1" si="107"/>
        <v>0</v>
      </c>
    </row>
    <row r="3421" spans="1:7">
      <c r="A3421">
        <v>2740</v>
      </c>
      <c r="B3421" t="s">
        <v>44</v>
      </c>
      <c r="C3421" t="s">
        <v>132</v>
      </c>
      <c r="D3421" s="9">
        <v>40660.430254629631</v>
      </c>
      <c r="E3421" t="s">
        <v>131</v>
      </c>
      <c r="F3421">
        <f t="shared" ca="1" si="106"/>
        <v>3.7555555555555555</v>
      </c>
      <c r="G3421">
        <f t="shared" ca="1" si="107"/>
        <v>0</v>
      </c>
    </row>
    <row r="3422" spans="1:7">
      <c r="A3422">
        <v>2741</v>
      </c>
      <c r="B3422" t="s">
        <v>44</v>
      </c>
      <c r="C3422" t="s">
        <v>132</v>
      </c>
      <c r="D3422" s="9">
        <v>40661.580138888887</v>
      </c>
      <c r="E3422" t="s">
        <v>131</v>
      </c>
      <c r="F3422">
        <f t="shared" ca="1" si="106"/>
        <v>3.7527777777777778</v>
      </c>
      <c r="G3422">
        <f t="shared" ca="1" si="107"/>
        <v>0</v>
      </c>
    </row>
    <row r="3423" spans="1:7">
      <c r="A3423">
        <v>2742</v>
      </c>
      <c r="B3423" t="s">
        <v>44</v>
      </c>
      <c r="C3423" t="s">
        <v>130</v>
      </c>
      <c r="D3423" s="9">
        <v>40721.780914351853</v>
      </c>
      <c r="E3423" t="s">
        <v>27</v>
      </c>
      <c r="F3423">
        <f t="shared" ca="1" si="106"/>
        <v>3.588888888888889</v>
      </c>
      <c r="G3423">
        <f t="shared" ca="1" si="107"/>
        <v>0</v>
      </c>
    </row>
    <row r="3424" spans="1:7">
      <c r="A3424">
        <v>2745</v>
      </c>
      <c r="B3424" t="s">
        <v>23</v>
      </c>
      <c r="C3424" t="s">
        <v>130</v>
      </c>
      <c r="D3424" s="9">
        <v>40722.712777777779</v>
      </c>
      <c r="E3424" t="s">
        <v>36</v>
      </c>
      <c r="F3424">
        <f t="shared" ca="1" si="106"/>
        <v>3.5861111111111112</v>
      </c>
      <c r="G3424">
        <f t="shared" ca="1" si="107"/>
        <v>0</v>
      </c>
    </row>
    <row r="3425" spans="1:7">
      <c r="A3425">
        <v>2747</v>
      </c>
      <c r="B3425" t="s">
        <v>32</v>
      </c>
      <c r="C3425" t="s">
        <v>132</v>
      </c>
      <c r="D3425" s="9">
        <v>40662.839907407404</v>
      </c>
      <c r="E3425" t="s">
        <v>99</v>
      </c>
      <c r="F3425">
        <f t="shared" ca="1" si="106"/>
        <v>3.75</v>
      </c>
      <c r="G3425">
        <f t="shared" ca="1" si="107"/>
        <v>0</v>
      </c>
    </row>
    <row r="3426" spans="1:7">
      <c r="A3426">
        <v>2751</v>
      </c>
      <c r="B3426" t="s">
        <v>99</v>
      </c>
      <c r="C3426" t="s">
        <v>132</v>
      </c>
      <c r="D3426" s="9">
        <v>40665.891631944447</v>
      </c>
      <c r="E3426" t="s">
        <v>27</v>
      </c>
      <c r="F3426">
        <f t="shared" ca="1" si="106"/>
        <v>3.7416666666666667</v>
      </c>
      <c r="G3426">
        <f t="shared" ca="1" si="107"/>
        <v>0</v>
      </c>
    </row>
    <row r="3427" spans="1:7">
      <c r="A3427">
        <v>2752</v>
      </c>
      <c r="B3427" t="s">
        <v>11</v>
      </c>
      <c r="C3427" t="s">
        <v>132</v>
      </c>
      <c r="D3427" s="9">
        <v>40667.916134259256</v>
      </c>
      <c r="E3427" t="s">
        <v>27</v>
      </c>
      <c r="F3427">
        <f t="shared" ca="1" si="106"/>
        <v>3.7361111111111112</v>
      </c>
      <c r="G3427">
        <f t="shared" ca="1" si="107"/>
        <v>0</v>
      </c>
    </row>
    <row r="3428" spans="1:7">
      <c r="A3428">
        <v>2753</v>
      </c>
      <c r="B3428" t="s">
        <v>11</v>
      </c>
      <c r="C3428" t="s">
        <v>132</v>
      </c>
      <c r="D3428" s="9">
        <v>40661.106134259258</v>
      </c>
      <c r="E3428" t="s">
        <v>38</v>
      </c>
      <c r="F3428">
        <f t="shared" ca="1" si="106"/>
        <v>3.7527777777777778</v>
      </c>
      <c r="G3428">
        <f t="shared" ca="1" si="107"/>
        <v>0</v>
      </c>
    </row>
    <row r="3429" spans="1:7">
      <c r="A3429">
        <v>2758</v>
      </c>
      <c r="B3429" t="s">
        <v>101</v>
      </c>
      <c r="C3429" t="s">
        <v>130</v>
      </c>
      <c r="D3429" s="9">
        <v>40722.920104166667</v>
      </c>
      <c r="E3429" t="s">
        <v>111</v>
      </c>
      <c r="F3429">
        <f t="shared" ca="1" si="106"/>
        <v>3.5861111111111112</v>
      </c>
      <c r="G3429">
        <f t="shared" ca="1" si="107"/>
        <v>0</v>
      </c>
    </row>
    <row r="3430" spans="1:7">
      <c r="A3430">
        <v>2759</v>
      </c>
      <c r="B3430" t="s">
        <v>131</v>
      </c>
      <c r="C3430" t="s">
        <v>132</v>
      </c>
      <c r="D3430" s="9">
        <v>40666.595937500002</v>
      </c>
      <c r="E3430" t="s">
        <v>27</v>
      </c>
      <c r="F3430">
        <f t="shared" ca="1" si="106"/>
        <v>3.7388888888888889</v>
      </c>
      <c r="G3430">
        <f t="shared" ca="1" si="107"/>
        <v>0</v>
      </c>
    </row>
    <row r="3431" spans="1:7">
      <c r="A3431">
        <v>2760</v>
      </c>
      <c r="B3431" t="s">
        <v>38</v>
      </c>
      <c r="C3431" t="s">
        <v>132</v>
      </c>
      <c r="D3431" s="9">
        <v>40667.378668981481</v>
      </c>
      <c r="E3431" t="s">
        <v>44</v>
      </c>
      <c r="F3431">
        <f t="shared" ca="1" si="106"/>
        <v>3.7361111111111112</v>
      </c>
      <c r="G3431">
        <f t="shared" ca="1" si="107"/>
        <v>0</v>
      </c>
    </row>
    <row r="3432" spans="1:7">
      <c r="A3432">
        <v>2761</v>
      </c>
      <c r="B3432" t="s">
        <v>111</v>
      </c>
      <c r="C3432" t="s">
        <v>132</v>
      </c>
      <c r="D3432" s="9">
        <v>40660.930543981478</v>
      </c>
      <c r="E3432" t="s">
        <v>99</v>
      </c>
      <c r="F3432">
        <f t="shared" ca="1" si="106"/>
        <v>3.7555555555555555</v>
      </c>
      <c r="G3432">
        <f t="shared" ca="1" si="107"/>
        <v>0</v>
      </c>
    </row>
    <row r="3433" spans="1:7">
      <c r="A3433">
        <v>2762</v>
      </c>
      <c r="B3433" t="s">
        <v>99</v>
      </c>
      <c r="C3433" t="s">
        <v>130</v>
      </c>
      <c r="D3433" s="9">
        <v>40721.655324074076</v>
      </c>
      <c r="E3433" t="s">
        <v>19</v>
      </c>
      <c r="F3433">
        <f t="shared" ca="1" si="106"/>
        <v>3.588888888888889</v>
      </c>
      <c r="G3433">
        <f t="shared" ca="1" si="107"/>
        <v>0</v>
      </c>
    </row>
    <row r="3434" spans="1:7">
      <c r="A3434">
        <v>2763</v>
      </c>
      <c r="B3434" t="s">
        <v>32</v>
      </c>
      <c r="C3434" t="s">
        <v>130</v>
      </c>
      <c r="D3434" s="9">
        <v>40721.860567129632</v>
      </c>
      <c r="E3434" t="s">
        <v>20</v>
      </c>
      <c r="F3434">
        <f t="shared" ca="1" si="106"/>
        <v>3.588888888888889</v>
      </c>
      <c r="G3434">
        <f t="shared" ca="1" si="107"/>
        <v>0</v>
      </c>
    </row>
    <row r="3435" spans="1:7">
      <c r="A3435">
        <v>2764</v>
      </c>
      <c r="B3435" t="s">
        <v>34</v>
      </c>
      <c r="C3435" t="s">
        <v>132</v>
      </c>
      <c r="D3435" s="9">
        <v>40690.410428240742</v>
      </c>
      <c r="E3435" t="s">
        <v>44</v>
      </c>
      <c r="F3435">
        <f t="shared" ca="1" si="106"/>
        <v>3.6722222222222221</v>
      </c>
      <c r="G3435">
        <f t="shared" ca="1" si="107"/>
        <v>0</v>
      </c>
    </row>
    <row r="3436" spans="1:7">
      <c r="A3436">
        <v>2765</v>
      </c>
      <c r="B3436" t="s">
        <v>32</v>
      </c>
      <c r="C3436" t="s">
        <v>132</v>
      </c>
      <c r="D3436" s="9">
        <v>40678.820034722223</v>
      </c>
      <c r="E3436" t="s">
        <v>36</v>
      </c>
      <c r="F3436">
        <f t="shared" ca="1" si="106"/>
        <v>3.7055555555555557</v>
      </c>
      <c r="G3436">
        <f t="shared" ca="1" si="107"/>
        <v>0</v>
      </c>
    </row>
    <row r="3437" spans="1:7">
      <c r="A3437">
        <v>2767</v>
      </c>
      <c r="B3437" t="s">
        <v>99</v>
      </c>
      <c r="C3437" t="s">
        <v>132</v>
      </c>
      <c r="D3437" s="9">
        <v>40665.887766203705</v>
      </c>
      <c r="E3437" t="s">
        <v>27</v>
      </c>
      <c r="F3437">
        <f t="shared" ca="1" si="106"/>
        <v>3.7416666666666667</v>
      </c>
      <c r="G3437">
        <f t="shared" ca="1" si="107"/>
        <v>0</v>
      </c>
    </row>
    <row r="3438" spans="1:7">
      <c r="A3438">
        <v>2768</v>
      </c>
      <c r="B3438" t="s">
        <v>19</v>
      </c>
      <c r="C3438" t="s">
        <v>132</v>
      </c>
      <c r="D3438" s="9">
        <v>40665.779224537036</v>
      </c>
      <c r="E3438" t="s">
        <v>27</v>
      </c>
      <c r="F3438">
        <f t="shared" ca="1" si="106"/>
        <v>3.7416666666666667</v>
      </c>
      <c r="G3438">
        <f t="shared" ca="1" si="107"/>
        <v>0</v>
      </c>
    </row>
    <row r="3439" spans="1:7">
      <c r="A3439">
        <v>2771</v>
      </c>
      <c r="B3439" t="s">
        <v>34</v>
      </c>
      <c r="C3439" t="s">
        <v>132</v>
      </c>
      <c r="D3439" s="9">
        <v>40661.061180555553</v>
      </c>
      <c r="E3439" t="s">
        <v>36</v>
      </c>
      <c r="F3439">
        <f t="shared" ref="F3439:F3502" ca="1" si="108">YEARFRAC(TODAY(),$D3439)</f>
        <v>3.7527777777777778</v>
      </c>
      <c r="G3439">
        <f t="shared" ref="G3439:G3502" ca="1" si="109">IF($F3439&lt;1,1,0)</f>
        <v>0</v>
      </c>
    </row>
    <row r="3440" spans="1:7">
      <c r="A3440">
        <v>2774</v>
      </c>
      <c r="B3440" t="s">
        <v>19</v>
      </c>
      <c r="C3440" t="s">
        <v>130</v>
      </c>
      <c r="D3440" s="9">
        <v>40721.762384259258</v>
      </c>
      <c r="E3440" t="s">
        <v>99</v>
      </c>
      <c r="F3440">
        <f t="shared" ca="1" si="108"/>
        <v>3.588888888888889</v>
      </c>
      <c r="G3440">
        <f t="shared" ca="1" si="109"/>
        <v>0</v>
      </c>
    </row>
    <row r="3441" spans="1:7">
      <c r="A3441">
        <v>2776</v>
      </c>
      <c r="B3441" t="s">
        <v>101</v>
      </c>
      <c r="C3441" t="s">
        <v>132</v>
      </c>
      <c r="D3441" s="9">
        <v>40666.76871527778</v>
      </c>
      <c r="E3441" t="s">
        <v>27</v>
      </c>
      <c r="F3441">
        <f t="shared" ca="1" si="108"/>
        <v>3.7388888888888889</v>
      </c>
      <c r="G3441">
        <f t="shared" ca="1" si="109"/>
        <v>0</v>
      </c>
    </row>
    <row r="3442" spans="1:7">
      <c r="A3442">
        <v>2777</v>
      </c>
      <c r="B3442" t="s">
        <v>8</v>
      </c>
      <c r="C3442" t="s">
        <v>132</v>
      </c>
      <c r="D3442" s="9">
        <v>40660.68136574074</v>
      </c>
      <c r="E3442" t="s">
        <v>131</v>
      </c>
      <c r="F3442">
        <f t="shared" ca="1" si="108"/>
        <v>3.7555555555555555</v>
      </c>
      <c r="G3442">
        <f t="shared" ca="1" si="109"/>
        <v>0</v>
      </c>
    </row>
    <row r="3443" spans="1:7">
      <c r="A3443">
        <v>2780</v>
      </c>
      <c r="B3443" t="s">
        <v>101</v>
      </c>
      <c r="C3443" t="s">
        <v>129</v>
      </c>
      <c r="D3443" s="9">
        <v>40805.409282407411</v>
      </c>
      <c r="E3443" t="s">
        <v>44</v>
      </c>
      <c r="F3443">
        <f t="shared" ca="1" si="108"/>
        <v>3.3611111111111112</v>
      </c>
      <c r="G3443">
        <f t="shared" ca="1" si="109"/>
        <v>0</v>
      </c>
    </row>
    <row r="3444" spans="1:7">
      <c r="A3444">
        <v>2781</v>
      </c>
      <c r="B3444" t="s">
        <v>38</v>
      </c>
      <c r="C3444" t="s">
        <v>132</v>
      </c>
      <c r="D3444" s="9">
        <v>40666.857418981483</v>
      </c>
      <c r="E3444" t="s">
        <v>27</v>
      </c>
      <c r="F3444">
        <f t="shared" ca="1" si="108"/>
        <v>3.7388888888888889</v>
      </c>
      <c r="G3444">
        <f t="shared" ca="1" si="109"/>
        <v>0</v>
      </c>
    </row>
    <row r="3445" spans="1:7">
      <c r="A3445">
        <v>2782</v>
      </c>
      <c r="B3445" t="s">
        <v>99</v>
      </c>
      <c r="C3445" t="s">
        <v>132</v>
      </c>
      <c r="D3445" s="9">
        <v>40665.874884259261</v>
      </c>
      <c r="E3445" t="s">
        <v>27</v>
      </c>
      <c r="F3445">
        <f t="shared" ca="1" si="108"/>
        <v>3.7416666666666667</v>
      </c>
      <c r="G3445">
        <f t="shared" ca="1" si="109"/>
        <v>0</v>
      </c>
    </row>
    <row r="3446" spans="1:7">
      <c r="A3446">
        <v>2783</v>
      </c>
      <c r="B3446" t="s">
        <v>112</v>
      </c>
      <c r="C3446" t="s">
        <v>130</v>
      </c>
      <c r="D3446" s="9">
        <v>40723.714432870373</v>
      </c>
      <c r="E3446" t="s">
        <v>38</v>
      </c>
      <c r="F3446">
        <f t="shared" ca="1" si="108"/>
        <v>3.5833333333333335</v>
      </c>
      <c r="G3446">
        <f t="shared" ca="1" si="109"/>
        <v>0</v>
      </c>
    </row>
    <row r="3447" spans="1:7">
      <c r="A3447">
        <v>2784</v>
      </c>
      <c r="B3447" t="s">
        <v>99</v>
      </c>
      <c r="C3447" t="s">
        <v>130</v>
      </c>
      <c r="D3447" s="9">
        <v>40722.751423611109</v>
      </c>
      <c r="E3447" t="s">
        <v>32</v>
      </c>
      <c r="F3447">
        <f t="shared" ca="1" si="108"/>
        <v>3.5861111111111112</v>
      </c>
      <c r="G3447">
        <f t="shared" ca="1" si="109"/>
        <v>0</v>
      </c>
    </row>
    <row r="3448" spans="1:7">
      <c r="A3448">
        <v>2787</v>
      </c>
      <c r="B3448" t="s">
        <v>131</v>
      </c>
      <c r="C3448" t="s">
        <v>132</v>
      </c>
      <c r="D3448" s="9">
        <v>40667.37027777778</v>
      </c>
      <c r="E3448" t="s">
        <v>44</v>
      </c>
      <c r="F3448">
        <f t="shared" ca="1" si="108"/>
        <v>3.7361111111111112</v>
      </c>
      <c r="G3448">
        <f t="shared" ca="1" si="109"/>
        <v>0</v>
      </c>
    </row>
    <row r="3449" spans="1:7">
      <c r="A3449">
        <v>2789</v>
      </c>
      <c r="B3449" t="s">
        <v>36</v>
      </c>
      <c r="C3449" t="s">
        <v>132</v>
      </c>
      <c r="D3449" s="9">
        <v>40661.701562499999</v>
      </c>
      <c r="E3449" t="s">
        <v>99</v>
      </c>
      <c r="F3449">
        <f t="shared" ca="1" si="108"/>
        <v>3.7527777777777778</v>
      </c>
      <c r="G3449">
        <f t="shared" ca="1" si="109"/>
        <v>0</v>
      </c>
    </row>
    <row r="3450" spans="1:7">
      <c r="A3450">
        <v>2792</v>
      </c>
      <c r="B3450" t="s">
        <v>101</v>
      </c>
      <c r="C3450" t="s">
        <v>132</v>
      </c>
      <c r="D3450" s="9">
        <v>40666.611296296294</v>
      </c>
      <c r="E3450" t="s">
        <v>131</v>
      </c>
      <c r="F3450">
        <f t="shared" ca="1" si="108"/>
        <v>3.7388888888888889</v>
      </c>
      <c r="G3450">
        <f t="shared" ca="1" si="109"/>
        <v>0</v>
      </c>
    </row>
    <row r="3451" spans="1:7">
      <c r="A3451">
        <v>2797</v>
      </c>
      <c r="B3451" t="s">
        <v>99</v>
      </c>
      <c r="C3451" t="s">
        <v>130</v>
      </c>
      <c r="D3451" s="9">
        <v>40721.368645833332</v>
      </c>
      <c r="E3451" t="s">
        <v>19</v>
      </c>
      <c r="F3451">
        <f t="shared" ca="1" si="108"/>
        <v>3.588888888888889</v>
      </c>
      <c r="G3451">
        <f t="shared" ca="1" si="109"/>
        <v>0</v>
      </c>
    </row>
    <row r="3452" spans="1:7">
      <c r="A3452">
        <v>2800</v>
      </c>
      <c r="B3452" t="s">
        <v>8</v>
      </c>
      <c r="C3452" t="s">
        <v>132</v>
      </c>
      <c r="D3452" s="9">
        <v>40659.419548611113</v>
      </c>
      <c r="E3452" t="s">
        <v>131</v>
      </c>
      <c r="F3452">
        <f t="shared" ca="1" si="108"/>
        <v>3.7583333333333333</v>
      </c>
      <c r="G3452">
        <f t="shared" ca="1" si="109"/>
        <v>0</v>
      </c>
    </row>
    <row r="3453" spans="1:7">
      <c r="A3453">
        <v>2801</v>
      </c>
      <c r="B3453" t="s">
        <v>34</v>
      </c>
      <c r="C3453" t="s">
        <v>132</v>
      </c>
      <c r="D3453" s="9">
        <v>40659.677511574075</v>
      </c>
      <c r="E3453" t="s">
        <v>131</v>
      </c>
      <c r="F3453">
        <f t="shared" ca="1" si="108"/>
        <v>3.7583333333333333</v>
      </c>
      <c r="G3453">
        <f t="shared" ca="1" si="109"/>
        <v>0</v>
      </c>
    </row>
    <row r="3454" spans="1:7">
      <c r="A3454">
        <v>2802</v>
      </c>
      <c r="B3454" t="s">
        <v>34</v>
      </c>
      <c r="C3454" t="s">
        <v>132</v>
      </c>
      <c r="D3454" s="9">
        <v>40665.623668981483</v>
      </c>
      <c r="E3454" t="s">
        <v>99</v>
      </c>
      <c r="F3454">
        <f t="shared" ca="1" si="108"/>
        <v>3.7416666666666667</v>
      </c>
      <c r="G3454">
        <f t="shared" ca="1" si="109"/>
        <v>0</v>
      </c>
    </row>
    <row r="3455" spans="1:7">
      <c r="A3455">
        <v>2804</v>
      </c>
      <c r="B3455" t="s">
        <v>99</v>
      </c>
      <c r="C3455" t="s">
        <v>132</v>
      </c>
      <c r="D3455" s="9">
        <v>40661.676354166666</v>
      </c>
      <c r="E3455" t="s">
        <v>131</v>
      </c>
      <c r="F3455">
        <f t="shared" ca="1" si="108"/>
        <v>3.7527777777777778</v>
      </c>
      <c r="G3455">
        <f t="shared" ca="1" si="109"/>
        <v>0</v>
      </c>
    </row>
    <row r="3456" spans="1:7">
      <c r="A3456">
        <v>2805</v>
      </c>
      <c r="B3456" t="s">
        <v>131</v>
      </c>
      <c r="C3456" t="s">
        <v>132</v>
      </c>
      <c r="D3456" s="9">
        <v>40666.3825462963</v>
      </c>
      <c r="E3456" t="s">
        <v>101</v>
      </c>
      <c r="F3456">
        <f t="shared" ca="1" si="108"/>
        <v>3.7388888888888889</v>
      </c>
      <c r="G3456">
        <f t="shared" ca="1" si="109"/>
        <v>0</v>
      </c>
    </row>
    <row r="3457" spans="1:7">
      <c r="A3457">
        <v>2806</v>
      </c>
      <c r="B3457" t="s">
        <v>8</v>
      </c>
      <c r="C3457" t="s">
        <v>132</v>
      </c>
      <c r="D3457" s="9">
        <v>40662.080358796295</v>
      </c>
      <c r="E3457" t="s">
        <v>36</v>
      </c>
      <c r="F3457">
        <f t="shared" ca="1" si="108"/>
        <v>3.75</v>
      </c>
      <c r="G3457">
        <f t="shared" ca="1" si="109"/>
        <v>0</v>
      </c>
    </row>
    <row r="3458" spans="1:7">
      <c r="A3458">
        <v>2807</v>
      </c>
      <c r="B3458" t="s">
        <v>131</v>
      </c>
      <c r="C3458" t="s">
        <v>132</v>
      </c>
      <c r="D3458" s="9">
        <v>40666.385613425926</v>
      </c>
      <c r="E3458" t="s">
        <v>44</v>
      </c>
      <c r="F3458">
        <f t="shared" ca="1" si="108"/>
        <v>3.7388888888888889</v>
      </c>
      <c r="G3458">
        <f t="shared" ca="1" si="109"/>
        <v>0</v>
      </c>
    </row>
    <row r="3459" spans="1:7">
      <c r="A3459">
        <v>2809</v>
      </c>
      <c r="B3459" t="s">
        <v>44</v>
      </c>
      <c r="C3459" t="s">
        <v>132</v>
      </c>
      <c r="D3459" s="9">
        <v>40661.49732638889</v>
      </c>
      <c r="E3459" t="s">
        <v>131</v>
      </c>
      <c r="F3459">
        <f t="shared" ca="1" si="108"/>
        <v>3.7527777777777778</v>
      </c>
      <c r="G3459">
        <f t="shared" ca="1" si="109"/>
        <v>0</v>
      </c>
    </row>
    <row r="3460" spans="1:7">
      <c r="A3460">
        <v>2812</v>
      </c>
      <c r="B3460" t="s">
        <v>99</v>
      </c>
      <c r="C3460" t="s">
        <v>132</v>
      </c>
      <c r="D3460" s="9">
        <v>40665.653194444443</v>
      </c>
      <c r="E3460" t="s">
        <v>36</v>
      </c>
      <c r="F3460">
        <f t="shared" ca="1" si="108"/>
        <v>3.7416666666666667</v>
      </c>
      <c r="G3460">
        <f t="shared" ca="1" si="109"/>
        <v>0</v>
      </c>
    </row>
    <row r="3461" spans="1:7">
      <c r="A3461">
        <v>2813</v>
      </c>
      <c r="B3461" t="s">
        <v>99</v>
      </c>
      <c r="C3461" t="s">
        <v>132</v>
      </c>
      <c r="D3461" s="9">
        <v>40659.491747685184</v>
      </c>
      <c r="E3461" t="s">
        <v>131</v>
      </c>
      <c r="F3461">
        <f t="shared" ca="1" si="108"/>
        <v>3.7583333333333333</v>
      </c>
      <c r="G3461">
        <f t="shared" ca="1" si="109"/>
        <v>0</v>
      </c>
    </row>
    <row r="3462" spans="1:7">
      <c r="A3462">
        <v>2814</v>
      </c>
      <c r="B3462" t="s">
        <v>11</v>
      </c>
      <c r="C3462" t="s">
        <v>132</v>
      </c>
      <c r="D3462" s="9">
        <v>40662.853090277778</v>
      </c>
      <c r="E3462" t="s">
        <v>99</v>
      </c>
      <c r="F3462">
        <f t="shared" ca="1" si="108"/>
        <v>3.75</v>
      </c>
      <c r="G3462">
        <f t="shared" ca="1" si="109"/>
        <v>0</v>
      </c>
    </row>
    <row r="3463" spans="1:7">
      <c r="A3463">
        <v>2817</v>
      </c>
      <c r="B3463" t="s">
        <v>19</v>
      </c>
      <c r="C3463" t="s">
        <v>132</v>
      </c>
      <c r="D3463" s="9">
        <v>40667.0234375</v>
      </c>
      <c r="E3463" t="s">
        <v>99</v>
      </c>
      <c r="F3463">
        <f t="shared" ca="1" si="108"/>
        <v>3.7361111111111112</v>
      </c>
      <c r="G3463">
        <f t="shared" ca="1" si="109"/>
        <v>0</v>
      </c>
    </row>
    <row r="3464" spans="1:7">
      <c r="A3464">
        <v>2818</v>
      </c>
      <c r="B3464" t="s">
        <v>38</v>
      </c>
      <c r="C3464" t="s">
        <v>132</v>
      </c>
      <c r="D3464" s="9">
        <v>40668.351886574077</v>
      </c>
      <c r="E3464" t="s">
        <v>131</v>
      </c>
      <c r="F3464">
        <f t="shared" ca="1" si="108"/>
        <v>3.7333333333333334</v>
      </c>
      <c r="G3464">
        <f t="shared" ca="1" si="109"/>
        <v>0</v>
      </c>
    </row>
    <row r="3465" spans="1:7">
      <c r="A3465">
        <v>2821</v>
      </c>
      <c r="B3465" t="s">
        <v>101</v>
      </c>
      <c r="C3465" t="s">
        <v>132</v>
      </c>
      <c r="D3465" s="9">
        <v>40666.687928240739</v>
      </c>
      <c r="E3465" t="s">
        <v>27</v>
      </c>
      <c r="F3465">
        <f t="shared" ca="1" si="108"/>
        <v>3.7388888888888889</v>
      </c>
      <c r="G3465">
        <f t="shared" ca="1" si="109"/>
        <v>0</v>
      </c>
    </row>
    <row r="3466" spans="1:7">
      <c r="A3466">
        <v>2822</v>
      </c>
      <c r="B3466" t="s">
        <v>38</v>
      </c>
      <c r="C3466" t="s">
        <v>130</v>
      </c>
      <c r="D3466" s="9">
        <v>40721.826018518521</v>
      </c>
      <c r="E3466" t="s">
        <v>27</v>
      </c>
      <c r="F3466">
        <f t="shared" ca="1" si="108"/>
        <v>3.588888888888889</v>
      </c>
      <c r="G3466">
        <f t="shared" ca="1" si="109"/>
        <v>0</v>
      </c>
    </row>
    <row r="3467" spans="1:7">
      <c r="A3467">
        <v>2823</v>
      </c>
      <c r="B3467" t="s">
        <v>38</v>
      </c>
      <c r="C3467" t="s">
        <v>132</v>
      </c>
      <c r="D3467" s="9">
        <v>40660.59474537037</v>
      </c>
      <c r="E3467" t="s">
        <v>131</v>
      </c>
      <c r="F3467">
        <f t="shared" ca="1" si="108"/>
        <v>3.7555555555555555</v>
      </c>
      <c r="G3467">
        <f t="shared" ca="1" si="109"/>
        <v>0</v>
      </c>
    </row>
    <row r="3468" spans="1:7">
      <c r="A3468">
        <v>2826</v>
      </c>
      <c r="B3468" t="s">
        <v>38</v>
      </c>
      <c r="C3468" t="s">
        <v>132</v>
      </c>
      <c r="D3468" s="9">
        <v>40662.002870370372</v>
      </c>
      <c r="E3468" t="s">
        <v>36</v>
      </c>
      <c r="F3468">
        <f t="shared" ca="1" si="108"/>
        <v>3.75</v>
      </c>
      <c r="G3468">
        <f t="shared" ca="1" si="109"/>
        <v>0</v>
      </c>
    </row>
    <row r="3469" spans="1:7">
      <c r="A3469">
        <v>2827</v>
      </c>
      <c r="B3469" t="s">
        <v>20</v>
      </c>
      <c r="C3469" t="s">
        <v>132</v>
      </c>
      <c r="D3469" s="9">
        <v>40665.891655092593</v>
      </c>
      <c r="E3469" t="s">
        <v>32</v>
      </c>
      <c r="F3469">
        <f t="shared" ca="1" si="108"/>
        <v>3.7416666666666667</v>
      </c>
      <c r="G3469">
        <f t="shared" ca="1" si="109"/>
        <v>0</v>
      </c>
    </row>
    <row r="3470" spans="1:7">
      <c r="A3470">
        <v>2828</v>
      </c>
      <c r="B3470" t="s">
        <v>101</v>
      </c>
      <c r="C3470" t="s">
        <v>129</v>
      </c>
      <c r="D3470" s="9">
        <v>40806.625856481478</v>
      </c>
      <c r="E3470" t="s">
        <v>44</v>
      </c>
      <c r="F3470">
        <f t="shared" ca="1" si="108"/>
        <v>3.3583333333333334</v>
      </c>
      <c r="G3470">
        <f t="shared" ca="1" si="109"/>
        <v>0</v>
      </c>
    </row>
    <row r="3471" spans="1:7">
      <c r="A3471">
        <v>2835</v>
      </c>
      <c r="B3471" t="s">
        <v>99</v>
      </c>
      <c r="C3471" t="s">
        <v>130</v>
      </c>
      <c r="D3471" s="9">
        <v>40721.487962962965</v>
      </c>
      <c r="E3471" t="s">
        <v>19</v>
      </c>
      <c r="F3471">
        <f t="shared" ca="1" si="108"/>
        <v>3.588888888888889</v>
      </c>
      <c r="G3471">
        <f t="shared" ca="1" si="109"/>
        <v>0</v>
      </c>
    </row>
    <row r="3472" spans="1:7">
      <c r="A3472">
        <v>2838</v>
      </c>
      <c r="B3472" t="s">
        <v>99</v>
      </c>
      <c r="C3472" t="s">
        <v>132</v>
      </c>
      <c r="D3472" s="9">
        <v>40663.348078703704</v>
      </c>
      <c r="E3472" t="s">
        <v>36</v>
      </c>
      <c r="F3472">
        <f t="shared" ca="1" si="108"/>
        <v>3.7472222222222222</v>
      </c>
      <c r="G3472">
        <f t="shared" ca="1" si="109"/>
        <v>0</v>
      </c>
    </row>
    <row r="3473" spans="1:7">
      <c r="A3473">
        <v>2839</v>
      </c>
      <c r="B3473" t="s">
        <v>8</v>
      </c>
      <c r="C3473" t="s">
        <v>132</v>
      </c>
      <c r="D3473" s="9">
        <v>40659.642500000002</v>
      </c>
      <c r="E3473" t="s">
        <v>131</v>
      </c>
      <c r="F3473">
        <f t="shared" ca="1" si="108"/>
        <v>3.7583333333333333</v>
      </c>
      <c r="G3473">
        <f t="shared" ca="1" si="109"/>
        <v>0</v>
      </c>
    </row>
    <row r="3474" spans="1:7">
      <c r="A3474">
        <v>2840</v>
      </c>
      <c r="B3474" t="s">
        <v>99</v>
      </c>
      <c r="C3474" t="s">
        <v>132</v>
      </c>
      <c r="D3474" s="9">
        <v>40665.574849537035</v>
      </c>
      <c r="E3474" t="s">
        <v>32</v>
      </c>
      <c r="F3474">
        <f t="shared" ca="1" si="108"/>
        <v>3.7416666666666667</v>
      </c>
      <c r="G3474">
        <f t="shared" ca="1" si="109"/>
        <v>0</v>
      </c>
    </row>
    <row r="3475" spans="1:7">
      <c r="A3475">
        <v>2841</v>
      </c>
      <c r="B3475" t="s">
        <v>99</v>
      </c>
      <c r="C3475" t="s">
        <v>130</v>
      </c>
      <c r="D3475" s="9">
        <v>40721.707083333335</v>
      </c>
      <c r="E3475" t="s">
        <v>32</v>
      </c>
      <c r="F3475">
        <f t="shared" ca="1" si="108"/>
        <v>3.588888888888889</v>
      </c>
      <c r="G3475">
        <f t="shared" ca="1" si="109"/>
        <v>0</v>
      </c>
    </row>
    <row r="3476" spans="1:7">
      <c r="A3476">
        <v>2844</v>
      </c>
      <c r="B3476" t="s">
        <v>19</v>
      </c>
      <c r="C3476" t="s">
        <v>132</v>
      </c>
      <c r="D3476" s="9">
        <v>40662.859201388892</v>
      </c>
      <c r="E3476" t="s">
        <v>99</v>
      </c>
      <c r="F3476">
        <f t="shared" ca="1" si="108"/>
        <v>3.75</v>
      </c>
      <c r="G3476">
        <f t="shared" ca="1" si="109"/>
        <v>0</v>
      </c>
    </row>
    <row r="3477" spans="1:7">
      <c r="A3477">
        <v>2846</v>
      </c>
      <c r="B3477" t="s">
        <v>111</v>
      </c>
      <c r="C3477" t="s">
        <v>130</v>
      </c>
      <c r="D3477" s="9">
        <v>40722.915023148147</v>
      </c>
      <c r="E3477" t="s">
        <v>38</v>
      </c>
      <c r="F3477">
        <f t="shared" ca="1" si="108"/>
        <v>3.5861111111111112</v>
      </c>
      <c r="G3477">
        <f t="shared" ca="1" si="109"/>
        <v>0</v>
      </c>
    </row>
    <row r="3478" spans="1:7">
      <c r="A3478">
        <v>2853</v>
      </c>
      <c r="B3478" t="s">
        <v>19</v>
      </c>
      <c r="C3478" t="s">
        <v>132</v>
      </c>
      <c r="D3478" s="9">
        <v>40662.793495370373</v>
      </c>
      <c r="E3478" t="s">
        <v>99</v>
      </c>
      <c r="F3478">
        <f t="shared" ca="1" si="108"/>
        <v>3.75</v>
      </c>
      <c r="G3478">
        <f t="shared" ca="1" si="109"/>
        <v>0</v>
      </c>
    </row>
    <row r="3479" spans="1:7">
      <c r="A3479">
        <v>2855</v>
      </c>
      <c r="B3479" t="s">
        <v>8</v>
      </c>
      <c r="C3479" t="s">
        <v>129</v>
      </c>
      <c r="D3479" s="9">
        <v>40806.404872685183</v>
      </c>
      <c r="E3479" t="s">
        <v>34</v>
      </c>
      <c r="F3479">
        <f t="shared" ca="1" si="108"/>
        <v>3.3583333333333334</v>
      </c>
      <c r="G3479">
        <f t="shared" ca="1" si="109"/>
        <v>0</v>
      </c>
    </row>
    <row r="3480" spans="1:7">
      <c r="A3480">
        <v>2856</v>
      </c>
      <c r="B3480" t="s">
        <v>44</v>
      </c>
      <c r="C3480" t="s">
        <v>127</v>
      </c>
      <c r="D3480" s="9">
        <v>41030.897511574076</v>
      </c>
      <c r="E3480" t="s">
        <v>27</v>
      </c>
      <c r="F3480">
        <f t="shared" ca="1" si="108"/>
        <v>2.7444444444444445</v>
      </c>
      <c r="G3480">
        <f t="shared" ca="1" si="109"/>
        <v>0</v>
      </c>
    </row>
    <row r="3481" spans="1:7">
      <c r="A3481">
        <v>2866</v>
      </c>
      <c r="B3481" t="s">
        <v>34</v>
      </c>
      <c r="C3481" t="s">
        <v>132</v>
      </c>
      <c r="D3481" s="9">
        <v>40666.907314814816</v>
      </c>
      <c r="E3481" t="s">
        <v>38</v>
      </c>
      <c r="F3481">
        <f t="shared" ca="1" si="108"/>
        <v>3.7388888888888889</v>
      </c>
      <c r="G3481">
        <f t="shared" ca="1" si="109"/>
        <v>0</v>
      </c>
    </row>
    <row r="3482" spans="1:7">
      <c r="A3482">
        <v>2867</v>
      </c>
      <c r="B3482" t="s">
        <v>38</v>
      </c>
      <c r="C3482" t="s">
        <v>132</v>
      </c>
      <c r="D3482" s="9">
        <v>40661.431770833333</v>
      </c>
      <c r="E3482" t="s">
        <v>131</v>
      </c>
      <c r="F3482">
        <f t="shared" ca="1" si="108"/>
        <v>3.7527777777777778</v>
      </c>
      <c r="G3482">
        <f t="shared" ca="1" si="109"/>
        <v>0</v>
      </c>
    </row>
    <row r="3483" spans="1:7">
      <c r="A3483">
        <v>2869</v>
      </c>
      <c r="B3483" t="s">
        <v>112</v>
      </c>
      <c r="C3483" t="s">
        <v>130</v>
      </c>
      <c r="D3483" s="9">
        <v>40721.795300925929</v>
      </c>
      <c r="E3483" t="s">
        <v>27</v>
      </c>
      <c r="F3483">
        <f t="shared" ca="1" si="108"/>
        <v>3.588888888888889</v>
      </c>
      <c r="G3483">
        <f t="shared" ca="1" si="109"/>
        <v>0</v>
      </c>
    </row>
    <row r="3484" spans="1:7">
      <c r="A3484">
        <v>2873</v>
      </c>
      <c r="B3484" t="s">
        <v>99</v>
      </c>
      <c r="C3484" t="s">
        <v>130</v>
      </c>
      <c r="D3484" s="9">
        <v>40721.680335648147</v>
      </c>
      <c r="E3484" t="s">
        <v>32</v>
      </c>
      <c r="F3484">
        <f t="shared" ca="1" si="108"/>
        <v>3.588888888888889</v>
      </c>
      <c r="G3484">
        <f t="shared" ca="1" si="109"/>
        <v>0</v>
      </c>
    </row>
    <row r="3485" spans="1:7">
      <c r="A3485">
        <v>2874</v>
      </c>
      <c r="B3485" t="s">
        <v>99</v>
      </c>
      <c r="C3485" t="s">
        <v>130</v>
      </c>
      <c r="D3485" s="9">
        <v>40721.651909722219</v>
      </c>
      <c r="E3485" t="s">
        <v>32</v>
      </c>
      <c r="F3485">
        <f t="shared" ca="1" si="108"/>
        <v>3.588888888888889</v>
      </c>
      <c r="G3485">
        <f t="shared" ca="1" si="109"/>
        <v>0</v>
      </c>
    </row>
    <row r="3486" spans="1:7">
      <c r="A3486">
        <v>2876</v>
      </c>
      <c r="B3486" t="s">
        <v>131</v>
      </c>
      <c r="C3486" t="s">
        <v>132</v>
      </c>
      <c r="D3486" s="9">
        <v>40666.715914351851</v>
      </c>
      <c r="E3486" t="s">
        <v>8</v>
      </c>
      <c r="F3486">
        <f t="shared" ca="1" si="108"/>
        <v>3.7388888888888889</v>
      </c>
      <c r="G3486">
        <f t="shared" ca="1" si="109"/>
        <v>0</v>
      </c>
    </row>
    <row r="3487" spans="1:7">
      <c r="A3487">
        <v>2878</v>
      </c>
      <c r="B3487" t="s">
        <v>131</v>
      </c>
      <c r="C3487" t="s">
        <v>132</v>
      </c>
      <c r="D3487" s="9">
        <v>40666.590636574074</v>
      </c>
      <c r="E3487" t="s">
        <v>27</v>
      </c>
      <c r="F3487">
        <f t="shared" ca="1" si="108"/>
        <v>3.7388888888888889</v>
      </c>
      <c r="G3487">
        <f t="shared" ca="1" si="109"/>
        <v>0</v>
      </c>
    </row>
    <row r="3488" spans="1:7">
      <c r="A3488">
        <v>2880</v>
      </c>
      <c r="B3488" t="s">
        <v>11</v>
      </c>
      <c r="C3488" t="s">
        <v>127</v>
      </c>
      <c r="D3488" s="9">
        <v>41030.801388888889</v>
      </c>
      <c r="E3488" t="s">
        <v>27</v>
      </c>
      <c r="F3488">
        <f t="shared" ca="1" si="108"/>
        <v>2.7444444444444445</v>
      </c>
      <c r="G3488">
        <f t="shared" ca="1" si="109"/>
        <v>0</v>
      </c>
    </row>
    <row r="3489" spans="1:7">
      <c r="A3489">
        <v>2883</v>
      </c>
      <c r="B3489" t="s">
        <v>8</v>
      </c>
      <c r="C3489" t="s">
        <v>125</v>
      </c>
      <c r="D3489" s="9">
        <v>41212.58357638889</v>
      </c>
      <c r="E3489" t="s">
        <v>112</v>
      </c>
      <c r="F3489">
        <f t="shared" ca="1" si="108"/>
        <v>2.2472222222222222</v>
      </c>
      <c r="G3489">
        <f t="shared" ca="1" si="109"/>
        <v>0</v>
      </c>
    </row>
    <row r="3490" spans="1:7">
      <c r="A3490">
        <v>2885</v>
      </c>
      <c r="B3490" t="s">
        <v>101</v>
      </c>
      <c r="C3490" t="s">
        <v>130</v>
      </c>
      <c r="D3490" s="9">
        <v>40722.922094907408</v>
      </c>
      <c r="E3490" t="s">
        <v>111</v>
      </c>
      <c r="F3490">
        <f t="shared" ca="1" si="108"/>
        <v>3.5861111111111112</v>
      </c>
      <c r="G3490">
        <f t="shared" ca="1" si="109"/>
        <v>0</v>
      </c>
    </row>
    <row r="3491" spans="1:7">
      <c r="A3491">
        <v>2887</v>
      </c>
      <c r="B3491" t="s">
        <v>20</v>
      </c>
      <c r="C3491" t="s">
        <v>130</v>
      </c>
      <c r="D3491" s="9">
        <v>40721.574652777781</v>
      </c>
      <c r="E3491" t="s">
        <v>8</v>
      </c>
      <c r="F3491">
        <f t="shared" ca="1" si="108"/>
        <v>3.588888888888889</v>
      </c>
      <c r="G3491">
        <f t="shared" ca="1" si="109"/>
        <v>0</v>
      </c>
    </row>
    <row r="3492" spans="1:7">
      <c r="A3492">
        <v>2888</v>
      </c>
      <c r="B3492" t="s">
        <v>27</v>
      </c>
      <c r="C3492" t="s">
        <v>129</v>
      </c>
      <c r="D3492" s="9">
        <v>40805.649976851855</v>
      </c>
      <c r="E3492" t="s">
        <v>38</v>
      </c>
      <c r="F3492">
        <f t="shared" ca="1" si="108"/>
        <v>3.3611111111111112</v>
      </c>
      <c r="G3492">
        <f t="shared" ca="1" si="109"/>
        <v>0</v>
      </c>
    </row>
    <row r="3493" spans="1:7">
      <c r="A3493">
        <v>2889</v>
      </c>
      <c r="B3493" t="s">
        <v>36</v>
      </c>
      <c r="C3493" t="s">
        <v>130</v>
      </c>
      <c r="D3493" s="9">
        <v>40721.629317129627</v>
      </c>
      <c r="E3493" t="s">
        <v>27</v>
      </c>
      <c r="F3493">
        <f t="shared" ca="1" si="108"/>
        <v>3.588888888888889</v>
      </c>
      <c r="G3493">
        <f t="shared" ca="1" si="109"/>
        <v>0</v>
      </c>
    </row>
    <row r="3494" spans="1:7">
      <c r="A3494">
        <v>2891</v>
      </c>
      <c r="B3494" t="s">
        <v>99</v>
      </c>
      <c r="C3494" t="s">
        <v>130</v>
      </c>
      <c r="D3494" s="9">
        <v>40721.644502314812</v>
      </c>
      <c r="E3494" t="s">
        <v>32</v>
      </c>
      <c r="F3494">
        <f t="shared" ca="1" si="108"/>
        <v>3.588888888888889</v>
      </c>
      <c r="G3494">
        <f t="shared" ca="1" si="109"/>
        <v>0</v>
      </c>
    </row>
    <row r="3495" spans="1:7">
      <c r="A3495">
        <v>2893</v>
      </c>
      <c r="B3495" t="s">
        <v>99</v>
      </c>
      <c r="C3495" t="s">
        <v>130</v>
      </c>
      <c r="D3495" s="9">
        <v>40723.471307870372</v>
      </c>
      <c r="E3495" t="s">
        <v>19</v>
      </c>
      <c r="F3495">
        <f t="shared" ca="1" si="108"/>
        <v>3.5833333333333335</v>
      </c>
      <c r="G3495">
        <f t="shared" ca="1" si="109"/>
        <v>0</v>
      </c>
    </row>
    <row r="3496" spans="1:7">
      <c r="A3496">
        <v>2894</v>
      </c>
      <c r="B3496" t="s">
        <v>8</v>
      </c>
      <c r="C3496" t="s">
        <v>132</v>
      </c>
      <c r="D3496" s="9">
        <v>40668.432824074072</v>
      </c>
      <c r="E3496" t="s">
        <v>131</v>
      </c>
      <c r="F3496">
        <f t="shared" ca="1" si="108"/>
        <v>3.7333333333333334</v>
      </c>
      <c r="G3496">
        <f t="shared" ca="1" si="109"/>
        <v>0</v>
      </c>
    </row>
    <row r="3497" spans="1:7">
      <c r="A3497">
        <v>2904</v>
      </c>
      <c r="B3497" t="s">
        <v>131</v>
      </c>
      <c r="C3497" t="s">
        <v>132</v>
      </c>
      <c r="D3497" s="9">
        <v>40668.47084490741</v>
      </c>
      <c r="E3497" t="s">
        <v>34</v>
      </c>
      <c r="F3497">
        <f t="shared" ca="1" si="108"/>
        <v>3.7333333333333334</v>
      </c>
      <c r="G3497">
        <f t="shared" ca="1" si="109"/>
        <v>0</v>
      </c>
    </row>
    <row r="3498" spans="1:7">
      <c r="A3498">
        <v>2907</v>
      </c>
      <c r="B3498" t="s">
        <v>112</v>
      </c>
      <c r="C3498" t="s">
        <v>130</v>
      </c>
      <c r="D3498" s="9">
        <v>40722.467291666668</v>
      </c>
      <c r="E3498" t="s">
        <v>8</v>
      </c>
      <c r="F3498">
        <f t="shared" ca="1" si="108"/>
        <v>3.5861111111111112</v>
      </c>
      <c r="G3498">
        <f t="shared" ca="1" si="109"/>
        <v>0</v>
      </c>
    </row>
    <row r="3499" spans="1:7">
      <c r="A3499">
        <v>2909</v>
      </c>
      <c r="B3499" t="s">
        <v>112</v>
      </c>
      <c r="C3499" t="s">
        <v>130</v>
      </c>
      <c r="D3499" s="9">
        <v>40722.678553240738</v>
      </c>
      <c r="E3499" t="s">
        <v>8</v>
      </c>
      <c r="F3499">
        <f t="shared" ca="1" si="108"/>
        <v>3.5861111111111112</v>
      </c>
      <c r="G3499">
        <f t="shared" ca="1" si="109"/>
        <v>0</v>
      </c>
    </row>
    <row r="3500" spans="1:7">
      <c r="A3500">
        <v>2910</v>
      </c>
      <c r="B3500" t="s">
        <v>112</v>
      </c>
      <c r="C3500" t="s">
        <v>130</v>
      </c>
      <c r="D3500" s="9">
        <v>40722.483275462961</v>
      </c>
      <c r="E3500" t="s">
        <v>8</v>
      </c>
      <c r="F3500">
        <f t="shared" ca="1" si="108"/>
        <v>3.5861111111111112</v>
      </c>
      <c r="G3500">
        <f t="shared" ca="1" si="109"/>
        <v>0</v>
      </c>
    </row>
    <row r="3501" spans="1:7">
      <c r="A3501">
        <v>2911</v>
      </c>
      <c r="B3501" t="s">
        <v>112</v>
      </c>
      <c r="C3501" t="s">
        <v>130</v>
      </c>
      <c r="D3501" s="9">
        <v>40721.681655092594</v>
      </c>
      <c r="E3501" t="s">
        <v>101</v>
      </c>
      <c r="F3501">
        <f t="shared" ca="1" si="108"/>
        <v>3.588888888888889</v>
      </c>
      <c r="G3501">
        <f t="shared" ca="1" si="109"/>
        <v>0</v>
      </c>
    </row>
    <row r="3502" spans="1:7">
      <c r="A3502">
        <v>2916</v>
      </c>
      <c r="B3502" t="s">
        <v>112</v>
      </c>
      <c r="C3502" t="s">
        <v>130</v>
      </c>
      <c r="D3502" s="9">
        <v>40722.455497685187</v>
      </c>
      <c r="E3502" t="s">
        <v>8</v>
      </c>
      <c r="F3502">
        <f t="shared" ca="1" si="108"/>
        <v>3.5861111111111112</v>
      </c>
      <c r="G3502">
        <f t="shared" ca="1" si="109"/>
        <v>0</v>
      </c>
    </row>
    <row r="3503" spans="1:7">
      <c r="A3503">
        <v>2917</v>
      </c>
      <c r="B3503" t="s">
        <v>19</v>
      </c>
      <c r="C3503" t="s">
        <v>130</v>
      </c>
      <c r="D3503" s="9">
        <v>40721.753865740742</v>
      </c>
      <c r="E3503" t="s">
        <v>99</v>
      </c>
      <c r="F3503">
        <f t="shared" ref="F3503:F3566" ca="1" si="110">YEARFRAC(TODAY(),$D3503)</f>
        <v>3.588888888888889</v>
      </c>
      <c r="G3503">
        <f t="shared" ref="G3503:G3566" ca="1" si="111">IF($F3503&lt;1,1,0)</f>
        <v>0</v>
      </c>
    </row>
    <row r="3504" spans="1:7">
      <c r="A3504">
        <v>2918</v>
      </c>
      <c r="B3504" t="s">
        <v>19</v>
      </c>
      <c r="C3504" t="s">
        <v>130</v>
      </c>
      <c r="D3504" s="9">
        <v>40722.803298611114</v>
      </c>
      <c r="E3504" t="s">
        <v>99</v>
      </c>
      <c r="F3504">
        <f t="shared" ca="1" si="110"/>
        <v>3.5861111111111112</v>
      </c>
      <c r="G3504">
        <f t="shared" ca="1" si="111"/>
        <v>0</v>
      </c>
    </row>
    <row r="3505" spans="1:7">
      <c r="A3505">
        <v>2919</v>
      </c>
      <c r="B3505" t="s">
        <v>19</v>
      </c>
      <c r="C3505" t="s">
        <v>130</v>
      </c>
      <c r="D3505" s="9">
        <v>40721.713240740741</v>
      </c>
      <c r="E3505" t="s">
        <v>99</v>
      </c>
      <c r="F3505">
        <f t="shared" ca="1" si="110"/>
        <v>3.588888888888889</v>
      </c>
      <c r="G3505">
        <f t="shared" ca="1" si="111"/>
        <v>0</v>
      </c>
    </row>
    <row r="3506" spans="1:7">
      <c r="A3506">
        <v>2920</v>
      </c>
      <c r="B3506" t="s">
        <v>99</v>
      </c>
      <c r="C3506" t="s">
        <v>130</v>
      </c>
      <c r="D3506" s="9">
        <v>40721.479131944441</v>
      </c>
      <c r="E3506" t="s">
        <v>112</v>
      </c>
      <c r="F3506">
        <f t="shared" ca="1" si="110"/>
        <v>3.588888888888889</v>
      </c>
      <c r="G3506">
        <f t="shared" ca="1" si="111"/>
        <v>0</v>
      </c>
    </row>
    <row r="3507" spans="1:7">
      <c r="A3507">
        <v>2924</v>
      </c>
      <c r="B3507" t="s">
        <v>38</v>
      </c>
      <c r="C3507" t="s">
        <v>132</v>
      </c>
      <c r="D3507" s="9">
        <v>40668.93917824074</v>
      </c>
      <c r="E3507" t="s">
        <v>36</v>
      </c>
      <c r="F3507">
        <f t="shared" ca="1" si="110"/>
        <v>3.7333333333333334</v>
      </c>
      <c r="G3507">
        <f t="shared" ca="1" si="111"/>
        <v>0</v>
      </c>
    </row>
    <row r="3508" spans="1:7">
      <c r="A3508">
        <v>2928</v>
      </c>
      <c r="B3508" t="s">
        <v>44</v>
      </c>
      <c r="C3508" t="s">
        <v>130</v>
      </c>
      <c r="D3508" s="9">
        <v>40721.476157407407</v>
      </c>
      <c r="E3508" t="s">
        <v>112</v>
      </c>
      <c r="F3508">
        <f t="shared" ca="1" si="110"/>
        <v>3.588888888888889</v>
      </c>
      <c r="G3508">
        <f t="shared" ca="1" si="111"/>
        <v>0</v>
      </c>
    </row>
    <row r="3509" spans="1:7">
      <c r="A3509">
        <v>2929</v>
      </c>
      <c r="B3509" t="s">
        <v>112</v>
      </c>
      <c r="C3509" t="s">
        <v>130</v>
      </c>
      <c r="D3509" s="9">
        <v>40722.15865740741</v>
      </c>
      <c r="E3509" t="s">
        <v>38</v>
      </c>
      <c r="F3509">
        <f t="shared" ca="1" si="110"/>
        <v>3.5861111111111112</v>
      </c>
      <c r="G3509">
        <f t="shared" ca="1" si="111"/>
        <v>0</v>
      </c>
    </row>
    <row r="3510" spans="1:7">
      <c r="A3510">
        <v>2943</v>
      </c>
      <c r="B3510" t="s">
        <v>23</v>
      </c>
      <c r="C3510" t="s">
        <v>130</v>
      </c>
      <c r="D3510" s="9">
        <v>40721.759652777779</v>
      </c>
      <c r="E3510" t="s">
        <v>99</v>
      </c>
      <c r="F3510">
        <f t="shared" ca="1" si="110"/>
        <v>3.588888888888889</v>
      </c>
      <c r="G3510">
        <f t="shared" ca="1" si="111"/>
        <v>0</v>
      </c>
    </row>
    <row r="3511" spans="1:7">
      <c r="A3511">
        <v>2944</v>
      </c>
      <c r="B3511" t="s">
        <v>8</v>
      </c>
      <c r="C3511" t="s">
        <v>127</v>
      </c>
      <c r="D3511" s="9">
        <v>41030.926238425927</v>
      </c>
      <c r="E3511" t="s">
        <v>38</v>
      </c>
      <c r="F3511">
        <f t="shared" ca="1" si="110"/>
        <v>2.7444444444444445</v>
      </c>
      <c r="G3511">
        <f t="shared" ca="1" si="111"/>
        <v>0</v>
      </c>
    </row>
    <row r="3512" spans="1:7">
      <c r="A3512">
        <v>2946</v>
      </c>
      <c r="B3512" t="s">
        <v>34</v>
      </c>
      <c r="C3512" t="s">
        <v>130</v>
      </c>
      <c r="D3512" s="9">
        <v>40722.467141203706</v>
      </c>
      <c r="E3512" t="s">
        <v>44</v>
      </c>
      <c r="F3512">
        <f t="shared" ca="1" si="110"/>
        <v>3.5861111111111112</v>
      </c>
      <c r="G3512">
        <f t="shared" ca="1" si="111"/>
        <v>0</v>
      </c>
    </row>
    <row r="3513" spans="1:7">
      <c r="A3513">
        <v>2948</v>
      </c>
      <c r="B3513" t="s">
        <v>8</v>
      </c>
      <c r="C3513" t="s">
        <v>129</v>
      </c>
      <c r="D3513" s="9">
        <v>40806.550069444442</v>
      </c>
      <c r="E3513" t="s">
        <v>34</v>
      </c>
      <c r="F3513">
        <f t="shared" ca="1" si="110"/>
        <v>3.3583333333333334</v>
      </c>
      <c r="G3513">
        <f t="shared" ca="1" si="111"/>
        <v>0</v>
      </c>
    </row>
    <row r="3514" spans="1:7">
      <c r="A3514">
        <v>2951</v>
      </c>
      <c r="B3514" t="s">
        <v>99</v>
      </c>
      <c r="C3514" t="s">
        <v>130</v>
      </c>
      <c r="D3514" s="9">
        <v>40721.689108796294</v>
      </c>
      <c r="E3514" t="s">
        <v>32</v>
      </c>
      <c r="F3514">
        <f t="shared" ca="1" si="110"/>
        <v>3.588888888888889</v>
      </c>
      <c r="G3514">
        <f t="shared" ca="1" si="111"/>
        <v>0</v>
      </c>
    </row>
    <row r="3515" spans="1:7">
      <c r="A3515">
        <v>2954</v>
      </c>
      <c r="B3515" t="s">
        <v>54</v>
      </c>
      <c r="C3515" t="s">
        <v>129</v>
      </c>
      <c r="D3515" s="9">
        <v>40805.859317129631</v>
      </c>
      <c r="E3515" t="s">
        <v>32</v>
      </c>
      <c r="F3515">
        <f t="shared" ca="1" si="110"/>
        <v>3.3611111111111112</v>
      </c>
      <c r="G3515">
        <f t="shared" ca="1" si="111"/>
        <v>0</v>
      </c>
    </row>
    <row r="3516" spans="1:7">
      <c r="A3516">
        <v>2958</v>
      </c>
      <c r="B3516" t="s">
        <v>27</v>
      </c>
      <c r="C3516" t="s">
        <v>130</v>
      </c>
      <c r="D3516" s="9">
        <v>40721.341770833336</v>
      </c>
      <c r="E3516" t="s">
        <v>19</v>
      </c>
      <c r="F3516">
        <f t="shared" ca="1" si="110"/>
        <v>3.588888888888889</v>
      </c>
      <c r="G3516">
        <f t="shared" ca="1" si="111"/>
        <v>0</v>
      </c>
    </row>
    <row r="3517" spans="1:7">
      <c r="A3517">
        <v>2959</v>
      </c>
      <c r="B3517" t="s">
        <v>27</v>
      </c>
      <c r="C3517" t="s">
        <v>130</v>
      </c>
      <c r="D3517" s="9">
        <v>40721.340254629627</v>
      </c>
      <c r="E3517" t="s">
        <v>19</v>
      </c>
      <c r="F3517">
        <f t="shared" ca="1" si="110"/>
        <v>3.588888888888889</v>
      </c>
      <c r="G3517">
        <f t="shared" ca="1" si="111"/>
        <v>0</v>
      </c>
    </row>
    <row r="3518" spans="1:7">
      <c r="A3518">
        <v>2960</v>
      </c>
      <c r="B3518" t="s">
        <v>27</v>
      </c>
      <c r="C3518" t="s">
        <v>130</v>
      </c>
      <c r="D3518" s="9">
        <v>40721.343298611115</v>
      </c>
      <c r="E3518" t="s">
        <v>19</v>
      </c>
      <c r="F3518">
        <f t="shared" ca="1" si="110"/>
        <v>3.588888888888889</v>
      </c>
      <c r="G3518">
        <f t="shared" ca="1" si="111"/>
        <v>0</v>
      </c>
    </row>
    <row r="3519" spans="1:7">
      <c r="A3519">
        <v>2962</v>
      </c>
      <c r="B3519" t="s">
        <v>27</v>
      </c>
      <c r="C3519" t="s">
        <v>128</v>
      </c>
      <c r="D3519" s="9">
        <v>40917.718310185184</v>
      </c>
      <c r="E3519" t="s">
        <v>19</v>
      </c>
      <c r="F3519">
        <f t="shared" ca="1" si="110"/>
        <v>3.0555555555555554</v>
      </c>
      <c r="G3519">
        <f t="shared" ca="1" si="111"/>
        <v>0</v>
      </c>
    </row>
    <row r="3520" spans="1:7">
      <c r="A3520">
        <v>2963</v>
      </c>
      <c r="B3520" t="s">
        <v>27</v>
      </c>
      <c r="C3520" t="s">
        <v>130</v>
      </c>
      <c r="D3520" s="9">
        <v>40721.345127314817</v>
      </c>
      <c r="E3520" t="s">
        <v>19</v>
      </c>
      <c r="F3520">
        <f t="shared" ca="1" si="110"/>
        <v>3.588888888888889</v>
      </c>
      <c r="G3520">
        <f t="shared" ca="1" si="111"/>
        <v>0</v>
      </c>
    </row>
    <row r="3521" spans="1:7">
      <c r="A3521">
        <v>2965</v>
      </c>
      <c r="B3521" t="s">
        <v>27</v>
      </c>
      <c r="C3521" t="s">
        <v>130</v>
      </c>
      <c r="D3521" s="9">
        <v>40721.346273148149</v>
      </c>
      <c r="E3521" t="s">
        <v>19</v>
      </c>
      <c r="F3521">
        <f t="shared" ca="1" si="110"/>
        <v>3.588888888888889</v>
      </c>
      <c r="G3521">
        <f t="shared" ca="1" si="111"/>
        <v>0</v>
      </c>
    </row>
    <row r="3522" spans="1:7">
      <c r="A3522">
        <v>2966</v>
      </c>
      <c r="B3522" t="s">
        <v>27</v>
      </c>
      <c r="C3522" t="s">
        <v>129</v>
      </c>
      <c r="D3522" s="9">
        <v>40806.40111111111</v>
      </c>
      <c r="E3522" t="s">
        <v>19</v>
      </c>
      <c r="F3522">
        <f t="shared" ca="1" si="110"/>
        <v>3.3583333333333334</v>
      </c>
      <c r="G3522">
        <f t="shared" ca="1" si="111"/>
        <v>0</v>
      </c>
    </row>
    <row r="3523" spans="1:7">
      <c r="A3523">
        <v>2969</v>
      </c>
      <c r="B3523" t="s">
        <v>77</v>
      </c>
      <c r="C3523" t="s">
        <v>130</v>
      </c>
      <c r="D3523" s="9">
        <v>40721.196840277778</v>
      </c>
      <c r="E3523" t="s">
        <v>38</v>
      </c>
      <c r="F3523">
        <f t="shared" ca="1" si="110"/>
        <v>3.588888888888889</v>
      </c>
      <c r="G3523">
        <f t="shared" ca="1" si="111"/>
        <v>0</v>
      </c>
    </row>
    <row r="3524" spans="1:7">
      <c r="A3524">
        <v>2970</v>
      </c>
      <c r="B3524" t="s">
        <v>27</v>
      </c>
      <c r="C3524" t="s">
        <v>130</v>
      </c>
      <c r="D3524" s="9">
        <v>40722.898923611108</v>
      </c>
      <c r="E3524" t="s">
        <v>38</v>
      </c>
      <c r="F3524">
        <f t="shared" ca="1" si="110"/>
        <v>3.5861111111111112</v>
      </c>
      <c r="G3524">
        <f t="shared" ca="1" si="111"/>
        <v>0</v>
      </c>
    </row>
    <row r="3525" spans="1:7">
      <c r="A3525">
        <v>2971</v>
      </c>
      <c r="B3525" t="s">
        <v>44</v>
      </c>
      <c r="C3525" t="s">
        <v>130</v>
      </c>
      <c r="D3525" s="9">
        <v>40721.827407407407</v>
      </c>
      <c r="E3525" t="s">
        <v>99</v>
      </c>
      <c r="F3525">
        <f t="shared" ca="1" si="110"/>
        <v>3.588888888888889</v>
      </c>
      <c r="G3525">
        <f t="shared" ca="1" si="111"/>
        <v>0</v>
      </c>
    </row>
    <row r="3526" spans="1:7">
      <c r="A3526">
        <v>2972</v>
      </c>
      <c r="B3526" t="s">
        <v>44</v>
      </c>
      <c r="C3526" t="s">
        <v>130</v>
      </c>
      <c r="D3526" s="9">
        <v>40722.772858796299</v>
      </c>
      <c r="E3526" t="s">
        <v>32</v>
      </c>
      <c r="F3526">
        <f t="shared" ca="1" si="110"/>
        <v>3.5861111111111112</v>
      </c>
      <c r="G3526">
        <f t="shared" ca="1" si="111"/>
        <v>0</v>
      </c>
    </row>
    <row r="3527" spans="1:7">
      <c r="A3527">
        <v>2974</v>
      </c>
      <c r="B3527" t="s">
        <v>143</v>
      </c>
      <c r="C3527" t="s">
        <v>129</v>
      </c>
      <c r="D3527" s="9">
        <v>40808.474062499998</v>
      </c>
      <c r="E3527" t="s">
        <v>8</v>
      </c>
      <c r="F3527">
        <f t="shared" ca="1" si="110"/>
        <v>3.3527777777777779</v>
      </c>
      <c r="G3527">
        <f t="shared" ca="1" si="111"/>
        <v>0</v>
      </c>
    </row>
    <row r="3528" spans="1:7">
      <c r="A3528">
        <v>2975</v>
      </c>
      <c r="B3528" t="s">
        <v>44</v>
      </c>
      <c r="C3528" t="s">
        <v>130</v>
      </c>
      <c r="D3528" s="9">
        <v>40721.828449074077</v>
      </c>
      <c r="E3528" t="s">
        <v>99</v>
      </c>
      <c r="F3528">
        <f t="shared" ca="1" si="110"/>
        <v>3.588888888888889</v>
      </c>
      <c r="G3528">
        <f t="shared" ca="1" si="111"/>
        <v>0</v>
      </c>
    </row>
    <row r="3529" spans="1:7">
      <c r="A3529">
        <v>2979</v>
      </c>
      <c r="B3529" t="s">
        <v>99</v>
      </c>
      <c r="C3529" t="s">
        <v>130</v>
      </c>
      <c r="D3529" s="9">
        <v>40721.792245370372</v>
      </c>
      <c r="E3529" t="s">
        <v>32</v>
      </c>
      <c r="F3529">
        <f t="shared" ca="1" si="110"/>
        <v>3.588888888888889</v>
      </c>
      <c r="G3529">
        <f t="shared" ca="1" si="111"/>
        <v>0</v>
      </c>
    </row>
    <row r="3530" spans="1:7">
      <c r="A3530">
        <v>2981</v>
      </c>
      <c r="B3530" t="s">
        <v>8</v>
      </c>
      <c r="C3530" t="s">
        <v>130</v>
      </c>
      <c r="D3530" s="9">
        <v>40721.582615740743</v>
      </c>
      <c r="E3530" t="s">
        <v>19</v>
      </c>
      <c r="F3530">
        <f t="shared" ca="1" si="110"/>
        <v>3.588888888888889</v>
      </c>
      <c r="G3530">
        <f t="shared" ca="1" si="111"/>
        <v>0</v>
      </c>
    </row>
    <row r="3531" spans="1:7">
      <c r="A3531">
        <v>2982</v>
      </c>
      <c r="B3531" t="s">
        <v>32</v>
      </c>
      <c r="C3531" t="s">
        <v>130</v>
      </c>
      <c r="D3531" s="9">
        <v>40721.655486111114</v>
      </c>
      <c r="E3531" t="s">
        <v>27</v>
      </c>
      <c r="F3531">
        <f t="shared" ca="1" si="110"/>
        <v>3.588888888888889</v>
      </c>
      <c r="G3531">
        <f t="shared" ca="1" si="111"/>
        <v>0</v>
      </c>
    </row>
    <row r="3532" spans="1:7">
      <c r="A3532">
        <v>2985</v>
      </c>
      <c r="B3532" t="s">
        <v>34</v>
      </c>
      <c r="C3532" t="s">
        <v>130</v>
      </c>
      <c r="D3532" s="9">
        <v>40723.490115740744</v>
      </c>
      <c r="E3532" t="s">
        <v>19</v>
      </c>
      <c r="F3532">
        <f t="shared" ca="1" si="110"/>
        <v>3.5833333333333335</v>
      </c>
      <c r="G3532">
        <f t="shared" ca="1" si="111"/>
        <v>0</v>
      </c>
    </row>
    <row r="3533" spans="1:7">
      <c r="A3533">
        <v>2987</v>
      </c>
      <c r="B3533" t="s">
        <v>99</v>
      </c>
      <c r="C3533" t="s">
        <v>130</v>
      </c>
      <c r="D3533" s="9">
        <v>40721.781550925924</v>
      </c>
      <c r="E3533" t="s">
        <v>32</v>
      </c>
      <c r="F3533">
        <f t="shared" ca="1" si="110"/>
        <v>3.588888888888889</v>
      </c>
      <c r="G3533">
        <f t="shared" ca="1" si="111"/>
        <v>0</v>
      </c>
    </row>
    <row r="3534" spans="1:7">
      <c r="A3534">
        <v>2988</v>
      </c>
      <c r="B3534" t="s">
        <v>32</v>
      </c>
      <c r="C3534" t="s">
        <v>129</v>
      </c>
      <c r="D3534" s="9">
        <v>40806.618194444447</v>
      </c>
      <c r="E3534" t="s">
        <v>20</v>
      </c>
      <c r="F3534">
        <f t="shared" ca="1" si="110"/>
        <v>3.3583333333333334</v>
      </c>
      <c r="G3534">
        <f t="shared" ca="1" si="111"/>
        <v>0</v>
      </c>
    </row>
    <row r="3535" spans="1:7">
      <c r="A3535">
        <v>2989</v>
      </c>
      <c r="B3535" t="s">
        <v>99</v>
      </c>
      <c r="C3535" t="s">
        <v>130</v>
      </c>
      <c r="D3535" s="9">
        <v>40721.803078703706</v>
      </c>
      <c r="E3535" t="s">
        <v>32</v>
      </c>
      <c r="F3535">
        <f t="shared" ca="1" si="110"/>
        <v>3.588888888888889</v>
      </c>
      <c r="G3535">
        <f t="shared" ca="1" si="111"/>
        <v>0</v>
      </c>
    </row>
    <row r="3536" spans="1:7">
      <c r="A3536">
        <v>2990</v>
      </c>
      <c r="B3536" t="s">
        <v>11</v>
      </c>
      <c r="C3536" t="s">
        <v>130</v>
      </c>
      <c r="D3536" s="9">
        <v>40721.637488425928</v>
      </c>
      <c r="E3536" t="s">
        <v>27</v>
      </c>
      <c r="F3536">
        <f t="shared" ca="1" si="110"/>
        <v>3.588888888888889</v>
      </c>
      <c r="G3536">
        <f t="shared" ca="1" si="111"/>
        <v>0</v>
      </c>
    </row>
    <row r="3537" spans="1:7">
      <c r="A3537">
        <v>2995</v>
      </c>
      <c r="B3537" t="s">
        <v>19</v>
      </c>
      <c r="C3537" t="s">
        <v>130</v>
      </c>
      <c r="D3537" s="9">
        <v>40721.714039351849</v>
      </c>
      <c r="E3537" t="s">
        <v>99</v>
      </c>
      <c r="F3537">
        <f t="shared" ca="1" si="110"/>
        <v>3.588888888888889</v>
      </c>
      <c r="G3537">
        <f t="shared" ca="1" si="111"/>
        <v>0</v>
      </c>
    </row>
    <row r="3538" spans="1:7">
      <c r="A3538">
        <v>2998</v>
      </c>
      <c r="B3538" t="s">
        <v>99</v>
      </c>
      <c r="C3538" t="s">
        <v>130</v>
      </c>
      <c r="D3538" s="9">
        <v>40721.788969907408</v>
      </c>
      <c r="E3538" t="s">
        <v>32</v>
      </c>
      <c r="F3538">
        <f t="shared" ca="1" si="110"/>
        <v>3.588888888888889</v>
      </c>
      <c r="G3538">
        <f t="shared" ca="1" si="111"/>
        <v>0</v>
      </c>
    </row>
    <row r="3539" spans="1:7">
      <c r="A3539">
        <v>2999</v>
      </c>
      <c r="B3539" t="s">
        <v>99</v>
      </c>
      <c r="C3539" t="s">
        <v>130</v>
      </c>
      <c r="D3539" s="9">
        <v>40721.762002314812</v>
      </c>
      <c r="E3539" t="s">
        <v>36</v>
      </c>
      <c r="F3539">
        <f t="shared" ca="1" si="110"/>
        <v>3.588888888888889</v>
      </c>
      <c r="G3539">
        <f t="shared" ca="1" si="111"/>
        <v>0</v>
      </c>
    </row>
    <row r="3540" spans="1:7">
      <c r="A3540">
        <v>3002</v>
      </c>
      <c r="B3540" t="s">
        <v>38</v>
      </c>
      <c r="C3540" t="s">
        <v>130</v>
      </c>
      <c r="D3540" s="9">
        <v>40721.42087962963</v>
      </c>
      <c r="E3540" t="s">
        <v>8</v>
      </c>
      <c r="F3540">
        <f t="shared" ca="1" si="110"/>
        <v>3.588888888888889</v>
      </c>
      <c r="G3540">
        <f t="shared" ca="1" si="111"/>
        <v>0</v>
      </c>
    </row>
    <row r="3541" spans="1:7">
      <c r="A3541">
        <v>3004</v>
      </c>
      <c r="B3541" t="s">
        <v>99</v>
      </c>
      <c r="C3541" t="s">
        <v>130</v>
      </c>
      <c r="D3541" s="9">
        <v>40721.787280092591</v>
      </c>
      <c r="E3541" t="s">
        <v>32</v>
      </c>
      <c r="F3541">
        <f t="shared" ca="1" si="110"/>
        <v>3.588888888888889</v>
      </c>
      <c r="G3541">
        <f t="shared" ca="1" si="111"/>
        <v>0</v>
      </c>
    </row>
    <row r="3542" spans="1:7">
      <c r="A3542">
        <v>3005</v>
      </c>
      <c r="B3542" t="s">
        <v>18</v>
      </c>
      <c r="C3542" t="s">
        <v>121</v>
      </c>
      <c r="D3542" s="9">
        <v>41467.67696759259</v>
      </c>
      <c r="E3542" t="s">
        <v>17</v>
      </c>
      <c r="F3542">
        <f t="shared" ca="1" si="110"/>
        <v>1.5472222222222223</v>
      </c>
      <c r="G3542">
        <f t="shared" ca="1" si="111"/>
        <v>0</v>
      </c>
    </row>
    <row r="3543" spans="1:7">
      <c r="A3543">
        <v>3006</v>
      </c>
      <c r="B3543" t="s">
        <v>32</v>
      </c>
      <c r="C3543" t="s">
        <v>130</v>
      </c>
      <c r="D3543" s="9">
        <v>40722.933333333334</v>
      </c>
      <c r="E3543" t="s">
        <v>38</v>
      </c>
      <c r="F3543">
        <f t="shared" ca="1" si="110"/>
        <v>3.5861111111111112</v>
      </c>
      <c r="G3543">
        <f t="shared" ca="1" si="111"/>
        <v>0</v>
      </c>
    </row>
    <row r="3544" spans="1:7">
      <c r="A3544">
        <v>3007</v>
      </c>
      <c r="B3544" t="s">
        <v>111</v>
      </c>
      <c r="C3544" t="s">
        <v>129</v>
      </c>
      <c r="D3544" s="9">
        <v>40806.809942129628</v>
      </c>
      <c r="E3544" t="s">
        <v>27</v>
      </c>
      <c r="F3544">
        <f t="shared" ca="1" si="110"/>
        <v>3.3583333333333334</v>
      </c>
      <c r="G3544">
        <f t="shared" ca="1" si="111"/>
        <v>0</v>
      </c>
    </row>
    <row r="3545" spans="1:7">
      <c r="A3545">
        <v>3008</v>
      </c>
      <c r="B3545" t="s">
        <v>20</v>
      </c>
      <c r="C3545" t="s">
        <v>129</v>
      </c>
      <c r="D3545" s="9">
        <v>40807.603888888887</v>
      </c>
      <c r="E3545" t="s">
        <v>8</v>
      </c>
      <c r="F3545">
        <f t="shared" ca="1" si="110"/>
        <v>3.3555555555555556</v>
      </c>
      <c r="G3545">
        <f t="shared" ca="1" si="111"/>
        <v>0</v>
      </c>
    </row>
    <row r="3546" spans="1:7">
      <c r="A3546">
        <v>3009</v>
      </c>
      <c r="B3546" t="s">
        <v>36</v>
      </c>
      <c r="C3546" t="s">
        <v>128</v>
      </c>
      <c r="D3546" s="9">
        <v>40918.635636574072</v>
      </c>
      <c r="E3546" t="s">
        <v>27</v>
      </c>
      <c r="F3546">
        <f t="shared" ca="1" si="110"/>
        <v>3.0527777777777776</v>
      </c>
      <c r="G3546">
        <f t="shared" ca="1" si="111"/>
        <v>0</v>
      </c>
    </row>
    <row r="3547" spans="1:7">
      <c r="A3547">
        <v>3015</v>
      </c>
      <c r="B3547" t="s">
        <v>44</v>
      </c>
      <c r="C3547" t="s">
        <v>128</v>
      </c>
      <c r="D3547" s="9">
        <v>40942.625243055554</v>
      </c>
      <c r="F3547">
        <f t="shared" ca="1" si="110"/>
        <v>2.9888888888888889</v>
      </c>
      <c r="G3547">
        <f t="shared" ca="1" si="111"/>
        <v>0</v>
      </c>
    </row>
    <row r="3548" spans="1:7">
      <c r="A3548">
        <v>3016</v>
      </c>
      <c r="B3548" t="s">
        <v>112</v>
      </c>
      <c r="C3548" t="s">
        <v>130</v>
      </c>
      <c r="D3548" s="9">
        <v>40722.699594907404</v>
      </c>
      <c r="E3548" t="s">
        <v>8</v>
      </c>
      <c r="F3548">
        <f t="shared" ca="1" si="110"/>
        <v>3.5861111111111112</v>
      </c>
      <c r="G3548">
        <f t="shared" ca="1" si="111"/>
        <v>0</v>
      </c>
    </row>
    <row r="3549" spans="1:7">
      <c r="A3549">
        <v>3017</v>
      </c>
      <c r="B3549" t="s">
        <v>44</v>
      </c>
      <c r="C3549" t="s">
        <v>130</v>
      </c>
      <c r="D3549" s="9">
        <v>40721.685856481483</v>
      </c>
      <c r="E3549" t="s">
        <v>101</v>
      </c>
      <c r="F3549">
        <f t="shared" ca="1" si="110"/>
        <v>3.588888888888889</v>
      </c>
      <c r="G3549">
        <f t="shared" ca="1" si="111"/>
        <v>0</v>
      </c>
    </row>
    <row r="3550" spans="1:7">
      <c r="A3550">
        <v>3018</v>
      </c>
      <c r="B3550" t="s">
        <v>32</v>
      </c>
      <c r="C3550" t="s">
        <v>130</v>
      </c>
      <c r="D3550" s="9">
        <v>40722.80127314815</v>
      </c>
      <c r="E3550" t="s">
        <v>99</v>
      </c>
      <c r="F3550">
        <f t="shared" ca="1" si="110"/>
        <v>3.5861111111111112</v>
      </c>
      <c r="G3550">
        <f t="shared" ca="1" si="111"/>
        <v>0</v>
      </c>
    </row>
    <row r="3551" spans="1:7">
      <c r="A3551">
        <v>3021</v>
      </c>
      <c r="B3551" t="s">
        <v>20</v>
      </c>
      <c r="C3551" t="s">
        <v>130</v>
      </c>
      <c r="D3551" s="9">
        <v>40722.824999999997</v>
      </c>
      <c r="E3551" t="s">
        <v>32</v>
      </c>
      <c r="F3551">
        <f t="shared" ca="1" si="110"/>
        <v>3.5861111111111112</v>
      </c>
      <c r="G3551">
        <f t="shared" ca="1" si="111"/>
        <v>0</v>
      </c>
    </row>
    <row r="3552" spans="1:7">
      <c r="A3552">
        <v>3022</v>
      </c>
      <c r="B3552" t="s">
        <v>17</v>
      </c>
      <c r="C3552" t="s">
        <v>120</v>
      </c>
      <c r="D3552" s="9">
        <v>41523.619618055556</v>
      </c>
      <c r="E3552" t="s">
        <v>34</v>
      </c>
      <c r="F3552">
        <f t="shared" ca="1" si="110"/>
        <v>1.3972222222222221</v>
      </c>
      <c r="G3552">
        <f t="shared" ca="1" si="111"/>
        <v>0</v>
      </c>
    </row>
    <row r="3553" spans="1:7">
      <c r="A3553">
        <v>3025</v>
      </c>
      <c r="B3553" t="s">
        <v>99</v>
      </c>
      <c r="C3553" t="s">
        <v>130</v>
      </c>
      <c r="D3553" s="9">
        <v>40721.509328703702</v>
      </c>
      <c r="E3553" t="s">
        <v>19</v>
      </c>
      <c r="F3553">
        <f t="shared" ca="1" si="110"/>
        <v>3.588888888888889</v>
      </c>
      <c r="G3553">
        <f t="shared" ca="1" si="111"/>
        <v>0</v>
      </c>
    </row>
    <row r="3554" spans="1:7">
      <c r="A3554">
        <v>3030</v>
      </c>
      <c r="B3554" t="s">
        <v>8</v>
      </c>
      <c r="C3554" t="s">
        <v>127</v>
      </c>
      <c r="D3554" s="9">
        <v>41031.718912037039</v>
      </c>
      <c r="E3554" t="s">
        <v>36</v>
      </c>
      <c r="F3554">
        <f t="shared" ca="1" si="110"/>
        <v>2.7416666666666667</v>
      </c>
      <c r="G3554">
        <f t="shared" ca="1" si="111"/>
        <v>0</v>
      </c>
    </row>
    <row r="3555" spans="1:7">
      <c r="A3555">
        <v>3033</v>
      </c>
      <c r="B3555" t="s">
        <v>8</v>
      </c>
      <c r="C3555" t="s">
        <v>130</v>
      </c>
      <c r="D3555" s="9">
        <v>40722.919004629628</v>
      </c>
      <c r="E3555" t="s">
        <v>38</v>
      </c>
      <c r="F3555">
        <f t="shared" ca="1" si="110"/>
        <v>3.5861111111111112</v>
      </c>
      <c r="G3555">
        <f t="shared" ca="1" si="111"/>
        <v>0</v>
      </c>
    </row>
    <row r="3556" spans="1:7">
      <c r="A3556">
        <v>3034</v>
      </c>
      <c r="B3556" t="s">
        <v>8</v>
      </c>
      <c r="C3556" t="s">
        <v>130</v>
      </c>
      <c r="D3556" s="9">
        <v>40721.686030092591</v>
      </c>
      <c r="E3556" t="s">
        <v>38</v>
      </c>
      <c r="F3556">
        <f t="shared" ca="1" si="110"/>
        <v>3.588888888888889</v>
      </c>
      <c r="G3556">
        <f t="shared" ca="1" si="111"/>
        <v>0</v>
      </c>
    </row>
    <row r="3557" spans="1:7">
      <c r="A3557">
        <v>3035</v>
      </c>
      <c r="B3557" t="s">
        <v>34</v>
      </c>
      <c r="C3557" t="s">
        <v>130</v>
      </c>
      <c r="D3557" s="9">
        <v>40721.536550925928</v>
      </c>
      <c r="E3557" t="s">
        <v>44</v>
      </c>
      <c r="F3557">
        <f t="shared" ca="1" si="110"/>
        <v>3.588888888888889</v>
      </c>
      <c r="G3557">
        <f t="shared" ca="1" si="111"/>
        <v>0</v>
      </c>
    </row>
    <row r="3558" spans="1:7">
      <c r="A3558">
        <v>3037</v>
      </c>
      <c r="B3558" t="s">
        <v>19</v>
      </c>
      <c r="C3558" t="s">
        <v>130</v>
      </c>
      <c r="D3558" s="9">
        <v>40724.562743055554</v>
      </c>
      <c r="E3558" t="s">
        <v>34</v>
      </c>
      <c r="F3558">
        <f t="shared" ca="1" si="110"/>
        <v>3.5805555555555557</v>
      </c>
      <c r="G3558">
        <f t="shared" ca="1" si="111"/>
        <v>0</v>
      </c>
    </row>
    <row r="3559" spans="1:7">
      <c r="A3559">
        <v>3041</v>
      </c>
      <c r="B3559" t="s">
        <v>34</v>
      </c>
      <c r="C3559" t="s">
        <v>130</v>
      </c>
      <c r="D3559" s="9">
        <v>40721.646967592591</v>
      </c>
      <c r="E3559" t="s">
        <v>32</v>
      </c>
      <c r="F3559">
        <f t="shared" ca="1" si="110"/>
        <v>3.588888888888889</v>
      </c>
      <c r="G3559">
        <f t="shared" ca="1" si="111"/>
        <v>0</v>
      </c>
    </row>
    <row r="3560" spans="1:7">
      <c r="A3560">
        <v>3047</v>
      </c>
      <c r="B3560" t="s">
        <v>112</v>
      </c>
      <c r="C3560" t="s">
        <v>130</v>
      </c>
      <c r="D3560" s="9">
        <v>40722.692303240743</v>
      </c>
      <c r="E3560" t="s">
        <v>8</v>
      </c>
      <c r="F3560">
        <f t="shared" ca="1" si="110"/>
        <v>3.5861111111111112</v>
      </c>
      <c r="G3560">
        <f t="shared" ca="1" si="111"/>
        <v>0</v>
      </c>
    </row>
    <row r="3561" spans="1:7">
      <c r="A3561">
        <v>3049</v>
      </c>
      <c r="B3561" t="s">
        <v>44</v>
      </c>
      <c r="C3561" t="s">
        <v>130</v>
      </c>
      <c r="D3561" s="9">
        <v>40723.440358796295</v>
      </c>
      <c r="E3561" t="s">
        <v>8</v>
      </c>
      <c r="F3561">
        <f t="shared" ca="1" si="110"/>
        <v>3.5833333333333335</v>
      </c>
      <c r="G3561">
        <f t="shared" ca="1" si="111"/>
        <v>0</v>
      </c>
    </row>
    <row r="3562" spans="1:7">
      <c r="A3562">
        <v>3050</v>
      </c>
      <c r="B3562" t="s">
        <v>19</v>
      </c>
      <c r="C3562" t="s">
        <v>130</v>
      </c>
      <c r="D3562" s="9">
        <v>40721.705046296294</v>
      </c>
      <c r="E3562" t="s">
        <v>99</v>
      </c>
      <c r="F3562">
        <f t="shared" ca="1" si="110"/>
        <v>3.588888888888889</v>
      </c>
      <c r="G3562">
        <f t="shared" ca="1" si="111"/>
        <v>0</v>
      </c>
    </row>
    <row r="3563" spans="1:7">
      <c r="A3563">
        <v>3059</v>
      </c>
      <c r="B3563" t="s">
        <v>101</v>
      </c>
      <c r="C3563" t="s">
        <v>130</v>
      </c>
      <c r="D3563" s="9">
        <v>40722.420173611114</v>
      </c>
      <c r="E3563" t="s">
        <v>8</v>
      </c>
      <c r="F3563">
        <f t="shared" ca="1" si="110"/>
        <v>3.5861111111111112</v>
      </c>
      <c r="G3563">
        <f t="shared" ca="1" si="111"/>
        <v>0</v>
      </c>
    </row>
    <row r="3564" spans="1:7">
      <c r="A3564">
        <v>3060</v>
      </c>
      <c r="B3564" t="s">
        <v>111</v>
      </c>
      <c r="C3564" t="s">
        <v>130</v>
      </c>
      <c r="D3564" s="9">
        <v>40722.776782407411</v>
      </c>
      <c r="E3564" t="s">
        <v>99</v>
      </c>
      <c r="F3564">
        <f t="shared" ca="1" si="110"/>
        <v>3.5861111111111112</v>
      </c>
      <c r="G3564">
        <f t="shared" ca="1" si="111"/>
        <v>0</v>
      </c>
    </row>
    <row r="3565" spans="1:7">
      <c r="A3565">
        <v>3065</v>
      </c>
      <c r="B3565" t="s">
        <v>112</v>
      </c>
      <c r="C3565" t="s">
        <v>130</v>
      </c>
      <c r="D3565" s="9">
        <v>40724.438657407409</v>
      </c>
      <c r="E3565" t="s">
        <v>19</v>
      </c>
      <c r="F3565">
        <f t="shared" ca="1" si="110"/>
        <v>3.5805555555555557</v>
      </c>
      <c r="G3565">
        <f t="shared" ca="1" si="111"/>
        <v>0</v>
      </c>
    </row>
    <row r="3566" spans="1:7">
      <c r="A3566">
        <v>3066</v>
      </c>
      <c r="B3566" t="s">
        <v>11</v>
      </c>
      <c r="C3566" t="s">
        <v>129</v>
      </c>
      <c r="D3566" s="9">
        <v>40807.802951388891</v>
      </c>
      <c r="E3566" t="s">
        <v>20</v>
      </c>
      <c r="F3566">
        <f t="shared" ca="1" si="110"/>
        <v>3.3555555555555556</v>
      </c>
      <c r="G3566">
        <f t="shared" ca="1" si="111"/>
        <v>0</v>
      </c>
    </row>
    <row r="3567" spans="1:7">
      <c r="A3567">
        <v>3067</v>
      </c>
      <c r="B3567" t="s">
        <v>8</v>
      </c>
      <c r="C3567" t="s">
        <v>130</v>
      </c>
      <c r="D3567" s="9">
        <v>40722.788240740738</v>
      </c>
      <c r="E3567" t="s">
        <v>99</v>
      </c>
      <c r="F3567">
        <f t="shared" ref="F3567:F3630" ca="1" si="112">YEARFRAC(TODAY(),$D3567)</f>
        <v>3.5861111111111112</v>
      </c>
      <c r="G3567">
        <f t="shared" ref="G3567:G3630" ca="1" si="113">IF($F3567&lt;1,1,0)</f>
        <v>0</v>
      </c>
    </row>
    <row r="3568" spans="1:7">
      <c r="A3568">
        <v>3068</v>
      </c>
      <c r="B3568" t="s">
        <v>112</v>
      </c>
      <c r="C3568" t="s">
        <v>130</v>
      </c>
      <c r="D3568" s="9">
        <v>40721.947523148148</v>
      </c>
      <c r="E3568" t="s">
        <v>27</v>
      </c>
      <c r="F3568">
        <f t="shared" ca="1" si="112"/>
        <v>3.588888888888889</v>
      </c>
      <c r="G3568">
        <f t="shared" ca="1" si="113"/>
        <v>0</v>
      </c>
    </row>
    <row r="3569" spans="1:7">
      <c r="A3569">
        <v>3069</v>
      </c>
      <c r="B3569" t="s">
        <v>27</v>
      </c>
      <c r="C3569" t="s">
        <v>130</v>
      </c>
      <c r="D3569" s="9">
        <v>40721.349293981482</v>
      </c>
      <c r="E3569" t="s">
        <v>19</v>
      </c>
      <c r="F3569">
        <f t="shared" ca="1" si="112"/>
        <v>3.588888888888889</v>
      </c>
      <c r="G3569">
        <f t="shared" ca="1" si="113"/>
        <v>0</v>
      </c>
    </row>
    <row r="3570" spans="1:7">
      <c r="A3570">
        <v>3070</v>
      </c>
      <c r="B3570" t="s">
        <v>19</v>
      </c>
      <c r="C3570" t="s">
        <v>130</v>
      </c>
      <c r="D3570" s="9">
        <v>40721.616180555553</v>
      </c>
      <c r="E3570" t="s">
        <v>27</v>
      </c>
      <c r="F3570">
        <f t="shared" ca="1" si="112"/>
        <v>3.588888888888889</v>
      </c>
      <c r="G3570">
        <f t="shared" ca="1" si="113"/>
        <v>0</v>
      </c>
    </row>
    <row r="3571" spans="1:7">
      <c r="A3571">
        <v>3071</v>
      </c>
      <c r="B3571" t="s">
        <v>27</v>
      </c>
      <c r="C3571" t="s">
        <v>130</v>
      </c>
      <c r="D3571" s="9">
        <v>40721.350416666668</v>
      </c>
      <c r="E3571" t="s">
        <v>19</v>
      </c>
      <c r="F3571">
        <f t="shared" ca="1" si="112"/>
        <v>3.588888888888889</v>
      </c>
      <c r="G3571">
        <f t="shared" ca="1" si="113"/>
        <v>0</v>
      </c>
    </row>
    <row r="3572" spans="1:7">
      <c r="A3572">
        <v>3072</v>
      </c>
      <c r="B3572" t="s">
        <v>111</v>
      </c>
      <c r="C3572" t="s">
        <v>130</v>
      </c>
      <c r="D3572" s="9">
        <v>40722.169652777775</v>
      </c>
      <c r="E3572" t="s">
        <v>38</v>
      </c>
      <c r="F3572">
        <f t="shared" ca="1" si="112"/>
        <v>3.5861111111111112</v>
      </c>
      <c r="G3572">
        <f t="shared" ca="1" si="113"/>
        <v>0</v>
      </c>
    </row>
    <row r="3573" spans="1:7">
      <c r="A3573">
        <v>3073</v>
      </c>
      <c r="B3573" t="s">
        <v>99</v>
      </c>
      <c r="C3573" t="s">
        <v>130</v>
      </c>
      <c r="D3573" s="9">
        <v>40722.707754629628</v>
      </c>
      <c r="E3573" t="s">
        <v>36</v>
      </c>
      <c r="F3573">
        <f t="shared" ca="1" si="112"/>
        <v>3.5861111111111112</v>
      </c>
      <c r="G3573">
        <f t="shared" ca="1" si="113"/>
        <v>0</v>
      </c>
    </row>
    <row r="3574" spans="1:7">
      <c r="A3574">
        <v>3079</v>
      </c>
      <c r="B3574" t="s">
        <v>143</v>
      </c>
      <c r="C3574" t="s">
        <v>129</v>
      </c>
      <c r="D3574" s="9">
        <v>40805.691203703704</v>
      </c>
      <c r="E3574" t="s">
        <v>111</v>
      </c>
      <c r="F3574">
        <f t="shared" ca="1" si="112"/>
        <v>3.3611111111111112</v>
      </c>
      <c r="G3574">
        <f t="shared" ca="1" si="113"/>
        <v>0</v>
      </c>
    </row>
    <row r="3575" spans="1:7">
      <c r="A3575">
        <v>3081</v>
      </c>
      <c r="B3575" t="s">
        <v>8</v>
      </c>
      <c r="C3575" t="s">
        <v>130</v>
      </c>
      <c r="D3575" s="9">
        <v>40688.688379629632</v>
      </c>
      <c r="E3575" t="s">
        <v>36</v>
      </c>
      <c r="F3575">
        <f t="shared" ca="1" si="112"/>
        <v>3.6777777777777776</v>
      </c>
      <c r="G3575">
        <f t="shared" ca="1" si="113"/>
        <v>0</v>
      </c>
    </row>
    <row r="3576" spans="1:7">
      <c r="A3576">
        <v>3082</v>
      </c>
      <c r="B3576" t="s">
        <v>8</v>
      </c>
      <c r="C3576" t="s">
        <v>130</v>
      </c>
      <c r="D3576" s="9">
        <v>40721.922708333332</v>
      </c>
      <c r="E3576" t="s">
        <v>27</v>
      </c>
      <c r="F3576">
        <f t="shared" ca="1" si="112"/>
        <v>3.588888888888889</v>
      </c>
      <c r="G3576">
        <f t="shared" ca="1" si="113"/>
        <v>0</v>
      </c>
    </row>
    <row r="3577" spans="1:7">
      <c r="A3577">
        <v>3083</v>
      </c>
      <c r="B3577" t="s">
        <v>34</v>
      </c>
      <c r="C3577" t="s">
        <v>129</v>
      </c>
      <c r="D3577" s="9">
        <v>40806.782314814816</v>
      </c>
      <c r="E3577" t="s">
        <v>99</v>
      </c>
      <c r="F3577">
        <f t="shared" ca="1" si="112"/>
        <v>3.3583333333333334</v>
      </c>
      <c r="G3577">
        <f t="shared" ca="1" si="113"/>
        <v>0</v>
      </c>
    </row>
    <row r="3578" spans="1:7">
      <c r="A3578">
        <v>3086</v>
      </c>
      <c r="B3578" t="s">
        <v>20</v>
      </c>
      <c r="C3578" t="s">
        <v>130</v>
      </c>
      <c r="D3578" s="9">
        <v>40721.751539351855</v>
      </c>
      <c r="E3578" t="s">
        <v>27</v>
      </c>
      <c r="F3578">
        <f t="shared" ca="1" si="112"/>
        <v>3.588888888888889</v>
      </c>
      <c r="G3578">
        <f t="shared" ca="1" si="113"/>
        <v>0</v>
      </c>
    </row>
    <row r="3579" spans="1:7">
      <c r="A3579">
        <v>3087</v>
      </c>
      <c r="B3579" t="s">
        <v>99</v>
      </c>
      <c r="C3579" t="s">
        <v>130</v>
      </c>
      <c r="D3579" s="9">
        <v>40721.881284722222</v>
      </c>
      <c r="E3579" t="s">
        <v>36</v>
      </c>
      <c r="F3579">
        <f t="shared" ca="1" si="112"/>
        <v>3.588888888888889</v>
      </c>
      <c r="G3579">
        <f t="shared" ca="1" si="113"/>
        <v>0</v>
      </c>
    </row>
    <row r="3580" spans="1:7">
      <c r="A3580">
        <v>3089</v>
      </c>
      <c r="B3580" t="s">
        <v>99</v>
      </c>
      <c r="C3580" t="s">
        <v>130</v>
      </c>
      <c r="D3580" s="9">
        <v>40722.708738425928</v>
      </c>
      <c r="E3580" t="s">
        <v>36</v>
      </c>
      <c r="F3580">
        <f t="shared" ca="1" si="112"/>
        <v>3.5861111111111112</v>
      </c>
      <c r="G3580">
        <f t="shared" ca="1" si="113"/>
        <v>0</v>
      </c>
    </row>
    <row r="3581" spans="1:7">
      <c r="A3581">
        <v>3092</v>
      </c>
      <c r="B3581" t="s">
        <v>101</v>
      </c>
      <c r="C3581" t="s">
        <v>129</v>
      </c>
      <c r="D3581" s="9">
        <v>40805.411898148152</v>
      </c>
      <c r="E3581" t="s">
        <v>44</v>
      </c>
      <c r="F3581">
        <f t="shared" ca="1" si="112"/>
        <v>3.3611111111111112</v>
      </c>
      <c r="G3581">
        <f t="shared" ca="1" si="113"/>
        <v>0</v>
      </c>
    </row>
    <row r="3582" spans="1:7">
      <c r="A3582">
        <v>3095</v>
      </c>
      <c r="B3582" t="s">
        <v>112</v>
      </c>
      <c r="C3582" t="s">
        <v>122</v>
      </c>
      <c r="D3582" s="9">
        <v>41383.670428240737</v>
      </c>
      <c r="E3582" t="s">
        <v>38</v>
      </c>
      <c r="F3582">
        <f t="shared" ca="1" si="112"/>
        <v>1.7777777777777777</v>
      </c>
      <c r="G3582">
        <f t="shared" ca="1" si="113"/>
        <v>0</v>
      </c>
    </row>
    <row r="3583" spans="1:7">
      <c r="A3583">
        <v>3096</v>
      </c>
      <c r="B3583" t="s">
        <v>11</v>
      </c>
      <c r="C3583" t="s">
        <v>130</v>
      </c>
      <c r="D3583" s="9">
        <v>40722.669270833336</v>
      </c>
      <c r="E3583" t="s">
        <v>21</v>
      </c>
      <c r="F3583">
        <f t="shared" ca="1" si="112"/>
        <v>3.5861111111111112</v>
      </c>
      <c r="G3583">
        <f t="shared" ca="1" si="113"/>
        <v>0</v>
      </c>
    </row>
    <row r="3584" spans="1:7">
      <c r="A3584">
        <v>3098</v>
      </c>
      <c r="B3584" t="s">
        <v>44</v>
      </c>
      <c r="C3584" t="s">
        <v>129</v>
      </c>
      <c r="D3584" s="9">
        <v>40808.482905092591</v>
      </c>
      <c r="E3584" t="s">
        <v>30</v>
      </c>
      <c r="F3584">
        <f t="shared" ca="1" si="112"/>
        <v>3.3527777777777779</v>
      </c>
      <c r="G3584">
        <f t="shared" ca="1" si="113"/>
        <v>0</v>
      </c>
    </row>
    <row r="3585" spans="1:7">
      <c r="A3585">
        <v>3102</v>
      </c>
      <c r="B3585" t="s">
        <v>36</v>
      </c>
      <c r="C3585" t="s">
        <v>130</v>
      </c>
      <c r="D3585" s="9">
        <v>40722.862997685188</v>
      </c>
      <c r="E3585" t="s">
        <v>27</v>
      </c>
      <c r="F3585">
        <f t="shared" ca="1" si="112"/>
        <v>3.5861111111111112</v>
      </c>
      <c r="G3585">
        <f t="shared" ca="1" si="113"/>
        <v>0</v>
      </c>
    </row>
    <row r="3586" spans="1:7">
      <c r="A3586">
        <v>3105</v>
      </c>
      <c r="B3586" t="s">
        <v>101</v>
      </c>
      <c r="C3586" t="s">
        <v>130</v>
      </c>
      <c r="D3586" s="9">
        <v>40722.910752314812</v>
      </c>
      <c r="E3586" t="s">
        <v>111</v>
      </c>
      <c r="F3586">
        <f t="shared" ca="1" si="112"/>
        <v>3.5861111111111112</v>
      </c>
      <c r="G3586">
        <f t="shared" ca="1" si="113"/>
        <v>0</v>
      </c>
    </row>
    <row r="3587" spans="1:7">
      <c r="A3587">
        <v>3113</v>
      </c>
      <c r="B3587" t="s">
        <v>34</v>
      </c>
      <c r="C3587" t="s">
        <v>130</v>
      </c>
      <c r="D3587" s="9">
        <v>40722.414652777778</v>
      </c>
      <c r="E3587" t="s">
        <v>8</v>
      </c>
      <c r="F3587">
        <f t="shared" ca="1" si="112"/>
        <v>3.5861111111111112</v>
      </c>
      <c r="G3587">
        <f t="shared" ca="1" si="113"/>
        <v>0</v>
      </c>
    </row>
    <row r="3588" spans="1:7">
      <c r="A3588">
        <v>3114</v>
      </c>
      <c r="B3588" t="s">
        <v>19</v>
      </c>
      <c r="C3588" t="s">
        <v>130</v>
      </c>
      <c r="D3588" s="9">
        <v>40721.699363425927</v>
      </c>
      <c r="E3588" t="s">
        <v>99</v>
      </c>
      <c r="F3588">
        <f t="shared" ca="1" si="112"/>
        <v>3.588888888888889</v>
      </c>
      <c r="G3588">
        <f t="shared" ca="1" si="113"/>
        <v>0</v>
      </c>
    </row>
    <row r="3589" spans="1:7">
      <c r="A3589">
        <v>3115</v>
      </c>
      <c r="B3589" t="s">
        <v>19</v>
      </c>
      <c r="C3589" t="s">
        <v>130</v>
      </c>
      <c r="D3589" s="9">
        <v>40723.675173611111</v>
      </c>
      <c r="E3589" t="s">
        <v>8</v>
      </c>
      <c r="F3589">
        <f t="shared" ca="1" si="112"/>
        <v>3.5833333333333335</v>
      </c>
      <c r="G3589">
        <f t="shared" ca="1" si="113"/>
        <v>0</v>
      </c>
    </row>
    <row r="3590" spans="1:7">
      <c r="A3590">
        <v>3117</v>
      </c>
      <c r="B3590" t="s">
        <v>112</v>
      </c>
      <c r="C3590" t="s">
        <v>130</v>
      </c>
      <c r="D3590" s="9">
        <v>40722.515196759261</v>
      </c>
      <c r="E3590" t="s">
        <v>8</v>
      </c>
      <c r="F3590">
        <f t="shared" ca="1" si="112"/>
        <v>3.5861111111111112</v>
      </c>
      <c r="G3590">
        <f t="shared" ca="1" si="113"/>
        <v>0</v>
      </c>
    </row>
    <row r="3591" spans="1:7">
      <c r="A3591">
        <v>3118</v>
      </c>
      <c r="B3591" t="s">
        <v>11</v>
      </c>
      <c r="C3591" t="s">
        <v>130</v>
      </c>
      <c r="D3591" s="9">
        <v>40721.814074074071</v>
      </c>
      <c r="E3591" t="s">
        <v>99</v>
      </c>
      <c r="F3591">
        <f t="shared" ca="1" si="112"/>
        <v>3.588888888888889</v>
      </c>
      <c r="G3591">
        <f t="shared" ca="1" si="113"/>
        <v>0</v>
      </c>
    </row>
    <row r="3592" spans="1:7">
      <c r="A3592">
        <v>3120</v>
      </c>
      <c r="B3592" t="s">
        <v>19</v>
      </c>
      <c r="C3592" t="s">
        <v>130</v>
      </c>
      <c r="D3592" s="9">
        <v>40721.704108796293</v>
      </c>
      <c r="E3592" t="s">
        <v>99</v>
      </c>
      <c r="F3592">
        <f t="shared" ca="1" si="112"/>
        <v>3.588888888888889</v>
      </c>
      <c r="G3592">
        <f t="shared" ca="1" si="113"/>
        <v>0</v>
      </c>
    </row>
    <row r="3593" spans="1:7">
      <c r="A3593">
        <v>3123</v>
      </c>
      <c r="B3593" t="s">
        <v>20</v>
      </c>
      <c r="C3593" t="s">
        <v>130</v>
      </c>
      <c r="D3593" s="9">
        <v>40722.774444444447</v>
      </c>
      <c r="E3593" t="s">
        <v>38</v>
      </c>
      <c r="F3593">
        <f t="shared" ca="1" si="112"/>
        <v>3.5861111111111112</v>
      </c>
      <c r="G3593">
        <f t="shared" ca="1" si="113"/>
        <v>0</v>
      </c>
    </row>
    <row r="3594" spans="1:7">
      <c r="A3594">
        <v>3124</v>
      </c>
      <c r="B3594" t="s">
        <v>99</v>
      </c>
      <c r="C3594" t="s">
        <v>130</v>
      </c>
      <c r="D3594" s="9">
        <v>40721.764999999999</v>
      </c>
      <c r="E3594" t="s">
        <v>36</v>
      </c>
      <c r="F3594">
        <f t="shared" ca="1" si="112"/>
        <v>3.588888888888889</v>
      </c>
      <c r="G3594">
        <f t="shared" ca="1" si="113"/>
        <v>0</v>
      </c>
    </row>
    <row r="3595" spans="1:7">
      <c r="A3595">
        <v>3127</v>
      </c>
      <c r="B3595" t="s">
        <v>36</v>
      </c>
      <c r="C3595" t="s">
        <v>129</v>
      </c>
      <c r="D3595" s="9">
        <v>40807.787418981483</v>
      </c>
      <c r="E3595" t="s">
        <v>38</v>
      </c>
      <c r="F3595">
        <f t="shared" ca="1" si="112"/>
        <v>3.3555555555555556</v>
      </c>
      <c r="G3595">
        <f t="shared" ca="1" si="113"/>
        <v>0</v>
      </c>
    </row>
    <row r="3596" spans="1:7">
      <c r="A3596">
        <v>3129</v>
      </c>
      <c r="B3596" t="s">
        <v>99</v>
      </c>
      <c r="C3596" t="s">
        <v>130</v>
      </c>
      <c r="D3596" s="9">
        <v>40722.732106481482</v>
      </c>
      <c r="E3596" t="s">
        <v>32</v>
      </c>
      <c r="F3596">
        <f t="shared" ca="1" si="112"/>
        <v>3.5861111111111112</v>
      </c>
      <c r="G3596">
        <f t="shared" ca="1" si="113"/>
        <v>0</v>
      </c>
    </row>
    <row r="3597" spans="1:7">
      <c r="A3597">
        <v>3131</v>
      </c>
      <c r="B3597" t="s">
        <v>99</v>
      </c>
      <c r="C3597" t="s">
        <v>128</v>
      </c>
      <c r="D3597" s="9">
        <v>40917.720324074071</v>
      </c>
      <c r="E3597" t="s">
        <v>21</v>
      </c>
      <c r="F3597">
        <f t="shared" ca="1" si="112"/>
        <v>3.0555555555555554</v>
      </c>
      <c r="G3597">
        <f t="shared" ca="1" si="113"/>
        <v>0</v>
      </c>
    </row>
    <row r="3598" spans="1:7">
      <c r="A3598">
        <v>3133</v>
      </c>
      <c r="B3598" t="s">
        <v>8</v>
      </c>
      <c r="C3598" t="s">
        <v>130</v>
      </c>
      <c r="D3598" s="9">
        <v>40721.628854166665</v>
      </c>
      <c r="E3598" t="s">
        <v>44</v>
      </c>
      <c r="F3598">
        <f t="shared" ca="1" si="112"/>
        <v>3.588888888888889</v>
      </c>
      <c r="G3598">
        <f t="shared" ca="1" si="113"/>
        <v>0</v>
      </c>
    </row>
    <row r="3599" spans="1:7">
      <c r="A3599">
        <v>3134</v>
      </c>
      <c r="B3599" t="s">
        <v>99</v>
      </c>
      <c r="C3599" t="s">
        <v>130</v>
      </c>
      <c r="D3599" s="9">
        <v>40721.507037037038</v>
      </c>
      <c r="E3599" t="s">
        <v>19</v>
      </c>
      <c r="F3599">
        <f t="shared" ca="1" si="112"/>
        <v>3.588888888888889</v>
      </c>
      <c r="G3599">
        <f t="shared" ca="1" si="113"/>
        <v>0</v>
      </c>
    </row>
    <row r="3600" spans="1:7">
      <c r="A3600">
        <v>3137</v>
      </c>
      <c r="B3600" t="s">
        <v>99</v>
      </c>
      <c r="C3600" t="s">
        <v>130</v>
      </c>
      <c r="D3600" s="9">
        <v>40721.662962962961</v>
      </c>
      <c r="E3600" t="s">
        <v>19</v>
      </c>
      <c r="F3600">
        <f t="shared" ca="1" si="112"/>
        <v>3.588888888888889</v>
      </c>
      <c r="G3600">
        <f t="shared" ca="1" si="113"/>
        <v>0</v>
      </c>
    </row>
    <row r="3601" spans="1:7">
      <c r="A3601">
        <v>3138</v>
      </c>
      <c r="B3601" t="s">
        <v>38</v>
      </c>
      <c r="C3601" t="s">
        <v>130</v>
      </c>
      <c r="D3601" s="9">
        <v>40723.675752314812</v>
      </c>
      <c r="E3601" t="s">
        <v>20</v>
      </c>
      <c r="F3601">
        <f t="shared" ca="1" si="112"/>
        <v>3.5833333333333335</v>
      </c>
      <c r="G3601">
        <f t="shared" ca="1" si="113"/>
        <v>0</v>
      </c>
    </row>
    <row r="3602" spans="1:7">
      <c r="A3602">
        <v>3139</v>
      </c>
      <c r="B3602" t="s">
        <v>11</v>
      </c>
      <c r="C3602" t="s">
        <v>130</v>
      </c>
      <c r="D3602" s="9">
        <v>40721.630115740743</v>
      </c>
      <c r="E3602" t="s">
        <v>99</v>
      </c>
      <c r="F3602">
        <f t="shared" ca="1" si="112"/>
        <v>3.588888888888889</v>
      </c>
      <c r="G3602">
        <f t="shared" ca="1" si="113"/>
        <v>0</v>
      </c>
    </row>
    <row r="3603" spans="1:7">
      <c r="A3603">
        <v>3149</v>
      </c>
      <c r="B3603" t="s">
        <v>21</v>
      </c>
      <c r="C3603" t="s">
        <v>130</v>
      </c>
      <c r="D3603" s="9">
        <v>40722.676180555558</v>
      </c>
      <c r="E3603" t="s">
        <v>27</v>
      </c>
      <c r="F3603">
        <f t="shared" ca="1" si="112"/>
        <v>3.5861111111111112</v>
      </c>
      <c r="G3603">
        <f t="shared" ca="1" si="113"/>
        <v>0</v>
      </c>
    </row>
    <row r="3604" spans="1:7">
      <c r="A3604">
        <v>3150</v>
      </c>
      <c r="B3604" t="s">
        <v>19</v>
      </c>
      <c r="C3604" t="s">
        <v>130</v>
      </c>
      <c r="D3604" s="9">
        <v>40721.670590277776</v>
      </c>
      <c r="E3604" t="s">
        <v>99</v>
      </c>
      <c r="F3604">
        <f t="shared" ca="1" si="112"/>
        <v>3.588888888888889</v>
      </c>
      <c r="G3604">
        <f t="shared" ca="1" si="113"/>
        <v>0</v>
      </c>
    </row>
    <row r="3605" spans="1:7">
      <c r="A3605">
        <v>3151</v>
      </c>
      <c r="B3605" t="s">
        <v>8</v>
      </c>
      <c r="C3605" t="s">
        <v>130</v>
      </c>
      <c r="D3605" s="9">
        <v>40722.412199074075</v>
      </c>
      <c r="E3605" t="s">
        <v>44</v>
      </c>
      <c r="F3605">
        <f t="shared" ca="1" si="112"/>
        <v>3.5861111111111112</v>
      </c>
      <c r="G3605">
        <f t="shared" ca="1" si="113"/>
        <v>0</v>
      </c>
    </row>
    <row r="3606" spans="1:7">
      <c r="A3606">
        <v>3156</v>
      </c>
      <c r="B3606" t="s">
        <v>112</v>
      </c>
      <c r="C3606" t="s">
        <v>130</v>
      </c>
      <c r="D3606" s="9">
        <v>40722.509039351855</v>
      </c>
      <c r="E3606" t="s">
        <v>8</v>
      </c>
      <c r="F3606">
        <f t="shared" ca="1" si="112"/>
        <v>3.5861111111111112</v>
      </c>
      <c r="G3606">
        <f t="shared" ca="1" si="113"/>
        <v>0</v>
      </c>
    </row>
    <row r="3607" spans="1:7">
      <c r="A3607">
        <v>3157</v>
      </c>
      <c r="B3607" t="s">
        <v>8</v>
      </c>
      <c r="C3607" t="s">
        <v>130</v>
      </c>
      <c r="D3607" s="9">
        <v>40721.587268518517</v>
      </c>
      <c r="E3607" t="s">
        <v>19</v>
      </c>
      <c r="F3607">
        <f t="shared" ca="1" si="112"/>
        <v>3.588888888888889</v>
      </c>
      <c r="G3607">
        <f t="shared" ca="1" si="113"/>
        <v>0</v>
      </c>
    </row>
    <row r="3608" spans="1:7">
      <c r="A3608">
        <v>3158</v>
      </c>
      <c r="B3608" t="s">
        <v>111</v>
      </c>
      <c r="C3608" t="s">
        <v>130</v>
      </c>
      <c r="D3608" s="9">
        <v>40722.397106481483</v>
      </c>
      <c r="E3608" t="s">
        <v>8</v>
      </c>
      <c r="F3608">
        <f t="shared" ca="1" si="112"/>
        <v>3.5861111111111112</v>
      </c>
      <c r="G3608">
        <f t="shared" ca="1" si="113"/>
        <v>0</v>
      </c>
    </row>
    <row r="3609" spans="1:7">
      <c r="A3609">
        <v>3160</v>
      </c>
      <c r="B3609" t="s">
        <v>38</v>
      </c>
      <c r="C3609" t="s">
        <v>130</v>
      </c>
      <c r="D3609" s="9">
        <v>40721.849490740744</v>
      </c>
      <c r="E3609" t="s">
        <v>99</v>
      </c>
      <c r="F3609">
        <f t="shared" ca="1" si="112"/>
        <v>3.588888888888889</v>
      </c>
      <c r="G3609">
        <f t="shared" ca="1" si="113"/>
        <v>0</v>
      </c>
    </row>
    <row r="3610" spans="1:7">
      <c r="A3610">
        <v>3161</v>
      </c>
      <c r="B3610" t="s">
        <v>111</v>
      </c>
      <c r="C3610" t="s">
        <v>130</v>
      </c>
      <c r="D3610" s="9">
        <v>40722.709120370368</v>
      </c>
      <c r="E3610" t="s">
        <v>8</v>
      </c>
      <c r="F3610">
        <f t="shared" ca="1" si="112"/>
        <v>3.5861111111111112</v>
      </c>
      <c r="G3610">
        <f t="shared" ca="1" si="113"/>
        <v>0</v>
      </c>
    </row>
    <row r="3611" spans="1:7">
      <c r="A3611">
        <v>3162</v>
      </c>
      <c r="B3611" t="s">
        <v>111</v>
      </c>
      <c r="C3611" t="s">
        <v>130</v>
      </c>
      <c r="D3611" s="9">
        <v>40722.781956018516</v>
      </c>
      <c r="E3611" t="s">
        <v>99</v>
      </c>
      <c r="F3611">
        <f t="shared" ca="1" si="112"/>
        <v>3.5861111111111112</v>
      </c>
      <c r="G3611">
        <f t="shared" ca="1" si="113"/>
        <v>0</v>
      </c>
    </row>
    <row r="3612" spans="1:7">
      <c r="A3612">
        <v>3163</v>
      </c>
      <c r="B3612" t="s">
        <v>111</v>
      </c>
      <c r="C3612" t="s">
        <v>130</v>
      </c>
      <c r="D3612" s="9">
        <v>40723.681504629632</v>
      </c>
      <c r="E3612" t="s">
        <v>21</v>
      </c>
      <c r="F3612">
        <f t="shared" ca="1" si="112"/>
        <v>3.5833333333333335</v>
      </c>
      <c r="G3612">
        <f t="shared" ca="1" si="113"/>
        <v>0</v>
      </c>
    </row>
    <row r="3613" spans="1:7">
      <c r="A3613">
        <v>3164</v>
      </c>
      <c r="B3613" t="s">
        <v>21</v>
      </c>
      <c r="C3613" t="s">
        <v>130</v>
      </c>
      <c r="D3613" s="9">
        <v>40722.789178240739</v>
      </c>
      <c r="E3613" t="s">
        <v>27</v>
      </c>
      <c r="F3613">
        <f t="shared" ca="1" si="112"/>
        <v>3.5861111111111112</v>
      </c>
      <c r="G3613">
        <f t="shared" ca="1" si="113"/>
        <v>0</v>
      </c>
    </row>
    <row r="3614" spans="1:7">
      <c r="A3614">
        <v>3165</v>
      </c>
      <c r="B3614" t="s">
        <v>44</v>
      </c>
      <c r="C3614" t="s">
        <v>130</v>
      </c>
      <c r="D3614" s="9">
        <v>40721.798703703702</v>
      </c>
      <c r="E3614" t="s">
        <v>99</v>
      </c>
      <c r="F3614">
        <f t="shared" ca="1" si="112"/>
        <v>3.588888888888889</v>
      </c>
      <c r="G3614">
        <f t="shared" ca="1" si="113"/>
        <v>0</v>
      </c>
    </row>
    <row r="3615" spans="1:7">
      <c r="A3615">
        <v>3166</v>
      </c>
      <c r="B3615" t="s">
        <v>112</v>
      </c>
      <c r="C3615" t="s">
        <v>129</v>
      </c>
      <c r="D3615" s="9">
        <v>40806.953946759262</v>
      </c>
      <c r="E3615" t="s">
        <v>11</v>
      </c>
      <c r="F3615">
        <f t="shared" ca="1" si="112"/>
        <v>3.3583333333333334</v>
      </c>
      <c r="G3615">
        <f t="shared" ca="1" si="113"/>
        <v>0</v>
      </c>
    </row>
    <row r="3616" spans="1:7">
      <c r="A3616">
        <v>3170</v>
      </c>
      <c r="B3616" t="s">
        <v>8</v>
      </c>
      <c r="C3616" t="s">
        <v>130</v>
      </c>
      <c r="D3616" s="9">
        <v>40722.910833333335</v>
      </c>
      <c r="E3616" t="s">
        <v>38</v>
      </c>
      <c r="F3616">
        <f t="shared" ca="1" si="112"/>
        <v>3.5861111111111112</v>
      </c>
      <c r="G3616">
        <f t="shared" ca="1" si="113"/>
        <v>0</v>
      </c>
    </row>
    <row r="3617" spans="1:7">
      <c r="A3617">
        <v>3172</v>
      </c>
      <c r="B3617" t="s">
        <v>111</v>
      </c>
      <c r="C3617" t="s">
        <v>130</v>
      </c>
      <c r="D3617" s="9">
        <v>40722.773611111108</v>
      </c>
      <c r="E3617" t="s">
        <v>99</v>
      </c>
      <c r="F3617">
        <f t="shared" ca="1" si="112"/>
        <v>3.5861111111111112</v>
      </c>
      <c r="G3617">
        <f t="shared" ca="1" si="113"/>
        <v>0</v>
      </c>
    </row>
    <row r="3618" spans="1:7">
      <c r="A3618">
        <v>3178</v>
      </c>
      <c r="B3618" t="s">
        <v>49</v>
      </c>
      <c r="C3618" t="s">
        <v>130</v>
      </c>
      <c r="D3618" s="9">
        <v>40723.67324074074</v>
      </c>
      <c r="E3618" t="s">
        <v>36</v>
      </c>
      <c r="F3618">
        <f t="shared" ca="1" si="112"/>
        <v>3.5833333333333335</v>
      </c>
      <c r="G3618">
        <f t="shared" ca="1" si="113"/>
        <v>0</v>
      </c>
    </row>
    <row r="3619" spans="1:7">
      <c r="A3619">
        <v>3179</v>
      </c>
      <c r="B3619" t="s">
        <v>20</v>
      </c>
      <c r="C3619" t="s">
        <v>130</v>
      </c>
      <c r="D3619" s="9">
        <v>40722.834479166668</v>
      </c>
      <c r="E3619" t="s">
        <v>21</v>
      </c>
      <c r="F3619">
        <f t="shared" ca="1" si="112"/>
        <v>3.5861111111111112</v>
      </c>
      <c r="G3619">
        <f t="shared" ca="1" si="113"/>
        <v>0</v>
      </c>
    </row>
    <row r="3620" spans="1:7">
      <c r="A3620">
        <v>3180</v>
      </c>
      <c r="B3620" t="s">
        <v>20</v>
      </c>
      <c r="C3620" t="s">
        <v>130</v>
      </c>
      <c r="D3620" s="9">
        <v>40721.797442129631</v>
      </c>
      <c r="E3620" t="s">
        <v>99</v>
      </c>
      <c r="F3620">
        <f t="shared" ca="1" si="112"/>
        <v>3.588888888888889</v>
      </c>
      <c r="G3620">
        <f t="shared" ca="1" si="113"/>
        <v>0</v>
      </c>
    </row>
    <row r="3621" spans="1:7">
      <c r="A3621">
        <v>3183</v>
      </c>
      <c r="B3621" t="s">
        <v>111</v>
      </c>
      <c r="C3621" t="s">
        <v>129</v>
      </c>
      <c r="D3621" s="9">
        <v>40807.618842592594</v>
      </c>
      <c r="E3621" t="s">
        <v>8</v>
      </c>
      <c r="F3621">
        <f t="shared" ca="1" si="112"/>
        <v>3.3555555555555556</v>
      </c>
      <c r="G3621">
        <f t="shared" ca="1" si="113"/>
        <v>0</v>
      </c>
    </row>
    <row r="3622" spans="1:7">
      <c r="A3622">
        <v>3186</v>
      </c>
      <c r="B3622" t="s">
        <v>99</v>
      </c>
      <c r="C3622" t="s">
        <v>130</v>
      </c>
      <c r="D3622" s="9">
        <v>40722.682141203702</v>
      </c>
      <c r="E3622" t="s">
        <v>21</v>
      </c>
      <c r="F3622">
        <f t="shared" ca="1" si="112"/>
        <v>3.5861111111111112</v>
      </c>
      <c r="G3622">
        <f t="shared" ca="1" si="113"/>
        <v>0</v>
      </c>
    </row>
    <row r="3623" spans="1:7">
      <c r="A3623">
        <v>3187</v>
      </c>
      <c r="B3623" t="s">
        <v>11</v>
      </c>
      <c r="C3623" t="s">
        <v>129</v>
      </c>
      <c r="D3623" s="9">
        <v>40805.698784722219</v>
      </c>
      <c r="E3623" t="s">
        <v>111</v>
      </c>
      <c r="F3623">
        <f t="shared" ca="1" si="112"/>
        <v>3.3611111111111112</v>
      </c>
      <c r="G3623">
        <f t="shared" ca="1" si="113"/>
        <v>0</v>
      </c>
    </row>
    <row r="3624" spans="1:7">
      <c r="A3624">
        <v>3189</v>
      </c>
      <c r="B3624" t="s">
        <v>17</v>
      </c>
      <c r="C3624" t="s">
        <v>120</v>
      </c>
      <c r="D3624" s="9">
        <v>41495.646331018521</v>
      </c>
      <c r="E3624" t="s">
        <v>8</v>
      </c>
      <c r="F3624">
        <f t="shared" ca="1" si="112"/>
        <v>1.4722222222222223</v>
      </c>
      <c r="G3624">
        <f t="shared" ca="1" si="113"/>
        <v>0</v>
      </c>
    </row>
    <row r="3625" spans="1:7">
      <c r="A3625">
        <v>3190</v>
      </c>
      <c r="B3625" t="s">
        <v>20</v>
      </c>
      <c r="C3625" t="s">
        <v>128</v>
      </c>
      <c r="D3625" s="9">
        <v>40932.92759259259</v>
      </c>
      <c r="E3625" t="s">
        <v>11</v>
      </c>
      <c r="F3625">
        <f t="shared" ca="1" si="112"/>
        <v>3.0138888888888888</v>
      </c>
      <c r="G3625">
        <f t="shared" ca="1" si="113"/>
        <v>0</v>
      </c>
    </row>
    <row r="3626" spans="1:7">
      <c r="A3626">
        <v>3193</v>
      </c>
      <c r="B3626" t="s">
        <v>32</v>
      </c>
      <c r="C3626" t="s">
        <v>130</v>
      </c>
      <c r="D3626" s="9">
        <v>40723.590995370374</v>
      </c>
      <c r="E3626" t="s">
        <v>27</v>
      </c>
      <c r="F3626">
        <f t="shared" ca="1" si="112"/>
        <v>3.5833333333333335</v>
      </c>
      <c r="G3626">
        <f t="shared" ca="1" si="113"/>
        <v>0</v>
      </c>
    </row>
    <row r="3627" spans="1:7">
      <c r="A3627">
        <v>3197</v>
      </c>
      <c r="B3627" t="s">
        <v>8</v>
      </c>
      <c r="C3627" t="s">
        <v>129</v>
      </c>
      <c r="D3627" s="9">
        <v>40807.872372685182</v>
      </c>
      <c r="E3627" t="s">
        <v>38</v>
      </c>
      <c r="F3627">
        <f t="shared" ca="1" si="112"/>
        <v>3.3555555555555556</v>
      </c>
      <c r="G3627">
        <f t="shared" ca="1" si="113"/>
        <v>0</v>
      </c>
    </row>
    <row r="3628" spans="1:7">
      <c r="A3628">
        <v>3198</v>
      </c>
      <c r="B3628" t="s">
        <v>112</v>
      </c>
      <c r="C3628" t="s">
        <v>130</v>
      </c>
      <c r="D3628" s="9">
        <v>40724.441180555557</v>
      </c>
      <c r="E3628" t="s">
        <v>19</v>
      </c>
      <c r="F3628">
        <f t="shared" ca="1" si="112"/>
        <v>3.5805555555555557</v>
      </c>
      <c r="G3628">
        <f t="shared" ca="1" si="113"/>
        <v>0</v>
      </c>
    </row>
    <row r="3629" spans="1:7">
      <c r="A3629">
        <v>3200</v>
      </c>
      <c r="B3629" t="s">
        <v>111</v>
      </c>
      <c r="C3629" t="s">
        <v>129</v>
      </c>
      <c r="D3629" s="9">
        <v>40807.648645833331</v>
      </c>
      <c r="E3629" t="s">
        <v>8</v>
      </c>
      <c r="F3629">
        <f t="shared" ca="1" si="112"/>
        <v>3.3555555555555556</v>
      </c>
      <c r="G3629">
        <f t="shared" ca="1" si="113"/>
        <v>0</v>
      </c>
    </row>
    <row r="3630" spans="1:7">
      <c r="A3630">
        <v>3201</v>
      </c>
      <c r="B3630" t="s">
        <v>44</v>
      </c>
      <c r="C3630" t="s">
        <v>130</v>
      </c>
      <c r="D3630" s="9">
        <v>40722.715462962966</v>
      </c>
      <c r="E3630" t="s">
        <v>34</v>
      </c>
      <c r="F3630">
        <f t="shared" ca="1" si="112"/>
        <v>3.5861111111111112</v>
      </c>
      <c r="G3630">
        <f t="shared" ca="1" si="113"/>
        <v>0</v>
      </c>
    </row>
    <row r="3631" spans="1:7">
      <c r="A3631">
        <v>3203</v>
      </c>
      <c r="B3631" t="s">
        <v>99</v>
      </c>
      <c r="C3631" t="s">
        <v>129</v>
      </c>
      <c r="D3631" s="9">
        <v>40806.642881944441</v>
      </c>
      <c r="E3631" t="s">
        <v>34</v>
      </c>
      <c r="F3631">
        <f t="shared" ref="F3631:F3694" ca="1" si="114">YEARFRAC(TODAY(),$D3631)</f>
        <v>3.3583333333333334</v>
      </c>
      <c r="G3631">
        <f t="shared" ref="G3631:G3694" ca="1" si="115">IF($F3631&lt;1,1,0)</f>
        <v>0</v>
      </c>
    </row>
    <row r="3632" spans="1:7">
      <c r="A3632">
        <v>3204</v>
      </c>
      <c r="B3632" t="s">
        <v>8</v>
      </c>
      <c r="C3632" t="s">
        <v>128</v>
      </c>
      <c r="D3632" s="9">
        <v>40917.609675925924</v>
      </c>
      <c r="E3632" t="s">
        <v>44</v>
      </c>
      <c r="F3632">
        <f t="shared" ca="1" si="114"/>
        <v>3.0555555555555554</v>
      </c>
      <c r="G3632">
        <f t="shared" ca="1" si="115"/>
        <v>0</v>
      </c>
    </row>
    <row r="3633" spans="1:7">
      <c r="A3633">
        <v>3205</v>
      </c>
      <c r="B3633" t="s">
        <v>49</v>
      </c>
      <c r="C3633" t="s">
        <v>129</v>
      </c>
      <c r="D3633" s="9">
        <v>40806.69</v>
      </c>
      <c r="E3633" t="s">
        <v>99</v>
      </c>
      <c r="F3633">
        <f t="shared" ca="1" si="114"/>
        <v>3.3583333333333334</v>
      </c>
      <c r="G3633">
        <f t="shared" ca="1" si="115"/>
        <v>0</v>
      </c>
    </row>
    <row r="3634" spans="1:7">
      <c r="A3634">
        <v>3209</v>
      </c>
      <c r="B3634" t="s">
        <v>111</v>
      </c>
      <c r="C3634" t="s">
        <v>129</v>
      </c>
      <c r="D3634" s="9">
        <v>40807.835879629631</v>
      </c>
      <c r="E3634" t="s">
        <v>20</v>
      </c>
      <c r="F3634">
        <f t="shared" ca="1" si="114"/>
        <v>3.3555555555555556</v>
      </c>
      <c r="G3634">
        <f t="shared" ca="1" si="115"/>
        <v>0</v>
      </c>
    </row>
    <row r="3635" spans="1:7">
      <c r="A3635">
        <v>3210</v>
      </c>
      <c r="B3635" t="s">
        <v>27</v>
      </c>
      <c r="C3635" t="s">
        <v>130</v>
      </c>
      <c r="D3635" s="9">
        <v>40721.45511574074</v>
      </c>
      <c r="E3635" t="s">
        <v>19</v>
      </c>
      <c r="F3635">
        <f t="shared" ca="1" si="114"/>
        <v>3.588888888888889</v>
      </c>
      <c r="G3635">
        <f t="shared" ca="1" si="115"/>
        <v>0</v>
      </c>
    </row>
    <row r="3636" spans="1:7">
      <c r="A3636">
        <v>3213</v>
      </c>
      <c r="B3636" t="s">
        <v>34</v>
      </c>
      <c r="C3636" t="s">
        <v>130</v>
      </c>
      <c r="D3636" s="9">
        <v>40721.575972222221</v>
      </c>
      <c r="E3636" t="s">
        <v>44</v>
      </c>
      <c r="F3636">
        <f t="shared" ca="1" si="114"/>
        <v>3.588888888888889</v>
      </c>
      <c r="G3636">
        <f t="shared" ca="1" si="115"/>
        <v>0</v>
      </c>
    </row>
    <row r="3637" spans="1:7">
      <c r="A3637">
        <v>3217</v>
      </c>
      <c r="B3637" t="s">
        <v>99</v>
      </c>
      <c r="C3637" t="s">
        <v>129</v>
      </c>
      <c r="D3637" s="9">
        <v>40805.852662037039</v>
      </c>
      <c r="E3637" t="s">
        <v>11</v>
      </c>
      <c r="F3637">
        <f t="shared" ca="1" si="114"/>
        <v>3.3611111111111112</v>
      </c>
      <c r="G3637">
        <f t="shared" ca="1" si="115"/>
        <v>0</v>
      </c>
    </row>
    <row r="3638" spans="1:7">
      <c r="A3638">
        <v>3219</v>
      </c>
      <c r="B3638" t="s">
        <v>36</v>
      </c>
      <c r="C3638" t="s">
        <v>122</v>
      </c>
      <c r="D3638" s="9">
        <v>41410.943819444445</v>
      </c>
      <c r="E3638" t="s">
        <v>21</v>
      </c>
      <c r="F3638">
        <f t="shared" ca="1" si="114"/>
        <v>1.7027777777777777</v>
      </c>
      <c r="G3638">
        <f t="shared" ca="1" si="115"/>
        <v>0</v>
      </c>
    </row>
    <row r="3639" spans="1:7">
      <c r="A3639">
        <v>3220</v>
      </c>
      <c r="B3639" t="s">
        <v>8</v>
      </c>
      <c r="C3639" t="s">
        <v>130</v>
      </c>
      <c r="D3639" s="9">
        <v>40722.508946759262</v>
      </c>
      <c r="E3639" t="s">
        <v>19</v>
      </c>
      <c r="F3639">
        <f t="shared" ca="1" si="114"/>
        <v>3.5861111111111112</v>
      </c>
      <c r="G3639">
        <f t="shared" ca="1" si="115"/>
        <v>0</v>
      </c>
    </row>
    <row r="3640" spans="1:7">
      <c r="A3640">
        <v>3221</v>
      </c>
      <c r="B3640" t="s">
        <v>112</v>
      </c>
      <c r="C3640" t="s">
        <v>130</v>
      </c>
      <c r="D3640" s="9">
        <v>40722.397372685184</v>
      </c>
      <c r="E3640" t="s">
        <v>8</v>
      </c>
      <c r="F3640">
        <f t="shared" ca="1" si="114"/>
        <v>3.5861111111111112</v>
      </c>
      <c r="G3640">
        <f t="shared" ca="1" si="115"/>
        <v>0</v>
      </c>
    </row>
    <row r="3641" spans="1:7">
      <c r="A3641">
        <v>3223</v>
      </c>
      <c r="B3641" t="s">
        <v>111</v>
      </c>
      <c r="C3641" t="s">
        <v>130</v>
      </c>
      <c r="D3641" s="9">
        <v>40722.88554398148</v>
      </c>
      <c r="E3641" t="s">
        <v>38</v>
      </c>
      <c r="F3641">
        <f t="shared" ca="1" si="114"/>
        <v>3.5861111111111112</v>
      </c>
      <c r="G3641">
        <f t="shared" ca="1" si="115"/>
        <v>0</v>
      </c>
    </row>
    <row r="3642" spans="1:7">
      <c r="A3642">
        <v>3224</v>
      </c>
      <c r="B3642" t="s">
        <v>20</v>
      </c>
      <c r="C3642" t="s">
        <v>130</v>
      </c>
      <c r="D3642" s="9">
        <v>40721.838356481479</v>
      </c>
      <c r="E3642" t="s">
        <v>99</v>
      </c>
      <c r="F3642">
        <f t="shared" ca="1" si="114"/>
        <v>3.588888888888889</v>
      </c>
      <c r="G3642">
        <f t="shared" ca="1" si="115"/>
        <v>0</v>
      </c>
    </row>
    <row r="3643" spans="1:7">
      <c r="A3643">
        <v>3227</v>
      </c>
      <c r="B3643" t="s">
        <v>111</v>
      </c>
      <c r="C3643" t="s">
        <v>128</v>
      </c>
      <c r="D3643" s="9">
        <v>40917.607256944444</v>
      </c>
      <c r="E3643" t="s">
        <v>44</v>
      </c>
      <c r="F3643">
        <f t="shared" ca="1" si="114"/>
        <v>3.0555555555555554</v>
      </c>
      <c r="G3643">
        <f t="shared" ca="1" si="115"/>
        <v>0</v>
      </c>
    </row>
    <row r="3644" spans="1:7">
      <c r="A3644">
        <v>3228</v>
      </c>
      <c r="B3644" t="s">
        <v>27</v>
      </c>
      <c r="C3644" t="s">
        <v>121</v>
      </c>
      <c r="D3644" s="9">
        <v>41480.454895833333</v>
      </c>
      <c r="E3644" t="s">
        <v>8</v>
      </c>
      <c r="F3644">
        <f t="shared" ca="1" si="114"/>
        <v>1.5111111111111111</v>
      </c>
      <c r="G3644">
        <f t="shared" ca="1" si="115"/>
        <v>0</v>
      </c>
    </row>
    <row r="3645" spans="1:7">
      <c r="A3645">
        <v>3229</v>
      </c>
      <c r="B3645" t="s">
        <v>32</v>
      </c>
      <c r="C3645" t="s">
        <v>130</v>
      </c>
      <c r="D3645" s="9">
        <v>40723.824432870373</v>
      </c>
      <c r="E3645" t="s">
        <v>21</v>
      </c>
      <c r="F3645">
        <f t="shared" ca="1" si="114"/>
        <v>3.5833333333333335</v>
      </c>
      <c r="G3645">
        <f t="shared" ca="1" si="115"/>
        <v>0</v>
      </c>
    </row>
    <row r="3646" spans="1:7">
      <c r="A3646">
        <v>3230</v>
      </c>
      <c r="B3646" t="s">
        <v>34</v>
      </c>
      <c r="C3646" t="s">
        <v>130</v>
      </c>
      <c r="D3646" s="9">
        <v>40721.396967592591</v>
      </c>
      <c r="E3646" t="s">
        <v>44</v>
      </c>
      <c r="F3646">
        <f t="shared" ca="1" si="114"/>
        <v>3.588888888888889</v>
      </c>
      <c r="G3646">
        <f t="shared" ca="1" si="115"/>
        <v>0</v>
      </c>
    </row>
    <row r="3647" spans="1:7">
      <c r="A3647">
        <v>3232</v>
      </c>
      <c r="B3647" t="s">
        <v>99</v>
      </c>
      <c r="C3647" t="s">
        <v>129</v>
      </c>
      <c r="D3647" s="9">
        <v>40805.84716435185</v>
      </c>
      <c r="E3647" t="s">
        <v>27</v>
      </c>
      <c r="F3647">
        <f t="shared" ca="1" si="114"/>
        <v>3.3611111111111112</v>
      </c>
      <c r="G3647">
        <f t="shared" ca="1" si="115"/>
        <v>0</v>
      </c>
    </row>
    <row r="3648" spans="1:7">
      <c r="A3648">
        <v>3233</v>
      </c>
      <c r="B3648" t="s">
        <v>19</v>
      </c>
      <c r="C3648" t="s">
        <v>130</v>
      </c>
      <c r="D3648" s="9">
        <v>40721.663668981484</v>
      </c>
      <c r="E3648" t="s">
        <v>99</v>
      </c>
      <c r="F3648">
        <f t="shared" ca="1" si="114"/>
        <v>3.588888888888889</v>
      </c>
      <c r="G3648">
        <f t="shared" ca="1" si="115"/>
        <v>0</v>
      </c>
    </row>
    <row r="3649" spans="1:7">
      <c r="A3649">
        <v>3234</v>
      </c>
      <c r="B3649" t="s">
        <v>101</v>
      </c>
      <c r="C3649" t="s">
        <v>129</v>
      </c>
      <c r="D3649" s="9">
        <v>40805.412997685184</v>
      </c>
      <c r="E3649" t="s">
        <v>44</v>
      </c>
      <c r="F3649">
        <f t="shared" ca="1" si="114"/>
        <v>3.3611111111111112</v>
      </c>
      <c r="G3649">
        <f t="shared" ca="1" si="115"/>
        <v>0</v>
      </c>
    </row>
    <row r="3650" spans="1:7">
      <c r="A3650">
        <v>3235</v>
      </c>
      <c r="B3650" t="s">
        <v>19</v>
      </c>
      <c r="C3650" t="s">
        <v>130</v>
      </c>
      <c r="D3650" s="9">
        <v>40721.664664351854</v>
      </c>
      <c r="E3650" t="s">
        <v>99</v>
      </c>
      <c r="F3650">
        <f t="shared" ca="1" si="114"/>
        <v>3.588888888888889</v>
      </c>
      <c r="G3650">
        <f t="shared" ca="1" si="115"/>
        <v>0</v>
      </c>
    </row>
    <row r="3651" spans="1:7">
      <c r="A3651">
        <v>3237</v>
      </c>
      <c r="B3651" t="s">
        <v>19</v>
      </c>
      <c r="C3651" t="s">
        <v>130</v>
      </c>
      <c r="D3651" s="9">
        <v>40721.665023148147</v>
      </c>
      <c r="E3651" t="s">
        <v>99</v>
      </c>
      <c r="F3651">
        <f t="shared" ca="1" si="114"/>
        <v>3.588888888888889</v>
      </c>
      <c r="G3651">
        <f t="shared" ca="1" si="115"/>
        <v>0</v>
      </c>
    </row>
    <row r="3652" spans="1:7">
      <c r="A3652">
        <v>3238</v>
      </c>
      <c r="B3652" t="s">
        <v>49</v>
      </c>
      <c r="C3652" t="s">
        <v>129</v>
      </c>
      <c r="D3652" s="9">
        <v>40806.800428240742</v>
      </c>
      <c r="E3652" t="s">
        <v>99</v>
      </c>
      <c r="F3652">
        <f t="shared" ca="1" si="114"/>
        <v>3.3583333333333334</v>
      </c>
      <c r="G3652">
        <f t="shared" ca="1" si="115"/>
        <v>0</v>
      </c>
    </row>
    <row r="3653" spans="1:7">
      <c r="A3653">
        <v>3242</v>
      </c>
      <c r="B3653" t="s">
        <v>27</v>
      </c>
      <c r="C3653" t="s">
        <v>129</v>
      </c>
      <c r="D3653" s="9">
        <v>40806.522685185184</v>
      </c>
      <c r="E3653" t="s">
        <v>19</v>
      </c>
      <c r="F3653">
        <f t="shared" ca="1" si="114"/>
        <v>3.3583333333333334</v>
      </c>
      <c r="G3653">
        <f t="shared" ca="1" si="115"/>
        <v>0</v>
      </c>
    </row>
    <row r="3654" spans="1:7">
      <c r="A3654">
        <v>3244</v>
      </c>
      <c r="B3654" t="s">
        <v>99</v>
      </c>
      <c r="C3654" t="s">
        <v>129</v>
      </c>
      <c r="D3654" s="9">
        <v>40805.859664351854</v>
      </c>
      <c r="E3654" t="s">
        <v>20</v>
      </c>
      <c r="F3654">
        <f t="shared" ca="1" si="114"/>
        <v>3.3611111111111112</v>
      </c>
      <c r="G3654">
        <f t="shared" ca="1" si="115"/>
        <v>0</v>
      </c>
    </row>
    <row r="3655" spans="1:7">
      <c r="A3655">
        <v>3247</v>
      </c>
      <c r="B3655" t="s">
        <v>19</v>
      </c>
      <c r="C3655" t="s">
        <v>129</v>
      </c>
      <c r="D3655" s="9">
        <v>40805.852870370371</v>
      </c>
      <c r="E3655" t="s">
        <v>99</v>
      </c>
      <c r="F3655">
        <f t="shared" ca="1" si="114"/>
        <v>3.3611111111111112</v>
      </c>
      <c r="G3655">
        <f t="shared" ca="1" si="115"/>
        <v>0</v>
      </c>
    </row>
    <row r="3656" spans="1:7">
      <c r="A3656">
        <v>3248</v>
      </c>
      <c r="B3656" t="s">
        <v>19</v>
      </c>
      <c r="C3656" t="s">
        <v>129</v>
      </c>
      <c r="D3656" s="9">
        <v>40806.710995370369</v>
      </c>
      <c r="E3656" t="s">
        <v>27</v>
      </c>
      <c r="F3656">
        <f t="shared" ca="1" si="114"/>
        <v>3.3583333333333334</v>
      </c>
      <c r="G3656">
        <f t="shared" ca="1" si="115"/>
        <v>0</v>
      </c>
    </row>
    <row r="3657" spans="1:7">
      <c r="A3657">
        <v>3249</v>
      </c>
      <c r="B3657" t="s">
        <v>111</v>
      </c>
      <c r="C3657" t="s">
        <v>130</v>
      </c>
      <c r="D3657" s="9">
        <v>40722.709861111114</v>
      </c>
      <c r="E3657" t="s">
        <v>8</v>
      </c>
      <c r="F3657">
        <f t="shared" ca="1" si="114"/>
        <v>3.5861111111111112</v>
      </c>
      <c r="G3657">
        <f t="shared" ca="1" si="115"/>
        <v>0</v>
      </c>
    </row>
    <row r="3658" spans="1:7">
      <c r="A3658">
        <v>3250</v>
      </c>
      <c r="B3658" t="s">
        <v>19</v>
      </c>
      <c r="C3658" t="s">
        <v>129</v>
      </c>
      <c r="D3658" s="9">
        <v>40805.812708333331</v>
      </c>
      <c r="E3658" t="s">
        <v>11</v>
      </c>
      <c r="F3658">
        <f t="shared" ca="1" si="114"/>
        <v>3.3611111111111112</v>
      </c>
      <c r="G3658">
        <f t="shared" ca="1" si="115"/>
        <v>0</v>
      </c>
    </row>
    <row r="3659" spans="1:7">
      <c r="A3659">
        <v>3254</v>
      </c>
      <c r="B3659" t="s">
        <v>21</v>
      </c>
      <c r="C3659" t="s">
        <v>128</v>
      </c>
      <c r="D3659" s="9">
        <v>40919.698252314818</v>
      </c>
      <c r="E3659" t="s">
        <v>43</v>
      </c>
      <c r="F3659">
        <f t="shared" ca="1" si="114"/>
        <v>3.05</v>
      </c>
      <c r="G3659">
        <f t="shared" ca="1" si="115"/>
        <v>0</v>
      </c>
    </row>
    <row r="3660" spans="1:7">
      <c r="A3660">
        <v>3258</v>
      </c>
      <c r="B3660" t="s">
        <v>111</v>
      </c>
      <c r="C3660" t="s">
        <v>130</v>
      </c>
      <c r="D3660" s="9">
        <v>40722.769432870373</v>
      </c>
      <c r="E3660" t="s">
        <v>99</v>
      </c>
      <c r="F3660">
        <f t="shared" ca="1" si="114"/>
        <v>3.5861111111111112</v>
      </c>
      <c r="G3660">
        <f t="shared" ca="1" si="115"/>
        <v>0</v>
      </c>
    </row>
    <row r="3661" spans="1:7">
      <c r="A3661">
        <v>3259</v>
      </c>
      <c r="B3661" t="s">
        <v>111</v>
      </c>
      <c r="C3661" t="s">
        <v>129</v>
      </c>
      <c r="D3661" s="9">
        <v>40806.453159722223</v>
      </c>
      <c r="E3661" t="s">
        <v>8</v>
      </c>
      <c r="F3661">
        <f t="shared" ca="1" si="114"/>
        <v>3.3583333333333334</v>
      </c>
      <c r="G3661">
        <f t="shared" ca="1" si="115"/>
        <v>0</v>
      </c>
    </row>
    <row r="3662" spans="1:7">
      <c r="A3662">
        <v>3262</v>
      </c>
      <c r="B3662" t="s">
        <v>34</v>
      </c>
      <c r="C3662" t="s">
        <v>130</v>
      </c>
      <c r="D3662" s="9">
        <v>40724.563622685186</v>
      </c>
      <c r="E3662" t="s">
        <v>27</v>
      </c>
      <c r="F3662">
        <f t="shared" ca="1" si="114"/>
        <v>3.5805555555555557</v>
      </c>
      <c r="G3662">
        <f t="shared" ca="1" si="115"/>
        <v>0</v>
      </c>
    </row>
    <row r="3663" spans="1:7">
      <c r="A3663">
        <v>3263</v>
      </c>
      <c r="B3663" t="s">
        <v>34</v>
      </c>
      <c r="C3663" t="s">
        <v>129</v>
      </c>
      <c r="D3663" s="9">
        <v>40806.645509259259</v>
      </c>
      <c r="E3663" t="s">
        <v>11</v>
      </c>
      <c r="F3663">
        <f t="shared" ca="1" si="114"/>
        <v>3.3583333333333334</v>
      </c>
      <c r="G3663">
        <f t="shared" ca="1" si="115"/>
        <v>0</v>
      </c>
    </row>
    <row r="3664" spans="1:7">
      <c r="A3664">
        <v>3268</v>
      </c>
      <c r="B3664" t="s">
        <v>8</v>
      </c>
      <c r="C3664" t="s">
        <v>129</v>
      </c>
      <c r="D3664" s="9">
        <v>40805.815775462965</v>
      </c>
      <c r="E3664" t="s">
        <v>21</v>
      </c>
      <c r="F3664">
        <f t="shared" ca="1" si="114"/>
        <v>3.3611111111111112</v>
      </c>
      <c r="G3664">
        <f t="shared" ca="1" si="115"/>
        <v>0</v>
      </c>
    </row>
    <row r="3665" spans="1:7">
      <c r="A3665">
        <v>3269</v>
      </c>
      <c r="B3665" t="s">
        <v>143</v>
      </c>
      <c r="C3665" t="s">
        <v>129</v>
      </c>
      <c r="D3665" s="9">
        <v>40806.581435185188</v>
      </c>
      <c r="E3665" t="s">
        <v>34</v>
      </c>
      <c r="F3665">
        <f t="shared" ca="1" si="114"/>
        <v>3.3583333333333334</v>
      </c>
      <c r="G3665">
        <f t="shared" ca="1" si="115"/>
        <v>0</v>
      </c>
    </row>
    <row r="3666" spans="1:7">
      <c r="A3666">
        <v>3270</v>
      </c>
      <c r="B3666" t="s">
        <v>111</v>
      </c>
      <c r="C3666" t="s">
        <v>130</v>
      </c>
      <c r="D3666" s="9">
        <v>40723.68577546296</v>
      </c>
      <c r="E3666" t="s">
        <v>8</v>
      </c>
      <c r="F3666">
        <f t="shared" ca="1" si="114"/>
        <v>3.5833333333333335</v>
      </c>
      <c r="G3666">
        <f t="shared" ca="1" si="115"/>
        <v>0</v>
      </c>
    </row>
    <row r="3667" spans="1:7">
      <c r="A3667">
        <v>3271</v>
      </c>
      <c r="B3667" t="s">
        <v>99</v>
      </c>
      <c r="C3667" t="s">
        <v>129</v>
      </c>
      <c r="D3667" s="9">
        <v>40808.843495370369</v>
      </c>
      <c r="E3667" t="s">
        <v>38</v>
      </c>
      <c r="F3667">
        <f t="shared" ca="1" si="114"/>
        <v>3.3527777777777779</v>
      </c>
      <c r="G3667">
        <f t="shared" ca="1" si="115"/>
        <v>0</v>
      </c>
    </row>
    <row r="3668" spans="1:7">
      <c r="A3668">
        <v>3272</v>
      </c>
      <c r="B3668" t="s">
        <v>8</v>
      </c>
      <c r="C3668" t="s">
        <v>127</v>
      </c>
      <c r="D3668" s="9">
        <v>41012.646979166668</v>
      </c>
      <c r="E3668" t="s">
        <v>38</v>
      </c>
      <c r="F3668">
        <f t="shared" ca="1" si="114"/>
        <v>2.7944444444444443</v>
      </c>
      <c r="G3668">
        <f t="shared" ca="1" si="115"/>
        <v>0</v>
      </c>
    </row>
    <row r="3669" spans="1:7">
      <c r="A3669">
        <v>3273</v>
      </c>
      <c r="B3669" t="s">
        <v>19</v>
      </c>
      <c r="C3669" t="s">
        <v>129</v>
      </c>
      <c r="D3669" s="9">
        <v>40806.568194444444</v>
      </c>
      <c r="E3669" t="s">
        <v>8</v>
      </c>
      <c r="F3669">
        <f t="shared" ca="1" si="114"/>
        <v>3.3583333333333334</v>
      </c>
      <c r="G3669">
        <f t="shared" ca="1" si="115"/>
        <v>0</v>
      </c>
    </row>
    <row r="3670" spans="1:7">
      <c r="A3670">
        <v>3274</v>
      </c>
      <c r="B3670" t="s">
        <v>77</v>
      </c>
      <c r="C3670" t="s">
        <v>130</v>
      </c>
      <c r="D3670" s="9">
        <v>40723.727372685185</v>
      </c>
      <c r="E3670" t="s">
        <v>36</v>
      </c>
      <c r="F3670">
        <f t="shared" ca="1" si="114"/>
        <v>3.5833333333333335</v>
      </c>
      <c r="G3670">
        <f t="shared" ca="1" si="115"/>
        <v>0</v>
      </c>
    </row>
    <row r="3671" spans="1:7">
      <c r="A3671">
        <v>3276</v>
      </c>
      <c r="B3671" t="s">
        <v>19</v>
      </c>
      <c r="C3671" t="s">
        <v>129</v>
      </c>
      <c r="D3671" s="9">
        <v>40806.687083333331</v>
      </c>
      <c r="E3671" t="s">
        <v>27</v>
      </c>
      <c r="F3671">
        <f t="shared" ca="1" si="114"/>
        <v>3.3583333333333334</v>
      </c>
      <c r="G3671">
        <f t="shared" ca="1" si="115"/>
        <v>0</v>
      </c>
    </row>
    <row r="3672" spans="1:7">
      <c r="A3672">
        <v>3277</v>
      </c>
      <c r="B3672" t="s">
        <v>143</v>
      </c>
      <c r="C3672" t="s">
        <v>129</v>
      </c>
      <c r="D3672" s="9">
        <v>40805.699814814812</v>
      </c>
      <c r="E3672" t="s">
        <v>8</v>
      </c>
      <c r="F3672">
        <f t="shared" ca="1" si="114"/>
        <v>3.3611111111111112</v>
      </c>
      <c r="G3672">
        <f t="shared" ca="1" si="115"/>
        <v>0</v>
      </c>
    </row>
    <row r="3673" spans="1:7">
      <c r="A3673">
        <v>3282</v>
      </c>
      <c r="B3673" t="s">
        <v>111</v>
      </c>
      <c r="C3673" t="s">
        <v>130</v>
      </c>
      <c r="D3673" s="9">
        <v>40723.8362037037</v>
      </c>
      <c r="E3673" t="s">
        <v>27</v>
      </c>
      <c r="F3673">
        <f t="shared" ca="1" si="114"/>
        <v>3.5833333333333335</v>
      </c>
      <c r="G3673">
        <f t="shared" ca="1" si="115"/>
        <v>0</v>
      </c>
    </row>
    <row r="3674" spans="1:7">
      <c r="A3674">
        <v>3287</v>
      </c>
      <c r="B3674" t="s">
        <v>44</v>
      </c>
      <c r="C3674" t="s">
        <v>129</v>
      </c>
      <c r="D3674" s="9">
        <v>40807.600393518522</v>
      </c>
      <c r="E3674" t="s">
        <v>8</v>
      </c>
      <c r="F3674">
        <f t="shared" ca="1" si="114"/>
        <v>3.3555555555555556</v>
      </c>
      <c r="G3674">
        <f t="shared" ca="1" si="115"/>
        <v>0</v>
      </c>
    </row>
    <row r="3675" spans="1:7">
      <c r="A3675">
        <v>3288</v>
      </c>
      <c r="B3675" t="s">
        <v>19</v>
      </c>
      <c r="C3675" t="s">
        <v>129</v>
      </c>
      <c r="D3675" s="9">
        <v>40806.660532407404</v>
      </c>
      <c r="E3675" t="s">
        <v>34</v>
      </c>
      <c r="F3675">
        <f t="shared" ca="1" si="114"/>
        <v>3.3583333333333334</v>
      </c>
      <c r="G3675">
        <f t="shared" ca="1" si="115"/>
        <v>0</v>
      </c>
    </row>
    <row r="3676" spans="1:7">
      <c r="A3676">
        <v>3289</v>
      </c>
      <c r="B3676" t="s">
        <v>19</v>
      </c>
      <c r="C3676" t="s">
        <v>128</v>
      </c>
      <c r="D3676" s="9">
        <v>40917.927187499998</v>
      </c>
      <c r="E3676" t="s">
        <v>52</v>
      </c>
      <c r="F3676">
        <f t="shared" ca="1" si="114"/>
        <v>3.0555555555555554</v>
      </c>
      <c r="G3676">
        <f t="shared" ca="1" si="115"/>
        <v>0</v>
      </c>
    </row>
    <row r="3677" spans="1:7">
      <c r="A3677">
        <v>3290</v>
      </c>
      <c r="B3677" t="s">
        <v>38</v>
      </c>
      <c r="C3677" t="s">
        <v>130</v>
      </c>
      <c r="D3677" s="9">
        <v>40724.619976851849</v>
      </c>
      <c r="E3677" t="s">
        <v>27</v>
      </c>
      <c r="F3677">
        <f t="shared" ca="1" si="114"/>
        <v>3.5805555555555557</v>
      </c>
      <c r="G3677">
        <f t="shared" ca="1" si="115"/>
        <v>0</v>
      </c>
    </row>
    <row r="3678" spans="1:7">
      <c r="A3678">
        <v>3292</v>
      </c>
      <c r="B3678" t="s">
        <v>111</v>
      </c>
      <c r="C3678" t="s">
        <v>129</v>
      </c>
      <c r="D3678" s="9">
        <v>40806.66510416667</v>
      </c>
      <c r="E3678" t="s">
        <v>34</v>
      </c>
      <c r="F3678">
        <f t="shared" ca="1" si="114"/>
        <v>3.3583333333333334</v>
      </c>
      <c r="G3678">
        <f t="shared" ca="1" si="115"/>
        <v>0</v>
      </c>
    </row>
    <row r="3679" spans="1:7">
      <c r="A3679">
        <v>3294</v>
      </c>
      <c r="B3679" t="s">
        <v>111</v>
      </c>
      <c r="C3679" t="s">
        <v>129</v>
      </c>
      <c r="D3679" s="9">
        <v>40806.645185185182</v>
      </c>
      <c r="E3679" t="s">
        <v>27</v>
      </c>
      <c r="F3679">
        <f t="shared" ca="1" si="114"/>
        <v>3.3583333333333334</v>
      </c>
      <c r="G3679">
        <f t="shared" ca="1" si="115"/>
        <v>0</v>
      </c>
    </row>
    <row r="3680" spans="1:7">
      <c r="A3680">
        <v>3300</v>
      </c>
      <c r="B3680" t="s">
        <v>99</v>
      </c>
      <c r="C3680" t="s">
        <v>129</v>
      </c>
      <c r="D3680" s="9">
        <v>40805.799201388887</v>
      </c>
      <c r="E3680" t="s">
        <v>27</v>
      </c>
      <c r="F3680">
        <f t="shared" ca="1" si="114"/>
        <v>3.3611111111111112</v>
      </c>
      <c r="G3680">
        <f t="shared" ca="1" si="115"/>
        <v>0</v>
      </c>
    </row>
    <row r="3681" spans="1:7">
      <c r="A3681">
        <v>3301</v>
      </c>
      <c r="B3681" t="s">
        <v>112</v>
      </c>
      <c r="C3681" t="s">
        <v>129</v>
      </c>
      <c r="D3681" s="9">
        <v>40807.596539351849</v>
      </c>
      <c r="E3681" t="s">
        <v>11</v>
      </c>
      <c r="F3681">
        <f t="shared" ca="1" si="114"/>
        <v>3.3555555555555556</v>
      </c>
      <c r="G3681">
        <f t="shared" ca="1" si="115"/>
        <v>0</v>
      </c>
    </row>
    <row r="3682" spans="1:7">
      <c r="A3682">
        <v>3302</v>
      </c>
      <c r="B3682" t="s">
        <v>112</v>
      </c>
      <c r="C3682" t="s">
        <v>129</v>
      </c>
      <c r="D3682" s="9">
        <v>40807.593900462962</v>
      </c>
      <c r="E3682" t="s">
        <v>11</v>
      </c>
      <c r="F3682">
        <f t="shared" ca="1" si="114"/>
        <v>3.3555555555555556</v>
      </c>
      <c r="G3682">
        <f t="shared" ca="1" si="115"/>
        <v>0</v>
      </c>
    </row>
    <row r="3683" spans="1:7">
      <c r="A3683">
        <v>3303</v>
      </c>
      <c r="B3683" t="s">
        <v>111</v>
      </c>
      <c r="C3683" t="s">
        <v>129</v>
      </c>
      <c r="D3683" s="9">
        <v>40805.878391203703</v>
      </c>
      <c r="E3683" t="s">
        <v>11</v>
      </c>
      <c r="F3683">
        <f t="shared" ca="1" si="114"/>
        <v>3.3611111111111112</v>
      </c>
      <c r="G3683">
        <f t="shared" ca="1" si="115"/>
        <v>0</v>
      </c>
    </row>
    <row r="3684" spans="1:7">
      <c r="A3684">
        <v>3304</v>
      </c>
      <c r="B3684" t="s">
        <v>44</v>
      </c>
      <c r="C3684" t="s">
        <v>129</v>
      </c>
      <c r="D3684" s="9">
        <v>40805.683576388888</v>
      </c>
      <c r="E3684" t="s">
        <v>99</v>
      </c>
      <c r="F3684">
        <f t="shared" ca="1" si="114"/>
        <v>3.3611111111111112</v>
      </c>
      <c r="G3684">
        <f t="shared" ca="1" si="115"/>
        <v>0</v>
      </c>
    </row>
    <row r="3685" spans="1:7">
      <c r="A3685">
        <v>3306</v>
      </c>
      <c r="B3685" t="s">
        <v>103</v>
      </c>
      <c r="C3685" t="s">
        <v>129</v>
      </c>
      <c r="D3685" s="9">
        <v>40806.441122685188</v>
      </c>
      <c r="E3685" t="s">
        <v>8</v>
      </c>
      <c r="F3685">
        <f t="shared" ca="1" si="114"/>
        <v>3.3583333333333334</v>
      </c>
      <c r="G3685">
        <f t="shared" ca="1" si="115"/>
        <v>0</v>
      </c>
    </row>
    <row r="3686" spans="1:7">
      <c r="A3686">
        <v>3307</v>
      </c>
      <c r="B3686" t="s">
        <v>19</v>
      </c>
      <c r="C3686" t="s">
        <v>129</v>
      </c>
      <c r="D3686" s="9">
        <v>40805.690787037034</v>
      </c>
      <c r="E3686" t="s">
        <v>27</v>
      </c>
      <c r="F3686">
        <f t="shared" ca="1" si="114"/>
        <v>3.3611111111111112</v>
      </c>
      <c r="G3686">
        <f t="shared" ca="1" si="115"/>
        <v>0</v>
      </c>
    </row>
    <row r="3687" spans="1:7">
      <c r="A3687">
        <v>3308</v>
      </c>
      <c r="B3687" t="s">
        <v>21</v>
      </c>
      <c r="C3687" t="s">
        <v>129</v>
      </c>
      <c r="D3687" s="9">
        <v>40806.639328703706</v>
      </c>
      <c r="E3687" t="s">
        <v>27</v>
      </c>
      <c r="F3687">
        <f t="shared" ca="1" si="114"/>
        <v>3.3583333333333334</v>
      </c>
      <c r="G3687">
        <f t="shared" ca="1" si="115"/>
        <v>0</v>
      </c>
    </row>
    <row r="3688" spans="1:7">
      <c r="A3688">
        <v>3311</v>
      </c>
      <c r="B3688" t="s">
        <v>111</v>
      </c>
      <c r="C3688" t="s">
        <v>129</v>
      </c>
      <c r="D3688" s="9">
        <v>40807.783113425925</v>
      </c>
      <c r="E3688" t="s">
        <v>11</v>
      </c>
      <c r="F3688">
        <f t="shared" ca="1" si="114"/>
        <v>3.3555555555555556</v>
      </c>
      <c r="G3688">
        <f t="shared" ca="1" si="115"/>
        <v>0</v>
      </c>
    </row>
    <row r="3689" spans="1:7">
      <c r="A3689">
        <v>3319</v>
      </c>
      <c r="B3689" t="s">
        <v>19</v>
      </c>
      <c r="C3689" t="s">
        <v>129</v>
      </c>
      <c r="D3689" s="9">
        <v>40806.687835648147</v>
      </c>
      <c r="E3689" t="s">
        <v>99</v>
      </c>
      <c r="F3689">
        <f t="shared" ca="1" si="114"/>
        <v>3.3583333333333334</v>
      </c>
      <c r="G3689">
        <f t="shared" ca="1" si="115"/>
        <v>0</v>
      </c>
    </row>
    <row r="3690" spans="1:7">
      <c r="A3690">
        <v>3320</v>
      </c>
      <c r="B3690" t="s">
        <v>34</v>
      </c>
      <c r="C3690" t="s">
        <v>129</v>
      </c>
      <c r="D3690" s="9">
        <v>40807.412210648145</v>
      </c>
      <c r="E3690" t="s">
        <v>44</v>
      </c>
      <c r="F3690">
        <f t="shared" ca="1" si="114"/>
        <v>3.3555555555555556</v>
      </c>
      <c r="G3690">
        <f t="shared" ca="1" si="115"/>
        <v>0</v>
      </c>
    </row>
    <row r="3691" spans="1:7">
      <c r="A3691">
        <v>3322</v>
      </c>
      <c r="B3691" t="s">
        <v>38</v>
      </c>
      <c r="C3691" t="s">
        <v>129</v>
      </c>
      <c r="D3691" s="9">
        <v>40805.647916666669</v>
      </c>
      <c r="E3691" t="s">
        <v>27</v>
      </c>
      <c r="F3691">
        <f t="shared" ca="1" si="114"/>
        <v>3.3611111111111112</v>
      </c>
      <c r="G3691">
        <f t="shared" ca="1" si="115"/>
        <v>0</v>
      </c>
    </row>
    <row r="3692" spans="1:7">
      <c r="A3692">
        <v>3323</v>
      </c>
      <c r="B3692" t="s">
        <v>112</v>
      </c>
      <c r="C3692" t="s">
        <v>129</v>
      </c>
      <c r="D3692" s="9">
        <v>40805.579780092594</v>
      </c>
      <c r="E3692" t="s">
        <v>38</v>
      </c>
      <c r="F3692">
        <f t="shared" ca="1" si="114"/>
        <v>3.3611111111111112</v>
      </c>
      <c r="G3692">
        <f t="shared" ca="1" si="115"/>
        <v>0</v>
      </c>
    </row>
    <row r="3693" spans="1:7">
      <c r="A3693">
        <v>3324</v>
      </c>
      <c r="B3693" t="s">
        <v>111</v>
      </c>
      <c r="C3693" t="s">
        <v>129</v>
      </c>
      <c r="D3693" s="9">
        <v>40807.702048611114</v>
      </c>
      <c r="E3693" t="s">
        <v>8</v>
      </c>
      <c r="F3693">
        <f t="shared" ca="1" si="114"/>
        <v>3.3555555555555556</v>
      </c>
      <c r="G3693">
        <f t="shared" ca="1" si="115"/>
        <v>0</v>
      </c>
    </row>
    <row r="3694" spans="1:7">
      <c r="A3694">
        <v>3326</v>
      </c>
      <c r="B3694" t="s">
        <v>44</v>
      </c>
      <c r="C3694" t="s">
        <v>129</v>
      </c>
      <c r="D3694" s="9">
        <v>40806.515138888892</v>
      </c>
      <c r="E3694" t="s">
        <v>8</v>
      </c>
      <c r="F3694">
        <f t="shared" ca="1" si="114"/>
        <v>3.3583333333333334</v>
      </c>
      <c r="G3694">
        <f t="shared" ca="1" si="115"/>
        <v>0</v>
      </c>
    </row>
    <row r="3695" spans="1:7">
      <c r="A3695">
        <v>3328</v>
      </c>
      <c r="B3695" t="s">
        <v>8</v>
      </c>
      <c r="C3695" t="s">
        <v>127</v>
      </c>
      <c r="D3695" s="9">
        <v>41029.632974537039</v>
      </c>
      <c r="E3695" t="s">
        <v>38</v>
      </c>
      <c r="F3695">
        <f t="shared" ref="F3695:F3758" ca="1" si="116">YEARFRAC(TODAY(),$D3695)</f>
        <v>2.7472222222222222</v>
      </c>
      <c r="G3695">
        <f t="shared" ref="G3695:G3758" ca="1" si="117">IF($F3695&lt;1,1,0)</f>
        <v>0</v>
      </c>
    </row>
    <row r="3696" spans="1:7">
      <c r="A3696">
        <v>3332</v>
      </c>
      <c r="B3696" t="s">
        <v>143</v>
      </c>
      <c r="C3696" t="s">
        <v>128</v>
      </c>
      <c r="D3696" s="9">
        <v>40918.642974537041</v>
      </c>
      <c r="E3696" t="s">
        <v>37</v>
      </c>
      <c r="F3696">
        <f t="shared" ca="1" si="116"/>
        <v>3.0527777777777776</v>
      </c>
      <c r="G3696">
        <f t="shared" ca="1" si="117"/>
        <v>0</v>
      </c>
    </row>
    <row r="3697" spans="1:7">
      <c r="A3697">
        <v>3333</v>
      </c>
      <c r="B3697" t="s">
        <v>19</v>
      </c>
      <c r="C3697" t="s">
        <v>129</v>
      </c>
      <c r="D3697" s="9">
        <v>40805.844328703701</v>
      </c>
      <c r="E3697" t="s">
        <v>27</v>
      </c>
      <c r="F3697">
        <f t="shared" ca="1" si="116"/>
        <v>3.3611111111111112</v>
      </c>
      <c r="G3697">
        <f t="shared" ca="1" si="117"/>
        <v>0</v>
      </c>
    </row>
    <row r="3698" spans="1:7">
      <c r="A3698">
        <v>3338</v>
      </c>
      <c r="B3698" t="s">
        <v>44</v>
      </c>
      <c r="C3698" t="s">
        <v>129</v>
      </c>
      <c r="D3698" s="9">
        <v>40805.633506944447</v>
      </c>
      <c r="E3698" t="s">
        <v>143</v>
      </c>
      <c r="F3698">
        <f t="shared" ca="1" si="116"/>
        <v>3.3611111111111112</v>
      </c>
      <c r="G3698">
        <f t="shared" ca="1" si="117"/>
        <v>0</v>
      </c>
    </row>
    <row r="3699" spans="1:7">
      <c r="A3699">
        <v>3340</v>
      </c>
      <c r="B3699" t="s">
        <v>34</v>
      </c>
      <c r="C3699" t="s">
        <v>129</v>
      </c>
      <c r="D3699" s="9">
        <v>40806.043587962966</v>
      </c>
      <c r="E3699" t="s">
        <v>11</v>
      </c>
      <c r="F3699">
        <f t="shared" ca="1" si="116"/>
        <v>3.3583333333333334</v>
      </c>
      <c r="G3699">
        <f t="shared" ca="1" si="117"/>
        <v>0</v>
      </c>
    </row>
    <row r="3700" spans="1:7">
      <c r="A3700">
        <v>3341</v>
      </c>
      <c r="B3700" t="s">
        <v>8</v>
      </c>
      <c r="C3700" t="s">
        <v>129</v>
      </c>
      <c r="D3700" s="9">
        <v>40807.395532407405</v>
      </c>
      <c r="E3700" t="s">
        <v>34</v>
      </c>
      <c r="F3700">
        <f t="shared" ca="1" si="116"/>
        <v>3.3555555555555556</v>
      </c>
      <c r="G3700">
        <f t="shared" ca="1" si="117"/>
        <v>0</v>
      </c>
    </row>
    <row r="3701" spans="1:7">
      <c r="A3701">
        <v>3342</v>
      </c>
      <c r="B3701" t="s">
        <v>19</v>
      </c>
      <c r="C3701" t="s">
        <v>128</v>
      </c>
      <c r="D3701" s="9">
        <v>40917.62604166667</v>
      </c>
      <c r="E3701" t="s">
        <v>27</v>
      </c>
      <c r="F3701">
        <f t="shared" ca="1" si="116"/>
        <v>3.0555555555555554</v>
      </c>
      <c r="G3701">
        <f t="shared" ca="1" si="117"/>
        <v>0</v>
      </c>
    </row>
    <row r="3702" spans="1:7">
      <c r="A3702">
        <v>3346</v>
      </c>
      <c r="B3702" t="s">
        <v>36</v>
      </c>
      <c r="C3702" t="s">
        <v>129</v>
      </c>
      <c r="D3702" s="9">
        <v>40807.400462962964</v>
      </c>
      <c r="E3702" t="s">
        <v>34</v>
      </c>
      <c r="F3702">
        <f t="shared" ca="1" si="116"/>
        <v>3.3555555555555556</v>
      </c>
      <c r="G3702">
        <f t="shared" ca="1" si="117"/>
        <v>0</v>
      </c>
    </row>
    <row r="3703" spans="1:7">
      <c r="A3703">
        <v>3348</v>
      </c>
      <c r="B3703" t="s">
        <v>19</v>
      </c>
      <c r="C3703" t="s">
        <v>129</v>
      </c>
      <c r="D3703" s="9">
        <v>40806.659872685188</v>
      </c>
      <c r="E3703" t="s">
        <v>27</v>
      </c>
      <c r="F3703">
        <f t="shared" ca="1" si="116"/>
        <v>3.3583333333333334</v>
      </c>
      <c r="G3703">
        <f t="shared" ca="1" si="117"/>
        <v>0</v>
      </c>
    </row>
    <row r="3704" spans="1:7">
      <c r="A3704">
        <v>3350</v>
      </c>
      <c r="B3704" t="s">
        <v>111</v>
      </c>
      <c r="C3704" t="s">
        <v>129</v>
      </c>
      <c r="D3704" s="9">
        <v>40807.598356481481</v>
      </c>
      <c r="E3704" t="s">
        <v>8</v>
      </c>
      <c r="F3704">
        <f t="shared" ca="1" si="116"/>
        <v>3.3555555555555556</v>
      </c>
      <c r="G3704">
        <f t="shared" ca="1" si="117"/>
        <v>0</v>
      </c>
    </row>
    <row r="3705" spans="1:7">
      <c r="A3705">
        <v>3354</v>
      </c>
      <c r="B3705" t="s">
        <v>44</v>
      </c>
      <c r="C3705" t="s">
        <v>129</v>
      </c>
      <c r="D3705" s="9">
        <v>40807.610682870371</v>
      </c>
      <c r="E3705" t="s">
        <v>34</v>
      </c>
      <c r="F3705">
        <f t="shared" ca="1" si="116"/>
        <v>3.3555555555555556</v>
      </c>
      <c r="G3705">
        <f t="shared" ca="1" si="117"/>
        <v>0</v>
      </c>
    </row>
    <row r="3706" spans="1:7">
      <c r="A3706">
        <v>3359</v>
      </c>
      <c r="B3706" t="s">
        <v>19</v>
      </c>
      <c r="C3706" t="s">
        <v>128</v>
      </c>
      <c r="D3706" s="9">
        <v>40918.650520833333</v>
      </c>
      <c r="E3706" t="s">
        <v>27</v>
      </c>
      <c r="F3706">
        <f t="shared" ca="1" si="116"/>
        <v>3.0527777777777776</v>
      </c>
      <c r="G3706">
        <f t="shared" ca="1" si="117"/>
        <v>0</v>
      </c>
    </row>
    <row r="3707" spans="1:7">
      <c r="A3707">
        <v>3361</v>
      </c>
      <c r="B3707" t="s">
        <v>27</v>
      </c>
      <c r="C3707" t="s">
        <v>129</v>
      </c>
      <c r="D3707" s="9">
        <v>40805.815729166665</v>
      </c>
      <c r="E3707" t="s">
        <v>99</v>
      </c>
      <c r="F3707">
        <f t="shared" ca="1" si="116"/>
        <v>3.3611111111111112</v>
      </c>
      <c r="G3707">
        <f t="shared" ca="1" si="117"/>
        <v>0</v>
      </c>
    </row>
    <row r="3708" spans="1:7">
      <c r="A3708">
        <v>3364</v>
      </c>
      <c r="B3708" t="s">
        <v>19</v>
      </c>
      <c r="C3708" t="s">
        <v>129</v>
      </c>
      <c r="D3708" s="9">
        <v>40805.702719907407</v>
      </c>
      <c r="E3708" t="s">
        <v>27</v>
      </c>
      <c r="F3708">
        <f t="shared" ca="1" si="116"/>
        <v>3.3611111111111112</v>
      </c>
      <c r="G3708">
        <f t="shared" ca="1" si="117"/>
        <v>0</v>
      </c>
    </row>
    <row r="3709" spans="1:7">
      <c r="A3709">
        <v>3365</v>
      </c>
      <c r="B3709" t="s">
        <v>99</v>
      </c>
      <c r="C3709" t="s">
        <v>128</v>
      </c>
      <c r="D3709" s="9">
        <v>40917.663356481484</v>
      </c>
      <c r="E3709" t="s">
        <v>19</v>
      </c>
      <c r="F3709">
        <f t="shared" ca="1" si="116"/>
        <v>3.0555555555555554</v>
      </c>
      <c r="G3709">
        <f t="shared" ca="1" si="117"/>
        <v>0</v>
      </c>
    </row>
    <row r="3710" spans="1:7">
      <c r="A3710">
        <v>3366</v>
      </c>
      <c r="B3710" t="s">
        <v>8</v>
      </c>
      <c r="C3710" t="s">
        <v>129</v>
      </c>
      <c r="D3710" s="9">
        <v>40806.64603009259</v>
      </c>
      <c r="E3710" t="s">
        <v>19</v>
      </c>
      <c r="F3710">
        <f t="shared" ca="1" si="116"/>
        <v>3.3583333333333334</v>
      </c>
      <c r="G3710">
        <f t="shared" ca="1" si="117"/>
        <v>0</v>
      </c>
    </row>
    <row r="3711" spans="1:7">
      <c r="A3711">
        <v>3367</v>
      </c>
      <c r="B3711" t="s">
        <v>111</v>
      </c>
      <c r="C3711" t="s">
        <v>129</v>
      </c>
      <c r="D3711" s="9">
        <v>40806.662800925929</v>
      </c>
      <c r="E3711" t="s">
        <v>34</v>
      </c>
      <c r="F3711">
        <f t="shared" ca="1" si="116"/>
        <v>3.3583333333333334</v>
      </c>
      <c r="G3711">
        <f t="shared" ca="1" si="117"/>
        <v>0</v>
      </c>
    </row>
    <row r="3712" spans="1:7">
      <c r="A3712">
        <v>3370</v>
      </c>
      <c r="B3712" t="s">
        <v>111</v>
      </c>
      <c r="C3712" t="s">
        <v>129</v>
      </c>
      <c r="D3712" s="9">
        <v>40807.405821759261</v>
      </c>
      <c r="E3712" t="s">
        <v>34</v>
      </c>
      <c r="F3712">
        <f t="shared" ca="1" si="116"/>
        <v>3.3555555555555556</v>
      </c>
      <c r="G3712">
        <f t="shared" ca="1" si="117"/>
        <v>0</v>
      </c>
    </row>
    <row r="3713" spans="1:7">
      <c r="A3713">
        <v>3371</v>
      </c>
      <c r="B3713" t="s">
        <v>111</v>
      </c>
      <c r="C3713" t="s">
        <v>129</v>
      </c>
      <c r="D3713" s="9">
        <v>40806.803159722222</v>
      </c>
      <c r="E3713" t="s">
        <v>27</v>
      </c>
      <c r="F3713">
        <f t="shared" ca="1" si="116"/>
        <v>3.3583333333333334</v>
      </c>
      <c r="G3713">
        <f t="shared" ca="1" si="117"/>
        <v>0</v>
      </c>
    </row>
    <row r="3714" spans="1:7">
      <c r="A3714">
        <v>3372</v>
      </c>
      <c r="B3714" t="s">
        <v>111</v>
      </c>
      <c r="C3714" t="s">
        <v>129</v>
      </c>
      <c r="D3714" s="9">
        <v>40807.663159722222</v>
      </c>
      <c r="E3714" t="s">
        <v>8</v>
      </c>
      <c r="F3714">
        <f t="shared" ca="1" si="116"/>
        <v>3.3555555555555556</v>
      </c>
      <c r="G3714">
        <f t="shared" ca="1" si="117"/>
        <v>0</v>
      </c>
    </row>
    <row r="3715" spans="1:7">
      <c r="A3715">
        <v>3375</v>
      </c>
      <c r="B3715" t="s">
        <v>101</v>
      </c>
      <c r="C3715" t="s">
        <v>129</v>
      </c>
      <c r="D3715" s="9">
        <v>40805.562025462961</v>
      </c>
      <c r="E3715" t="s">
        <v>44</v>
      </c>
      <c r="F3715">
        <f t="shared" ca="1" si="116"/>
        <v>3.3611111111111112</v>
      </c>
      <c r="G3715">
        <f t="shared" ca="1" si="117"/>
        <v>0</v>
      </c>
    </row>
    <row r="3716" spans="1:7">
      <c r="A3716">
        <v>3377</v>
      </c>
      <c r="B3716" t="s">
        <v>20</v>
      </c>
      <c r="C3716" t="s">
        <v>129</v>
      </c>
      <c r="D3716" s="9">
        <v>40807.758379629631</v>
      </c>
      <c r="E3716" t="s">
        <v>27</v>
      </c>
      <c r="F3716">
        <f t="shared" ca="1" si="116"/>
        <v>3.3555555555555556</v>
      </c>
      <c r="G3716">
        <f t="shared" ca="1" si="117"/>
        <v>0</v>
      </c>
    </row>
    <row r="3717" spans="1:7">
      <c r="A3717">
        <v>3380</v>
      </c>
      <c r="B3717" t="s">
        <v>99</v>
      </c>
      <c r="C3717" t="s">
        <v>129</v>
      </c>
      <c r="D3717" s="9">
        <v>40807.649733796294</v>
      </c>
      <c r="E3717" t="s">
        <v>34</v>
      </c>
      <c r="F3717">
        <f t="shared" ca="1" si="116"/>
        <v>3.3555555555555556</v>
      </c>
      <c r="G3717">
        <f t="shared" ca="1" si="117"/>
        <v>0</v>
      </c>
    </row>
    <row r="3718" spans="1:7">
      <c r="A3718">
        <v>3382</v>
      </c>
      <c r="B3718" t="s">
        <v>101</v>
      </c>
      <c r="C3718" t="s">
        <v>129</v>
      </c>
      <c r="D3718" s="9">
        <v>40805.562789351854</v>
      </c>
      <c r="E3718" t="s">
        <v>44</v>
      </c>
      <c r="F3718">
        <f t="shared" ca="1" si="116"/>
        <v>3.3611111111111112</v>
      </c>
      <c r="G3718">
        <f t="shared" ca="1" si="117"/>
        <v>0</v>
      </c>
    </row>
    <row r="3719" spans="1:7">
      <c r="A3719">
        <v>3386</v>
      </c>
      <c r="B3719" t="s">
        <v>111</v>
      </c>
      <c r="C3719" t="s">
        <v>129</v>
      </c>
      <c r="D3719" s="9">
        <v>40805.595069444447</v>
      </c>
      <c r="E3719" t="s">
        <v>30</v>
      </c>
      <c r="F3719">
        <f t="shared" ca="1" si="116"/>
        <v>3.3611111111111112</v>
      </c>
      <c r="G3719">
        <f t="shared" ca="1" si="117"/>
        <v>0</v>
      </c>
    </row>
    <row r="3720" spans="1:7">
      <c r="A3720">
        <v>3394</v>
      </c>
      <c r="B3720" t="s">
        <v>111</v>
      </c>
      <c r="C3720" t="s">
        <v>129</v>
      </c>
      <c r="D3720" s="9">
        <v>40807.807083333333</v>
      </c>
      <c r="E3720" t="s">
        <v>20</v>
      </c>
      <c r="F3720">
        <f t="shared" ca="1" si="116"/>
        <v>3.3555555555555556</v>
      </c>
      <c r="G3720">
        <f t="shared" ca="1" si="117"/>
        <v>0</v>
      </c>
    </row>
    <row r="3721" spans="1:7">
      <c r="A3721">
        <v>3396</v>
      </c>
      <c r="B3721" t="s">
        <v>111</v>
      </c>
      <c r="C3721" t="s">
        <v>129</v>
      </c>
      <c r="D3721" s="9">
        <v>40807.640775462962</v>
      </c>
      <c r="E3721" t="s">
        <v>8</v>
      </c>
      <c r="F3721">
        <f t="shared" ca="1" si="116"/>
        <v>3.3555555555555556</v>
      </c>
      <c r="G3721">
        <f t="shared" ca="1" si="117"/>
        <v>0</v>
      </c>
    </row>
    <row r="3722" spans="1:7">
      <c r="A3722">
        <v>3403</v>
      </c>
      <c r="B3722" t="s">
        <v>44</v>
      </c>
      <c r="C3722" t="s">
        <v>128</v>
      </c>
      <c r="D3722" s="9">
        <v>40924.671331018515</v>
      </c>
      <c r="E3722" t="s">
        <v>30</v>
      </c>
      <c r="F3722">
        <f t="shared" ca="1" si="116"/>
        <v>3.036111111111111</v>
      </c>
      <c r="G3722">
        <f t="shared" ca="1" si="117"/>
        <v>0</v>
      </c>
    </row>
    <row r="3723" spans="1:7">
      <c r="A3723">
        <v>3409</v>
      </c>
      <c r="B3723" t="s">
        <v>99</v>
      </c>
      <c r="C3723" t="s">
        <v>129</v>
      </c>
      <c r="D3723" s="9">
        <v>40806.705833333333</v>
      </c>
      <c r="E3723" t="s">
        <v>19</v>
      </c>
      <c r="F3723">
        <f t="shared" ca="1" si="116"/>
        <v>3.3583333333333334</v>
      </c>
      <c r="G3723">
        <f t="shared" ca="1" si="117"/>
        <v>0</v>
      </c>
    </row>
    <row r="3724" spans="1:7">
      <c r="A3724">
        <v>3411</v>
      </c>
      <c r="B3724" t="s">
        <v>101</v>
      </c>
      <c r="C3724" t="s">
        <v>129</v>
      </c>
      <c r="D3724" s="9">
        <v>40805.618356481478</v>
      </c>
      <c r="E3724" t="s">
        <v>44</v>
      </c>
      <c r="F3724">
        <f t="shared" ca="1" si="116"/>
        <v>3.3611111111111112</v>
      </c>
      <c r="G3724">
        <f t="shared" ca="1" si="117"/>
        <v>0</v>
      </c>
    </row>
    <row r="3725" spans="1:7">
      <c r="A3725">
        <v>3412</v>
      </c>
      <c r="B3725" t="s">
        <v>11</v>
      </c>
      <c r="C3725" t="s">
        <v>129</v>
      </c>
      <c r="D3725" s="9">
        <v>40805.679490740738</v>
      </c>
      <c r="E3725" t="s">
        <v>99</v>
      </c>
      <c r="F3725">
        <f t="shared" ca="1" si="116"/>
        <v>3.3611111111111112</v>
      </c>
      <c r="G3725">
        <f t="shared" ca="1" si="117"/>
        <v>0</v>
      </c>
    </row>
    <row r="3726" spans="1:7">
      <c r="A3726">
        <v>3413</v>
      </c>
      <c r="B3726" t="s">
        <v>44</v>
      </c>
      <c r="C3726" t="s">
        <v>129</v>
      </c>
      <c r="D3726" s="9">
        <v>40807.36246527778</v>
      </c>
      <c r="E3726" t="s">
        <v>34</v>
      </c>
      <c r="F3726">
        <f t="shared" ca="1" si="116"/>
        <v>3.3555555555555556</v>
      </c>
      <c r="G3726">
        <f t="shared" ca="1" si="117"/>
        <v>0</v>
      </c>
    </row>
    <row r="3727" spans="1:7">
      <c r="A3727">
        <v>3414</v>
      </c>
      <c r="B3727" t="s">
        <v>111</v>
      </c>
      <c r="C3727" t="s">
        <v>129</v>
      </c>
      <c r="D3727" s="9">
        <v>40807.590219907404</v>
      </c>
      <c r="E3727" t="s">
        <v>8</v>
      </c>
      <c r="F3727">
        <f t="shared" ca="1" si="116"/>
        <v>3.3555555555555556</v>
      </c>
      <c r="G3727">
        <f t="shared" ca="1" si="117"/>
        <v>0</v>
      </c>
    </row>
    <row r="3728" spans="1:7">
      <c r="A3728">
        <v>3415</v>
      </c>
      <c r="B3728" t="s">
        <v>99</v>
      </c>
      <c r="C3728" t="s">
        <v>129</v>
      </c>
      <c r="D3728" s="9">
        <v>40806.584317129629</v>
      </c>
      <c r="E3728" t="s">
        <v>19</v>
      </c>
      <c r="F3728">
        <f t="shared" ca="1" si="116"/>
        <v>3.3583333333333334</v>
      </c>
      <c r="G3728">
        <f t="shared" ca="1" si="117"/>
        <v>0</v>
      </c>
    </row>
    <row r="3729" spans="1:7">
      <c r="A3729">
        <v>3416</v>
      </c>
      <c r="B3729" t="s">
        <v>111</v>
      </c>
      <c r="C3729" t="s">
        <v>129</v>
      </c>
      <c r="D3729" s="9">
        <v>40805.6718287037</v>
      </c>
      <c r="E3729" t="s">
        <v>143</v>
      </c>
      <c r="F3729">
        <f t="shared" ca="1" si="116"/>
        <v>3.3611111111111112</v>
      </c>
      <c r="G3729">
        <f t="shared" ca="1" si="117"/>
        <v>0</v>
      </c>
    </row>
    <row r="3730" spans="1:7">
      <c r="A3730">
        <v>3418</v>
      </c>
      <c r="B3730" t="s">
        <v>111</v>
      </c>
      <c r="C3730" t="s">
        <v>129</v>
      </c>
      <c r="D3730" s="9">
        <v>40805.827546296299</v>
      </c>
      <c r="E3730" t="s">
        <v>11</v>
      </c>
      <c r="F3730">
        <f t="shared" ca="1" si="116"/>
        <v>3.3611111111111112</v>
      </c>
      <c r="G3730">
        <f t="shared" ca="1" si="117"/>
        <v>0</v>
      </c>
    </row>
    <row r="3731" spans="1:7">
      <c r="A3731">
        <v>3419</v>
      </c>
      <c r="B3731" t="s">
        <v>99</v>
      </c>
      <c r="C3731" t="s">
        <v>129</v>
      </c>
      <c r="D3731" s="9">
        <v>40805.855000000003</v>
      </c>
      <c r="E3731" t="s">
        <v>11</v>
      </c>
      <c r="F3731">
        <f t="shared" ca="1" si="116"/>
        <v>3.3611111111111112</v>
      </c>
      <c r="G3731">
        <f t="shared" ca="1" si="117"/>
        <v>0</v>
      </c>
    </row>
    <row r="3732" spans="1:7">
      <c r="A3732">
        <v>3420</v>
      </c>
      <c r="B3732" t="s">
        <v>19</v>
      </c>
      <c r="C3732" t="s">
        <v>129</v>
      </c>
      <c r="D3732" s="9">
        <v>40805.790856481479</v>
      </c>
      <c r="E3732" t="s">
        <v>27</v>
      </c>
      <c r="F3732">
        <f t="shared" ca="1" si="116"/>
        <v>3.3611111111111112</v>
      </c>
      <c r="G3732">
        <f t="shared" ca="1" si="117"/>
        <v>0</v>
      </c>
    </row>
    <row r="3733" spans="1:7">
      <c r="A3733">
        <v>3422</v>
      </c>
      <c r="B3733" t="s">
        <v>101</v>
      </c>
      <c r="C3733" t="s">
        <v>129</v>
      </c>
      <c r="D3733" s="9">
        <v>40806.624120370368</v>
      </c>
      <c r="E3733" t="s">
        <v>44</v>
      </c>
      <c r="F3733">
        <f t="shared" ca="1" si="116"/>
        <v>3.3583333333333334</v>
      </c>
      <c r="G3733">
        <f t="shared" ca="1" si="117"/>
        <v>0</v>
      </c>
    </row>
    <row r="3734" spans="1:7">
      <c r="A3734">
        <v>3424</v>
      </c>
      <c r="B3734" t="s">
        <v>29</v>
      </c>
      <c r="C3734" t="s">
        <v>120</v>
      </c>
      <c r="D3734" s="9">
        <v>41516.651134259257</v>
      </c>
      <c r="E3734" t="s">
        <v>27</v>
      </c>
      <c r="F3734">
        <f t="shared" ca="1" si="116"/>
        <v>1.413888888888889</v>
      </c>
      <c r="G3734">
        <f t="shared" ca="1" si="117"/>
        <v>0</v>
      </c>
    </row>
    <row r="3735" spans="1:7">
      <c r="A3735">
        <v>3425</v>
      </c>
      <c r="B3735" t="s">
        <v>111</v>
      </c>
      <c r="C3735" t="s">
        <v>129</v>
      </c>
      <c r="D3735" s="9">
        <v>40807.688831018517</v>
      </c>
      <c r="E3735" t="s">
        <v>143</v>
      </c>
      <c r="F3735">
        <f t="shared" ca="1" si="116"/>
        <v>3.3555555555555556</v>
      </c>
      <c r="G3735">
        <f t="shared" ca="1" si="117"/>
        <v>0</v>
      </c>
    </row>
    <row r="3736" spans="1:7">
      <c r="A3736">
        <v>3426</v>
      </c>
      <c r="B3736" t="s">
        <v>111</v>
      </c>
      <c r="C3736" t="s">
        <v>129</v>
      </c>
      <c r="D3736" s="9">
        <v>40807.699340277781</v>
      </c>
      <c r="E3736" t="s">
        <v>11</v>
      </c>
      <c r="F3736">
        <f t="shared" ca="1" si="116"/>
        <v>3.3555555555555556</v>
      </c>
      <c r="G3736">
        <f t="shared" ca="1" si="117"/>
        <v>0</v>
      </c>
    </row>
    <row r="3737" spans="1:7">
      <c r="A3737">
        <v>3431</v>
      </c>
      <c r="B3737" t="s">
        <v>112</v>
      </c>
      <c r="C3737" t="s">
        <v>129</v>
      </c>
      <c r="D3737" s="9">
        <v>40806.714409722219</v>
      </c>
      <c r="E3737" t="s">
        <v>99</v>
      </c>
      <c r="F3737">
        <f t="shared" ca="1" si="116"/>
        <v>3.3583333333333334</v>
      </c>
      <c r="G3737">
        <f t="shared" ca="1" si="117"/>
        <v>0</v>
      </c>
    </row>
    <row r="3738" spans="1:7">
      <c r="A3738">
        <v>3435</v>
      </c>
      <c r="B3738" t="s">
        <v>111</v>
      </c>
      <c r="C3738" t="s">
        <v>129</v>
      </c>
      <c r="D3738" s="9">
        <v>40805.873124999998</v>
      </c>
      <c r="E3738" t="s">
        <v>27</v>
      </c>
      <c r="F3738">
        <f t="shared" ca="1" si="116"/>
        <v>3.3611111111111112</v>
      </c>
      <c r="G3738">
        <f t="shared" ca="1" si="117"/>
        <v>0</v>
      </c>
    </row>
    <row r="3739" spans="1:7">
      <c r="A3739">
        <v>3440</v>
      </c>
      <c r="B3739" t="s">
        <v>99</v>
      </c>
      <c r="C3739" t="s">
        <v>129</v>
      </c>
      <c r="D3739" s="9">
        <v>40807.69295138889</v>
      </c>
      <c r="E3739" t="s">
        <v>19</v>
      </c>
      <c r="F3739">
        <f t="shared" ca="1" si="116"/>
        <v>3.3555555555555556</v>
      </c>
      <c r="G3739">
        <f t="shared" ca="1" si="117"/>
        <v>0</v>
      </c>
    </row>
    <row r="3740" spans="1:7">
      <c r="A3740">
        <v>3444</v>
      </c>
      <c r="B3740" t="s">
        <v>19</v>
      </c>
      <c r="C3740" t="s">
        <v>129</v>
      </c>
      <c r="D3740" s="9">
        <v>40805.790393518517</v>
      </c>
      <c r="E3740" t="s">
        <v>99</v>
      </c>
      <c r="F3740">
        <f t="shared" ca="1" si="116"/>
        <v>3.3611111111111112</v>
      </c>
      <c r="G3740">
        <f t="shared" ca="1" si="117"/>
        <v>0</v>
      </c>
    </row>
    <row r="3741" spans="1:7">
      <c r="A3741">
        <v>3448</v>
      </c>
      <c r="B3741" t="s">
        <v>8</v>
      </c>
      <c r="C3741" t="s">
        <v>129</v>
      </c>
      <c r="D3741" s="9">
        <v>40806.675578703704</v>
      </c>
      <c r="E3741" t="s">
        <v>19</v>
      </c>
      <c r="F3741">
        <f t="shared" ca="1" si="116"/>
        <v>3.3583333333333334</v>
      </c>
      <c r="G3741">
        <f t="shared" ca="1" si="117"/>
        <v>0</v>
      </c>
    </row>
    <row r="3742" spans="1:7">
      <c r="A3742">
        <v>3449</v>
      </c>
      <c r="B3742" t="s">
        <v>99</v>
      </c>
      <c r="C3742" t="s">
        <v>129</v>
      </c>
      <c r="D3742" s="9">
        <v>40805.861446759256</v>
      </c>
      <c r="E3742" t="s">
        <v>20</v>
      </c>
      <c r="F3742">
        <f t="shared" ca="1" si="116"/>
        <v>3.3611111111111112</v>
      </c>
      <c r="G3742">
        <f t="shared" ca="1" si="117"/>
        <v>0</v>
      </c>
    </row>
    <row r="3743" spans="1:7">
      <c r="A3743">
        <v>3451</v>
      </c>
      <c r="B3743" t="s">
        <v>44</v>
      </c>
      <c r="C3743" t="s">
        <v>128</v>
      </c>
      <c r="D3743" s="9">
        <v>40921.589594907404</v>
      </c>
      <c r="E3743" t="s">
        <v>30</v>
      </c>
      <c r="F3743">
        <f t="shared" ca="1" si="116"/>
        <v>3.0444444444444443</v>
      </c>
      <c r="G3743">
        <f t="shared" ca="1" si="117"/>
        <v>0</v>
      </c>
    </row>
    <row r="3744" spans="1:7">
      <c r="A3744">
        <v>3452</v>
      </c>
      <c r="B3744" t="s">
        <v>38</v>
      </c>
      <c r="C3744" t="s">
        <v>129</v>
      </c>
      <c r="D3744" s="9">
        <v>40806.595370370371</v>
      </c>
      <c r="E3744" t="s">
        <v>11</v>
      </c>
      <c r="F3744">
        <f t="shared" ca="1" si="116"/>
        <v>3.3583333333333334</v>
      </c>
      <c r="G3744">
        <f t="shared" ca="1" si="117"/>
        <v>0</v>
      </c>
    </row>
    <row r="3745" spans="1:7">
      <c r="A3745">
        <v>3455</v>
      </c>
      <c r="B3745" t="s">
        <v>38</v>
      </c>
      <c r="C3745" t="s">
        <v>129</v>
      </c>
      <c r="D3745" s="9">
        <v>40806.447048611109</v>
      </c>
      <c r="E3745" t="s">
        <v>143</v>
      </c>
      <c r="F3745">
        <f t="shared" ca="1" si="116"/>
        <v>3.3583333333333334</v>
      </c>
      <c r="G3745">
        <f t="shared" ca="1" si="117"/>
        <v>0</v>
      </c>
    </row>
    <row r="3746" spans="1:7">
      <c r="A3746">
        <v>3457</v>
      </c>
      <c r="B3746" t="s">
        <v>32</v>
      </c>
      <c r="C3746" t="s">
        <v>129</v>
      </c>
      <c r="D3746" s="9">
        <v>40806.6716087963</v>
      </c>
      <c r="E3746" t="s">
        <v>99</v>
      </c>
      <c r="F3746">
        <f t="shared" ca="1" si="116"/>
        <v>3.3583333333333334</v>
      </c>
      <c r="G3746">
        <f t="shared" ca="1" si="117"/>
        <v>0</v>
      </c>
    </row>
    <row r="3747" spans="1:7">
      <c r="A3747">
        <v>3460</v>
      </c>
      <c r="B3747" t="s">
        <v>99</v>
      </c>
      <c r="C3747" t="s">
        <v>129</v>
      </c>
      <c r="D3747" s="9">
        <v>40805.69736111111</v>
      </c>
      <c r="E3747" t="s">
        <v>27</v>
      </c>
      <c r="F3747">
        <f t="shared" ca="1" si="116"/>
        <v>3.3611111111111112</v>
      </c>
      <c r="G3747">
        <f t="shared" ca="1" si="117"/>
        <v>0</v>
      </c>
    </row>
    <row r="3748" spans="1:7">
      <c r="A3748">
        <v>3461</v>
      </c>
      <c r="B3748" t="s">
        <v>8</v>
      </c>
      <c r="C3748" t="s">
        <v>129</v>
      </c>
      <c r="D3748" s="9">
        <v>40805.841516203705</v>
      </c>
      <c r="E3748" t="s">
        <v>11</v>
      </c>
      <c r="F3748">
        <f t="shared" ca="1" si="116"/>
        <v>3.3611111111111112</v>
      </c>
      <c r="G3748">
        <f t="shared" ca="1" si="117"/>
        <v>0</v>
      </c>
    </row>
    <row r="3749" spans="1:7">
      <c r="A3749">
        <v>3465</v>
      </c>
      <c r="B3749" t="s">
        <v>32</v>
      </c>
      <c r="C3749" t="s">
        <v>129</v>
      </c>
      <c r="D3749" s="9">
        <v>40806.668055555558</v>
      </c>
      <c r="E3749" t="s">
        <v>99</v>
      </c>
      <c r="F3749">
        <f t="shared" ca="1" si="116"/>
        <v>3.3583333333333334</v>
      </c>
      <c r="G3749">
        <f t="shared" ca="1" si="117"/>
        <v>0</v>
      </c>
    </row>
    <row r="3750" spans="1:7">
      <c r="A3750">
        <v>3467</v>
      </c>
      <c r="B3750" t="s">
        <v>99</v>
      </c>
      <c r="C3750" t="s">
        <v>129</v>
      </c>
      <c r="D3750" s="9">
        <v>40807.573310185187</v>
      </c>
      <c r="E3750" t="s">
        <v>19</v>
      </c>
      <c r="F3750">
        <f t="shared" ca="1" si="116"/>
        <v>3.3555555555555556</v>
      </c>
      <c r="G3750">
        <f t="shared" ca="1" si="117"/>
        <v>0</v>
      </c>
    </row>
    <row r="3751" spans="1:7">
      <c r="A3751">
        <v>3468</v>
      </c>
      <c r="B3751" t="s">
        <v>34</v>
      </c>
      <c r="C3751" t="s">
        <v>129</v>
      </c>
      <c r="D3751" s="9">
        <v>40805.706296296295</v>
      </c>
      <c r="E3751" t="s">
        <v>99</v>
      </c>
      <c r="F3751">
        <f t="shared" ca="1" si="116"/>
        <v>3.3611111111111112</v>
      </c>
      <c r="G3751">
        <f t="shared" ca="1" si="117"/>
        <v>0</v>
      </c>
    </row>
    <row r="3752" spans="1:7">
      <c r="A3752">
        <v>3469</v>
      </c>
      <c r="B3752" t="s">
        <v>99</v>
      </c>
      <c r="C3752" t="s">
        <v>129</v>
      </c>
      <c r="D3752" s="9">
        <v>40807.417349537034</v>
      </c>
      <c r="E3752" t="s">
        <v>34</v>
      </c>
      <c r="F3752">
        <f t="shared" ca="1" si="116"/>
        <v>3.3555555555555556</v>
      </c>
      <c r="G3752">
        <f t="shared" ca="1" si="117"/>
        <v>0</v>
      </c>
    </row>
    <row r="3753" spans="1:7">
      <c r="A3753">
        <v>3470</v>
      </c>
      <c r="B3753" t="s">
        <v>111</v>
      </c>
      <c r="C3753" t="s">
        <v>129</v>
      </c>
      <c r="D3753" s="9">
        <v>40807.664976851855</v>
      </c>
      <c r="E3753" t="s">
        <v>8</v>
      </c>
      <c r="F3753">
        <f t="shared" ca="1" si="116"/>
        <v>3.3555555555555556</v>
      </c>
      <c r="G3753">
        <f t="shared" ca="1" si="117"/>
        <v>0</v>
      </c>
    </row>
    <row r="3754" spans="1:7">
      <c r="A3754">
        <v>3471</v>
      </c>
      <c r="B3754" t="s">
        <v>111</v>
      </c>
      <c r="C3754" t="s">
        <v>129</v>
      </c>
      <c r="D3754" s="9">
        <v>40807.83116898148</v>
      </c>
      <c r="E3754" t="s">
        <v>27</v>
      </c>
      <c r="F3754">
        <f t="shared" ca="1" si="116"/>
        <v>3.3555555555555556</v>
      </c>
      <c r="G3754">
        <f t="shared" ca="1" si="117"/>
        <v>0</v>
      </c>
    </row>
    <row r="3755" spans="1:7">
      <c r="A3755">
        <v>3473</v>
      </c>
      <c r="B3755" t="s">
        <v>111</v>
      </c>
      <c r="C3755" t="s">
        <v>129</v>
      </c>
      <c r="D3755" s="9">
        <v>40807.658750000002</v>
      </c>
      <c r="E3755" t="s">
        <v>8</v>
      </c>
      <c r="F3755">
        <f t="shared" ca="1" si="116"/>
        <v>3.3555555555555556</v>
      </c>
      <c r="G3755">
        <f t="shared" ca="1" si="117"/>
        <v>0</v>
      </c>
    </row>
    <row r="3756" spans="1:7">
      <c r="A3756">
        <v>3474</v>
      </c>
      <c r="B3756" t="s">
        <v>11</v>
      </c>
      <c r="C3756" t="s">
        <v>129</v>
      </c>
      <c r="D3756" s="9">
        <v>40806.387291666666</v>
      </c>
      <c r="E3756" t="s">
        <v>36</v>
      </c>
      <c r="F3756">
        <f t="shared" ca="1" si="116"/>
        <v>3.3583333333333334</v>
      </c>
      <c r="G3756">
        <f t="shared" ca="1" si="117"/>
        <v>0</v>
      </c>
    </row>
    <row r="3757" spans="1:7">
      <c r="A3757">
        <v>3475</v>
      </c>
      <c r="B3757" t="s">
        <v>111</v>
      </c>
      <c r="C3757" t="s">
        <v>129</v>
      </c>
      <c r="D3757" s="9">
        <v>40806.70752314815</v>
      </c>
      <c r="E3757" t="s">
        <v>27</v>
      </c>
      <c r="F3757">
        <f t="shared" ca="1" si="116"/>
        <v>3.3583333333333334</v>
      </c>
      <c r="G3757">
        <f t="shared" ca="1" si="117"/>
        <v>0</v>
      </c>
    </row>
    <row r="3758" spans="1:7">
      <c r="A3758">
        <v>3476</v>
      </c>
      <c r="B3758" t="s">
        <v>34</v>
      </c>
      <c r="C3758" t="s">
        <v>129</v>
      </c>
      <c r="D3758" s="9">
        <v>40805.932557870372</v>
      </c>
      <c r="E3758" t="s">
        <v>11</v>
      </c>
      <c r="F3758">
        <f t="shared" ca="1" si="116"/>
        <v>3.3611111111111112</v>
      </c>
      <c r="G3758">
        <f t="shared" ca="1" si="117"/>
        <v>0</v>
      </c>
    </row>
    <row r="3759" spans="1:7">
      <c r="A3759">
        <v>3477</v>
      </c>
      <c r="B3759" t="s">
        <v>111</v>
      </c>
      <c r="C3759" t="s">
        <v>129</v>
      </c>
      <c r="D3759" s="9">
        <v>40807.690891203703</v>
      </c>
      <c r="E3759" t="s">
        <v>8</v>
      </c>
      <c r="F3759">
        <f t="shared" ref="F3759:F3822" ca="1" si="118">YEARFRAC(TODAY(),$D3759)</f>
        <v>3.3555555555555556</v>
      </c>
      <c r="G3759">
        <f t="shared" ref="G3759:G3822" ca="1" si="119">IF($F3759&lt;1,1,0)</f>
        <v>0</v>
      </c>
    </row>
    <row r="3760" spans="1:7">
      <c r="A3760">
        <v>3478</v>
      </c>
      <c r="B3760" t="s">
        <v>11</v>
      </c>
      <c r="C3760" t="s">
        <v>129</v>
      </c>
      <c r="D3760" s="9">
        <v>40806.849398148152</v>
      </c>
      <c r="E3760" t="s">
        <v>99</v>
      </c>
      <c r="F3760">
        <f t="shared" ca="1" si="118"/>
        <v>3.3583333333333334</v>
      </c>
      <c r="G3760">
        <f t="shared" ca="1" si="119"/>
        <v>0</v>
      </c>
    </row>
    <row r="3761" spans="1:7">
      <c r="A3761">
        <v>3480</v>
      </c>
      <c r="B3761" t="s">
        <v>32</v>
      </c>
      <c r="C3761" t="s">
        <v>129</v>
      </c>
      <c r="D3761" s="9">
        <v>40807.61613425926</v>
      </c>
      <c r="E3761" t="s">
        <v>21</v>
      </c>
      <c r="F3761">
        <f t="shared" ca="1" si="118"/>
        <v>3.3555555555555556</v>
      </c>
      <c r="G3761">
        <f t="shared" ca="1" si="119"/>
        <v>0</v>
      </c>
    </row>
    <row r="3762" spans="1:7">
      <c r="A3762">
        <v>3481</v>
      </c>
      <c r="B3762" t="s">
        <v>111</v>
      </c>
      <c r="C3762" t="s">
        <v>129</v>
      </c>
      <c r="D3762" s="9">
        <v>40807.692499999997</v>
      </c>
      <c r="E3762" t="s">
        <v>8</v>
      </c>
      <c r="F3762">
        <f t="shared" ca="1" si="118"/>
        <v>3.3555555555555556</v>
      </c>
      <c r="G3762">
        <f t="shared" ca="1" si="119"/>
        <v>0</v>
      </c>
    </row>
    <row r="3763" spans="1:7">
      <c r="A3763">
        <v>3482</v>
      </c>
      <c r="B3763" t="s">
        <v>99</v>
      </c>
      <c r="C3763" t="s">
        <v>129</v>
      </c>
      <c r="D3763" s="9">
        <v>40807.589537037034</v>
      </c>
      <c r="E3763" t="s">
        <v>19</v>
      </c>
      <c r="F3763">
        <f t="shared" ca="1" si="118"/>
        <v>3.3555555555555556</v>
      </c>
      <c r="G3763">
        <f t="shared" ca="1" si="119"/>
        <v>0</v>
      </c>
    </row>
    <row r="3764" spans="1:7">
      <c r="A3764">
        <v>3483</v>
      </c>
      <c r="B3764" t="s">
        <v>8</v>
      </c>
      <c r="C3764" t="s">
        <v>129</v>
      </c>
      <c r="D3764" s="9">
        <v>40807.444027777776</v>
      </c>
      <c r="E3764" t="s">
        <v>30</v>
      </c>
      <c r="F3764">
        <f t="shared" ca="1" si="118"/>
        <v>3.3555555555555556</v>
      </c>
      <c r="G3764">
        <f t="shared" ca="1" si="119"/>
        <v>0</v>
      </c>
    </row>
    <row r="3765" spans="1:7">
      <c r="A3765">
        <v>3484</v>
      </c>
      <c r="B3765" t="s">
        <v>36</v>
      </c>
      <c r="C3765" t="s">
        <v>129</v>
      </c>
      <c r="D3765" s="9">
        <v>40805.78020833333</v>
      </c>
      <c r="E3765" t="s">
        <v>99</v>
      </c>
      <c r="F3765">
        <f t="shared" ca="1" si="118"/>
        <v>3.3611111111111112</v>
      </c>
      <c r="G3765">
        <f t="shared" ca="1" si="119"/>
        <v>0</v>
      </c>
    </row>
    <row r="3766" spans="1:7">
      <c r="A3766">
        <v>3486</v>
      </c>
      <c r="B3766" t="s">
        <v>112</v>
      </c>
      <c r="C3766" t="s">
        <v>129</v>
      </c>
      <c r="D3766" s="9">
        <v>40805.779328703706</v>
      </c>
      <c r="E3766" t="s">
        <v>99</v>
      </c>
      <c r="F3766">
        <f t="shared" ca="1" si="118"/>
        <v>3.3611111111111112</v>
      </c>
      <c r="G3766">
        <f t="shared" ca="1" si="119"/>
        <v>0</v>
      </c>
    </row>
    <row r="3767" spans="1:7">
      <c r="A3767">
        <v>3488</v>
      </c>
      <c r="B3767" t="s">
        <v>8</v>
      </c>
      <c r="C3767" t="s">
        <v>129</v>
      </c>
      <c r="D3767" s="9">
        <v>40806.71435185185</v>
      </c>
      <c r="E3767" t="s">
        <v>99</v>
      </c>
      <c r="F3767">
        <f t="shared" ca="1" si="118"/>
        <v>3.3583333333333334</v>
      </c>
      <c r="G3767">
        <f t="shared" ca="1" si="119"/>
        <v>0</v>
      </c>
    </row>
    <row r="3768" spans="1:7">
      <c r="A3768">
        <v>3489</v>
      </c>
      <c r="B3768" t="s">
        <v>36</v>
      </c>
      <c r="C3768" t="s">
        <v>129</v>
      </c>
      <c r="D3768" s="9">
        <v>40806.847951388889</v>
      </c>
      <c r="E3768" t="s">
        <v>99</v>
      </c>
      <c r="F3768">
        <f t="shared" ca="1" si="118"/>
        <v>3.3583333333333334</v>
      </c>
      <c r="G3768">
        <f t="shared" ca="1" si="119"/>
        <v>0</v>
      </c>
    </row>
    <row r="3769" spans="1:7">
      <c r="A3769">
        <v>3490</v>
      </c>
      <c r="B3769" t="s">
        <v>8</v>
      </c>
      <c r="C3769" t="s">
        <v>129</v>
      </c>
      <c r="D3769" s="9">
        <v>40806.420335648145</v>
      </c>
      <c r="E3769" t="s">
        <v>143</v>
      </c>
      <c r="F3769">
        <f t="shared" ca="1" si="118"/>
        <v>3.3583333333333334</v>
      </c>
      <c r="G3769">
        <f t="shared" ca="1" si="119"/>
        <v>0</v>
      </c>
    </row>
    <row r="3770" spans="1:7">
      <c r="A3770">
        <v>3493</v>
      </c>
      <c r="B3770" t="s">
        <v>219</v>
      </c>
      <c r="C3770" t="s">
        <v>209</v>
      </c>
      <c r="D3770" s="9">
        <v>41953.355752314812</v>
      </c>
      <c r="E3770" t="s">
        <v>220</v>
      </c>
      <c r="F3770">
        <f t="shared" ca="1" si="118"/>
        <v>0.21944444444444444</v>
      </c>
      <c r="G3770">
        <f t="shared" ca="1" si="119"/>
        <v>1</v>
      </c>
    </row>
    <row r="3771" spans="1:7">
      <c r="A3771">
        <v>3494</v>
      </c>
      <c r="B3771" t="s">
        <v>11</v>
      </c>
      <c r="C3771" t="s">
        <v>129</v>
      </c>
      <c r="D3771" s="9">
        <v>40805.789687500001</v>
      </c>
      <c r="E3771" t="s">
        <v>99</v>
      </c>
      <c r="F3771">
        <f t="shared" ca="1" si="118"/>
        <v>3.3611111111111112</v>
      </c>
      <c r="G3771">
        <f t="shared" ca="1" si="119"/>
        <v>0</v>
      </c>
    </row>
    <row r="3772" spans="1:7">
      <c r="A3772">
        <v>3496</v>
      </c>
      <c r="B3772" t="s">
        <v>111</v>
      </c>
      <c r="C3772" t="s">
        <v>129</v>
      </c>
      <c r="D3772" s="9">
        <v>40805.869155092594</v>
      </c>
      <c r="E3772" t="s">
        <v>27</v>
      </c>
      <c r="F3772">
        <f t="shared" ca="1" si="118"/>
        <v>3.3611111111111112</v>
      </c>
      <c r="G3772">
        <f t="shared" ca="1" si="119"/>
        <v>0</v>
      </c>
    </row>
    <row r="3773" spans="1:7">
      <c r="A3773">
        <v>3498</v>
      </c>
      <c r="B3773" t="s">
        <v>20</v>
      </c>
      <c r="C3773" t="s">
        <v>129</v>
      </c>
      <c r="D3773" s="9">
        <v>40805.634756944448</v>
      </c>
      <c r="E3773" t="s">
        <v>32</v>
      </c>
      <c r="F3773">
        <f t="shared" ca="1" si="118"/>
        <v>3.3611111111111112</v>
      </c>
      <c r="G3773">
        <f t="shared" ca="1" si="119"/>
        <v>0</v>
      </c>
    </row>
    <row r="3774" spans="1:7">
      <c r="A3774">
        <v>3503</v>
      </c>
      <c r="B3774" t="s">
        <v>32</v>
      </c>
      <c r="C3774" t="s">
        <v>129</v>
      </c>
      <c r="D3774" s="9">
        <v>40806.704085648147</v>
      </c>
      <c r="E3774" t="s">
        <v>21</v>
      </c>
      <c r="F3774">
        <f t="shared" ca="1" si="118"/>
        <v>3.3583333333333334</v>
      </c>
      <c r="G3774">
        <f t="shared" ca="1" si="119"/>
        <v>0</v>
      </c>
    </row>
    <row r="3775" spans="1:7">
      <c r="A3775">
        <v>3505</v>
      </c>
      <c r="B3775" t="s">
        <v>8</v>
      </c>
      <c r="C3775" t="s">
        <v>129</v>
      </c>
      <c r="D3775" s="9">
        <v>40806.951770833337</v>
      </c>
      <c r="E3775" t="s">
        <v>11</v>
      </c>
      <c r="F3775">
        <f t="shared" ca="1" si="118"/>
        <v>3.3583333333333334</v>
      </c>
      <c r="G3775">
        <f t="shared" ca="1" si="119"/>
        <v>0</v>
      </c>
    </row>
    <row r="3776" spans="1:7">
      <c r="A3776">
        <v>3506</v>
      </c>
      <c r="B3776" t="s">
        <v>21</v>
      </c>
      <c r="C3776" t="s">
        <v>129</v>
      </c>
      <c r="D3776" s="9">
        <v>40806.439826388887</v>
      </c>
      <c r="E3776" t="s">
        <v>8</v>
      </c>
      <c r="F3776">
        <f t="shared" ca="1" si="118"/>
        <v>3.3583333333333334</v>
      </c>
      <c r="G3776">
        <f t="shared" ca="1" si="119"/>
        <v>0</v>
      </c>
    </row>
    <row r="3777" spans="1:7">
      <c r="A3777">
        <v>3509</v>
      </c>
      <c r="B3777" t="s">
        <v>32</v>
      </c>
      <c r="C3777" t="s">
        <v>129</v>
      </c>
      <c r="D3777" s="9">
        <v>40805.835543981484</v>
      </c>
      <c r="E3777" t="s">
        <v>99</v>
      </c>
      <c r="F3777">
        <f t="shared" ca="1" si="118"/>
        <v>3.3611111111111112</v>
      </c>
      <c r="G3777">
        <f t="shared" ca="1" si="119"/>
        <v>0</v>
      </c>
    </row>
    <row r="3778" spans="1:7">
      <c r="A3778">
        <v>3510</v>
      </c>
      <c r="B3778" t="s">
        <v>111</v>
      </c>
      <c r="C3778" t="s">
        <v>129</v>
      </c>
      <c r="D3778" s="9">
        <v>40807.818391203706</v>
      </c>
      <c r="E3778" t="s">
        <v>20</v>
      </c>
      <c r="F3778">
        <f t="shared" ca="1" si="118"/>
        <v>3.3555555555555556</v>
      </c>
      <c r="G3778">
        <f t="shared" ca="1" si="119"/>
        <v>0</v>
      </c>
    </row>
    <row r="3779" spans="1:7">
      <c r="A3779">
        <v>3516</v>
      </c>
      <c r="B3779" t="s">
        <v>20</v>
      </c>
      <c r="C3779" t="s">
        <v>129</v>
      </c>
      <c r="D3779" s="9">
        <v>40807.78634259259</v>
      </c>
      <c r="E3779" t="s">
        <v>38</v>
      </c>
      <c r="F3779">
        <f t="shared" ca="1" si="118"/>
        <v>3.3555555555555556</v>
      </c>
      <c r="G3779">
        <f t="shared" ca="1" si="119"/>
        <v>0</v>
      </c>
    </row>
    <row r="3780" spans="1:7">
      <c r="A3780">
        <v>3517</v>
      </c>
      <c r="B3780" t="s">
        <v>20</v>
      </c>
      <c r="C3780" t="s">
        <v>128</v>
      </c>
      <c r="D3780" s="9">
        <v>40917.870300925926</v>
      </c>
      <c r="E3780" t="s">
        <v>21</v>
      </c>
      <c r="F3780">
        <f t="shared" ca="1" si="118"/>
        <v>3.0555555555555554</v>
      </c>
      <c r="G3780">
        <f t="shared" ca="1" si="119"/>
        <v>0</v>
      </c>
    </row>
    <row r="3781" spans="1:7">
      <c r="A3781">
        <v>3519</v>
      </c>
      <c r="B3781" t="s">
        <v>99</v>
      </c>
      <c r="C3781" t="s">
        <v>129</v>
      </c>
      <c r="D3781" s="9">
        <v>40807.829976851855</v>
      </c>
      <c r="E3781" t="s">
        <v>20</v>
      </c>
      <c r="F3781">
        <f t="shared" ca="1" si="118"/>
        <v>3.3555555555555556</v>
      </c>
      <c r="G3781">
        <f t="shared" ca="1" si="119"/>
        <v>0</v>
      </c>
    </row>
    <row r="3782" spans="1:7">
      <c r="A3782">
        <v>3521</v>
      </c>
      <c r="B3782" t="s">
        <v>99</v>
      </c>
      <c r="C3782" t="s">
        <v>129</v>
      </c>
      <c r="D3782" s="9">
        <v>40808.784456018519</v>
      </c>
      <c r="E3782" t="s">
        <v>38</v>
      </c>
      <c r="F3782">
        <f t="shared" ca="1" si="118"/>
        <v>3.3527777777777779</v>
      </c>
      <c r="G3782">
        <f t="shared" ca="1" si="119"/>
        <v>0</v>
      </c>
    </row>
    <row r="3783" spans="1:7">
      <c r="A3783">
        <v>3523</v>
      </c>
      <c r="B3783" t="s">
        <v>99</v>
      </c>
      <c r="C3783" t="s">
        <v>129</v>
      </c>
      <c r="D3783" s="9">
        <v>40806.775937500002</v>
      </c>
      <c r="E3783" t="s">
        <v>21</v>
      </c>
      <c r="F3783">
        <f t="shared" ca="1" si="118"/>
        <v>3.3583333333333334</v>
      </c>
      <c r="G3783">
        <f t="shared" ca="1" si="119"/>
        <v>0</v>
      </c>
    </row>
    <row r="3784" spans="1:7">
      <c r="A3784">
        <v>3524</v>
      </c>
      <c r="B3784" t="s">
        <v>99</v>
      </c>
      <c r="C3784" t="s">
        <v>129</v>
      </c>
      <c r="D3784" s="9">
        <v>40806.711493055554</v>
      </c>
      <c r="E3784" t="s">
        <v>11</v>
      </c>
      <c r="F3784">
        <f t="shared" ca="1" si="118"/>
        <v>3.3583333333333334</v>
      </c>
      <c r="G3784">
        <f t="shared" ca="1" si="119"/>
        <v>0</v>
      </c>
    </row>
    <row r="3785" spans="1:7">
      <c r="A3785">
        <v>3526</v>
      </c>
      <c r="B3785" t="s">
        <v>111</v>
      </c>
      <c r="C3785" t="s">
        <v>129</v>
      </c>
      <c r="D3785" s="9">
        <v>40806.808622685188</v>
      </c>
      <c r="E3785" t="s">
        <v>27</v>
      </c>
      <c r="F3785">
        <f t="shared" ca="1" si="118"/>
        <v>3.3583333333333334</v>
      </c>
      <c r="G3785">
        <f t="shared" ca="1" si="119"/>
        <v>0</v>
      </c>
    </row>
    <row r="3786" spans="1:7">
      <c r="A3786">
        <v>3532</v>
      </c>
      <c r="B3786" t="s">
        <v>99</v>
      </c>
      <c r="C3786" t="s">
        <v>129</v>
      </c>
      <c r="D3786" s="9">
        <v>40806.660185185188</v>
      </c>
      <c r="E3786" t="s">
        <v>19</v>
      </c>
      <c r="F3786">
        <f t="shared" ca="1" si="118"/>
        <v>3.3583333333333334</v>
      </c>
      <c r="G3786">
        <f t="shared" ca="1" si="119"/>
        <v>0</v>
      </c>
    </row>
    <row r="3787" spans="1:7">
      <c r="A3787">
        <v>3533</v>
      </c>
      <c r="B3787" t="s">
        <v>111</v>
      </c>
      <c r="C3787" t="s">
        <v>129</v>
      </c>
      <c r="D3787" s="9">
        <v>40807.864675925928</v>
      </c>
      <c r="E3787" t="s">
        <v>20</v>
      </c>
      <c r="F3787">
        <f t="shared" ca="1" si="118"/>
        <v>3.3555555555555556</v>
      </c>
      <c r="G3787">
        <f t="shared" ca="1" si="119"/>
        <v>0</v>
      </c>
    </row>
    <row r="3788" spans="1:7">
      <c r="A3788">
        <v>3534</v>
      </c>
      <c r="B3788" t="s">
        <v>34</v>
      </c>
      <c r="C3788" t="s">
        <v>129</v>
      </c>
      <c r="D3788" s="9">
        <v>40806.565046296295</v>
      </c>
      <c r="E3788" t="s">
        <v>38</v>
      </c>
      <c r="F3788">
        <f t="shared" ca="1" si="118"/>
        <v>3.3583333333333334</v>
      </c>
      <c r="G3788">
        <f t="shared" ca="1" si="119"/>
        <v>0</v>
      </c>
    </row>
    <row r="3789" spans="1:7">
      <c r="A3789">
        <v>3535</v>
      </c>
      <c r="B3789" t="s">
        <v>99</v>
      </c>
      <c r="C3789" t="s">
        <v>129</v>
      </c>
      <c r="D3789" s="9">
        <v>40806.571099537039</v>
      </c>
      <c r="E3789" t="s">
        <v>19</v>
      </c>
      <c r="F3789">
        <f t="shared" ca="1" si="118"/>
        <v>3.3583333333333334</v>
      </c>
      <c r="G3789">
        <f t="shared" ca="1" si="119"/>
        <v>0</v>
      </c>
    </row>
    <row r="3790" spans="1:7">
      <c r="A3790">
        <v>3536</v>
      </c>
      <c r="B3790" t="s">
        <v>111</v>
      </c>
      <c r="C3790" t="s">
        <v>129</v>
      </c>
      <c r="D3790" s="9">
        <v>40806.669849537036</v>
      </c>
      <c r="E3790" t="s">
        <v>27</v>
      </c>
      <c r="F3790">
        <f t="shared" ca="1" si="118"/>
        <v>3.3583333333333334</v>
      </c>
      <c r="G3790">
        <f t="shared" ca="1" si="119"/>
        <v>0</v>
      </c>
    </row>
    <row r="3791" spans="1:7">
      <c r="A3791">
        <v>3537</v>
      </c>
      <c r="B3791" t="s">
        <v>99</v>
      </c>
      <c r="C3791" t="s">
        <v>129</v>
      </c>
      <c r="D3791" s="9">
        <v>40807.710162037038</v>
      </c>
      <c r="E3791" t="s">
        <v>19</v>
      </c>
      <c r="F3791">
        <f t="shared" ca="1" si="118"/>
        <v>3.3555555555555556</v>
      </c>
      <c r="G3791">
        <f t="shared" ca="1" si="119"/>
        <v>0</v>
      </c>
    </row>
    <row r="3792" spans="1:7">
      <c r="A3792">
        <v>3538</v>
      </c>
      <c r="B3792" t="s">
        <v>111</v>
      </c>
      <c r="C3792" t="s">
        <v>129</v>
      </c>
      <c r="D3792" s="9">
        <v>40806.807523148149</v>
      </c>
      <c r="E3792" t="s">
        <v>27</v>
      </c>
      <c r="F3792">
        <f t="shared" ca="1" si="118"/>
        <v>3.3583333333333334</v>
      </c>
      <c r="G3792">
        <f t="shared" ca="1" si="119"/>
        <v>0</v>
      </c>
    </row>
    <row r="3793" spans="1:7">
      <c r="A3793">
        <v>3542</v>
      </c>
      <c r="B3793" t="s">
        <v>99</v>
      </c>
      <c r="C3793" t="s">
        <v>129</v>
      </c>
      <c r="D3793" s="9">
        <v>40807.517766203702</v>
      </c>
      <c r="E3793" t="s">
        <v>8</v>
      </c>
      <c r="F3793">
        <f t="shared" ca="1" si="118"/>
        <v>3.3555555555555556</v>
      </c>
      <c r="G3793">
        <f t="shared" ca="1" si="119"/>
        <v>0</v>
      </c>
    </row>
    <row r="3794" spans="1:7">
      <c r="A3794">
        <v>3545</v>
      </c>
      <c r="B3794" t="s">
        <v>27</v>
      </c>
      <c r="C3794" t="s">
        <v>129</v>
      </c>
      <c r="D3794" s="9">
        <v>40806.424768518518</v>
      </c>
      <c r="E3794" t="s">
        <v>19</v>
      </c>
      <c r="F3794">
        <f t="shared" ca="1" si="118"/>
        <v>3.3583333333333334</v>
      </c>
      <c r="G3794">
        <f t="shared" ca="1" si="119"/>
        <v>0</v>
      </c>
    </row>
    <row r="3795" spans="1:7">
      <c r="A3795">
        <v>3547</v>
      </c>
      <c r="B3795" t="s">
        <v>32</v>
      </c>
      <c r="C3795" t="s">
        <v>129</v>
      </c>
      <c r="D3795" s="9">
        <v>40807.614155092589</v>
      </c>
      <c r="E3795" t="s">
        <v>21</v>
      </c>
      <c r="F3795">
        <f t="shared" ca="1" si="118"/>
        <v>3.3555555555555556</v>
      </c>
      <c r="G3795">
        <f t="shared" ca="1" si="119"/>
        <v>0</v>
      </c>
    </row>
    <row r="3796" spans="1:7">
      <c r="A3796">
        <v>3551</v>
      </c>
      <c r="B3796" t="s">
        <v>99</v>
      </c>
      <c r="C3796" t="s">
        <v>129</v>
      </c>
      <c r="D3796" s="9">
        <v>40808.430763888886</v>
      </c>
      <c r="E3796" t="s">
        <v>19</v>
      </c>
      <c r="F3796">
        <f t="shared" ca="1" si="118"/>
        <v>3.3527777777777779</v>
      </c>
      <c r="G3796">
        <f t="shared" ca="1" si="119"/>
        <v>0</v>
      </c>
    </row>
    <row r="3797" spans="1:7">
      <c r="A3797">
        <v>3552</v>
      </c>
      <c r="B3797" t="s">
        <v>27</v>
      </c>
      <c r="C3797" t="s">
        <v>129</v>
      </c>
      <c r="D3797" s="9">
        <v>40806.434884259259</v>
      </c>
      <c r="E3797" t="s">
        <v>19</v>
      </c>
      <c r="F3797">
        <f t="shared" ca="1" si="118"/>
        <v>3.3583333333333334</v>
      </c>
      <c r="G3797">
        <f t="shared" ca="1" si="119"/>
        <v>0</v>
      </c>
    </row>
    <row r="3798" spans="1:7">
      <c r="A3798">
        <v>3553</v>
      </c>
      <c r="B3798" t="s">
        <v>27</v>
      </c>
      <c r="C3798" t="s">
        <v>129</v>
      </c>
      <c r="D3798" s="9">
        <v>40806.52071759259</v>
      </c>
      <c r="E3798" t="s">
        <v>19</v>
      </c>
      <c r="F3798">
        <f t="shared" ca="1" si="118"/>
        <v>3.3583333333333334</v>
      </c>
      <c r="G3798">
        <f t="shared" ca="1" si="119"/>
        <v>0</v>
      </c>
    </row>
    <row r="3799" spans="1:7">
      <c r="A3799">
        <v>3554</v>
      </c>
      <c r="B3799" t="s">
        <v>32</v>
      </c>
      <c r="C3799" t="s">
        <v>129</v>
      </c>
      <c r="D3799" s="9">
        <v>40806.913888888892</v>
      </c>
      <c r="E3799" t="s">
        <v>99</v>
      </c>
      <c r="F3799">
        <f t="shared" ca="1" si="118"/>
        <v>3.3583333333333334</v>
      </c>
      <c r="G3799">
        <f t="shared" ca="1" si="119"/>
        <v>0</v>
      </c>
    </row>
    <row r="3800" spans="1:7">
      <c r="A3800">
        <v>3555</v>
      </c>
      <c r="B3800" t="s">
        <v>99</v>
      </c>
      <c r="C3800" t="s">
        <v>129</v>
      </c>
      <c r="D3800" s="9">
        <v>40807.588807870372</v>
      </c>
      <c r="E3800" t="s">
        <v>37</v>
      </c>
      <c r="F3800">
        <f t="shared" ca="1" si="118"/>
        <v>3.3555555555555556</v>
      </c>
      <c r="G3800">
        <f t="shared" ca="1" si="119"/>
        <v>0</v>
      </c>
    </row>
    <row r="3801" spans="1:7">
      <c r="A3801">
        <v>3557</v>
      </c>
      <c r="B3801" t="s">
        <v>99</v>
      </c>
      <c r="C3801" t="s">
        <v>129</v>
      </c>
      <c r="D3801" s="9">
        <v>40807.685659722221</v>
      </c>
      <c r="E3801" t="s">
        <v>19</v>
      </c>
      <c r="F3801">
        <f t="shared" ca="1" si="118"/>
        <v>3.3555555555555556</v>
      </c>
      <c r="G3801">
        <f t="shared" ca="1" si="119"/>
        <v>0</v>
      </c>
    </row>
    <row r="3802" spans="1:7">
      <c r="A3802">
        <v>3560</v>
      </c>
      <c r="B3802" t="s">
        <v>8</v>
      </c>
      <c r="C3802" t="s">
        <v>129</v>
      </c>
      <c r="D3802" s="9">
        <v>40805.784259259257</v>
      </c>
      <c r="E3802" t="s">
        <v>99</v>
      </c>
      <c r="F3802">
        <f t="shared" ca="1" si="118"/>
        <v>3.3611111111111112</v>
      </c>
      <c r="G3802">
        <f t="shared" ca="1" si="119"/>
        <v>0</v>
      </c>
    </row>
    <row r="3803" spans="1:7">
      <c r="A3803">
        <v>3561</v>
      </c>
      <c r="B3803" t="s">
        <v>99</v>
      </c>
      <c r="C3803" t="s">
        <v>129</v>
      </c>
      <c r="D3803" s="9">
        <v>40807.52449074074</v>
      </c>
      <c r="E3803" t="s">
        <v>19</v>
      </c>
      <c r="F3803">
        <f t="shared" ca="1" si="118"/>
        <v>3.3555555555555556</v>
      </c>
      <c r="G3803">
        <f t="shared" ca="1" si="119"/>
        <v>0</v>
      </c>
    </row>
    <row r="3804" spans="1:7">
      <c r="A3804">
        <v>3563</v>
      </c>
      <c r="B3804" t="s">
        <v>54</v>
      </c>
      <c r="C3804" t="s">
        <v>129</v>
      </c>
      <c r="D3804" s="9">
        <v>40805.840567129628</v>
      </c>
      <c r="E3804" t="s">
        <v>32</v>
      </c>
      <c r="F3804">
        <f t="shared" ca="1" si="118"/>
        <v>3.3611111111111112</v>
      </c>
      <c r="G3804">
        <f t="shared" ca="1" si="119"/>
        <v>0</v>
      </c>
    </row>
    <row r="3805" spans="1:7">
      <c r="A3805">
        <v>3564</v>
      </c>
      <c r="B3805" t="s">
        <v>99</v>
      </c>
      <c r="C3805" t="s">
        <v>129</v>
      </c>
      <c r="D3805" s="9">
        <v>40806.690532407411</v>
      </c>
      <c r="E3805" t="s">
        <v>37</v>
      </c>
      <c r="F3805">
        <f t="shared" ca="1" si="118"/>
        <v>3.3583333333333334</v>
      </c>
      <c r="G3805">
        <f t="shared" ca="1" si="119"/>
        <v>0</v>
      </c>
    </row>
    <row r="3806" spans="1:7">
      <c r="A3806">
        <v>3566</v>
      </c>
      <c r="B3806" t="s">
        <v>111</v>
      </c>
      <c r="C3806" t="s">
        <v>129</v>
      </c>
      <c r="D3806" s="9">
        <v>40806.414386574077</v>
      </c>
      <c r="E3806" t="s">
        <v>143</v>
      </c>
      <c r="F3806">
        <f t="shared" ca="1" si="118"/>
        <v>3.3583333333333334</v>
      </c>
      <c r="G3806">
        <f t="shared" ca="1" si="119"/>
        <v>0</v>
      </c>
    </row>
    <row r="3807" spans="1:7">
      <c r="A3807">
        <v>3568</v>
      </c>
      <c r="B3807" t="s">
        <v>99</v>
      </c>
      <c r="C3807" t="s">
        <v>129</v>
      </c>
      <c r="D3807" s="9">
        <v>40806.587442129632</v>
      </c>
      <c r="E3807" t="s">
        <v>19</v>
      </c>
      <c r="F3807">
        <f t="shared" ca="1" si="118"/>
        <v>3.3583333333333334</v>
      </c>
      <c r="G3807">
        <f t="shared" ca="1" si="119"/>
        <v>0</v>
      </c>
    </row>
    <row r="3808" spans="1:7">
      <c r="A3808">
        <v>3569</v>
      </c>
      <c r="B3808" t="s">
        <v>111</v>
      </c>
      <c r="C3808" t="s">
        <v>129</v>
      </c>
      <c r="D3808" s="9">
        <v>40807.709363425929</v>
      </c>
      <c r="E3808" t="s">
        <v>8</v>
      </c>
      <c r="F3808">
        <f t="shared" ca="1" si="118"/>
        <v>3.3555555555555556</v>
      </c>
      <c r="G3808">
        <f t="shared" ca="1" si="119"/>
        <v>0</v>
      </c>
    </row>
    <row r="3809" spans="1:7">
      <c r="A3809">
        <v>3571</v>
      </c>
      <c r="B3809" t="s">
        <v>99</v>
      </c>
      <c r="C3809" t="s">
        <v>129</v>
      </c>
      <c r="D3809" s="9">
        <v>40806.935347222221</v>
      </c>
      <c r="E3809" t="s">
        <v>11</v>
      </c>
      <c r="F3809">
        <f t="shared" ca="1" si="118"/>
        <v>3.3583333333333334</v>
      </c>
      <c r="G3809">
        <f t="shared" ca="1" si="119"/>
        <v>0</v>
      </c>
    </row>
    <row r="3810" spans="1:7">
      <c r="A3810">
        <v>3572</v>
      </c>
      <c r="B3810" t="s">
        <v>34</v>
      </c>
      <c r="C3810" t="s">
        <v>128</v>
      </c>
      <c r="D3810" s="9">
        <v>40918.715011574073</v>
      </c>
      <c r="E3810" t="s">
        <v>27</v>
      </c>
      <c r="F3810">
        <f t="shared" ca="1" si="118"/>
        <v>3.0527777777777776</v>
      </c>
      <c r="G3810">
        <f t="shared" ca="1" si="119"/>
        <v>0</v>
      </c>
    </row>
    <row r="3811" spans="1:7">
      <c r="A3811">
        <v>3574</v>
      </c>
      <c r="B3811" t="s">
        <v>20</v>
      </c>
      <c r="C3811" t="s">
        <v>129</v>
      </c>
      <c r="D3811" s="9">
        <v>40805.647546296299</v>
      </c>
      <c r="E3811" t="s">
        <v>143</v>
      </c>
      <c r="F3811">
        <f t="shared" ca="1" si="118"/>
        <v>3.3611111111111112</v>
      </c>
      <c r="G3811">
        <f t="shared" ca="1" si="119"/>
        <v>0</v>
      </c>
    </row>
    <row r="3812" spans="1:7">
      <c r="A3812">
        <v>3576</v>
      </c>
      <c r="B3812" t="s">
        <v>32</v>
      </c>
      <c r="C3812" t="s">
        <v>129</v>
      </c>
      <c r="D3812" s="9">
        <v>40807.692245370374</v>
      </c>
      <c r="E3812" t="s">
        <v>11</v>
      </c>
      <c r="F3812">
        <f t="shared" ca="1" si="118"/>
        <v>3.3555555555555556</v>
      </c>
      <c r="G3812">
        <f t="shared" ca="1" si="119"/>
        <v>0</v>
      </c>
    </row>
    <row r="3813" spans="1:7">
      <c r="A3813">
        <v>3577</v>
      </c>
      <c r="B3813" t="s">
        <v>49</v>
      </c>
      <c r="C3813" t="s">
        <v>129</v>
      </c>
      <c r="D3813" s="9">
        <v>40806.651365740741</v>
      </c>
      <c r="E3813" t="s">
        <v>99</v>
      </c>
      <c r="F3813">
        <f t="shared" ca="1" si="118"/>
        <v>3.3583333333333334</v>
      </c>
      <c r="G3813">
        <f t="shared" ca="1" si="119"/>
        <v>0</v>
      </c>
    </row>
    <row r="3814" spans="1:7">
      <c r="A3814">
        <v>3578</v>
      </c>
      <c r="B3814" t="s">
        <v>49</v>
      </c>
      <c r="C3814" t="s">
        <v>129</v>
      </c>
      <c r="D3814" s="9">
        <v>40806.800219907411</v>
      </c>
      <c r="E3814" t="s">
        <v>99</v>
      </c>
      <c r="F3814">
        <f t="shared" ca="1" si="118"/>
        <v>3.3583333333333334</v>
      </c>
      <c r="G3814">
        <f t="shared" ca="1" si="119"/>
        <v>0</v>
      </c>
    </row>
    <row r="3815" spans="1:7">
      <c r="A3815">
        <v>3579</v>
      </c>
      <c r="B3815" t="s">
        <v>49</v>
      </c>
      <c r="C3815" t="s">
        <v>129</v>
      </c>
      <c r="D3815" s="9">
        <v>40806.799664351849</v>
      </c>
      <c r="E3815" t="s">
        <v>99</v>
      </c>
      <c r="F3815">
        <f t="shared" ca="1" si="118"/>
        <v>3.3583333333333334</v>
      </c>
      <c r="G3815">
        <f t="shared" ca="1" si="119"/>
        <v>0</v>
      </c>
    </row>
    <row r="3816" spans="1:7">
      <c r="A3816">
        <v>3580</v>
      </c>
      <c r="B3816" t="s">
        <v>49</v>
      </c>
      <c r="C3816" t="s">
        <v>129</v>
      </c>
      <c r="D3816" s="9">
        <v>40806.694062499999</v>
      </c>
      <c r="E3816" t="s">
        <v>99</v>
      </c>
      <c r="F3816">
        <f t="shared" ca="1" si="118"/>
        <v>3.3583333333333334</v>
      </c>
      <c r="G3816">
        <f t="shared" ca="1" si="119"/>
        <v>0</v>
      </c>
    </row>
    <row r="3817" spans="1:7">
      <c r="A3817">
        <v>3581</v>
      </c>
      <c r="B3817" t="s">
        <v>19</v>
      </c>
      <c r="C3817" t="s">
        <v>129</v>
      </c>
      <c r="D3817" s="9">
        <v>40805.784699074073</v>
      </c>
      <c r="E3817" t="s">
        <v>99</v>
      </c>
      <c r="F3817">
        <f t="shared" ca="1" si="118"/>
        <v>3.3611111111111112</v>
      </c>
      <c r="G3817">
        <f t="shared" ca="1" si="119"/>
        <v>0</v>
      </c>
    </row>
    <row r="3818" spans="1:7">
      <c r="A3818">
        <v>3582</v>
      </c>
      <c r="B3818" t="s">
        <v>111</v>
      </c>
      <c r="C3818" t="s">
        <v>128</v>
      </c>
      <c r="D3818" s="9">
        <v>40918.844930555555</v>
      </c>
      <c r="E3818" t="s">
        <v>27</v>
      </c>
      <c r="F3818">
        <f t="shared" ca="1" si="118"/>
        <v>3.0527777777777776</v>
      </c>
      <c r="G3818">
        <f t="shared" ca="1" si="119"/>
        <v>0</v>
      </c>
    </row>
    <row r="3819" spans="1:7">
      <c r="A3819">
        <v>3587</v>
      </c>
      <c r="B3819" t="s">
        <v>99</v>
      </c>
      <c r="C3819" t="s">
        <v>129</v>
      </c>
      <c r="D3819" s="9">
        <v>40806.621006944442</v>
      </c>
      <c r="E3819" t="s">
        <v>19</v>
      </c>
      <c r="F3819">
        <f t="shared" ca="1" si="118"/>
        <v>3.3583333333333334</v>
      </c>
      <c r="G3819">
        <f t="shared" ca="1" si="119"/>
        <v>0</v>
      </c>
    </row>
    <row r="3820" spans="1:7">
      <c r="A3820">
        <v>3590</v>
      </c>
      <c r="B3820" t="s">
        <v>99</v>
      </c>
      <c r="C3820" t="s">
        <v>129</v>
      </c>
      <c r="D3820" s="9">
        <v>40807.661678240744</v>
      </c>
      <c r="E3820" t="s">
        <v>21</v>
      </c>
      <c r="F3820">
        <f t="shared" ca="1" si="118"/>
        <v>3.3555555555555556</v>
      </c>
      <c r="G3820">
        <f t="shared" ca="1" si="119"/>
        <v>0</v>
      </c>
    </row>
    <row r="3821" spans="1:7">
      <c r="A3821">
        <v>3592</v>
      </c>
      <c r="B3821" t="s">
        <v>111</v>
      </c>
      <c r="C3821" t="s">
        <v>129</v>
      </c>
      <c r="D3821" s="9">
        <v>40807.81627314815</v>
      </c>
      <c r="E3821" t="s">
        <v>20</v>
      </c>
      <c r="F3821">
        <f t="shared" ca="1" si="118"/>
        <v>3.3555555555555556</v>
      </c>
      <c r="G3821">
        <f t="shared" ca="1" si="119"/>
        <v>0</v>
      </c>
    </row>
    <row r="3822" spans="1:7">
      <c r="A3822">
        <v>3593</v>
      </c>
      <c r="B3822" t="s">
        <v>111</v>
      </c>
      <c r="C3822" t="s">
        <v>129</v>
      </c>
      <c r="D3822" s="9">
        <v>40807.712939814817</v>
      </c>
      <c r="E3822" t="s">
        <v>11</v>
      </c>
      <c r="F3822">
        <f t="shared" ca="1" si="118"/>
        <v>3.3555555555555556</v>
      </c>
      <c r="G3822">
        <f t="shared" ca="1" si="119"/>
        <v>0</v>
      </c>
    </row>
    <row r="3823" spans="1:7">
      <c r="A3823">
        <v>3594</v>
      </c>
      <c r="B3823" t="s">
        <v>19</v>
      </c>
      <c r="C3823" t="s">
        <v>129</v>
      </c>
      <c r="D3823" s="9">
        <v>40806.658148148148</v>
      </c>
      <c r="E3823" t="s">
        <v>27</v>
      </c>
      <c r="F3823">
        <f t="shared" ref="F3823:F3886" ca="1" si="120">YEARFRAC(TODAY(),$D3823)</f>
        <v>3.3583333333333334</v>
      </c>
      <c r="G3823">
        <f t="shared" ref="G3823:G3886" ca="1" si="121">IF($F3823&lt;1,1,0)</f>
        <v>0</v>
      </c>
    </row>
    <row r="3824" spans="1:7">
      <c r="A3824">
        <v>3599</v>
      </c>
      <c r="B3824" t="s">
        <v>21</v>
      </c>
      <c r="C3824" t="s">
        <v>128</v>
      </c>
      <c r="D3824" s="9">
        <v>40918.869768518518</v>
      </c>
      <c r="E3824" t="s">
        <v>32</v>
      </c>
      <c r="F3824">
        <f t="shared" ca="1" si="120"/>
        <v>3.0527777777777776</v>
      </c>
      <c r="G3824">
        <f t="shared" ca="1" si="121"/>
        <v>0</v>
      </c>
    </row>
    <row r="3825" spans="1:7">
      <c r="A3825">
        <v>3601</v>
      </c>
      <c r="B3825" t="s">
        <v>11</v>
      </c>
      <c r="C3825" t="s">
        <v>129</v>
      </c>
      <c r="D3825" s="9">
        <v>40805.697847222225</v>
      </c>
      <c r="E3825" t="s">
        <v>111</v>
      </c>
      <c r="F3825">
        <f t="shared" ca="1" si="120"/>
        <v>3.3611111111111112</v>
      </c>
      <c r="G3825">
        <f t="shared" ca="1" si="121"/>
        <v>0</v>
      </c>
    </row>
    <row r="3826" spans="1:7">
      <c r="A3826">
        <v>3604</v>
      </c>
      <c r="B3826" t="s">
        <v>20</v>
      </c>
      <c r="C3826" t="s">
        <v>129</v>
      </c>
      <c r="D3826" s="9">
        <v>40805.624930555554</v>
      </c>
      <c r="E3826" t="s">
        <v>32</v>
      </c>
      <c r="F3826">
        <f t="shared" ca="1" si="120"/>
        <v>3.3611111111111112</v>
      </c>
      <c r="G3826">
        <f t="shared" ca="1" si="121"/>
        <v>0</v>
      </c>
    </row>
    <row r="3827" spans="1:7">
      <c r="A3827">
        <v>3605</v>
      </c>
      <c r="B3827" t="s">
        <v>99</v>
      </c>
      <c r="C3827" t="s">
        <v>129</v>
      </c>
      <c r="D3827" s="9">
        <v>40806.604826388888</v>
      </c>
      <c r="E3827" t="s">
        <v>27</v>
      </c>
      <c r="F3827">
        <f t="shared" ca="1" si="120"/>
        <v>3.3583333333333334</v>
      </c>
      <c r="G3827">
        <f t="shared" ca="1" si="121"/>
        <v>0</v>
      </c>
    </row>
    <row r="3828" spans="1:7">
      <c r="A3828">
        <v>3609</v>
      </c>
      <c r="B3828" t="s">
        <v>20</v>
      </c>
      <c r="C3828" t="s">
        <v>129</v>
      </c>
      <c r="D3828" s="9">
        <v>40805.590914351851</v>
      </c>
      <c r="E3828" t="s">
        <v>32</v>
      </c>
      <c r="F3828">
        <f t="shared" ca="1" si="120"/>
        <v>3.3611111111111112</v>
      </c>
      <c r="G3828">
        <f t="shared" ca="1" si="121"/>
        <v>0</v>
      </c>
    </row>
    <row r="3829" spans="1:7">
      <c r="A3829">
        <v>3610</v>
      </c>
      <c r="B3829" t="s">
        <v>99</v>
      </c>
      <c r="C3829" t="s">
        <v>129</v>
      </c>
      <c r="D3829" s="9">
        <v>40806.773576388892</v>
      </c>
      <c r="E3829" t="s">
        <v>27</v>
      </c>
      <c r="F3829">
        <f t="shared" ca="1" si="120"/>
        <v>3.3583333333333334</v>
      </c>
      <c r="G3829">
        <f t="shared" ca="1" si="121"/>
        <v>0</v>
      </c>
    </row>
    <row r="3830" spans="1:7">
      <c r="A3830">
        <v>3611</v>
      </c>
      <c r="B3830" t="s">
        <v>19</v>
      </c>
      <c r="C3830" t="s">
        <v>129</v>
      </c>
      <c r="D3830" s="9">
        <v>40805.690115740741</v>
      </c>
      <c r="E3830" t="s">
        <v>99</v>
      </c>
      <c r="F3830">
        <f t="shared" ca="1" si="120"/>
        <v>3.3611111111111112</v>
      </c>
      <c r="G3830">
        <f t="shared" ca="1" si="121"/>
        <v>0</v>
      </c>
    </row>
    <row r="3831" spans="1:7">
      <c r="A3831">
        <v>3612</v>
      </c>
      <c r="B3831" t="s">
        <v>20</v>
      </c>
      <c r="C3831" t="s">
        <v>129</v>
      </c>
      <c r="D3831" s="9">
        <v>40805.840694444443</v>
      </c>
      <c r="E3831" t="s">
        <v>99</v>
      </c>
      <c r="F3831">
        <f t="shared" ca="1" si="120"/>
        <v>3.3611111111111112</v>
      </c>
      <c r="G3831">
        <f t="shared" ca="1" si="121"/>
        <v>0</v>
      </c>
    </row>
    <row r="3832" spans="1:7">
      <c r="A3832">
        <v>3613</v>
      </c>
      <c r="B3832" t="s">
        <v>8</v>
      </c>
      <c r="C3832" t="s">
        <v>129</v>
      </c>
      <c r="D3832" s="9">
        <v>40807.644050925926</v>
      </c>
      <c r="E3832" t="s">
        <v>37</v>
      </c>
      <c r="F3832">
        <f t="shared" ca="1" si="120"/>
        <v>3.3555555555555556</v>
      </c>
      <c r="G3832">
        <f t="shared" ca="1" si="121"/>
        <v>0</v>
      </c>
    </row>
    <row r="3833" spans="1:7">
      <c r="A3833">
        <v>3614</v>
      </c>
      <c r="B3833" t="s">
        <v>8</v>
      </c>
      <c r="C3833" t="s">
        <v>128</v>
      </c>
      <c r="D3833" s="9">
        <v>40919.451527777775</v>
      </c>
      <c r="E3833" t="s">
        <v>44</v>
      </c>
      <c r="F3833">
        <f t="shared" ca="1" si="120"/>
        <v>3.05</v>
      </c>
      <c r="G3833">
        <f t="shared" ca="1" si="121"/>
        <v>0</v>
      </c>
    </row>
    <row r="3834" spans="1:7">
      <c r="A3834">
        <v>3615</v>
      </c>
      <c r="B3834" t="s">
        <v>99</v>
      </c>
      <c r="C3834" t="s">
        <v>129</v>
      </c>
      <c r="D3834" s="9">
        <v>40806.545254629629</v>
      </c>
      <c r="E3834" t="s">
        <v>19</v>
      </c>
      <c r="F3834">
        <f t="shared" ca="1" si="120"/>
        <v>3.3583333333333334</v>
      </c>
      <c r="G3834">
        <f t="shared" ca="1" si="121"/>
        <v>0</v>
      </c>
    </row>
    <row r="3835" spans="1:7">
      <c r="A3835">
        <v>3616</v>
      </c>
      <c r="B3835" t="s">
        <v>27</v>
      </c>
      <c r="C3835" t="s">
        <v>129</v>
      </c>
      <c r="D3835" s="9">
        <v>40805.754189814812</v>
      </c>
      <c r="E3835" t="s">
        <v>19</v>
      </c>
      <c r="F3835">
        <f t="shared" ca="1" si="120"/>
        <v>3.3611111111111112</v>
      </c>
      <c r="G3835">
        <f t="shared" ca="1" si="121"/>
        <v>0</v>
      </c>
    </row>
    <row r="3836" spans="1:7">
      <c r="A3836">
        <v>3617</v>
      </c>
      <c r="B3836" t="s">
        <v>44</v>
      </c>
      <c r="C3836" t="s">
        <v>128</v>
      </c>
      <c r="D3836" s="9">
        <v>40920.782905092594</v>
      </c>
      <c r="E3836" t="s">
        <v>27</v>
      </c>
      <c r="F3836">
        <f t="shared" ca="1" si="120"/>
        <v>3.0472222222222221</v>
      </c>
      <c r="G3836">
        <f t="shared" ca="1" si="121"/>
        <v>0</v>
      </c>
    </row>
    <row r="3837" spans="1:7">
      <c r="A3837">
        <v>3622</v>
      </c>
      <c r="B3837" t="s">
        <v>21</v>
      </c>
      <c r="C3837" t="s">
        <v>128</v>
      </c>
      <c r="D3837" s="9">
        <v>40928.827673611115</v>
      </c>
      <c r="E3837" t="s">
        <v>32</v>
      </c>
      <c r="F3837">
        <f t="shared" ca="1" si="120"/>
        <v>3.0249999999999999</v>
      </c>
      <c r="G3837">
        <f t="shared" ca="1" si="121"/>
        <v>0</v>
      </c>
    </row>
    <row r="3838" spans="1:7">
      <c r="A3838">
        <v>3628</v>
      </c>
      <c r="B3838" t="s">
        <v>111</v>
      </c>
      <c r="C3838" t="s">
        <v>129</v>
      </c>
      <c r="D3838" s="9">
        <v>40806.668414351851</v>
      </c>
      <c r="E3838" t="s">
        <v>27</v>
      </c>
      <c r="F3838">
        <f t="shared" ca="1" si="120"/>
        <v>3.3583333333333334</v>
      </c>
      <c r="G3838">
        <f t="shared" ca="1" si="121"/>
        <v>0</v>
      </c>
    </row>
    <row r="3839" spans="1:7">
      <c r="A3839">
        <v>3629</v>
      </c>
      <c r="B3839" t="s">
        <v>32</v>
      </c>
      <c r="C3839" t="s">
        <v>129</v>
      </c>
      <c r="D3839" s="9">
        <v>40807.664965277778</v>
      </c>
      <c r="E3839" t="s">
        <v>27</v>
      </c>
      <c r="F3839">
        <f t="shared" ca="1" si="120"/>
        <v>3.3555555555555556</v>
      </c>
      <c r="G3839">
        <f t="shared" ca="1" si="121"/>
        <v>0</v>
      </c>
    </row>
    <row r="3840" spans="1:7">
      <c r="A3840">
        <v>3634</v>
      </c>
      <c r="B3840" t="s">
        <v>20</v>
      </c>
      <c r="C3840" t="s">
        <v>129</v>
      </c>
      <c r="D3840" s="9">
        <v>40806.641967592594</v>
      </c>
      <c r="E3840" t="s">
        <v>27</v>
      </c>
      <c r="F3840">
        <f t="shared" ca="1" si="120"/>
        <v>3.3583333333333334</v>
      </c>
      <c r="G3840">
        <f t="shared" ca="1" si="121"/>
        <v>0</v>
      </c>
    </row>
    <row r="3841" spans="1:7">
      <c r="A3841">
        <v>3636</v>
      </c>
      <c r="B3841" t="s">
        <v>32</v>
      </c>
      <c r="C3841" t="s">
        <v>129</v>
      </c>
      <c r="D3841" s="9">
        <v>40805.6016087963</v>
      </c>
      <c r="E3841" t="s">
        <v>34</v>
      </c>
      <c r="F3841">
        <f t="shared" ca="1" si="120"/>
        <v>3.3611111111111112</v>
      </c>
      <c r="G3841">
        <f t="shared" ca="1" si="121"/>
        <v>0</v>
      </c>
    </row>
    <row r="3842" spans="1:7">
      <c r="A3842">
        <v>3637</v>
      </c>
      <c r="B3842" t="s">
        <v>30</v>
      </c>
      <c r="C3842" t="s">
        <v>123</v>
      </c>
      <c r="D3842" s="9">
        <v>41299.835081018522</v>
      </c>
      <c r="E3842" t="s">
        <v>38</v>
      </c>
      <c r="F3842">
        <f t="shared" ca="1" si="120"/>
        <v>2.0111111111111111</v>
      </c>
      <c r="G3842">
        <f t="shared" ca="1" si="121"/>
        <v>0</v>
      </c>
    </row>
    <row r="3843" spans="1:7">
      <c r="A3843">
        <v>3639</v>
      </c>
      <c r="B3843" t="s">
        <v>49</v>
      </c>
      <c r="C3843" t="s">
        <v>128</v>
      </c>
      <c r="D3843" s="9">
        <v>40920.693379629629</v>
      </c>
      <c r="E3843" t="s">
        <v>99</v>
      </c>
      <c r="F3843">
        <f t="shared" ca="1" si="120"/>
        <v>3.0472222222222221</v>
      </c>
      <c r="G3843">
        <f t="shared" ca="1" si="121"/>
        <v>0</v>
      </c>
    </row>
    <row r="3844" spans="1:7">
      <c r="A3844">
        <v>3640</v>
      </c>
      <c r="B3844" t="s">
        <v>27</v>
      </c>
      <c r="C3844" t="s">
        <v>129</v>
      </c>
      <c r="D3844" s="9">
        <v>40807.868483796294</v>
      </c>
      <c r="E3844" t="s">
        <v>38</v>
      </c>
      <c r="F3844">
        <f t="shared" ca="1" si="120"/>
        <v>3.3555555555555556</v>
      </c>
      <c r="G3844">
        <f t="shared" ca="1" si="121"/>
        <v>0</v>
      </c>
    </row>
    <row r="3845" spans="1:7">
      <c r="A3845">
        <v>3645</v>
      </c>
      <c r="B3845" t="s">
        <v>32</v>
      </c>
      <c r="C3845" t="s">
        <v>129</v>
      </c>
      <c r="D3845" s="9">
        <v>40806.711469907408</v>
      </c>
      <c r="E3845" t="s">
        <v>21</v>
      </c>
      <c r="F3845">
        <f t="shared" ca="1" si="120"/>
        <v>3.3583333333333334</v>
      </c>
      <c r="G3845">
        <f t="shared" ca="1" si="121"/>
        <v>0</v>
      </c>
    </row>
    <row r="3846" spans="1:7">
      <c r="A3846">
        <v>3650</v>
      </c>
      <c r="B3846" t="s">
        <v>111</v>
      </c>
      <c r="C3846" t="s">
        <v>129</v>
      </c>
      <c r="D3846" s="9">
        <v>40807.699097222219</v>
      </c>
      <c r="E3846" t="s">
        <v>8</v>
      </c>
      <c r="F3846">
        <f t="shared" ca="1" si="120"/>
        <v>3.3555555555555556</v>
      </c>
      <c r="G3846">
        <f t="shared" ca="1" si="121"/>
        <v>0</v>
      </c>
    </row>
    <row r="3847" spans="1:7">
      <c r="A3847">
        <v>3652</v>
      </c>
      <c r="B3847" t="s">
        <v>99</v>
      </c>
      <c r="C3847" t="s">
        <v>129</v>
      </c>
      <c r="D3847" s="9">
        <v>40805.897835648146</v>
      </c>
      <c r="E3847" t="s">
        <v>11</v>
      </c>
      <c r="F3847">
        <f t="shared" ca="1" si="120"/>
        <v>3.3611111111111112</v>
      </c>
      <c r="G3847">
        <f t="shared" ca="1" si="121"/>
        <v>0</v>
      </c>
    </row>
    <row r="3848" spans="1:7">
      <c r="A3848">
        <v>3659</v>
      </c>
      <c r="B3848" t="s">
        <v>36</v>
      </c>
      <c r="C3848" t="s">
        <v>128</v>
      </c>
      <c r="D3848" s="9">
        <v>40918.705335648148</v>
      </c>
      <c r="E3848" t="s">
        <v>21</v>
      </c>
      <c r="F3848">
        <f t="shared" ca="1" si="120"/>
        <v>3.0527777777777776</v>
      </c>
      <c r="G3848">
        <f t="shared" ca="1" si="121"/>
        <v>0</v>
      </c>
    </row>
    <row r="3849" spans="1:7">
      <c r="A3849">
        <v>3661</v>
      </c>
      <c r="B3849" t="s">
        <v>99</v>
      </c>
      <c r="C3849" t="s">
        <v>129</v>
      </c>
      <c r="D3849" s="9">
        <v>40805.661562499998</v>
      </c>
      <c r="E3849" t="s">
        <v>27</v>
      </c>
      <c r="F3849">
        <f t="shared" ca="1" si="120"/>
        <v>3.3611111111111112</v>
      </c>
      <c r="G3849">
        <f t="shared" ca="1" si="121"/>
        <v>0</v>
      </c>
    </row>
    <row r="3850" spans="1:7">
      <c r="A3850">
        <v>3662</v>
      </c>
      <c r="B3850" t="s">
        <v>19</v>
      </c>
      <c r="C3850" t="s">
        <v>129</v>
      </c>
      <c r="D3850" s="9">
        <v>40806.709502314814</v>
      </c>
      <c r="E3850" t="s">
        <v>27</v>
      </c>
      <c r="F3850">
        <f t="shared" ca="1" si="120"/>
        <v>3.3583333333333334</v>
      </c>
      <c r="G3850">
        <f t="shared" ca="1" si="121"/>
        <v>0</v>
      </c>
    </row>
    <row r="3851" spans="1:7">
      <c r="A3851">
        <v>3663</v>
      </c>
      <c r="B3851" t="s">
        <v>36</v>
      </c>
      <c r="C3851" t="s">
        <v>127</v>
      </c>
      <c r="D3851" s="9">
        <v>41029.800509259258</v>
      </c>
      <c r="E3851" t="s">
        <v>27</v>
      </c>
      <c r="F3851">
        <f t="shared" ca="1" si="120"/>
        <v>2.7472222222222222</v>
      </c>
      <c r="G3851">
        <f t="shared" ca="1" si="121"/>
        <v>0</v>
      </c>
    </row>
    <row r="3852" spans="1:7">
      <c r="A3852">
        <v>3664</v>
      </c>
      <c r="B3852" t="s">
        <v>49</v>
      </c>
      <c r="C3852" t="s">
        <v>127</v>
      </c>
      <c r="D3852" s="9">
        <v>41030.700972222221</v>
      </c>
      <c r="E3852" t="s">
        <v>36</v>
      </c>
      <c r="F3852">
        <f t="shared" ca="1" si="120"/>
        <v>2.7444444444444445</v>
      </c>
      <c r="G3852">
        <f t="shared" ca="1" si="121"/>
        <v>0</v>
      </c>
    </row>
    <row r="3853" spans="1:7">
      <c r="A3853">
        <v>3665</v>
      </c>
      <c r="B3853" t="s">
        <v>49</v>
      </c>
      <c r="C3853" t="s">
        <v>128</v>
      </c>
      <c r="D3853" s="9">
        <v>40920.585243055553</v>
      </c>
      <c r="E3853" t="s">
        <v>32</v>
      </c>
      <c r="F3853">
        <f t="shared" ca="1" si="120"/>
        <v>3.0472222222222221</v>
      </c>
      <c r="G3853">
        <f t="shared" ca="1" si="121"/>
        <v>0</v>
      </c>
    </row>
    <row r="3854" spans="1:7">
      <c r="A3854">
        <v>3666</v>
      </c>
      <c r="B3854" t="s">
        <v>49</v>
      </c>
      <c r="C3854" t="s">
        <v>127</v>
      </c>
      <c r="D3854" s="9">
        <v>41031.66883101852</v>
      </c>
      <c r="E3854" t="s">
        <v>99</v>
      </c>
      <c r="F3854">
        <f t="shared" ca="1" si="120"/>
        <v>2.7416666666666667</v>
      </c>
      <c r="G3854">
        <f t="shared" ca="1" si="121"/>
        <v>0</v>
      </c>
    </row>
    <row r="3855" spans="1:7">
      <c r="A3855">
        <v>3667</v>
      </c>
      <c r="B3855" t="s">
        <v>44</v>
      </c>
      <c r="C3855" t="s">
        <v>129</v>
      </c>
      <c r="D3855" s="9">
        <v>40808.424432870372</v>
      </c>
      <c r="E3855" t="s">
        <v>30</v>
      </c>
      <c r="F3855">
        <f t="shared" ca="1" si="120"/>
        <v>3.3527777777777779</v>
      </c>
      <c r="G3855">
        <f t="shared" ca="1" si="121"/>
        <v>0</v>
      </c>
    </row>
    <row r="3856" spans="1:7">
      <c r="A3856">
        <v>3668</v>
      </c>
      <c r="B3856" t="s">
        <v>143</v>
      </c>
      <c r="C3856" t="s">
        <v>128</v>
      </c>
      <c r="D3856" s="9">
        <v>40917.609479166669</v>
      </c>
      <c r="E3856" t="s">
        <v>37</v>
      </c>
      <c r="F3856">
        <f t="shared" ca="1" si="120"/>
        <v>3.0555555555555554</v>
      </c>
      <c r="G3856">
        <f t="shared" ca="1" si="121"/>
        <v>0</v>
      </c>
    </row>
    <row r="3857" spans="1:7">
      <c r="A3857">
        <v>3669</v>
      </c>
      <c r="B3857" t="s">
        <v>99</v>
      </c>
      <c r="C3857" t="s">
        <v>129</v>
      </c>
      <c r="D3857" s="9">
        <v>40805.662754629629</v>
      </c>
      <c r="E3857" t="s">
        <v>34</v>
      </c>
      <c r="F3857">
        <f t="shared" ca="1" si="120"/>
        <v>3.3611111111111112</v>
      </c>
      <c r="G3857">
        <f t="shared" ca="1" si="121"/>
        <v>0</v>
      </c>
    </row>
    <row r="3858" spans="1:7">
      <c r="A3858">
        <v>3672</v>
      </c>
      <c r="B3858" t="s">
        <v>99</v>
      </c>
      <c r="C3858" t="s">
        <v>129</v>
      </c>
      <c r="D3858" s="9">
        <v>40806.636550925927</v>
      </c>
      <c r="E3858" t="s">
        <v>19</v>
      </c>
      <c r="F3858">
        <f t="shared" ca="1" si="120"/>
        <v>3.3583333333333334</v>
      </c>
      <c r="G3858">
        <f t="shared" ca="1" si="121"/>
        <v>0</v>
      </c>
    </row>
    <row r="3859" spans="1:7">
      <c r="A3859">
        <v>3673</v>
      </c>
      <c r="B3859" t="s">
        <v>32</v>
      </c>
      <c r="C3859" t="s">
        <v>129</v>
      </c>
      <c r="D3859" s="9">
        <v>40807.922974537039</v>
      </c>
      <c r="E3859" t="s">
        <v>11</v>
      </c>
      <c r="F3859">
        <f t="shared" ca="1" si="120"/>
        <v>3.3555555555555556</v>
      </c>
      <c r="G3859">
        <f t="shared" ca="1" si="121"/>
        <v>0</v>
      </c>
    </row>
    <row r="3860" spans="1:7">
      <c r="A3860">
        <v>3674</v>
      </c>
      <c r="B3860" t="s">
        <v>32</v>
      </c>
      <c r="C3860" t="s">
        <v>126</v>
      </c>
      <c r="D3860" s="9">
        <v>41129.830601851849</v>
      </c>
      <c r="E3860" t="s">
        <v>21</v>
      </c>
      <c r="F3860">
        <f t="shared" ca="1" si="120"/>
        <v>2.4750000000000001</v>
      </c>
      <c r="G3860">
        <f t="shared" ca="1" si="121"/>
        <v>0</v>
      </c>
    </row>
    <row r="3861" spans="1:7">
      <c r="A3861">
        <v>3675</v>
      </c>
      <c r="B3861" t="s">
        <v>23</v>
      </c>
      <c r="C3861" t="s">
        <v>129</v>
      </c>
      <c r="D3861" s="9">
        <v>40807.910914351851</v>
      </c>
      <c r="E3861" t="s">
        <v>38</v>
      </c>
      <c r="F3861">
        <f t="shared" ca="1" si="120"/>
        <v>3.3555555555555556</v>
      </c>
      <c r="G3861">
        <f t="shared" ca="1" si="121"/>
        <v>0</v>
      </c>
    </row>
    <row r="3862" spans="1:7">
      <c r="A3862">
        <v>3676</v>
      </c>
      <c r="B3862" t="s">
        <v>8</v>
      </c>
      <c r="C3862" t="s">
        <v>129</v>
      </c>
      <c r="D3862" s="9">
        <v>40807.68209490741</v>
      </c>
      <c r="E3862" t="s">
        <v>11</v>
      </c>
      <c r="F3862">
        <f t="shared" ca="1" si="120"/>
        <v>3.3555555555555556</v>
      </c>
      <c r="G3862">
        <f t="shared" ca="1" si="121"/>
        <v>0</v>
      </c>
    </row>
    <row r="3863" spans="1:7">
      <c r="A3863">
        <v>3679</v>
      </c>
      <c r="B3863" t="s">
        <v>111</v>
      </c>
      <c r="C3863" t="s">
        <v>129</v>
      </c>
      <c r="D3863" s="9">
        <v>40806.655335648145</v>
      </c>
      <c r="E3863" t="s">
        <v>27</v>
      </c>
      <c r="F3863">
        <f t="shared" ca="1" si="120"/>
        <v>3.3583333333333334</v>
      </c>
      <c r="G3863">
        <f t="shared" ca="1" si="121"/>
        <v>0</v>
      </c>
    </row>
    <row r="3864" spans="1:7">
      <c r="A3864">
        <v>3680</v>
      </c>
      <c r="B3864" t="s">
        <v>8</v>
      </c>
      <c r="C3864" t="s">
        <v>129</v>
      </c>
      <c r="D3864" s="9">
        <v>40794.700011574074</v>
      </c>
      <c r="E3864" t="s">
        <v>36</v>
      </c>
      <c r="F3864">
        <f t="shared" ca="1" si="120"/>
        <v>3.3916666666666666</v>
      </c>
      <c r="G3864">
        <f t="shared" ca="1" si="121"/>
        <v>0</v>
      </c>
    </row>
    <row r="3865" spans="1:7">
      <c r="A3865">
        <v>3682</v>
      </c>
      <c r="B3865" t="s">
        <v>32</v>
      </c>
      <c r="C3865" t="s">
        <v>129</v>
      </c>
      <c r="D3865" s="9">
        <v>40807.412002314813</v>
      </c>
      <c r="E3865" t="s">
        <v>34</v>
      </c>
      <c r="F3865">
        <f t="shared" ca="1" si="120"/>
        <v>3.3555555555555556</v>
      </c>
      <c r="G3865">
        <f t="shared" ca="1" si="121"/>
        <v>0</v>
      </c>
    </row>
    <row r="3866" spans="1:7">
      <c r="A3866">
        <v>3686</v>
      </c>
      <c r="B3866" t="s">
        <v>32</v>
      </c>
      <c r="C3866" t="s">
        <v>128</v>
      </c>
      <c r="D3866" s="9">
        <v>40926.690729166665</v>
      </c>
      <c r="E3866" t="s">
        <v>64</v>
      </c>
      <c r="F3866">
        <f t="shared" ca="1" si="120"/>
        <v>3.0305555555555554</v>
      </c>
      <c r="G3866">
        <f t="shared" ca="1" si="121"/>
        <v>0</v>
      </c>
    </row>
    <row r="3867" spans="1:7">
      <c r="A3867">
        <v>3691</v>
      </c>
      <c r="B3867" t="s">
        <v>34</v>
      </c>
      <c r="C3867" t="s">
        <v>128</v>
      </c>
      <c r="D3867" s="9">
        <v>40917.897986111115</v>
      </c>
      <c r="E3867" t="s">
        <v>27</v>
      </c>
      <c r="F3867">
        <f t="shared" ca="1" si="120"/>
        <v>3.0555555555555554</v>
      </c>
      <c r="G3867">
        <f t="shared" ca="1" si="121"/>
        <v>0</v>
      </c>
    </row>
    <row r="3868" spans="1:7">
      <c r="A3868">
        <v>3692</v>
      </c>
      <c r="B3868" t="s">
        <v>30</v>
      </c>
      <c r="C3868" t="s">
        <v>122</v>
      </c>
      <c r="D3868" s="9">
        <v>41410.943182870367</v>
      </c>
      <c r="E3868" t="s">
        <v>24</v>
      </c>
      <c r="F3868">
        <f t="shared" ca="1" si="120"/>
        <v>1.7027777777777777</v>
      </c>
      <c r="G3868">
        <f t="shared" ca="1" si="121"/>
        <v>0</v>
      </c>
    </row>
    <row r="3869" spans="1:7">
      <c r="A3869">
        <v>3696</v>
      </c>
      <c r="B3869" t="s">
        <v>21</v>
      </c>
      <c r="C3869" t="s">
        <v>128</v>
      </c>
      <c r="D3869" s="9">
        <v>40918.553576388891</v>
      </c>
      <c r="E3869" t="s">
        <v>32</v>
      </c>
      <c r="F3869">
        <f t="shared" ca="1" si="120"/>
        <v>3.0527777777777776</v>
      </c>
      <c r="G3869">
        <f t="shared" ca="1" si="121"/>
        <v>0</v>
      </c>
    </row>
    <row r="3870" spans="1:7">
      <c r="A3870">
        <v>3698</v>
      </c>
      <c r="B3870" t="s">
        <v>11</v>
      </c>
      <c r="C3870" t="s">
        <v>129</v>
      </c>
      <c r="D3870" s="9">
        <v>40806.625891203701</v>
      </c>
      <c r="E3870" t="s">
        <v>34</v>
      </c>
      <c r="F3870">
        <f t="shared" ca="1" si="120"/>
        <v>3.3583333333333334</v>
      </c>
      <c r="G3870">
        <f t="shared" ca="1" si="121"/>
        <v>0</v>
      </c>
    </row>
    <row r="3871" spans="1:7">
      <c r="A3871">
        <v>3699</v>
      </c>
      <c r="B3871" t="s">
        <v>36</v>
      </c>
      <c r="C3871" t="s">
        <v>128</v>
      </c>
      <c r="D3871" s="9">
        <v>40918.924375000002</v>
      </c>
      <c r="E3871" t="s">
        <v>21</v>
      </c>
      <c r="F3871">
        <f t="shared" ca="1" si="120"/>
        <v>3.0527777777777776</v>
      </c>
      <c r="G3871">
        <f t="shared" ca="1" si="121"/>
        <v>0</v>
      </c>
    </row>
    <row r="3872" spans="1:7">
      <c r="A3872">
        <v>3704</v>
      </c>
      <c r="B3872" t="s">
        <v>32</v>
      </c>
      <c r="C3872" t="s">
        <v>128</v>
      </c>
      <c r="D3872" s="9">
        <v>40920.800104166665</v>
      </c>
      <c r="E3872" t="s">
        <v>99</v>
      </c>
      <c r="F3872">
        <f t="shared" ca="1" si="120"/>
        <v>3.0472222222222221</v>
      </c>
      <c r="G3872">
        <f t="shared" ca="1" si="121"/>
        <v>0</v>
      </c>
    </row>
    <row r="3873" spans="1:7">
      <c r="A3873">
        <v>3705</v>
      </c>
      <c r="B3873" t="s">
        <v>32</v>
      </c>
      <c r="C3873" t="s">
        <v>128</v>
      </c>
      <c r="D3873" s="9">
        <v>40921.830393518518</v>
      </c>
      <c r="E3873" t="s">
        <v>64</v>
      </c>
      <c r="F3873">
        <f t="shared" ca="1" si="120"/>
        <v>3.0444444444444443</v>
      </c>
      <c r="G3873">
        <f t="shared" ca="1" si="121"/>
        <v>0</v>
      </c>
    </row>
    <row r="3874" spans="1:7">
      <c r="A3874">
        <v>3706</v>
      </c>
      <c r="B3874" t="s">
        <v>99</v>
      </c>
      <c r="C3874" t="s">
        <v>129</v>
      </c>
      <c r="D3874" s="9">
        <v>40805.785752314812</v>
      </c>
      <c r="E3874" t="s">
        <v>32</v>
      </c>
      <c r="F3874">
        <f t="shared" ca="1" si="120"/>
        <v>3.3611111111111112</v>
      </c>
      <c r="G3874">
        <f t="shared" ca="1" si="121"/>
        <v>0</v>
      </c>
    </row>
    <row r="3875" spans="1:7">
      <c r="A3875">
        <v>3707</v>
      </c>
      <c r="B3875" t="s">
        <v>111</v>
      </c>
      <c r="C3875" t="s">
        <v>129</v>
      </c>
      <c r="D3875" s="9">
        <v>40807.701435185183</v>
      </c>
      <c r="E3875" t="s">
        <v>11</v>
      </c>
      <c r="F3875">
        <f t="shared" ca="1" si="120"/>
        <v>3.3555555555555556</v>
      </c>
      <c r="G3875">
        <f t="shared" ca="1" si="121"/>
        <v>0</v>
      </c>
    </row>
    <row r="3876" spans="1:7">
      <c r="A3876">
        <v>3714</v>
      </c>
      <c r="B3876" t="s">
        <v>19</v>
      </c>
      <c r="C3876" t="s">
        <v>129</v>
      </c>
      <c r="D3876" s="9">
        <v>40806.65730324074</v>
      </c>
      <c r="E3876" t="s">
        <v>27</v>
      </c>
      <c r="F3876">
        <f t="shared" ca="1" si="120"/>
        <v>3.3583333333333334</v>
      </c>
      <c r="G3876">
        <f t="shared" ca="1" si="121"/>
        <v>0</v>
      </c>
    </row>
    <row r="3877" spans="1:7">
      <c r="A3877">
        <v>3715</v>
      </c>
      <c r="B3877" t="s">
        <v>19</v>
      </c>
      <c r="C3877" t="s">
        <v>128</v>
      </c>
      <c r="D3877" s="9">
        <v>40917.923032407409</v>
      </c>
      <c r="E3877" t="s">
        <v>27</v>
      </c>
      <c r="F3877">
        <f t="shared" ca="1" si="120"/>
        <v>3.0555555555555554</v>
      </c>
      <c r="G3877">
        <f t="shared" ca="1" si="121"/>
        <v>0</v>
      </c>
    </row>
    <row r="3878" spans="1:7">
      <c r="A3878">
        <v>3717</v>
      </c>
      <c r="B3878" t="s">
        <v>11</v>
      </c>
      <c r="C3878" t="s">
        <v>129</v>
      </c>
      <c r="D3878" s="9">
        <v>40805.818194444444</v>
      </c>
      <c r="E3878" t="s">
        <v>99</v>
      </c>
      <c r="F3878">
        <f t="shared" ca="1" si="120"/>
        <v>3.3611111111111112</v>
      </c>
      <c r="G3878">
        <f t="shared" ca="1" si="121"/>
        <v>0</v>
      </c>
    </row>
    <row r="3879" spans="1:7">
      <c r="A3879">
        <v>3719</v>
      </c>
      <c r="B3879" t="s">
        <v>11</v>
      </c>
      <c r="C3879" t="s">
        <v>129</v>
      </c>
      <c r="D3879" s="9">
        <v>40806.641018518516</v>
      </c>
      <c r="E3879" t="s">
        <v>8</v>
      </c>
      <c r="F3879">
        <f t="shared" ca="1" si="120"/>
        <v>3.3583333333333334</v>
      </c>
      <c r="G3879">
        <f t="shared" ca="1" si="121"/>
        <v>0</v>
      </c>
    </row>
    <row r="3880" spans="1:7">
      <c r="A3880">
        <v>3721</v>
      </c>
      <c r="B3880" t="s">
        <v>32</v>
      </c>
      <c r="C3880" t="s">
        <v>129</v>
      </c>
      <c r="D3880" s="9">
        <v>40805.851759259262</v>
      </c>
      <c r="E3880" t="s">
        <v>99</v>
      </c>
      <c r="F3880">
        <f t="shared" ca="1" si="120"/>
        <v>3.3611111111111112</v>
      </c>
      <c r="G3880">
        <f t="shared" ca="1" si="121"/>
        <v>0</v>
      </c>
    </row>
    <row r="3881" spans="1:7">
      <c r="A3881">
        <v>3722</v>
      </c>
      <c r="B3881" t="s">
        <v>19</v>
      </c>
      <c r="C3881" t="s">
        <v>129</v>
      </c>
      <c r="D3881" s="9">
        <v>40806.839120370372</v>
      </c>
      <c r="E3881" t="s">
        <v>99</v>
      </c>
      <c r="F3881">
        <f t="shared" ca="1" si="120"/>
        <v>3.3583333333333334</v>
      </c>
      <c r="G3881">
        <f t="shared" ca="1" si="121"/>
        <v>0</v>
      </c>
    </row>
    <row r="3882" spans="1:7">
      <c r="A3882">
        <v>3723</v>
      </c>
      <c r="B3882" t="s">
        <v>99</v>
      </c>
      <c r="C3882" t="s">
        <v>129</v>
      </c>
      <c r="D3882" s="9">
        <v>40805.490231481483</v>
      </c>
      <c r="E3882" t="s">
        <v>112</v>
      </c>
      <c r="F3882">
        <f t="shared" ca="1" si="120"/>
        <v>3.3611111111111112</v>
      </c>
      <c r="G3882">
        <f t="shared" ca="1" si="121"/>
        <v>0</v>
      </c>
    </row>
    <row r="3883" spans="1:7">
      <c r="A3883">
        <v>3726</v>
      </c>
      <c r="B3883" t="s">
        <v>29</v>
      </c>
      <c r="C3883" t="s">
        <v>120</v>
      </c>
      <c r="D3883" s="9">
        <v>41558.639398148145</v>
      </c>
      <c r="E3883" t="s">
        <v>30</v>
      </c>
      <c r="F3883">
        <f t="shared" ca="1" si="120"/>
        <v>1.3</v>
      </c>
      <c r="G3883">
        <f t="shared" ca="1" si="121"/>
        <v>0</v>
      </c>
    </row>
    <row r="3884" spans="1:7">
      <c r="A3884">
        <v>3735</v>
      </c>
      <c r="B3884" t="s">
        <v>34</v>
      </c>
      <c r="C3884" t="s">
        <v>129</v>
      </c>
      <c r="D3884" s="9">
        <v>40805.695381944446</v>
      </c>
      <c r="E3884" t="s">
        <v>111</v>
      </c>
      <c r="F3884">
        <f t="shared" ca="1" si="120"/>
        <v>3.3611111111111112</v>
      </c>
      <c r="G3884">
        <f t="shared" ca="1" si="121"/>
        <v>0</v>
      </c>
    </row>
    <row r="3885" spans="1:7">
      <c r="A3885">
        <v>3736</v>
      </c>
      <c r="B3885" t="s">
        <v>34</v>
      </c>
      <c r="C3885" t="s">
        <v>128</v>
      </c>
      <c r="D3885" s="9">
        <v>40919.720821759256</v>
      </c>
      <c r="E3885" t="s">
        <v>104</v>
      </c>
      <c r="F3885">
        <f t="shared" ca="1" si="120"/>
        <v>3.05</v>
      </c>
      <c r="G3885">
        <f t="shared" ca="1" si="121"/>
        <v>0</v>
      </c>
    </row>
    <row r="3886" spans="1:7">
      <c r="A3886">
        <v>3743</v>
      </c>
      <c r="B3886" t="s">
        <v>11</v>
      </c>
      <c r="C3886" t="s">
        <v>129</v>
      </c>
      <c r="D3886" s="9">
        <v>40805.810497685183</v>
      </c>
      <c r="E3886" t="s">
        <v>20</v>
      </c>
      <c r="F3886">
        <f t="shared" ca="1" si="120"/>
        <v>3.3611111111111112</v>
      </c>
      <c r="G3886">
        <f t="shared" ca="1" si="121"/>
        <v>0</v>
      </c>
    </row>
    <row r="3887" spans="1:7">
      <c r="A3887">
        <v>3750</v>
      </c>
      <c r="B3887" t="s">
        <v>11</v>
      </c>
      <c r="C3887" t="s">
        <v>128</v>
      </c>
      <c r="D3887" s="9">
        <v>40918.654745370368</v>
      </c>
      <c r="E3887" t="s">
        <v>27</v>
      </c>
      <c r="F3887">
        <f t="shared" ref="F3887:F3950" ca="1" si="122">YEARFRAC(TODAY(),$D3887)</f>
        <v>3.0527777777777776</v>
      </c>
      <c r="G3887">
        <f t="shared" ref="G3887:G3950" ca="1" si="123">IF($F3887&lt;1,1,0)</f>
        <v>0</v>
      </c>
    </row>
    <row r="3888" spans="1:7">
      <c r="A3888">
        <v>3755</v>
      </c>
      <c r="B3888" t="s">
        <v>27</v>
      </c>
      <c r="C3888" t="s">
        <v>128</v>
      </c>
      <c r="D3888" s="9">
        <v>40917.699733796297</v>
      </c>
      <c r="E3888" t="s">
        <v>19</v>
      </c>
      <c r="F3888">
        <f t="shared" ca="1" si="122"/>
        <v>3.0555555555555554</v>
      </c>
      <c r="G3888">
        <f t="shared" ca="1" si="123"/>
        <v>0</v>
      </c>
    </row>
    <row r="3889" spans="1:7">
      <c r="A3889">
        <v>3756</v>
      </c>
      <c r="B3889" t="s">
        <v>27</v>
      </c>
      <c r="C3889" t="s">
        <v>128</v>
      </c>
      <c r="D3889" s="9">
        <v>40921.662824074076</v>
      </c>
      <c r="E3889" t="s">
        <v>19</v>
      </c>
      <c r="F3889">
        <f t="shared" ca="1" si="122"/>
        <v>3.0444444444444443</v>
      </c>
      <c r="G3889">
        <f t="shared" ca="1" si="123"/>
        <v>0</v>
      </c>
    </row>
    <row r="3890" spans="1:7">
      <c r="A3890">
        <v>3759</v>
      </c>
      <c r="B3890" t="s">
        <v>111</v>
      </c>
      <c r="C3890" t="s">
        <v>129</v>
      </c>
      <c r="D3890" s="9">
        <v>40807.875208333331</v>
      </c>
      <c r="E3890" t="s">
        <v>11</v>
      </c>
      <c r="F3890">
        <f t="shared" ca="1" si="122"/>
        <v>3.3555555555555556</v>
      </c>
      <c r="G3890">
        <f t="shared" ca="1" si="123"/>
        <v>0</v>
      </c>
    </row>
    <row r="3891" spans="1:7">
      <c r="A3891">
        <v>3761</v>
      </c>
      <c r="B3891" t="s">
        <v>37</v>
      </c>
      <c r="C3891" t="s">
        <v>128</v>
      </c>
      <c r="D3891" s="9">
        <v>40920.087291666663</v>
      </c>
      <c r="E3891" t="s">
        <v>36</v>
      </c>
      <c r="F3891">
        <f t="shared" ca="1" si="122"/>
        <v>3.0472222222222221</v>
      </c>
      <c r="G3891">
        <f t="shared" ca="1" si="123"/>
        <v>0</v>
      </c>
    </row>
    <row r="3892" spans="1:7">
      <c r="A3892">
        <v>3765</v>
      </c>
      <c r="B3892" t="s">
        <v>99</v>
      </c>
      <c r="C3892" t="s">
        <v>128</v>
      </c>
      <c r="D3892" s="9">
        <v>40920.790972222225</v>
      </c>
      <c r="E3892" t="s">
        <v>11</v>
      </c>
      <c r="F3892">
        <f t="shared" ca="1" si="122"/>
        <v>3.0472222222222221</v>
      </c>
      <c r="G3892">
        <f t="shared" ca="1" si="123"/>
        <v>0</v>
      </c>
    </row>
    <row r="3893" spans="1:7">
      <c r="A3893">
        <v>3766</v>
      </c>
      <c r="B3893" t="s">
        <v>37</v>
      </c>
      <c r="C3893" t="s">
        <v>128</v>
      </c>
      <c r="D3893" s="9">
        <v>40920.072280092594</v>
      </c>
      <c r="E3893" t="s">
        <v>36</v>
      </c>
      <c r="F3893">
        <f t="shared" ca="1" si="122"/>
        <v>3.0472222222222221</v>
      </c>
      <c r="G3893">
        <f t="shared" ca="1" si="123"/>
        <v>0</v>
      </c>
    </row>
    <row r="3894" spans="1:7">
      <c r="A3894">
        <v>3770</v>
      </c>
      <c r="B3894" t="s">
        <v>99</v>
      </c>
      <c r="C3894" t="s">
        <v>128</v>
      </c>
      <c r="D3894" s="9">
        <v>40917.66605324074</v>
      </c>
      <c r="E3894" t="s">
        <v>32</v>
      </c>
      <c r="F3894">
        <f t="shared" ca="1" si="122"/>
        <v>3.0555555555555554</v>
      </c>
      <c r="G3894">
        <f t="shared" ca="1" si="123"/>
        <v>0</v>
      </c>
    </row>
    <row r="3895" spans="1:7">
      <c r="A3895">
        <v>3772</v>
      </c>
      <c r="B3895" t="s">
        <v>99</v>
      </c>
      <c r="C3895" t="s">
        <v>128</v>
      </c>
      <c r="D3895" s="9">
        <v>40919.720752314817</v>
      </c>
      <c r="E3895" t="s">
        <v>36</v>
      </c>
      <c r="F3895">
        <f t="shared" ca="1" si="122"/>
        <v>3.05</v>
      </c>
      <c r="G3895">
        <f t="shared" ca="1" si="123"/>
        <v>0</v>
      </c>
    </row>
    <row r="3896" spans="1:7">
      <c r="A3896">
        <v>3773</v>
      </c>
      <c r="B3896" t="s">
        <v>99</v>
      </c>
      <c r="C3896" t="s">
        <v>128</v>
      </c>
      <c r="D3896" s="9">
        <v>40919.65053240741</v>
      </c>
      <c r="E3896" t="s">
        <v>19</v>
      </c>
      <c r="F3896">
        <f t="shared" ca="1" si="122"/>
        <v>3.05</v>
      </c>
      <c r="G3896">
        <f t="shared" ca="1" si="123"/>
        <v>0</v>
      </c>
    </row>
    <row r="3897" spans="1:7">
      <c r="A3897">
        <v>3779</v>
      </c>
      <c r="B3897" t="s">
        <v>143</v>
      </c>
      <c r="C3897" t="s">
        <v>128</v>
      </c>
      <c r="D3897" s="9">
        <v>40917.442476851851</v>
      </c>
      <c r="E3897" t="s">
        <v>44</v>
      </c>
      <c r="F3897">
        <f t="shared" ca="1" si="122"/>
        <v>3.0555555555555554</v>
      </c>
      <c r="G3897">
        <f t="shared" ca="1" si="123"/>
        <v>0</v>
      </c>
    </row>
    <row r="3898" spans="1:7">
      <c r="A3898">
        <v>3786</v>
      </c>
      <c r="B3898" t="s">
        <v>99</v>
      </c>
      <c r="C3898" t="s">
        <v>128</v>
      </c>
      <c r="D3898" s="9">
        <v>40920.594409722224</v>
      </c>
      <c r="E3898" t="s">
        <v>37</v>
      </c>
      <c r="F3898">
        <f t="shared" ca="1" si="122"/>
        <v>3.0472222222222221</v>
      </c>
      <c r="G3898">
        <f t="shared" ca="1" si="123"/>
        <v>0</v>
      </c>
    </row>
    <row r="3899" spans="1:7">
      <c r="A3899">
        <v>3788</v>
      </c>
      <c r="B3899" t="s">
        <v>143</v>
      </c>
      <c r="C3899" t="s">
        <v>128</v>
      </c>
      <c r="D3899" s="9">
        <v>40919.357268518521</v>
      </c>
      <c r="E3899" t="s">
        <v>44</v>
      </c>
      <c r="F3899">
        <f t="shared" ca="1" si="122"/>
        <v>3.05</v>
      </c>
      <c r="G3899">
        <f t="shared" ca="1" si="123"/>
        <v>0</v>
      </c>
    </row>
    <row r="3900" spans="1:7">
      <c r="A3900">
        <v>3789</v>
      </c>
      <c r="B3900" t="s">
        <v>143</v>
      </c>
      <c r="C3900" t="s">
        <v>128</v>
      </c>
      <c r="D3900" s="9">
        <v>40919.359375</v>
      </c>
      <c r="E3900" t="s">
        <v>44</v>
      </c>
      <c r="F3900">
        <f t="shared" ca="1" si="122"/>
        <v>3.05</v>
      </c>
      <c r="G3900">
        <f t="shared" ca="1" si="123"/>
        <v>0</v>
      </c>
    </row>
    <row r="3901" spans="1:7">
      <c r="A3901">
        <v>3791</v>
      </c>
      <c r="B3901" t="s">
        <v>38</v>
      </c>
      <c r="C3901" t="s">
        <v>129</v>
      </c>
      <c r="D3901" s="9">
        <v>40807.662835648145</v>
      </c>
      <c r="E3901" t="s">
        <v>11</v>
      </c>
      <c r="F3901">
        <f t="shared" ca="1" si="122"/>
        <v>3.3555555555555556</v>
      </c>
      <c r="G3901">
        <f t="shared" ca="1" si="123"/>
        <v>0</v>
      </c>
    </row>
    <row r="3902" spans="1:7">
      <c r="A3902">
        <v>3792</v>
      </c>
      <c r="B3902" t="s">
        <v>99</v>
      </c>
      <c r="C3902" t="s">
        <v>128</v>
      </c>
      <c r="D3902" s="9">
        <v>40807.703009259261</v>
      </c>
      <c r="E3902" t="s">
        <v>19</v>
      </c>
      <c r="F3902">
        <f t="shared" ca="1" si="122"/>
        <v>3.3555555555555556</v>
      </c>
      <c r="G3902">
        <f t="shared" ca="1" si="123"/>
        <v>0</v>
      </c>
    </row>
    <row r="3903" spans="1:7">
      <c r="A3903">
        <v>3796</v>
      </c>
      <c r="B3903" t="s">
        <v>111</v>
      </c>
      <c r="C3903" t="s">
        <v>129</v>
      </c>
      <c r="D3903" s="9">
        <v>40808.778368055559</v>
      </c>
      <c r="E3903" t="s">
        <v>20</v>
      </c>
      <c r="F3903">
        <f t="shared" ca="1" si="122"/>
        <v>3.3527777777777779</v>
      </c>
      <c r="G3903">
        <f t="shared" ca="1" si="123"/>
        <v>0</v>
      </c>
    </row>
    <row r="3904" spans="1:7">
      <c r="A3904">
        <v>3797</v>
      </c>
      <c r="B3904" t="s">
        <v>99</v>
      </c>
      <c r="C3904" t="s">
        <v>128</v>
      </c>
      <c r="D3904" s="9">
        <v>40917.683472222219</v>
      </c>
      <c r="E3904" t="s">
        <v>19</v>
      </c>
      <c r="F3904">
        <f t="shared" ca="1" si="122"/>
        <v>3.0555555555555554</v>
      </c>
      <c r="G3904">
        <f t="shared" ca="1" si="123"/>
        <v>0</v>
      </c>
    </row>
    <row r="3905" spans="1:7">
      <c r="A3905">
        <v>3798</v>
      </c>
      <c r="B3905" t="s">
        <v>23</v>
      </c>
      <c r="C3905" t="s">
        <v>128</v>
      </c>
      <c r="D3905" s="9">
        <v>40917.782164351855</v>
      </c>
      <c r="E3905" t="s">
        <v>36</v>
      </c>
      <c r="F3905">
        <f t="shared" ca="1" si="122"/>
        <v>3.0555555555555554</v>
      </c>
      <c r="G3905">
        <f t="shared" ca="1" si="123"/>
        <v>0</v>
      </c>
    </row>
    <row r="3906" spans="1:7">
      <c r="A3906">
        <v>3799</v>
      </c>
      <c r="B3906" t="s">
        <v>111</v>
      </c>
      <c r="C3906" t="s">
        <v>128</v>
      </c>
      <c r="D3906" s="9">
        <v>40941.712685185186</v>
      </c>
      <c r="E3906" t="s">
        <v>38</v>
      </c>
      <c r="F3906">
        <f t="shared" ca="1" si="122"/>
        <v>2.9916666666666667</v>
      </c>
      <c r="G3906">
        <f t="shared" ca="1" si="123"/>
        <v>0</v>
      </c>
    </row>
    <row r="3907" spans="1:7">
      <c r="A3907">
        <v>3800</v>
      </c>
      <c r="B3907" t="s">
        <v>111</v>
      </c>
      <c r="C3907" t="s">
        <v>128</v>
      </c>
      <c r="D3907" s="9">
        <v>40920.391574074078</v>
      </c>
      <c r="E3907" t="s">
        <v>44</v>
      </c>
      <c r="F3907">
        <f t="shared" ca="1" si="122"/>
        <v>3.0472222222222221</v>
      </c>
      <c r="G3907">
        <f t="shared" ca="1" si="123"/>
        <v>0</v>
      </c>
    </row>
    <row r="3908" spans="1:7">
      <c r="A3908">
        <v>3803</v>
      </c>
      <c r="B3908" t="s">
        <v>143</v>
      </c>
      <c r="C3908" t="s">
        <v>127</v>
      </c>
      <c r="D3908" s="9">
        <v>41029.584606481483</v>
      </c>
      <c r="E3908" t="s">
        <v>44</v>
      </c>
      <c r="F3908">
        <f t="shared" ca="1" si="122"/>
        <v>2.7472222222222222</v>
      </c>
      <c r="G3908">
        <f t="shared" ca="1" si="123"/>
        <v>0</v>
      </c>
    </row>
    <row r="3909" spans="1:7">
      <c r="A3909">
        <v>3810</v>
      </c>
      <c r="B3909" t="s">
        <v>34</v>
      </c>
      <c r="C3909" t="s">
        <v>128</v>
      </c>
      <c r="D3909" s="9">
        <v>40919.442025462966</v>
      </c>
      <c r="E3909" t="s">
        <v>30</v>
      </c>
      <c r="F3909">
        <f t="shared" ca="1" si="122"/>
        <v>3.05</v>
      </c>
      <c r="G3909">
        <f t="shared" ca="1" si="123"/>
        <v>0</v>
      </c>
    </row>
    <row r="3910" spans="1:7">
      <c r="A3910">
        <v>3819</v>
      </c>
      <c r="B3910" t="s">
        <v>17</v>
      </c>
      <c r="C3910" t="s">
        <v>120</v>
      </c>
      <c r="D3910" s="9">
        <v>41523.600902777776</v>
      </c>
      <c r="E3910" t="s">
        <v>30</v>
      </c>
      <c r="F3910">
        <f t="shared" ca="1" si="122"/>
        <v>1.3972222222222221</v>
      </c>
      <c r="G3910">
        <f t="shared" ca="1" si="123"/>
        <v>0</v>
      </c>
    </row>
    <row r="3911" spans="1:7">
      <c r="A3911">
        <v>3835</v>
      </c>
      <c r="B3911" t="s">
        <v>143</v>
      </c>
      <c r="C3911" t="s">
        <v>128</v>
      </c>
      <c r="D3911" s="9">
        <v>40918.784594907411</v>
      </c>
      <c r="E3911" t="s">
        <v>43</v>
      </c>
      <c r="F3911">
        <f t="shared" ca="1" si="122"/>
        <v>3.0527777777777776</v>
      </c>
      <c r="G3911">
        <f t="shared" ca="1" si="123"/>
        <v>0</v>
      </c>
    </row>
    <row r="3912" spans="1:7">
      <c r="A3912">
        <v>3836</v>
      </c>
      <c r="B3912" t="s">
        <v>8</v>
      </c>
      <c r="C3912" t="s">
        <v>128</v>
      </c>
      <c r="D3912" s="9">
        <v>40919.923645833333</v>
      </c>
      <c r="E3912" t="s">
        <v>27</v>
      </c>
      <c r="F3912">
        <f t="shared" ca="1" si="122"/>
        <v>3.05</v>
      </c>
      <c r="G3912">
        <f t="shared" ca="1" si="123"/>
        <v>0</v>
      </c>
    </row>
    <row r="3913" spans="1:7">
      <c r="A3913">
        <v>3838</v>
      </c>
      <c r="B3913" t="s">
        <v>19</v>
      </c>
      <c r="C3913" t="s">
        <v>128</v>
      </c>
      <c r="D3913" s="9">
        <v>40918.840381944443</v>
      </c>
      <c r="E3913" t="s">
        <v>27</v>
      </c>
      <c r="F3913">
        <f t="shared" ca="1" si="122"/>
        <v>3.0527777777777776</v>
      </c>
      <c r="G3913">
        <f t="shared" ca="1" si="123"/>
        <v>0</v>
      </c>
    </row>
    <row r="3914" spans="1:7">
      <c r="A3914">
        <v>3840</v>
      </c>
      <c r="B3914" t="s">
        <v>19</v>
      </c>
      <c r="C3914" t="s">
        <v>128</v>
      </c>
      <c r="D3914" s="9">
        <v>40917.684849537036</v>
      </c>
      <c r="E3914" t="s">
        <v>27</v>
      </c>
      <c r="F3914">
        <f t="shared" ca="1" si="122"/>
        <v>3.0555555555555554</v>
      </c>
      <c r="G3914">
        <f t="shared" ca="1" si="123"/>
        <v>0</v>
      </c>
    </row>
    <row r="3915" spans="1:7">
      <c r="A3915">
        <v>3841</v>
      </c>
      <c r="B3915" t="s">
        <v>111</v>
      </c>
      <c r="C3915" t="s">
        <v>128</v>
      </c>
      <c r="D3915" s="9">
        <v>40921.57267361111</v>
      </c>
      <c r="E3915" t="s">
        <v>37</v>
      </c>
      <c r="F3915">
        <f t="shared" ca="1" si="122"/>
        <v>3.0444444444444443</v>
      </c>
      <c r="G3915">
        <f t="shared" ca="1" si="123"/>
        <v>0</v>
      </c>
    </row>
    <row r="3916" spans="1:7">
      <c r="A3916">
        <v>3842</v>
      </c>
      <c r="B3916" t="s">
        <v>99</v>
      </c>
      <c r="C3916" t="s">
        <v>128</v>
      </c>
      <c r="D3916" s="9">
        <v>40917.661666666667</v>
      </c>
      <c r="E3916" t="s">
        <v>27</v>
      </c>
      <c r="F3916">
        <f t="shared" ca="1" si="122"/>
        <v>3.0555555555555554</v>
      </c>
      <c r="G3916">
        <f t="shared" ca="1" si="123"/>
        <v>0</v>
      </c>
    </row>
    <row r="3917" spans="1:7">
      <c r="A3917">
        <v>3843</v>
      </c>
      <c r="B3917" t="s">
        <v>32</v>
      </c>
      <c r="C3917" t="s">
        <v>128</v>
      </c>
      <c r="D3917" s="9">
        <v>40816.60083333333</v>
      </c>
      <c r="E3917" t="s">
        <v>20</v>
      </c>
      <c r="F3917">
        <f t="shared" ca="1" si="122"/>
        <v>3.3305555555555557</v>
      </c>
      <c r="G3917">
        <f t="shared" ca="1" si="123"/>
        <v>0</v>
      </c>
    </row>
    <row r="3918" spans="1:7">
      <c r="A3918">
        <v>3844</v>
      </c>
      <c r="B3918" t="s">
        <v>99</v>
      </c>
      <c r="C3918" t="s">
        <v>128</v>
      </c>
      <c r="D3918" s="9">
        <v>40918.415694444448</v>
      </c>
      <c r="E3918" t="s">
        <v>19</v>
      </c>
      <c r="F3918">
        <f t="shared" ca="1" si="122"/>
        <v>3.0527777777777776</v>
      </c>
      <c r="G3918">
        <f t="shared" ca="1" si="123"/>
        <v>0</v>
      </c>
    </row>
    <row r="3919" spans="1:7">
      <c r="A3919">
        <v>3845</v>
      </c>
      <c r="B3919" t="s">
        <v>27</v>
      </c>
      <c r="C3919" t="s">
        <v>128</v>
      </c>
      <c r="D3919" s="9">
        <v>40918.484247685185</v>
      </c>
      <c r="E3919" t="s">
        <v>19</v>
      </c>
      <c r="F3919">
        <f t="shared" ca="1" si="122"/>
        <v>3.0527777777777776</v>
      </c>
      <c r="G3919">
        <f t="shared" ca="1" si="123"/>
        <v>0</v>
      </c>
    </row>
    <row r="3920" spans="1:7">
      <c r="A3920">
        <v>3848</v>
      </c>
      <c r="B3920" t="s">
        <v>99</v>
      </c>
      <c r="C3920" t="s">
        <v>128</v>
      </c>
      <c r="D3920" s="9">
        <v>40919.845775462964</v>
      </c>
      <c r="E3920" t="s">
        <v>27</v>
      </c>
      <c r="F3920">
        <f t="shared" ca="1" si="122"/>
        <v>3.05</v>
      </c>
      <c r="G3920">
        <f t="shared" ca="1" si="123"/>
        <v>0</v>
      </c>
    </row>
    <row r="3921" spans="1:7">
      <c r="A3921">
        <v>3850</v>
      </c>
      <c r="B3921" t="s">
        <v>99</v>
      </c>
      <c r="C3921" t="s">
        <v>128</v>
      </c>
      <c r="D3921" s="9">
        <v>40920.673611111109</v>
      </c>
      <c r="E3921" t="s">
        <v>19</v>
      </c>
      <c r="F3921">
        <f t="shared" ca="1" si="122"/>
        <v>3.0472222222222221</v>
      </c>
      <c r="G3921">
        <f t="shared" ca="1" si="123"/>
        <v>0</v>
      </c>
    </row>
    <row r="3922" spans="1:7">
      <c r="A3922">
        <v>3851</v>
      </c>
      <c r="B3922" t="s">
        <v>20</v>
      </c>
      <c r="C3922" t="s">
        <v>128</v>
      </c>
      <c r="D3922" s="9">
        <v>40920.762002314812</v>
      </c>
      <c r="E3922" t="s">
        <v>64</v>
      </c>
      <c r="F3922">
        <f t="shared" ca="1" si="122"/>
        <v>3.0472222222222221</v>
      </c>
      <c r="G3922">
        <f t="shared" ca="1" si="123"/>
        <v>0</v>
      </c>
    </row>
    <row r="3923" spans="1:7">
      <c r="A3923">
        <v>3852</v>
      </c>
      <c r="B3923" t="s">
        <v>11</v>
      </c>
      <c r="C3923" t="s">
        <v>128</v>
      </c>
      <c r="D3923" s="9">
        <v>40920.908310185187</v>
      </c>
      <c r="E3923" t="s">
        <v>38</v>
      </c>
      <c r="F3923">
        <f t="shared" ca="1" si="122"/>
        <v>3.0472222222222221</v>
      </c>
      <c r="G3923">
        <f t="shared" ca="1" si="123"/>
        <v>0</v>
      </c>
    </row>
    <row r="3924" spans="1:7">
      <c r="A3924">
        <v>3854</v>
      </c>
      <c r="B3924" t="s">
        <v>32</v>
      </c>
      <c r="C3924" t="s">
        <v>128</v>
      </c>
      <c r="D3924" s="9">
        <v>40921.630833333336</v>
      </c>
      <c r="E3924" t="s">
        <v>99</v>
      </c>
      <c r="F3924">
        <f t="shared" ca="1" si="122"/>
        <v>3.0444444444444443</v>
      </c>
      <c r="G3924">
        <f t="shared" ca="1" si="123"/>
        <v>0</v>
      </c>
    </row>
    <row r="3925" spans="1:7">
      <c r="A3925">
        <v>3858</v>
      </c>
      <c r="B3925" t="s">
        <v>19</v>
      </c>
      <c r="C3925" t="s">
        <v>128</v>
      </c>
      <c r="D3925" s="9">
        <v>40917.665196759262</v>
      </c>
      <c r="E3925" t="s">
        <v>27</v>
      </c>
      <c r="F3925">
        <f t="shared" ca="1" si="122"/>
        <v>3.0555555555555554</v>
      </c>
      <c r="G3925">
        <f t="shared" ca="1" si="123"/>
        <v>0</v>
      </c>
    </row>
    <row r="3926" spans="1:7">
      <c r="A3926">
        <v>3860</v>
      </c>
      <c r="B3926" t="s">
        <v>19</v>
      </c>
      <c r="C3926" t="s">
        <v>128</v>
      </c>
      <c r="D3926" s="9">
        <v>40917.905370370368</v>
      </c>
      <c r="E3926" t="s">
        <v>27</v>
      </c>
      <c r="F3926">
        <f t="shared" ca="1" si="122"/>
        <v>3.0555555555555554</v>
      </c>
      <c r="G3926">
        <f t="shared" ca="1" si="123"/>
        <v>0</v>
      </c>
    </row>
    <row r="3927" spans="1:7">
      <c r="A3927">
        <v>3861</v>
      </c>
      <c r="B3927" t="s">
        <v>99</v>
      </c>
      <c r="C3927" t="s">
        <v>128</v>
      </c>
      <c r="D3927" s="9">
        <v>40917.696805555555</v>
      </c>
      <c r="E3927" t="s">
        <v>19</v>
      </c>
      <c r="F3927">
        <f t="shared" ca="1" si="122"/>
        <v>3.0555555555555554</v>
      </c>
      <c r="G3927">
        <f t="shared" ca="1" si="123"/>
        <v>0</v>
      </c>
    </row>
    <row r="3928" spans="1:7">
      <c r="A3928">
        <v>3869</v>
      </c>
      <c r="B3928" t="s">
        <v>111</v>
      </c>
      <c r="C3928" t="s">
        <v>128</v>
      </c>
      <c r="D3928" s="9">
        <v>40918.661041666666</v>
      </c>
      <c r="E3928" t="s">
        <v>27</v>
      </c>
      <c r="F3928">
        <f t="shared" ca="1" si="122"/>
        <v>3.0527777777777776</v>
      </c>
      <c r="G3928">
        <f t="shared" ca="1" si="123"/>
        <v>0</v>
      </c>
    </row>
    <row r="3929" spans="1:7">
      <c r="A3929">
        <v>3871</v>
      </c>
      <c r="B3929" t="s">
        <v>99</v>
      </c>
      <c r="C3929" t="s">
        <v>128</v>
      </c>
      <c r="D3929" s="9">
        <v>40920.642951388887</v>
      </c>
      <c r="E3929" t="s">
        <v>43</v>
      </c>
      <c r="F3929">
        <f t="shared" ca="1" si="122"/>
        <v>3.0472222222222221</v>
      </c>
      <c r="G3929">
        <f t="shared" ca="1" si="123"/>
        <v>0</v>
      </c>
    </row>
    <row r="3930" spans="1:7">
      <c r="A3930">
        <v>3874</v>
      </c>
      <c r="B3930" t="s">
        <v>8</v>
      </c>
      <c r="C3930" t="s">
        <v>128</v>
      </c>
      <c r="D3930" s="9">
        <v>40920.486828703702</v>
      </c>
      <c r="E3930" t="s">
        <v>30</v>
      </c>
      <c r="F3930">
        <f t="shared" ca="1" si="122"/>
        <v>3.0472222222222221</v>
      </c>
      <c r="G3930">
        <f t="shared" ca="1" si="123"/>
        <v>0</v>
      </c>
    </row>
    <row r="3931" spans="1:7">
      <c r="A3931">
        <v>3877</v>
      </c>
      <c r="B3931" t="s">
        <v>8</v>
      </c>
      <c r="C3931" t="s">
        <v>128</v>
      </c>
      <c r="D3931" s="9">
        <v>40917.474189814813</v>
      </c>
      <c r="E3931" t="s">
        <v>112</v>
      </c>
      <c r="F3931">
        <f t="shared" ca="1" si="122"/>
        <v>3.0555555555555554</v>
      </c>
      <c r="G3931">
        <f t="shared" ca="1" si="123"/>
        <v>0</v>
      </c>
    </row>
    <row r="3932" spans="1:7">
      <c r="A3932">
        <v>3879</v>
      </c>
      <c r="B3932" t="s">
        <v>8</v>
      </c>
      <c r="C3932" t="s">
        <v>128</v>
      </c>
      <c r="D3932" s="9">
        <v>40918.650312500002</v>
      </c>
      <c r="E3932" t="s">
        <v>44</v>
      </c>
      <c r="F3932">
        <f t="shared" ca="1" si="122"/>
        <v>3.0527777777777776</v>
      </c>
      <c r="G3932">
        <f t="shared" ca="1" si="123"/>
        <v>0</v>
      </c>
    </row>
    <row r="3933" spans="1:7">
      <c r="A3933">
        <v>3881</v>
      </c>
      <c r="B3933" t="s">
        <v>32</v>
      </c>
      <c r="C3933" t="s">
        <v>128</v>
      </c>
      <c r="D3933" s="9">
        <v>40918.79277777778</v>
      </c>
      <c r="E3933" t="s">
        <v>21</v>
      </c>
      <c r="F3933">
        <f t="shared" ca="1" si="122"/>
        <v>3.0527777777777776</v>
      </c>
      <c r="G3933">
        <f t="shared" ca="1" si="123"/>
        <v>0</v>
      </c>
    </row>
    <row r="3934" spans="1:7">
      <c r="A3934">
        <v>3885</v>
      </c>
      <c r="B3934" t="s">
        <v>111</v>
      </c>
      <c r="C3934" t="s">
        <v>128</v>
      </c>
      <c r="D3934" s="9">
        <v>40918.842581018522</v>
      </c>
      <c r="E3934" t="s">
        <v>27</v>
      </c>
      <c r="F3934">
        <f t="shared" ca="1" si="122"/>
        <v>3.0527777777777776</v>
      </c>
      <c r="G3934">
        <f t="shared" ca="1" si="123"/>
        <v>0</v>
      </c>
    </row>
    <row r="3935" spans="1:7">
      <c r="A3935">
        <v>3886</v>
      </c>
      <c r="B3935" t="s">
        <v>8</v>
      </c>
      <c r="C3935" t="s">
        <v>128</v>
      </c>
      <c r="D3935" s="9">
        <v>40921.430520833332</v>
      </c>
      <c r="E3935" t="s">
        <v>112</v>
      </c>
      <c r="F3935">
        <f t="shared" ca="1" si="122"/>
        <v>3.0444444444444443</v>
      </c>
      <c r="G3935">
        <f t="shared" ca="1" si="123"/>
        <v>0</v>
      </c>
    </row>
    <row r="3936" spans="1:7">
      <c r="A3936">
        <v>3888</v>
      </c>
      <c r="B3936" t="s">
        <v>20</v>
      </c>
      <c r="C3936" t="s">
        <v>128</v>
      </c>
      <c r="D3936" s="9">
        <v>40917.928136574075</v>
      </c>
      <c r="E3936" t="s">
        <v>21</v>
      </c>
      <c r="F3936">
        <f t="shared" ca="1" si="122"/>
        <v>3.0555555555555554</v>
      </c>
      <c r="G3936">
        <f t="shared" ca="1" si="123"/>
        <v>0</v>
      </c>
    </row>
    <row r="3937" spans="1:7">
      <c r="A3937">
        <v>3889</v>
      </c>
      <c r="B3937" t="s">
        <v>21</v>
      </c>
      <c r="C3937" t="s">
        <v>128</v>
      </c>
      <c r="D3937" s="9">
        <v>40917.890381944446</v>
      </c>
      <c r="E3937" t="s">
        <v>32</v>
      </c>
      <c r="F3937">
        <f t="shared" ca="1" si="122"/>
        <v>3.0555555555555554</v>
      </c>
      <c r="G3937">
        <f t="shared" ca="1" si="123"/>
        <v>0</v>
      </c>
    </row>
    <row r="3938" spans="1:7">
      <c r="A3938">
        <v>3890</v>
      </c>
      <c r="B3938" t="s">
        <v>20</v>
      </c>
      <c r="C3938" t="s">
        <v>127</v>
      </c>
      <c r="D3938" s="9">
        <v>41033.703344907408</v>
      </c>
      <c r="E3938" t="s">
        <v>99</v>
      </c>
      <c r="F3938">
        <f t="shared" ca="1" si="122"/>
        <v>2.7361111111111112</v>
      </c>
      <c r="G3938">
        <f t="shared" ca="1" si="123"/>
        <v>0</v>
      </c>
    </row>
    <row r="3939" spans="1:7">
      <c r="A3939">
        <v>3891</v>
      </c>
      <c r="B3939" t="s">
        <v>34</v>
      </c>
      <c r="C3939" t="s">
        <v>128</v>
      </c>
      <c r="D3939" s="9">
        <v>40918.44835648148</v>
      </c>
      <c r="E3939" t="s">
        <v>112</v>
      </c>
      <c r="F3939">
        <f t="shared" ca="1" si="122"/>
        <v>3.0527777777777776</v>
      </c>
      <c r="G3939">
        <f t="shared" ca="1" si="123"/>
        <v>0</v>
      </c>
    </row>
    <row r="3940" spans="1:7">
      <c r="A3940">
        <v>3892</v>
      </c>
      <c r="B3940" t="s">
        <v>44</v>
      </c>
      <c r="C3940" t="s">
        <v>128</v>
      </c>
      <c r="D3940" s="9">
        <v>40919.458796296298</v>
      </c>
      <c r="E3940" t="s">
        <v>112</v>
      </c>
      <c r="F3940">
        <f t="shared" ca="1" si="122"/>
        <v>3.05</v>
      </c>
      <c r="G3940">
        <f t="shared" ca="1" si="123"/>
        <v>0</v>
      </c>
    </row>
    <row r="3941" spans="1:7">
      <c r="A3941">
        <v>3893</v>
      </c>
      <c r="B3941" t="s">
        <v>23</v>
      </c>
      <c r="C3941" t="s">
        <v>128</v>
      </c>
      <c r="D3941" s="9">
        <v>40918.818715277775</v>
      </c>
      <c r="E3941" t="s">
        <v>36</v>
      </c>
      <c r="F3941">
        <f t="shared" ca="1" si="122"/>
        <v>3.0527777777777776</v>
      </c>
      <c r="G3941">
        <f t="shared" ca="1" si="123"/>
        <v>0</v>
      </c>
    </row>
    <row r="3942" spans="1:7">
      <c r="A3942">
        <v>3896</v>
      </c>
      <c r="B3942" t="s">
        <v>99</v>
      </c>
      <c r="C3942" t="s">
        <v>128</v>
      </c>
      <c r="D3942" s="9">
        <v>41646.45925925926</v>
      </c>
      <c r="E3942" t="s">
        <v>32</v>
      </c>
      <c r="F3942">
        <f t="shared" ca="1" si="122"/>
        <v>1.0611111111111111</v>
      </c>
      <c r="G3942">
        <f t="shared" ca="1" si="123"/>
        <v>0</v>
      </c>
    </row>
    <row r="3943" spans="1:7">
      <c r="A3943">
        <v>3897</v>
      </c>
      <c r="B3943" t="s">
        <v>21</v>
      </c>
      <c r="C3943" t="s">
        <v>128</v>
      </c>
      <c r="D3943" s="9">
        <v>40920.707592592589</v>
      </c>
      <c r="E3943" t="s">
        <v>43</v>
      </c>
      <c r="F3943">
        <f t="shared" ca="1" si="122"/>
        <v>3.0472222222222221</v>
      </c>
      <c r="G3943">
        <f t="shared" ca="1" si="123"/>
        <v>0</v>
      </c>
    </row>
    <row r="3944" spans="1:7">
      <c r="A3944">
        <v>3898</v>
      </c>
      <c r="B3944" t="s">
        <v>8</v>
      </c>
      <c r="C3944" t="s">
        <v>128</v>
      </c>
      <c r="D3944" s="9">
        <v>40920.900902777779</v>
      </c>
      <c r="E3944" t="s">
        <v>38</v>
      </c>
      <c r="F3944">
        <f t="shared" ca="1" si="122"/>
        <v>3.0472222222222221</v>
      </c>
      <c r="G3944">
        <f t="shared" ca="1" si="123"/>
        <v>0</v>
      </c>
    </row>
    <row r="3945" spans="1:7">
      <c r="A3945">
        <v>3899</v>
      </c>
      <c r="B3945" t="s">
        <v>32</v>
      </c>
      <c r="C3945" t="s">
        <v>128</v>
      </c>
      <c r="D3945" s="9">
        <v>40921.650405092594</v>
      </c>
      <c r="E3945" t="s">
        <v>43</v>
      </c>
      <c r="F3945">
        <f t="shared" ca="1" si="122"/>
        <v>3.0444444444444443</v>
      </c>
      <c r="G3945">
        <f t="shared" ca="1" si="123"/>
        <v>0</v>
      </c>
    </row>
    <row r="3946" spans="1:7">
      <c r="A3946">
        <v>3900</v>
      </c>
      <c r="B3946" t="s">
        <v>30</v>
      </c>
      <c r="C3946" t="s">
        <v>128</v>
      </c>
      <c r="D3946" s="9">
        <v>40917.551932870374</v>
      </c>
      <c r="E3946" t="s">
        <v>32</v>
      </c>
      <c r="F3946">
        <f t="shared" ca="1" si="122"/>
        <v>3.0555555555555554</v>
      </c>
      <c r="G3946">
        <f t="shared" ca="1" si="123"/>
        <v>0</v>
      </c>
    </row>
    <row r="3947" spans="1:7">
      <c r="A3947">
        <v>3901</v>
      </c>
      <c r="B3947" t="s">
        <v>99</v>
      </c>
      <c r="C3947" t="s">
        <v>128</v>
      </c>
      <c r="D3947" s="9">
        <v>40918.846134259256</v>
      </c>
      <c r="E3947" t="s">
        <v>21</v>
      </c>
      <c r="F3947">
        <f t="shared" ca="1" si="122"/>
        <v>3.0527777777777776</v>
      </c>
      <c r="G3947">
        <f t="shared" ca="1" si="123"/>
        <v>0</v>
      </c>
    </row>
    <row r="3948" spans="1:7">
      <c r="A3948">
        <v>3905</v>
      </c>
      <c r="B3948" t="s">
        <v>99</v>
      </c>
      <c r="C3948" t="s">
        <v>128</v>
      </c>
      <c r="D3948" s="9">
        <v>40919.570891203701</v>
      </c>
      <c r="E3948" t="s">
        <v>32</v>
      </c>
      <c r="F3948">
        <f t="shared" ca="1" si="122"/>
        <v>3.05</v>
      </c>
      <c r="G3948">
        <f t="shared" ca="1" si="123"/>
        <v>0</v>
      </c>
    </row>
    <row r="3949" spans="1:7">
      <c r="A3949">
        <v>3916</v>
      </c>
      <c r="B3949" t="s">
        <v>19</v>
      </c>
      <c r="C3949" t="s">
        <v>128</v>
      </c>
      <c r="D3949" s="9">
        <v>40918.711909722224</v>
      </c>
      <c r="E3949" t="s">
        <v>27</v>
      </c>
      <c r="F3949">
        <f t="shared" ca="1" si="122"/>
        <v>3.0527777777777776</v>
      </c>
      <c r="G3949">
        <f t="shared" ca="1" si="123"/>
        <v>0</v>
      </c>
    </row>
    <row r="3950" spans="1:7">
      <c r="A3950">
        <v>3917</v>
      </c>
      <c r="B3950" t="s">
        <v>99</v>
      </c>
      <c r="C3950" t="s">
        <v>128</v>
      </c>
      <c r="D3950" s="9">
        <v>40918.440289351849</v>
      </c>
      <c r="E3950" t="s">
        <v>19</v>
      </c>
      <c r="F3950">
        <f t="shared" ca="1" si="122"/>
        <v>3.0527777777777776</v>
      </c>
      <c r="G3950">
        <f t="shared" ca="1" si="123"/>
        <v>0</v>
      </c>
    </row>
    <row r="3951" spans="1:7">
      <c r="A3951">
        <v>3918</v>
      </c>
      <c r="B3951" t="s">
        <v>27</v>
      </c>
      <c r="C3951" t="s">
        <v>128</v>
      </c>
      <c r="D3951" s="9">
        <v>40917.483553240738</v>
      </c>
      <c r="E3951" t="s">
        <v>19</v>
      </c>
      <c r="F3951">
        <f t="shared" ref="F3951:F4014" ca="1" si="124">YEARFRAC(TODAY(),$D3951)</f>
        <v>3.0555555555555554</v>
      </c>
      <c r="G3951">
        <f t="shared" ref="G3951:G4014" ca="1" si="125">IF($F3951&lt;1,1,0)</f>
        <v>0</v>
      </c>
    </row>
    <row r="3952" spans="1:7">
      <c r="A3952">
        <v>3919</v>
      </c>
      <c r="B3952" t="s">
        <v>27</v>
      </c>
      <c r="C3952" t="s">
        <v>128</v>
      </c>
      <c r="D3952" s="9">
        <v>40919.717372685183</v>
      </c>
      <c r="E3952" t="s">
        <v>19</v>
      </c>
      <c r="F3952">
        <f t="shared" ca="1" si="124"/>
        <v>3.05</v>
      </c>
      <c r="G3952">
        <f t="shared" ca="1" si="125"/>
        <v>0</v>
      </c>
    </row>
    <row r="3953" spans="1:7">
      <c r="A3953">
        <v>3921</v>
      </c>
      <c r="B3953" t="s">
        <v>99</v>
      </c>
      <c r="C3953" t="s">
        <v>128</v>
      </c>
      <c r="D3953" s="9">
        <v>40919.475682870368</v>
      </c>
      <c r="E3953" t="s">
        <v>112</v>
      </c>
      <c r="F3953">
        <f t="shared" ca="1" si="124"/>
        <v>3.05</v>
      </c>
      <c r="G3953">
        <f t="shared" ca="1" si="125"/>
        <v>0</v>
      </c>
    </row>
    <row r="3954" spans="1:7">
      <c r="A3954">
        <v>3922</v>
      </c>
      <c r="B3954" t="s">
        <v>99</v>
      </c>
      <c r="C3954" t="s">
        <v>128</v>
      </c>
      <c r="D3954" s="9">
        <v>40917.862349537034</v>
      </c>
      <c r="E3954" t="s">
        <v>32</v>
      </c>
      <c r="F3954">
        <f t="shared" ca="1" si="124"/>
        <v>3.0555555555555554</v>
      </c>
      <c r="G3954">
        <f t="shared" ca="1" si="125"/>
        <v>0</v>
      </c>
    </row>
    <row r="3955" spans="1:7">
      <c r="A3955">
        <v>3923</v>
      </c>
      <c r="B3955" t="s">
        <v>8</v>
      </c>
      <c r="C3955" t="s">
        <v>128</v>
      </c>
      <c r="D3955" s="9">
        <v>40920.857476851852</v>
      </c>
      <c r="E3955" t="s">
        <v>11</v>
      </c>
      <c r="F3955">
        <f t="shared" ca="1" si="124"/>
        <v>3.0472222222222221</v>
      </c>
      <c r="G3955">
        <f t="shared" ca="1" si="125"/>
        <v>0</v>
      </c>
    </row>
    <row r="3956" spans="1:7">
      <c r="A3956">
        <v>3924</v>
      </c>
      <c r="B3956" t="s">
        <v>32</v>
      </c>
      <c r="C3956" t="s">
        <v>128</v>
      </c>
      <c r="D3956" s="9">
        <v>40918.781921296293</v>
      </c>
      <c r="E3956" t="s">
        <v>21</v>
      </c>
      <c r="F3956">
        <f t="shared" ca="1" si="124"/>
        <v>3.0527777777777776</v>
      </c>
      <c r="G3956">
        <f t="shared" ca="1" si="125"/>
        <v>0</v>
      </c>
    </row>
    <row r="3957" spans="1:7">
      <c r="A3957">
        <v>3926</v>
      </c>
      <c r="B3957" t="s">
        <v>23</v>
      </c>
      <c r="C3957" t="s">
        <v>128</v>
      </c>
      <c r="D3957" s="9">
        <v>40921.651597222219</v>
      </c>
      <c r="E3957" t="s">
        <v>27</v>
      </c>
      <c r="F3957">
        <f t="shared" ca="1" si="124"/>
        <v>3.0444444444444443</v>
      </c>
      <c r="G3957">
        <f t="shared" ca="1" si="125"/>
        <v>0</v>
      </c>
    </row>
    <row r="3958" spans="1:7">
      <c r="A3958">
        <v>3927</v>
      </c>
      <c r="B3958" t="s">
        <v>99</v>
      </c>
      <c r="C3958" t="s">
        <v>128</v>
      </c>
      <c r="D3958" s="9">
        <v>40917.679282407407</v>
      </c>
      <c r="E3958" t="s">
        <v>19</v>
      </c>
      <c r="F3958">
        <f t="shared" ca="1" si="124"/>
        <v>3.0555555555555554</v>
      </c>
      <c r="G3958">
        <f t="shared" ca="1" si="125"/>
        <v>0</v>
      </c>
    </row>
    <row r="3959" spans="1:7">
      <c r="A3959">
        <v>3929</v>
      </c>
      <c r="B3959" t="s">
        <v>27</v>
      </c>
      <c r="C3959" t="s">
        <v>128</v>
      </c>
      <c r="D3959" s="9">
        <v>40920.477349537039</v>
      </c>
      <c r="E3959" t="s">
        <v>19</v>
      </c>
      <c r="F3959">
        <f t="shared" ca="1" si="124"/>
        <v>3.0472222222222221</v>
      </c>
      <c r="G3959">
        <f t="shared" ca="1" si="125"/>
        <v>0</v>
      </c>
    </row>
    <row r="3960" spans="1:7">
      <c r="A3960">
        <v>3930</v>
      </c>
      <c r="B3960" t="s">
        <v>99</v>
      </c>
      <c r="C3960" t="s">
        <v>128</v>
      </c>
      <c r="D3960" s="9">
        <v>40918.508344907408</v>
      </c>
      <c r="E3960" t="s">
        <v>19</v>
      </c>
      <c r="F3960">
        <f t="shared" ca="1" si="124"/>
        <v>3.0527777777777776</v>
      </c>
      <c r="G3960">
        <f t="shared" ca="1" si="125"/>
        <v>0</v>
      </c>
    </row>
    <row r="3961" spans="1:7">
      <c r="A3961">
        <v>3931</v>
      </c>
      <c r="B3961" t="s">
        <v>32</v>
      </c>
      <c r="C3961" t="s">
        <v>128</v>
      </c>
      <c r="D3961" s="9">
        <v>40921.71366898148</v>
      </c>
      <c r="E3961" t="s">
        <v>54</v>
      </c>
      <c r="F3961">
        <f t="shared" ca="1" si="124"/>
        <v>3.0444444444444443</v>
      </c>
      <c r="G3961">
        <f t="shared" ca="1" si="125"/>
        <v>0</v>
      </c>
    </row>
    <row r="3962" spans="1:7">
      <c r="A3962">
        <v>3932</v>
      </c>
      <c r="B3962" t="s">
        <v>32</v>
      </c>
      <c r="C3962" t="s">
        <v>128</v>
      </c>
      <c r="D3962" s="9">
        <v>40919.742106481484</v>
      </c>
      <c r="E3962" t="s">
        <v>43</v>
      </c>
      <c r="F3962">
        <f t="shared" ca="1" si="124"/>
        <v>3.05</v>
      </c>
      <c r="G3962">
        <f t="shared" ca="1" si="125"/>
        <v>0</v>
      </c>
    </row>
    <row r="3963" spans="1:7">
      <c r="A3963">
        <v>3933</v>
      </c>
      <c r="B3963" t="s">
        <v>34</v>
      </c>
      <c r="C3963" t="s">
        <v>128</v>
      </c>
      <c r="D3963" s="9">
        <v>40920.725590277776</v>
      </c>
      <c r="E3963" t="s">
        <v>11</v>
      </c>
      <c r="F3963">
        <f t="shared" ca="1" si="124"/>
        <v>3.0472222222222221</v>
      </c>
      <c r="G3963">
        <f t="shared" ca="1" si="125"/>
        <v>0</v>
      </c>
    </row>
    <row r="3964" spans="1:7">
      <c r="A3964">
        <v>3934</v>
      </c>
      <c r="B3964" t="s">
        <v>99</v>
      </c>
      <c r="C3964" t="s">
        <v>128</v>
      </c>
      <c r="D3964" s="9">
        <v>40918.483113425929</v>
      </c>
      <c r="E3964" t="s">
        <v>19</v>
      </c>
      <c r="F3964">
        <f t="shared" ca="1" si="124"/>
        <v>3.0527777777777776</v>
      </c>
      <c r="G3964">
        <f t="shared" ca="1" si="125"/>
        <v>0</v>
      </c>
    </row>
    <row r="3965" spans="1:7">
      <c r="A3965">
        <v>3935</v>
      </c>
      <c r="B3965" t="s">
        <v>21</v>
      </c>
      <c r="C3965" t="s">
        <v>128</v>
      </c>
      <c r="D3965" s="9">
        <v>40917.605231481481</v>
      </c>
      <c r="E3965" t="s">
        <v>32</v>
      </c>
      <c r="F3965">
        <f t="shared" ca="1" si="124"/>
        <v>3.0555555555555554</v>
      </c>
      <c r="G3965">
        <f t="shared" ca="1" si="125"/>
        <v>0</v>
      </c>
    </row>
    <row r="3966" spans="1:7">
      <c r="A3966">
        <v>3936</v>
      </c>
      <c r="B3966" t="s">
        <v>36</v>
      </c>
      <c r="C3966" t="s">
        <v>128</v>
      </c>
      <c r="D3966" s="9">
        <v>40917.496041666665</v>
      </c>
      <c r="E3966" t="s">
        <v>112</v>
      </c>
      <c r="F3966">
        <f t="shared" ca="1" si="124"/>
        <v>3.0555555555555554</v>
      </c>
      <c r="G3966">
        <f t="shared" ca="1" si="125"/>
        <v>0</v>
      </c>
    </row>
    <row r="3967" spans="1:7">
      <c r="A3967">
        <v>3937</v>
      </c>
      <c r="B3967" t="s">
        <v>111</v>
      </c>
      <c r="C3967" t="s">
        <v>128</v>
      </c>
      <c r="D3967" s="9">
        <v>40920.038923611108</v>
      </c>
      <c r="E3967" t="s">
        <v>36</v>
      </c>
      <c r="F3967">
        <f t="shared" ca="1" si="124"/>
        <v>3.0472222222222221</v>
      </c>
      <c r="G3967">
        <f t="shared" ca="1" si="125"/>
        <v>0</v>
      </c>
    </row>
    <row r="3968" spans="1:7">
      <c r="A3968">
        <v>3939</v>
      </c>
      <c r="B3968" t="s">
        <v>27</v>
      </c>
      <c r="C3968" t="s">
        <v>128</v>
      </c>
      <c r="D3968" s="9">
        <v>40918.42391203704</v>
      </c>
      <c r="E3968" t="s">
        <v>19</v>
      </c>
      <c r="F3968">
        <f t="shared" ca="1" si="124"/>
        <v>3.0527777777777776</v>
      </c>
      <c r="G3968">
        <f t="shared" ca="1" si="125"/>
        <v>0</v>
      </c>
    </row>
    <row r="3969" spans="1:7">
      <c r="A3969">
        <v>3940</v>
      </c>
      <c r="B3969" t="s">
        <v>27</v>
      </c>
      <c r="C3969" t="s">
        <v>128</v>
      </c>
      <c r="D3969" s="9">
        <v>40920.482372685183</v>
      </c>
      <c r="E3969" t="s">
        <v>19</v>
      </c>
      <c r="F3969">
        <f t="shared" ca="1" si="124"/>
        <v>3.0472222222222221</v>
      </c>
      <c r="G3969">
        <f t="shared" ca="1" si="125"/>
        <v>0</v>
      </c>
    </row>
    <row r="3970" spans="1:7">
      <c r="A3970">
        <v>3941</v>
      </c>
      <c r="B3970" t="s">
        <v>27</v>
      </c>
      <c r="C3970" t="s">
        <v>128</v>
      </c>
      <c r="D3970" s="9">
        <v>40919.572812500002</v>
      </c>
      <c r="E3970" t="s">
        <v>37</v>
      </c>
      <c r="F3970">
        <f t="shared" ca="1" si="124"/>
        <v>3.05</v>
      </c>
      <c r="G3970">
        <f t="shared" ca="1" si="125"/>
        <v>0</v>
      </c>
    </row>
    <row r="3971" spans="1:7">
      <c r="A3971">
        <v>3943</v>
      </c>
      <c r="B3971" t="s">
        <v>36</v>
      </c>
      <c r="C3971" t="s">
        <v>128</v>
      </c>
      <c r="D3971" s="9">
        <v>40918.705081018517</v>
      </c>
      <c r="E3971" t="s">
        <v>27</v>
      </c>
      <c r="F3971">
        <f t="shared" ca="1" si="124"/>
        <v>3.0527777777777776</v>
      </c>
      <c r="G3971">
        <f t="shared" ca="1" si="125"/>
        <v>0</v>
      </c>
    </row>
    <row r="3972" spans="1:7">
      <c r="A3972">
        <v>3948</v>
      </c>
      <c r="B3972" t="s">
        <v>32</v>
      </c>
      <c r="C3972" t="s">
        <v>128</v>
      </c>
      <c r="D3972" s="9">
        <v>40919.684131944443</v>
      </c>
      <c r="E3972" t="s">
        <v>21</v>
      </c>
      <c r="F3972">
        <f t="shared" ca="1" si="124"/>
        <v>3.05</v>
      </c>
      <c r="G3972">
        <f t="shared" ca="1" si="125"/>
        <v>0</v>
      </c>
    </row>
    <row r="3973" spans="1:7">
      <c r="A3973">
        <v>3949</v>
      </c>
      <c r="B3973" t="s">
        <v>111</v>
      </c>
      <c r="C3973" t="s">
        <v>128</v>
      </c>
      <c r="D3973" s="9">
        <v>40918.84175925926</v>
      </c>
      <c r="E3973" t="s">
        <v>27</v>
      </c>
      <c r="F3973">
        <f t="shared" ca="1" si="124"/>
        <v>3.0527777777777776</v>
      </c>
      <c r="G3973">
        <f t="shared" ca="1" si="125"/>
        <v>0</v>
      </c>
    </row>
    <row r="3974" spans="1:7">
      <c r="A3974">
        <v>3950</v>
      </c>
      <c r="B3974" t="s">
        <v>111</v>
      </c>
      <c r="C3974" t="s">
        <v>128</v>
      </c>
      <c r="D3974" s="9">
        <v>40918.854502314818</v>
      </c>
      <c r="E3974" t="s">
        <v>27</v>
      </c>
      <c r="F3974">
        <f t="shared" ca="1" si="124"/>
        <v>3.0527777777777776</v>
      </c>
      <c r="G3974">
        <f t="shared" ca="1" si="125"/>
        <v>0</v>
      </c>
    </row>
    <row r="3975" spans="1:7">
      <c r="A3975">
        <v>3951</v>
      </c>
      <c r="B3975" t="s">
        <v>111</v>
      </c>
      <c r="C3975" t="s">
        <v>128</v>
      </c>
      <c r="D3975" s="9">
        <v>40920.438784722224</v>
      </c>
      <c r="E3975" t="s">
        <v>44</v>
      </c>
      <c r="F3975">
        <f t="shared" ca="1" si="124"/>
        <v>3.0472222222222221</v>
      </c>
      <c r="G3975">
        <f t="shared" ca="1" si="125"/>
        <v>0</v>
      </c>
    </row>
    <row r="3976" spans="1:7">
      <c r="A3976">
        <v>3954</v>
      </c>
      <c r="B3976" t="s">
        <v>19</v>
      </c>
      <c r="C3976" t="s">
        <v>128</v>
      </c>
      <c r="D3976" s="9">
        <v>40920.918877314813</v>
      </c>
      <c r="E3976" t="s">
        <v>27</v>
      </c>
      <c r="F3976">
        <f t="shared" ca="1" si="124"/>
        <v>3.0472222222222221</v>
      </c>
      <c r="G3976">
        <f t="shared" ca="1" si="125"/>
        <v>0</v>
      </c>
    </row>
    <row r="3977" spans="1:7">
      <c r="A3977">
        <v>3955</v>
      </c>
      <c r="B3977" t="s">
        <v>21</v>
      </c>
      <c r="C3977" t="s">
        <v>128</v>
      </c>
      <c r="D3977" s="9">
        <v>40917.565104166664</v>
      </c>
      <c r="E3977" t="s">
        <v>32</v>
      </c>
      <c r="F3977">
        <f t="shared" ca="1" si="124"/>
        <v>3.0555555555555554</v>
      </c>
      <c r="G3977">
        <f t="shared" ca="1" si="125"/>
        <v>0</v>
      </c>
    </row>
    <row r="3978" spans="1:7">
      <c r="A3978">
        <v>3956</v>
      </c>
      <c r="B3978" t="s">
        <v>21</v>
      </c>
      <c r="C3978" t="s">
        <v>128</v>
      </c>
      <c r="D3978" s="9">
        <v>40917.679074074076</v>
      </c>
      <c r="E3978" t="s">
        <v>32</v>
      </c>
      <c r="F3978">
        <f t="shared" ca="1" si="124"/>
        <v>3.0555555555555554</v>
      </c>
      <c r="G3978">
        <f t="shared" ca="1" si="125"/>
        <v>0</v>
      </c>
    </row>
    <row r="3979" spans="1:7">
      <c r="A3979">
        <v>3957</v>
      </c>
      <c r="B3979" t="s">
        <v>8</v>
      </c>
      <c r="C3979" t="s">
        <v>128</v>
      </c>
      <c r="D3979" s="9">
        <v>40921.571932870371</v>
      </c>
      <c r="E3979" t="s">
        <v>104</v>
      </c>
      <c r="F3979">
        <f t="shared" ca="1" si="124"/>
        <v>3.0444444444444443</v>
      </c>
      <c r="G3979">
        <f t="shared" ca="1" si="125"/>
        <v>0</v>
      </c>
    </row>
    <row r="3980" spans="1:7">
      <c r="A3980">
        <v>3958</v>
      </c>
      <c r="B3980" t="s">
        <v>27</v>
      </c>
      <c r="C3980" t="s">
        <v>128</v>
      </c>
      <c r="D3980" s="9">
        <v>40920.478194444448</v>
      </c>
      <c r="E3980" t="s">
        <v>19</v>
      </c>
      <c r="F3980">
        <f t="shared" ca="1" si="124"/>
        <v>3.0472222222222221</v>
      </c>
      <c r="G3980">
        <f t="shared" ca="1" si="125"/>
        <v>0</v>
      </c>
    </row>
    <row r="3981" spans="1:7">
      <c r="A3981">
        <v>3959</v>
      </c>
      <c r="B3981" t="s">
        <v>27</v>
      </c>
      <c r="C3981" t="s">
        <v>128</v>
      </c>
      <c r="D3981" s="9">
        <v>40920.487627314818</v>
      </c>
      <c r="E3981" t="s">
        <v>19</v>
      </c>
      <c r="F3981">
        <f t="shared" ca="1" si="124"/>
        <v>3.0472222222222221</v>
      </c>
      <c r="G3981">
        <f t="shared" ca="1" si="125"/>
        <v>0</v>
      </c>
    </row>
    <row r="3982" spans="1:7">
      <c r="A3982">
        <v>3963</v>
      </c>
      <c r="B3982" t="s">
        <v>111</v>
      </c>
      <c r="C3982" t="s">
        <v>128</v>
      </c>
      <c r="D3982" s="9">
        <v>40921.454895833333</v>
      </c>
      <c r="E3982" t="s">
        <v>44</v>
      </c>
      <c r="F3982">
        <f t="shared" ca="1" si="124"/>
        <v>3.0444444444444443</v>
      </c>
      <c r="G3982">
        <f t="shared" ca="1" si="125"/>
        <v>0</v>
      </c>
    </row>
    <row r="3983" spans="1:7">
      <c r="A3983">
        <v>3965</v>
      </c>
      <c r="B3983" t="s">
        <v>143</v>
      </c>
      <c r="C3983" t="s">
        <v>128</v>
      </c>
      <c r="D3983" s="9">
        <v>40918.585532407407</v>
      </c>
      <c r="E3983" t="s">
        <v>44</v>
      </c>
      <c r="F3983">
        <f t="shared" ca="1" si="124"/>
        <v>3.0527777777777776</v>
      </c>
      <c r="G3983">
        <f t="shared" ca="1" si="125"/>
        <v>0</v>
      </c>
    </row>
    <row r="3984" spans="1:7">
      <c r="A3984">
        <v>3967</v>
      </c>
      <c r="B3984" t="s">
        <v>99</v>
      </c>
      <c r="C3984" t="s">
        <v>128</v>
      </c>
      <c r="D3984" s="9">
        <v>40917.695671296293</v>
      </c>
      <c r="E3984" t="s">
        <v>32</v>
      </c>
      <c r="F3984">
        <f t="shared" ca="1" si="124"/>
        <v>3.0555555555555554</v>
      </c>
      <c r="G3984">
        <f t="shared" ca="1" si="125"/>
        <v>0</v>
      </c>
    </row>
    <row r="3985" spans="1:7">
      <c r="A3985">
        <v>3968</v>
      </c>
      <c r="B3985" t="s">
        <v>44</v>
      </c>
      <c r="C3985" t="s">
        <v>128</v>
      </c>
      <c r="D3985" s="9">
        <v>40921.598124999997</v>
      </c>
      <c r="E3985" t="s">
        <v>112</v>
      </c>
      <c r="F3985">
        <f t="shared" ca="1" si="124"/>
        <v>3.0444444444444443</v>
      </c>
      <c r="G3985">
        <f t="shared" ca="1" si="125"/>
        <v>0</v>
      </c>
    </row>
    <row r="3986" spans="1:7">
      <c r="A3986">
        <v>3969</v>
      </c>
      <c r="B3986" t="s">
        <v>32</v>
      </c>
      <c r="C3986" t="s">
        <v>128</v>
      </c>
      <c r="D3986" s="9">
        <v>40920.708182870374</v>
      </c>
      <c r="E3986" t="s">
        <v>99</v>
      </c>
      <c r="F3986">
        <f t="shared" ca="1" si="124"/>
        <v>3.0472222222222221</v>
      </c>
      <c r="G3986">
        <f t="shared" ca="1" si="125"/>
        <v>0</v>
      </c>
    </row>
    <row r="3987" spans="1:7">
      <c r="A3987">
        <v>3971</v>
      </c>
      <c r="B3987" t="s">
        <v>30</v>
      </c>
      <c r="C3987" t="s">
        <v>127</v>
      </c>
      <c r="D3987" s="9">
        <v>41030.468240740738</v>
      </c>
      <c r="E3987" t="s">
        <v>37</v>
      </c>
      <c r="F3987">
        <f t="shared" ca="1" si="124"/>
        <v>2.7444444444444445</v>
      </c>
      <c r="G3987">
        <f t="shared" ca="1" si="125"/>
        <v>0</v>
      </c>
    </row>
    <row r="3988" spans="1:7">
      <c r="A3988">
        <v>3974</v>
      </c>
      <c r="B3988" t="s">
        <v>111</v>
      </c>
      <c r="C3988" t="s">
        <v>128</v>
      </c>
      <c r="D3988" s="9">
        <v>40921.492442129631</v>
      </c>
      <c r="E3988" t="s">
        <v>44</v>
      </c>
      <c r="F3988">
        <f t="shared" ca="1" si="124"/>
        <v>3.0444444444444443</v>
      </c>
      <c r="G3988">
        <f t="shared" ca="1" si="125"/>
        <v>0</v>
      </c>
    </row>
    <row r="3989" spans="1:7">
      <c r="A3989">
        <v>3975</v>
      </c>
      <c r="B3989" t="s">
        <v>44</v>
      </c>
      <c r="C3989" t="s">
        <v>128</v>
      </c>
      <c r="D3989" s="9">
        <v>40940.488125000003</v>
      </c>
      <c r="E3989" t="s">
        <v>112</v>
      </c>
      <c r="F3989">
        <f t="shared" ca="1" si="124"/>
        <v>2.9944444444444445</v>
      </c>
      <c r="G3989">
        <f t="shared" ca="1" si="125"/>
        <v>0</v>
      </c>
    </row>
    <row r="3990" spans="1:7">
      <c r="A3990">
        <v>3978</v>
      </c>
      <c r="B3990" t="s">
        <v>99</v>
      </c>
      <c r="C3990" t="s">
        <v>128</v>
      </c>
      <c r="D3990" s="9">
        <v>40917.669351851851</v>
      </c>
      <c r="E3990" t="s">
        <v>112</v>
      </c>
      <c r="F3990">
        <f t="shared" ca="1" si="124"/>
        <v>3.0555555555555554</v>
      </c>
      <c r="G3990">
        <f t="shared" ca="1" si="125"/>
        <v>0</v>
      </c>
    </row>
    <row r="3991" spans="1:7">
      <c r="A3991">
        <v>3979</v>
      </c>
      <c r="B3991" t="s">
        <v>143</v>
      </c>
      <c r="C3991" t="s">
        <v>128</v>
      </c>
      <c r="D3991" s="9">
        <v>40919.453101851854</v>
      </c>
      <c r="E3991" t="s">
        <v>44</v>
      </c>
      <c r="F3991">
        <f t="shared" ca="1" si="124"/>
        <v>3.05</v>
      </c>
      <c r="G3991">
        <f t="shared" ca="1" si="125"/>
        <v>0</v>
      </c>
    </row>
    <row r="3992" spans="1:7">
      <c r="A3992">
        <v>3981</v>
      </c>
      <c r="B3992" t="s">
        <v>143</v>
      </c>
      <c r="C3992" t="s">
        <v>128</v>
      </c>
      <c r="D3992" s="9">
        <v>40918.667511574073</v>
      </c>
      <c r="E3992" t="s">
        <v>44</v>
      </c>
      <c r="F3992">
        <f t="shared" ca="1" si="124"/>
        <v>3.0527777777777776</v>
      </c>
      <c r="G3992">
        <f t="shared" ca="1" si="125"/>
        <v>0</v>
      </c>
    </row>
    <row r="3993" spans="1:7">
      <c r="A3993">
        <v>3984</v>
      </c>
      <c r="B3993" t="s">
        <v>99</v>
      </c>
      <c r="C3993" t="s">
        <v>128</v>
      </c>
      <c r="D3993" s="9">
        <v>40918.908402777779</v>
      </c>
      <c r="E3993" t="s">
        <v>36</v>
      </c>
      <c r="F3993">
        <f t="shared" ca="1" si="124"/>
        <v>3.0527777777777776</v>
      </c>
      <c r="G3993">
        <f t="shared" ca="1" si="125"/>
        <v>0</v>
      </c>
    </row>
    <row r="3994" spans="1:7">
      <c r="A3994">
        <v>3985</v>
      </c>
      <c r="B3994" t="s">
        <v>143</v>
      </c>
      <c r="C3994" t="s">
        <v>126</v>
      </c>
      <c r="D3994" s="9">
        <v>41127.685960648145</v>
      </c>
      <c r="E3994" t="s">
        <v>37</v>
      </c>
      <c r="F3994">
        <f t="shared" ca="1" si="124"/>
        <v>2.4805555555555556</v>
      </c>
      <c r="G3994">
        <f t="shared" ca="1" si="125"/>
        <v>0</v>
      </c>
    </row>
    <row r="3995" spans="1:7">
      <c r="A3995">
        <v>3986</v>
      </c>
      <c r="B3995" t="s">
        <v>143</v>
      </c>
      <c r="C3995" t="s">
        <v>128</v>
      </c>
      <c r="D3995" s="9">
        <v>40919.428344907406</v>
      </c>
      <c r="E3995" t="s">
        <v>30</v>
      </c>
      <c r="F3995">
        <f t="shared" ca="1" si="124"/>
        <v>3.05</v>
      </c>
      <c r="G3995">
        <f t="shared" ca="1" si="125"/>
        <v>0</v>
      </c>
    </row>
    <row r="3996" spans="1:7">
      <c r="A3996">
        <v>3987</v>
      </c>
      <c r="B3996" t="s">
        <v>8</v>
      </c>
      <c r="C3996" t="s">
        <v>128</v>
      </c>
      <c r="D3996" s="9">
        <v>40921.63721064815</v>
      </c>
      <c r="E3996" t="s">
        <v>112</v>
      </c>
      <c r="F3996">
        <f t="shared" ca="1" si="124"/>
        <v>3.0444444444444443</v>
      </c>
      <c r="G3996">
        <f t="shared" ca="1" si="125"/>
        <v>0</v>
      </c>
    </row>
    <row r="3997" spans="1:7">
      <c r="A3997">
        <v>3988</v>
      </c>
      <c r="B3997" t="s">
        <v>111</v>
      </c>
      <c r="C3997" t="s">
        <v>128</v>
      </c>
      <c r="D3997" s="9">
        <v>40921.434062499997</v>
      </c>
      <c r="E3997" t="s">
        <v>44</v>
      </c>
      <c r="F3997">
        <f t="shared" ca="1" si="124"/>
        <v>3.0444444444444443</v>
      </c>
      <c r="G3997">
        <f t="shared" ca="1" si="125"/>
        <v>0</v>
      </c>
    </row>
    <row r="3998" spans="1:7">
      <c r="A3998">
        <v>3990</v>
      </c>
      <c r="B3998" t="s">
        <v>111</v>
      </c>
      <c r="C3998" t="s">
        <v>128</v>
      </c>
      <c r="D3998" s="9">
        <v>40941.713553240741</v>
      </c>
      <c r="E3998" t="s">
        <v>38</v>
      </c>
      <c r="F3998">
        <f t="shared" ca="1" si="124"/>
        <v>2.9916666666666667</v>
      </c>
      <c r="G3998">
        <f t="shared" ca="1" si="125"/>
        <v>0</v>
      </c>
    </row>
    <row r="3999" spans="1:7">
      <c r="A3999">
        <v>3991</v>
      </c>
      <c r="B3999" t="s">
        <v>36</v>
      </c>
      <c r="C3999" t="s">
        <v>128</v>
      </c>
      <c r="D3999" s="9">
        <v>40919.996261574073</v>
      </c>
      <c r="E3999" t="s">
        <v>43</v>
      </c>
      <c r="F3999">
        <f t="shared" ca="1" si="124"/>
        <v>3.05</v>
      </c>
      <c r="G3999">
        <f t="shared" ca="1" si="125"/>
        <v>0</v>
      </c>
    </row>
    <row r="4000" spans="1:7">
      <c r="A4000">
        <v>3992</v>
      </c>
      <c r="B4000" t="s">
        <v>11</v>
      </c>
      <c r="C4000" t="s">
        <v>128</v>
      </c>
      <c r="D4000" s="9">
        <v>40918.936111111114</v>
      </c>
      <c r="E4000" t="s">
        <v>27</v>
      </c>
      <c r="F4000">
        <f t="shared" ca="1" si="124"/>
        <v>3.0527777777777776</v>
      </c>
      <c r="G4000">
        <f t="shared" ca="1" si="125"/>
        <v>0</v>
      </c>
    </row>
    <row r="4001" spans="1:7">
      <c r="A4001">
        <v>3995</v>
      </c>
      <c r="B4001" t="s">
        <v>32</v>
      </c>
      <c r="C4001" t="s">
        <v>128</v>
      </c>
      <c r="D4001" s="9">
        <v>40918.766192129631</v>
      </c>
      <c r="E4001" t="s">
        <v>52</v>
      </c>
      <c r="F4001">
        <f t="shared" ca="1" si="124"/>
        <v>3.0527777777777776</v>
      </c>
      <c r="G4001">
        <f t="shared" ca="1" si="125"/>
        <v>0</v>
      </c>
    </row>
    <row r="4002" spans="1:7">
      <c r="A4002">
        <v>3996</v>
      </c>
      <c r="B4002" t="s">
        <v>19</v>
      </c>
      <c r="C4002" t="s">
        <v>128</v>
      </c>
      <c r="D4002" s="9">
        <v>40917.928032407406</v>
      </c>
      <c r="E4002" t="s">
        <v>27</v>
      </c>
      <c r="F4002">
        <f t="shared" ca="1" si="124"/>
        <v>3.0555555555555554</v>
      </c>
      <c r="G4002">
        <f t="shared" ca="1" si="125"/>
        <v>0</v>
      </c>
    </row>
    <row r="4003" spans="1:7">
      <c r="A4003">
        <v>3997</v>
      </c>
      <c r="B4003" t="s">
        <v>20</v>
      </c>
      <c r="C4003" t="s">
        <v>128</v>
      </c>
      <c r="D4003" s="9">
        <v>40917.82953703704</v>
      </c>
      <c r="E4003" t="s">
        <v>99</v>
      </c>
      <c r="F4003">
        <f t="shared" ca="1" si="124"/>
        <v>3.0555555555555554</v>
      </c>
      <c r="G4003">
        <f t="shared" ca="1" si="125"/>
        <v>0</v>
      </c>
    </row>
    <row r="4004" spans="1:7">
      <c r="A4004">
        <v>4000</v>
      </c>
      <c r="B4004" t="s">
        <v>37</v>
      </c>
      <c r="C4004" t="s">
        <v>128</v>
      </c>
      <c r="D4004" s="9">
        <v>40917.651770833334</v>
      </c>
      <c r="E4004" t="s">
        <v>143</v>
      </c>
      <c r="F4004">
        <f t="shared" ca="1" si="124"/>
        <v>3.0555555555555554</v>
      </c>
      <c r="G4004">
        <f t="shared" ca="1" si="125"/>
        <v>0</v>
      </c>
    </row>
    <row r="4005" spans="1:7">
      <c r="A4005">
        <v>4003</v>
      </c>
      <c r="B4005" t="s">
        <v>99</v>
      </c>
      <c r="C4005" t="s">
        <v>128</v>
      </c>
      <c r="D4005" s="9">
        <v>40917.933148148149</v>
      </c>
      <c r="E4005" t="s">
        <v>27</v>
      </c>
      <c r="F4005">
        <f t="shared" ca="1" si="124"/>
        <v>3.0555555555555554</v>
      </c>
      <c r="G4005">
        <f t="shared" ca="1" si="125"/>
        <v>0</v>
      </c>
    </row>
    <row r="4006" spans="1:7">
      <c r="A4006">
        <v>4004</v>
      </c>
      <c r="B4006" t="s">
        <v>99</v>
      </c>
      <c r="C4006" t="s">
        <v>128</v>
      </c>
      <c r="D4006" s="9">
        <v>40917.682164351849</v>
      </c>
      <c r="E4006" t="s">
        <v>32</v>
      </c>
      <c r="F4006">
        <f t="shared" ca="1" si="124"/>
        <v>3.0555555555555554</v>
      </c>
      <c r="G4006">
        <f t="shared" ca="1" si="125"/>
        <v>0</v>
      </c>
    </row>
    <row r="4007" spans="1:7">
      <c r="A4007">
        <v>4005</v>
      </c>
      <c r="B4007" t="s">
        <v>99</v>
      </c>
      <c r="C4007" t="s">
        <v>128</v>
      </c>
      <c r="D4007" s="9">
        <v>40918.491574074076</v>
      </c>
      <c r="E4007" t="s">
        <v>19</v>
      </c>
      <c r="F4007">
        <f t="shared" ca="1" si="124"/>
        <v>3.0527777777777776</v>
      </c>
      <c r="G4007">
        <f t="shared" ca="1" si="125"/>
        <v>0</v>
      </c>
    </row>
    <row r="4008" spans="1:7">
      <c r="A4008">
        <v>4006</v>
      </c>
      <c r="B4008" t="s">
        <v>8</v>
      </c>
      <c r="C4008" t="s">
        <v>128</v>
      </c>
      <c r="D4008" s="9">
        <v>40918.867731481485</v>
      </c>
      <c r="E4008" t="s">
        <v>27</v>
      </c>
      <c r="F4008">
        <f t="shared" ca="1" si="124"/>
        <v>3.0527777777777776</v>
      </c>
      <c r="G4008">
        <f t="shared" ca="1" si="125"/>
        <v>0</v>
      </c>
    </row>
    <row r="4009" spans="1:7">
      <c r="A4009">
        <v>4011</v>
      </c>
      <c r="B4009" t="s">
        <v>8</v>
      </c>
      <c r="C4009" t="s">
        <v>128</v>
      </c>
      <c r="D4009" s="9">
        <v>40919.704050925924</v>
      </c>
      <c r="E4009" t="s">
        <v>43</v>
      </c>
      <c r="F4009">
        <f t="shared" ca="1" si="124"/>
        <v>3.05</v>
      </c>
      <c r="G4009">
        <f t="shared" ca="1" si="125"/>
        <v>0</v>
      </c>
    </row>
    <row r="4010" spans="1:7">
      <c r="A4010">
        <v>4016</v>
      </c>
      <c r="B4010" t="s">
        <v>8</v>
      </c>
      <c r="C4010" t="s">
        <v>128</v>
      </c>
      <c r="D4010" s="9">
        <v>40918.900092592594</v>
      </c>
      <c r="E4010" t="s">
        <v>38</v>
      </c>
      <c r="F4010">
        <f t="shared" ca="1" si="124"/>
        <v>3.0527777777777776</v>
      </c>
      <c r="G4010">
        <f t="shared" ca="1" si="125"/>
        <v>0</v>
      </c>
    </row>
    <row r="4011" spans="1:7">
      <c r="A4011">
        <v>4018</v>
      </c>
      <c r="B4011" t="s">
        <v>44</v>
      </c>
      <c r="C4011" t="s">
        <v>128</v>
      </c>
      <c r="D4011" s="9">
        <v>40918.678472222222</v>
      </c>
      <c r="E4011" t="s">
        <v>52</v>
      </c>
      <c r="F4011">
        <f t="shared" ca="1" si="124"/>
        <v>3.0527777777777776</v>
      </c>
      <c r="G4011">
        <f t="shared" ca="1" si="125"/>
        <v>0</v>
      </c>
    </row>
    <row r="4012" spans="1:7">
      <c r="A4012">
        <v>4021</v>
      </c>
      <c r="B4012" t="s">
        <v>30</v>
      </c>
      <c r="C4012" t="s">
        <v>128</v>
      </c>
      <c r="D4012" s="9">
        <v>40917.426203703704</v>
      </c>
      <c r="E4012" t="s">
        <v>44</v>
      </c>
      <c r="F4012">
        <f t="shared" ca="1" si="124"/>
        <v>3.0555555555555554</v>
      </c>
      <c r="G4012">
        <f t="shared" ca="1" si="125"/>
        <v>0</v>
      </c>
    </row>
    <row r="4013" spans="1:7">
      <c r="A4013">
        <v>4024</v>
      </c>
      <c r="B4013" t="s">
        <v>20</v>
      </c>
      <c r="C4013" t="s">
        <v>122</v>
      </c>
      <c r="D4013" s="9">
        <v>41334.452696759261</v>
      </c>
      <c r="E4013" t="s">
        <v>8</v>
      </c>
      <c r="F4013">
        <f t="shared" ca="1" si="124"/>
        <v>1.9111111111111112</v>
      </c>
      <c r="G4013">
        <f t="shared" ca="1" si="125"/>
        <v>0</v>
      </c>
    </row>
    <row r="4014" spans="1:7">
      <c r="A4014">
        <v>4028</v>
      </c>
      <c r="B4014" t="s">
        <v>99</v>
      </c>
      <c r="C4014" t="s">
        <v>128</v>
      </c>
      <c r="D4014" s="9">
        <v>40920.640138888892</v>
      </c>
      <c r="E4014" t="s">
        <v>27</v>
      </c>
      <c r="F4014">
        <f t="shared" ca="1" si="124"/>
        <v>3.0472222222222221</v>
      </c>
      <c r="G4014">
        <f t="shared" ca="1" si="125"/>
        <v>0</v>
      </c>
    </row>
    <row r="4015" spans="1:7">
      <c r="A4015">
        <v>4034</v>
      </c>
      <c r="B4015" t="s">
        <v>37</v>
      </c>
      <c r="C4015" t="s">
        <v>128</v>
      </c>
      <c r="D4015" s="9">
        <v>40917.646192129629</v>
      </c>
      <c r="E4015" t="s">
        <v>143</v>
      </c>
      <c r="F4015">
        <f t="shared" ref="F4015:F4078" ca="1" si="126">YEARFRAC(TODAY(),$D4015)</f>
        <v>3.0555555555555554</v>
      </c>
      <c r="G4015">
        <f t="shared" ref="G4015:G4078" ca="1" si="127">IF($F4015&lt;1,1,0)</f>
        <v>0</v>
      </c>
    </row>
    <row r="4016" spans="1:7">
      <c r="A4016">
        <v>4036</v>
      </c>
      <c r="B4016" t="s">
        <v>99</v>
      </c>
      <c r="C4016" t="s">
        <v>128</v>
      </c>
      <c r="D4016" s="9">
        <v>40918.467129629629</v>
      </c>
      <c r="E4016" t="s">
        <v>19</v>
      </c>
      <c r="F4016">
        <f t="shared" ca="1" si="126"/>
        <v>3.0527777777777776</v>
      </c>
      <c r="G4016">
        <f t="shared" ca="1" si="127"/>
        <v>0</v>
      </c>
    </row>
    <row r="4017" spans="1:7">
      <c r="A4017">
        <v>4037</v>
      </c>
      <c r="B4017" t="s">
        <v>30</v>
      </c>
      <c r="C4017" t="s">
        <v>128</v>
      </c>
      <c r="D4017" s="9">
        <v>40919.597141203703</v>
      </c>
      <c r="E4017" t="s">
        <v>44</v>
      </c>
      <c r="F4017">
        <f t="shared" ca="1" si="126"/>
        <v>3.05</v>
      </c>
      <c r="G4017">
        <f t="shared" ca="1" si="127"/>
        <v>0</v>
      </c>
    </row>
    <row r="4018" spans="1:7">
      <c r="A4018">
        <v>4039</v>
      </c>
      <c r="B4018" t="s">
        <v>99</v>
      </c>
      <c r="C4018" t="s">
        <v>128</v>
      </c>
      <c r="D4018" s="9">
        <v>40917.933576388888</v>
      </c>
      <c r="E4018" t="s">
        <v>27</v>
      </c>
      <c r="F4018">
        <f t="shared" ca="1" si="126"/>
        <v>3.0555555555555554</v>
      </c>
      <c r="G4018">
        <f t="shared" ca="1" si="127"/>
        <v>0</v>
      </c>
    </row>
    <row r="4019" spans="1:7">
      <c r="A4019">
        <v>4041</v>
      </c>
      <c r="B4019" t="s">
        <v>111</v>
      </c>
      <c r="C4019" t="s">
        <v>123</v>
      </c>
      <c r="D4019" s="9">
        <v>41304.70113425926</v>
      </c>
      <c r="E4019" t="s">
        <v>23</v>
      </c>
      <c r="F4019">
        <f t="shared" ca="1" si="126"/>
        <v>1.9972222222222222</v>
      </c>
      <c r="G4019">
        <f t="shared" ca="1" si="127"/>
        <v>0</v>
      </c>
    </row>
    <row r="4020" spans="1:7">
      <c r="A4020">
        <v>4043</v>
      </c>
      <c r="B4020" t="s">
        <v>99</v>
      </c>
      <c r="C4020" t="s">
        <v>128</v>
      </c>
      <c r="D4020" s="9">
        <v>40919.690208333333</v>
      </c>
      <c r="E4020" t="s">
        <v>19</v>
      </c>
      <c r="F4020">
        <f t="shared" ca="1" si="126"/>
        <v>3.05</v>
      </c>
      <c r="G4020">
        <f t="shared" ca="1" si="127"/>
        <v>0</v>
      </c>
    </row>
    <row r="4021" spans="1:7">
      <c r="A4021">
        <v>4044</v>
      </c>
      <c r="B4021" t="s">
        <v>36</v>
      </c>
      <c r="C4021" t="s">
        <v>127</v>
      </c>
      <c r="D4021" s="9">
        <v>41029.90556712963</v>
      </c>
      <c r="E4021" t="s">
        <v>38</v>
      </c>
      <c r="F4021">
        <f t="shared" ca="1" si="126"/>
        <v>2.7472222222222222</v>
      </c>
      <c r="G4021">
        <f t="shared" ca="1" si="127"/>
        <v>0</v>
      </c>
    </row>
    <row r="4022" spans="1:7">
      <c r="A4022">
        <v>4048</v>
      </c>
      <c r="B4022" t="s">
        <v>111</v>
      </c>
      <c r="C4022" t="s">
        <v>128</v>
      </c>
      <c r="D4022" s="9">
        <v>40941.712835648148</v>
      </c>
      <c r="E4022" t="s">
        <v>38</v>
      </c>
      <c r="F4022">
        <f t="shared" ca="1" si="126"/>
        <v>2.9916666666666667</v>
      </c>
      <c r="G4022">
        <f t="shared" ca="1" si="127"/>
        <v>0</v>
      </c>
    </row>
    <row r="4023" spans="1:7">
      <c r="A4023">
        <v>4049</v>
      </c>
      <c r="B4023" t="s">
        <v>19</v>
      </c>
      <c r="C4023" t="s">
        <v>127</v>
      </c>
      <c r="D4023" s="9">
        <v>41029.808622685188</v>
      </c>
      <c r="E4023" t="s">
        <v>27</v>
      </c>
      <c r="F4023">
        <f t="shared" ca="1" si="126"/>
        <v>2.7472222222222222</v>
      </c>
      <c r="G4023">
        <f t="shared" ca="1" si="127"/>
        <v>0</v>
      </c>
    </row>
    <row r="4024" spans="1:7">
      <c r="A4024">
        <v>4052</v>
      </c>
      <c r="B4024" t="s">
        <v>99</v>
      </c>
      <c r="C4024" t="s">
        <v>128</v>
      </c>
      <c r="D4024" s="9">
        <v>40921.452094907407</v>
      </c>
      <c r="E4024" t="s">
        <v>19</v>
      </c>
      <c r="F4024">
        <f t="shared" ca="1" si="126"/>
        <v>3.0444444444444443</v>
      </c>
      <c r="G4024">
        <f t="shared" ca="1" si="127"/>
        <v>0</v>
      </c>
    </row>
    <row r="4025" spans="1:7">
      <c r="A4025">
        <v>4053</v>
      </c>
      <c r="B4025" t="s">
        <v>38</v>
      </c>
      <c r="C4025" t="s">
        <v>128</v>
      </c>
      <c r="D4025" s="9">
        <v>40917.946643518517</v>
      </c>
      <c r="E4025" t="s">
        <v>27</v>
      </c>
      <c r="F4025">
        <f t="shared" ca="1" si="126"/>
        <v>3.0555555555555554</v>
      </c>
      <c r="G4025">
        <f t="shared" ca="1" si="127"/>
        <v>0</v>
      </c>
    </row>
    <row r="4026" spans="1:7">
      <c r="A4026">
        <v>4061</v>
      </c>
      <c r="B4026" t="s">
        <v>99</v>
      </c>
      <c r="C4026" t="s">
        <v>128</v>
      </c>
      <c r="D4026" s="9">
        <v>40919.716886574075</v>
      </c>
      <c r="E4026" t="s">
        <v>27</v>
      </c>
      <c r="F4026">
        <f t="shared" ca="1" si="126"/>
        <v>3.05</v>
      </c>
      <c r="G4026">
        <f t="shared" ca="1" si="127"/>
        <v>0</v>
      </c>
    </row>
    <row r="4027" spans="1:7">
      <c r="A4027">
        <v>4068</v>
      </c>
      <c r="B4027" t="s">
        <v>32</v>
      </c>
      <c r="C4027" t="s">
        <v>128</v>
      </c>
      <c r="D4027" s="9">
        <v>40920.812372685185</v>
      </c>
      <c r="E4027" t="s">
        <v>99</v>
      </c>
      <c r="F4027">
        <f t="shared" ca="1" si="126"/>
        <v>3.0472222222222221</v>
      </c>
      <c r="G4027">
        <f t="shared" ca="1" si="127"/>
        <v>0</v>
      </c>
    </row>
    <row r="4028" spans="1:7">
      <c r="A4028">
        <v>4071</v>
      </c>
      <c r="B4028" t="s">
        <v>8</v>
      </c>
      <c r="C4028" t="s">
        <v>128</v>
      </c>
      <c r="D4028" s="9">
        <v>40920.082650462966</v>
      </c>
      <c r="E4028" t="s">
        <v>36</v>
      </c>
      <c r="F4028">
        <f t="shared" ca="1" si="126"/>
        <v>3.0472222222222221</v>
      </c>
      <c r="G4028">
        <f t="shared" ca="1" si="127"/>
        <v>0</v>
      </c>
    </row>
    <row r="4029" spans="1:7">
      <c r="A4029">
        <v>4072</v>
      </c>
      <c r="B4029" t="s">
        <v>19</v>
      </c>
      <c r="C4029" t="s">
        <v>128</v>
      </c>
      <c r="D4029" s="9">
        <v>40920.605752314812</v>
      </c>
      <c r="E4029" t="s">
        <v>21</v>
      </c>
      <c r="F4029">
        <f t="shared" ca="1" si="126"/>
        <v>3.0472222222222221</v>
      </c>
      <c r="G4029">
        <f t="shared" ca="1" si="127"/>
        <v>0</v>
      </c>
    </row>
    <row r="4030" spans="1:7">
      <c r="A4030">
        <v>4073</v>
      </c>
      <c r="B4030" t="s">
        <v>30</v>
      </c>
      <c r="C4030" t="s">
        <v>128</v>
      </c>
      <c r="D4030" s="9">
        <v>40919.340601851851</v>
      </c>
      <c r="E4030" t="s">
        <v>44</v>
      </c>
      <c r="F4030">
        <f t="shared" ca="1" si="126"/>
        <v>3.05</v>
      </c>
      <c r="G4030">
        <f t="shared" ca="1" si="127"/>
        <v>0</v>
      </c>
    </row>
    <row r="4031" spans="1:7">
      <c r="A4031">
        <v>4081</v>
      </c>
      <c r="B4031" t="s">
        <v>99</v>
      </c>
      <c r="C4031" t="s">
        <v>128</v>
      </c>
      <c r="D4031" s="9">
        <v>40920.760983796295</v>
      </c>
      <c r="E4031" t="s">
        <v>32</v>
      </c>
      <c r="F4031">
        <f t="shared" ca="1" si="126"/>
        <v>3.0472222222222221</v>
      </c>
      <c r="G4031">
        <f t="shared" ca="1" si="127"/>
        <v>0</v>
      </c>
    </row>
    <row r="4032" spans="1:7">
      <c r="A4032">
        <v>4083</v>
      </c>
      <c r="B4032" t="s">
        <v>99</v>
      </c>
      <c r="C4032" t="s">
        <v>128</v>
      </c>
      <c r="D4032" s="9">
        <v>40919.668032407404</v>
      </c>
      <c r="E4032" t="s">
        <v>19</v>
      </c>
      <c r="F4032">
        <f t="shared" ca="1" si="126"/>
        <v>3.05</v>
      </c>
      <c r="G4032">
        <f t="shared" ca="1" si="127"/>
        <v>0</v>
      </c>
    </row>
    <row r="4033" spans="1:7">
      <c r="A4033">
        <v>4085</v>
      </c>
      <c r="B4033" t="s">
        <v>99</v>
      </c>
      <c r="C4033" t="s">
        <v>128</v>
      </c>
      <c r="D4033" s="9">
        <v>40919.677256944444</v>
      </c>
      <c r="E4033" t="s">
        <v>19</v>
      </c>
      <c r="F4033">
        <f t="shared" ca="1" si="126"/>
        <v>3.05</v>
      </c>
      <c r="G4033">
        <f t="shared" ca="1" si="127"/>
        <v>0</v>
      </c>
    </row>
    <row r="4034" spans="1:7">
      <c r="A4034">
        <v>4086</v>
      </c>
      <c r="B4034" t="s">
        <v>32</v>
      </c>
      <c r="C4034" t="s">
        <v>128</v>
      </c>
      <c r="D4034" s="9">
        <v>40918.847858796296</v>
      </c>
      <c r="E4034" t="s">
        <v>99</v>
      </c>
      <c r="F4034">
        <f t="shared" ca="1" si="126"/>
        <v>3.0527777777777776</v>
      </c>
      <c r="G4034">
        <f t="shared" ca="1" si="127"/>
        <v>0</v>
      </c>
    </row>
    <row r="4035" spans="1:7">
      <c r="A4035">
        <v>4088</v>
      </c>
      <c r="B4035" t="s">
        <v>99</v>
      </c>
      <c r="C4035" t="s">
        <v>128</v>
      </c>
      <c r="D4035" s="9">
        <v>40917.686689814815</v>
      </c>
      <c r="E4035" t="s">
        <v>19</v>
      </c>
      <c r="F4035">
        <f t="shared" ca="1" si="126"/>
        <v>3.0555555555555554</v>
      </c>
      <c r="G4035">
        <f t="shared" ca="1" si="127"/>
        <v>0</v>
      </c>
    </row>
    <row r="4036" spans="1:7">
      <c r="A4036">
        <v>4089</v>
      </c>
      <c r="B4036" t="s">
        <v>99</v>
      </c>
      <c r="C4036" t="s">
        <v>128</v>
      </c>
      <c r="D4036" s="9">
        <v>40919.476446759261</v>
      </c>
      <c r="E4036" t="s">
        <v>112</v>
      </c>
      <c r="F4036">
        <f t="shared" ca="1" si="126"/>
        <v>3.05</v>
      </c>
      <c r="G4036">
        <f t="shared" ca="1" si="127"/>
        <v>0</v>
      </c>
    </row>
    <row r="4037" spans="1:7">
      <c r="A4037">
        <v>4090</v>
      </c>
      <c r="B4037" t="s">
        <v>27</v>
      </c>
      <c r="C4037" t="s">
        <v>128</v>
      </c>
      <c r="D4037" s="9">
        <v>40917.695127314815</v>
      </c>
      <c r="E4037" t="s">
        <v>19</v>
      </c>
      <c r="F4037">
        <f t="shared" ca="1" si="126"/>
        <v>3.0555555555555554</v>
      </c>
      <c r="G4037">
        <f t="shared" ca="1" si="127"/>
        <v>0</v>
      </c>
    </row>
    <row r="4038" spans="1:7">
      <c r="A4038">
        <v>4095</v>
      </c>
      <c r="B4038" t="s">
        <v>27</v>
      </c>
      <c r="C4038" t="s">
        <v>128</v>
      </c>
      <c r="D4038" s="9">
        <v>40919.699606481481</v>
      </c>
      <c r="E4038" t="s">
        <v>19</v>
      </c>
      <c r="F4038">
        <f t="shared" ca="1" si="126"/>
        <v>3.05</v>
      </c>
      <c r="G4038">
        <f t="shared" ca="1" si="127"/>
        <v>0</v>
      </c>
    </row>
    <row r="4039" spans="1:7">
      <c r="A4039">
        <v>4098</v>
      </c>
      <c r="B4039" t="s">
        <v>23</v>
      </c>
      <c r="C4039" t="s">
        <v>128</v>
      </c>
      <c r="D4039" s="9">
        <v>40939.719085648147</v>
      </c>
      <c r="E4039" t="s">
        <v>104</v>
      </c>
      <c r="F4039">
        <f t="shared" ca="1" si="126"/>
        <v>2.9972222222222222</v>
      </c>
      <c r="G4039">
        <f t="shared" ca="1" si="127"/>
        <v>0</v>
      </c>
    </row>
    <row r="4040" spans="1:7">
      <c r="A4040">
        <v>4099</v>
      </c>
      <c r="B4040" t="s">
        <v>99</v>
      </c>
      <c r="C4040" t="s">
        <v>128</v>
      </c>
      <c r="D4040" s="9">
        <v>40919.668969907405</v>
      </c>
      <c r="E4040" t="s">
        <v>21</v>
      </c>
      <c r="F4040">
        <f t="shared" ca="1" si="126"/>
        <v>3.05</v>
      </c>
      <c r="G4040">
        <f t="shared" ca="1" si="127"/>
        <v>0</v>
      </c>
    </row>
    <row r="4041" spans="1:7">
      <c r="A4041">
        <v>4100</v>
      </c>
      <c r="B4041" t="s">
        <v>20</v>
      </c>
      <c r="C4041" t="s">
        <v>127</v>
      </c>
      <c r="D4041" s="9">
        <v>41033.703518518516</v>
      </c>
      <c r="E4041" t="s">
        <v>99</v>
      </c>
      <c r="F4041">
        <f t="shared" ca="1" si="126"/>
        <v>2.7361111111111112</v>
      </c>
      <c r="G4041">
        <f t="shared" ca="1" si="127"/>
        <v>0</v>
      </c>
    </row>
    <row r="4042" spans="1:7">
      <c r="A4042">
        <v>4101</v>
      </c>
      <c r="B4042" t="s">
        <v>99</v>
      </c>
      <c r="C4042" t="s">
        <v>128</v>
      </c>
      <c r="D4042" s="9">
        <v>40925.975856481484</v>
      </c>
      <c r="E4042" t="s">
        <v>43</v>
      </c>
      <c r="F4042">
        <f t="shared" ca="1" si="126"/>
        <v>3.0333333333333332</v>
      </c>
      <c r="G4042">
        <f t="shared" ca="1" si="127"/>
        <v>0</v>
      </c>
    </row>
    <row r="4043" spans="1:7">
      <c r="A4043">
        <v>4103</v>
      </c>
      <c r="B4043" t="s">
        <v>27</v>
      </c>
      <c r="C4043" t="s">
        <v>128</v>
      </c>
      <c r="D4043" s="9">
        <v>40918.444467592592</v>
      </c>
      <c r="E4043" t="s">
        <v>19</v>
      </c>
      <c r="F4043">
        <f t="shared" ca="1" si="126"/>
        <v>3.0527777777777776</v>
      </c>
      <c r="G4043">
        <f t="shared" ca="1" si="127"/>
        <v>0</v>
      </c>
    </row>
    <row r="4044" spans="1:7">
      <c r="A4044">
        <v>4108</v>
      </c>
      <c r="B4044" t="s">
        <v>44</v>
      </c>
      <c r="C4044" t="s">
        <v>127</v>
      </c>
      <c r="D4044" s="9">
        <v>41030.812997685185</v>
      </c>
      <c r="E4044" t="s">
        <v>27</v>
      </c>
      <c r="F4044">
        <f t="shared" ca="1" si="126"/>
        <v>2.7444444444444445</v>
      </c>
      <c r="G4044">
        <f t="shared" ca="1" si="127"/>
        <v>0</v>
      </c>
    </row>
    <row r="4045" spans="1:7">
      <c r="A4045">
        <v>4111</v>
      </c>
      <c r="B4045" t="s">
        <v>8</v>
      </c>
      <c r="C4045" t="s">
        <v>128</v>
      </c>
      <c r="D4045" s="9">
        <v>40919.907233796293</v>
      </c>
      <c r="E4045" t="s">
        <v>43</v>
      </c>
      <c r="F4045">
        <f t="shared" ca="1" si="126"/>
        <v>3.05</v>
      </c>
      <c r="G4045">
        <f t="shared" ca="1" si="127"/>
        <v>0</v>
      </c>
    </row>
    <row r="4046" spans="1:7">
      <c r="A4046">
        <v>4112</v>
      </c>
      <c r="B4046" t="s">
        <v>27</v>
      </c>
      <c r="C4046" t="s">
        <v>128</v>
      </c>
      <c r="D4046" s="9">
        <v>40920.490057870367</v>
      </c>
      <c r="E4046" t="s">
        <v>19</v>
      </c>
      <c r="F4046">
        <f t="shared" ca="1" si="126"/>
        <v>3.0472222222222221</v>
      </c>
      <c r="G4046">
        <f t="shared" ca="1" si="127"/>
        <v>0</v>
      </c>
    </row>
    <row r="4047" spans="1:7">
      <c r="A4047">
        <v>4114</v>
      </c>
      <c r="B4047" t="s">
        <v>111</v>
      </c>
      <c r="C4047" t="s">
        <v>128</v>
      </c>
      <c r="D4047" s="9">
        <v>40941.713807870372</v>
      </c>
      <c r="E4047" t="s">
        <v>38</v>
      </c>
      <c r="F4047">
        <f t="shared" ca="1" si="126"/>
        <v>2.9916666666666667</v>
      </c>
      <c r="G4047">
        <f t="shared" ca="1" si="127"/>
        <v>0</v>
      </c>
    </row>
    <row r="4048" spans="1:7">
      <c r="A4048">
        <v>4118</v>
      </c>
      <c r="B4048" t="s">
        <v>27</v>
      </c>
      <c r="C4048" t="s">
        <v>128</v>
      </c>
      <c r="D4048" s="9">
        <v>40920.469143518516</v>
      </c>
      <c r="E4048" t="s">
        <v>19</v>
      </c>
      <c r="F4048">
        <f t="shared" ca="1" si="126"/>
        <v>3.0472222222222221</v>
      </c>
      <c r="G4048">
        <f t="shared" ca="1" si="127"/>
        <v>0</v>
      </c>
    </row>
    <row r="4049" spans="1:7">
      <c r="A4049">
        <v>4119</v>
      </c>
      <c r="B4049" t="s">
        <v>23</v>
      </c>
      <c r="C4049" t="s">
        <v>128</v>
      </c>
      <c r="D4049" s="9">
        <v>40920.764317129629</v>
      </c>
      <c r="E4049" t="s">
        <v>99</v>
      </c>
      <c r="F4049">
        <f t="shared" ca="1" si="126"/>
        <v>3.0472222222222221</v>
      </c>
      <c r="G4049">
        <f t="shared" ca="1" si="127"/>
        <v>0</v>
      </c>
    </row>
    <row r="4050" spans="1:7">
      <c r="A4050">
        <v>4122</v>
      </c>
      <c r="B4050" t="s">
        <v>99</v>
      </c>
      <c r="C4050" t="s">
        <v>128</v>
      </c>
      <c r="D4050" s="9">
        <v>40917.614074074074</v>
      </c>
      <c r="E4050" t="s">
        <v>19</v>
      </c>
      <c r="F4050">
        <f t="shared" ca="1" si="126"/>
        <v>3.0555555555555554</v>
      </c>
      <c r="G4050">
        <f t="shared" ca="1" si="127"/>
        <v>0</v>
      </c>
    </row>
    <row r="4051" spans="1:7">
      <c r="A4051">
        <v>4127</v>
      </c>
      <c r="B4051" t="s">
        <v>37</v>
      </c>
      <c r="C4051" t="s">
        <v>128</v>
      </c>
      <c r="D4051" s="9">
        <v>40919.646307870367</v>
      </c>
      <c r="E4051" t="s">
        <v>30</v>
      </c>
      <c r="F4051">
        <f t="shared" ca="1" si="126"/>
        <v>3.05</v>
      </c>
      <c r="G4051">
        <f t="shared" ca="1" si="127"/>
        <v>0</v>
      </c>
    </row>
    <row r="4052" spans="1:7">
      <c r="A4052">
        <v>4128</v>
      </c>
      <c r="B4052" t="s">
        <v>143</v>
      </c>
      <c r="C4052" t="s">
        <v>128</v>
      </c>
      <c r="D4052" s="9">
        <v>40917.444895833331</v>
      </c>
      <c r="E4052" t="s">
        <v>44</v>
      </c>
      <c r="F4052">
        <f t="shared" ca="1" si="126"/>
        <v>3.0555555555555554</v>
      </c>
      <c r="G4052">
        <f t="shared" ca="1" si="127"/>
        <v>0</v>
      </c>
    </row>
    <row r="4053" spans="1:7">
      <c r="A4053">
        <v>4129</v>
      </c>
      <c r="B4053" t="s">
        <v>32</v>
      </c>
      <c r="C4053" t="s">
        <v>128</v>
      </c>
      <c r="D4053" s="9">
        <v>40920.796620370369</v>
      </c>
      <c r="E4053" t="s">
        <v>99</v>
      </c>
      <c r="F4053">
        <f t="shared" ca="1" si="126"/>
        <v>3.0472222222222221</v>
      </c>
      <c r="G4053">
        <f t="shared" ca="1" si="127"/>
        <v>0</v>
      </c>
    </row>
    <row r="4054" spans="1:7">
      <c r="A4054">
        <v>4130</v>
      </c>
      <c r="B4054" t="s">
        <v>99</v>
      </c>
      <c r="C4054" t="s">
        <v>128</v>
      </c>
      <c r="D4054" s="9">
        <v>40920.570590277777</v>
      </c>
      <c r="E4054" t="s">
        <v>32</v>
      </c>
      <c r="F4054">
        <f t="shared" ca="1" si="126"/>
        <v>3.0472222222222221</v>
      </c>
      <c r="G4054">
        <f t="shared" ca="1" si="127"/>
        <v>0</v>
      </c>
    </row>
    <row r="4055" spans="1:7">
      <c r="A4055">
        <v>4131</v>
      </c>
      <c r="B4055" t="s">
        <v>111</v>
      </c>
      <c r="C4055" t="s">
        <v>128</v>
      </c>
      <c r="D4055" s="9">
        <v>40921.434942129628</v>
      </c>
      <c r="E4055" t="s">
        <v>143</v>
      </c>
      <c r="F4055">
        <f t="shared" ca="1" si="126"/>
        <v>3.0444444444444443</v>
      </c>
      <c r="G4055">
        <f t="shared" ca="1" si="127"/>
        <v>0</v>
      </c>
    </row>
    <row r="4056" spans="1:7">
      <c r="A4056">
        <v>4138</v>
      </c>
      <c r="B4056" t="s">
        <v>99</v>
      </c>
      <c r="C4056" t="s">
        <v>128</v>
      </c>
      <c r="D4056" s="9">
        <v>40921.754004629627</v>
      </c>
      <c r="E4056" t="s">
        <v>38</v>
      </c>
      <c r="F4056">
        <f t="shared" ca="1" si="126"/>
        <v>3.0444444444444443</v>
      </c>
      <c r="G4056">
        <f t="shared" ca="1" si="127"/>
        <v>0</v>
      </c>
    </row>
    <row r="4057" spans="1:7">
      <c r="A4057">
        <v>4140</v>
      </c>
      <c r="B4057" t="s">
        <v>99</v>
      </c>
      <c r="C4057" t="s">
        <v>128</v>
      </c>
      <c r="D4057" s="9">
        <v>40918.592766203707</v>
      </c>
      <c r="E4057" t="s">
        <v>27</v>
      </c>
      <c r="F4057">
        <f t="shared" ca="1" si="126"/>
        <v>3.0527777777777776</v>
      </c>
      <c r="G4057">
        <f t="shared" ca="1" si="127"/>
        <v>0</v>
      </c>
    </row>
    <row r="4058" spans="1:7">
      <c r="A4058">
        <v>4141</v>
      </c>
      <c r="B4058" t="s">
        <v>27</v>
      </c>
      <c r="C4058" t="s">
        <v>128</v>
      </c>
      <c r="D4058" s="9">
        <v>40919.718622685185</v>
      </c>
      <c r="E4058" t="s">
        <v>19</v>
      </c>
      <c r="F4058">
        <f t="shared" ca="1" si="126"/>
        <v>3.05</v>
      </c>
      <c r="G4058">
        <f t="shared" ca="1" si="127"/>
        <v>0</v>
      </c>
    </row>
    <row r="4059" spans="1:7">
      <c r="A4059">
        <v>4142</v>
      </c>
      <c r="B4059" t="s">
        <v>32</v>
      </c>
      <c r="C4059" t="s">
        <v>128</v>
      </c>
      <c r="D4059" s="9">
        <v>40918.774733796294</v>
      </c>
      <c r="E4059" t="s">
        <v>21</v>
      </c>
      <c r="F4059">
        <f t="shared" ca="1" si="126"/>
        <v>3.0527777777777776</v>
      </c>
      <c r="G4059">
        <f t="shared" ca="1" si="127"/>
        <v>0</v>
      </c>
    </row>
    <row r="4060" spans="1:7">
      <c r="A4060">
        <v>4145</v>
      </c>
      <c r="B4060" t="s">
        <v>99</v>
      </c>
      <c r="C4060" t="s">
        <v>128</v>
      </c>
      <c r="D4060" s="9">
        <v>40920.571689814817</v>
      </c>
      <c r="E4060" t="s">
        <v>32</v>
      </c>
      <c r="F4060">
        <f t="shared" ca="1" si="126"/>
        <v>3.0472222222222221</v>
      </c>
      <c r="G4060">
        <f t="shared" ca="1" si="127"/>
        <v>0</v>
      </c>
    </row>
    <row r="4061" spans="1:7">
      <c r="A4061">
        <v>4151</v>
      </c>
      <c r="B4061" t="s">
        <v>38</v>
      </c>
      <c r="C4061" t="s">
        <v>128</v>
      </c>
      <c r="D4061" s="9">
        <v>40918.904131944444</v>
      </c>
      <c r="E4061" t="s">
        <v>43</v>
      </c>
      <c r="F4061">
        <f t="shared" ca="1" si="126"/>
        <v>3.0527777777777776</v>
      </c>
      <c r="G4061">
        <f t="shared" ca="1" si="127"/>
        <v>0</v>
      </c>
    </row>
    <row r="4062" spans="1:7">
      <c r="A4062">
        <v>4152</v>
      </c>
      <c r="B4062" t="s">
        <v>19</v>
      </c>
      <c r="C4062" t="s">
        <v>128</v>
      </c>
      <c r="D4062" s="9">
        <v>40919.464131944442</v>
      </c>
      <c r="E4062" t="s">
        <v>30</v>
      </c>
      <c r="F4062">
        <f t="shared" ca="1" si="126"/>
        <v>3.05</v>
      </c>
      <c r="G4062">
        <f t="shared" ca="1" si="127"/>
        <v>0</v>
      </c>
    </row>
    <row r="4063" spans="1:7">
      <c r="A4063">
        <v>4153</v>
      </c>
      <c r="B4063" t="s">
        <v>38</v>
      </c>
      <c r="C4063" t="s">
        <v>128</v>
      </c>
      <c r="D4063" s="9">
        <v>40917.672129629631</v>
      </c>
      <c r="E4063" t="s">
        <v>112</v>
      </c>
      <c r="F4063">
        <f t="shared" ca="1" si="126"/>
        <v>3.0555555555555554</v>
      </c>
      <c r="G4063">
        <f t="shared" ca="1" si="127"/>
        <v>0</v>
      </c>
    </row>
    <row r="4064" spans="1:7">
      <c r="A4064">
        <v>4155</v>
      </c>
      <c r="B4064" t="s">
        <v>32</v>
      </c>
      <c r="C4064" t="s">
        <v>128</v>
      </c>
      <c r="D4064" s="9">
        <v>40917.849166666667</v>
      </c>
      <c r="E4064" t="s">
        <v>36</v>
      </c>
      <c r="F4064">
        <f t="shared" ca="1" si="126"/>
        <v>3.0555555555555554</v>
      </c>
      <c r="G4064">
        <f t="shared" ca="1" si="127"/>
        <v>0</v>
      </c>
    </row>
    <row r="4065" spans="1:7">
      <c r="A4065">
        <v>4157</v>
      </c>
      <c r="B4065" t="s">
        <v>21</v>
      </c>
      <c r="C4065" t="s">
        <v>128</v>
      </c>
      <c r="D4065" s="9">
        <v>40919.798298611109</v>
      </c>
      <c r="E4065" t="s">
        <v>43</v>
      </c>
      <c r="F4065">
        <f t="shared" ca="1" si="126"/>
        <v>3.05</v>
      </c>
      <c r="G4065">
        <f t="shared" ca="1" si="127"/>
        <v>0</v>
      </c>
    </row>
    <row r="4066" spans="1:7">
      <c r="A4066">
        <v>4158</v>
      </c>
      <c r="B4066" t="s">
        <v>34</v>
      </c>
      <c r="C4066" t="s">
        <v>127</v>
      </c>
      <c r="D4066" s="9">
        <v>41033.703773148147</v>
      </c>
      <c r="E4066" t="s">
        <v>23</v>
      </c>
      <c r="F4066">
        <f t="shared" ca="1" si="126"/>
        <v>2.7361111111111112</v>
      </c>
      <c r="G4066">
        <f t="shared" ca="1" si="127"/>
        <v>0</v>
      </c>
    </row>
    <row r="4067" spans="1:7">
      <c r="A4067">
        <v>4159</v>
      </c>
      <c r="B4067" t="s">
        <v>143</v>
      </c>
      <c r="C4067" t="s">
        <v>128</v>
      </c>
      <c r="D4067" s="9">
        <v>40918.58494212963</v>
      </c>
      <c r="E4067" t="s">
        <v>44</v>
      </c>
      <c r="F4067">
        <f t="shared" ca="1" si="126"/>
        <v>3.0527777777777776</v>
      </c>
      <c r="G4067">
        <f t="shared" ca="1" si="127"/>
        <v>0</v>
      </c>
    </row>
    <row r="4068" spans="1:7">
      <c r="A4068">
        <v>4161</v>
      </c>
      <c r="B4068" t="s">
        <v>143</v>
      </c>
      <c r="C4068" t="s">
        <v>128</v>
      </c>
      <c r="D4068" s="9">
        <v>40918.685034722221</v>
      </c>
      <c r="E4068" t="s">
        <v>44</v>
      </c>
      <c r="F4068">
        <f t="shared" ca="1" si="126"/>
        <v>3.0527777777777776</v>
      </c>
      <c r="G4068">
        <f t="shared" ca="1" si="127"/>
        <v>0</v>
      </c>
    </row>
    <row r="4069" spans="1:7">
      <c r="A4069">
        <v>4162</v>
      </c>
      <c r="B4069" t="s">
        <v>34</v>
      </c>
      <c r="C4069" t="s">
        <v>128</v>
      </c>
      <c r="D4069" s="9">
        <v>40918.603344907409</v>
      </c>
      <c r="E4069" t="s">
        <v>44</v>
      </c>
      <c r="F4069">
        <f t="shared" ca="1" si="126"/>
        <v>3.0527777777777776</v>
      </c>
      <c r="G4069">
        <f t="shared" ca="1" si="127"/>
        <v>0</v>
      </c>
    </row>
    <row r="4070" spans="1:7">
      <c r="A4070">
        <v>4165</v>
      </c>
      <c r="B4070" t="s">
        <v>99</v>
      </c>
      <c r="C4070" t="s">
        <v>128</v>
      </c>
      <c r="D4070" s="9">
        <v>40920.574780092589</v>
      </c>
      <c r="E4070" t="s">
        <v>32</v>
      </c>
      <c r="F4070">
        <f t="shared" ca="1" si="126"/>
        <v>3.0472222222222221</v>
      </c>
      <c r="G4070">
        <f t="shared" ca="1" si="127"/>
        <v>0</v>
      </c>
    </row>
    <row r="4071" spans="1:7">
      <c r="A4071">
        <v>4166</v>
      </c>
      <c r="B4071" t="s">
        <v>18</v>
      </c>
      <c r="C4071" t="s">
        <v>119</v>
      </c>
      <c r="D4071" s="9">
        <v>41591.553912037038</v>
      </c>
      <c r="E4071" t="s">
        <v>8</v>
      </c>
      <c r="F4071">
        <f t="shared" ca="1" si="126"/>
        <v>1.211111111111111</v>
      </c>
      <c r="G4071">
        <f t="shared" ca="1" si="127"/>
        <v>0</v>
      </c>
    </row>
    <row r="4072" spans="1:7">
      <c r="A4072">
        <v>4171</v>
      </c>
      <c r="B4072" t="s">
        <v>99</v>
      </c>
      <c r="C4072" t="s">
        <v>128</v>
      </c>
      <c r="D4072" s="9">
        <v>40917.883796296293</v>
      </c>
      <c r="E4072" t="s">
        <v>32</v>
      </c>
      <c r="F4072">
        <f t="shared" ca="1" si="126"/>
        <v>3.0555555555555554</v>
      </c>
      <c r="G4072">
        <f t="shared" ca="1" si="127"/>
        <v>0</v>
      </c>
    </row>
    <row r="4073" spans="1:7">
      <c r="A4073">
        <v>4173</v>
      </c>
      <c r="B4073" t="s">
        <v>99</v>
      </c>
      <c r="C4073" t="s">
        <v>128</v>
      </c>
      <c r="D4073" s="9">
        <v>40918.700624999998</v>
      </c>
      <c r="E4073" t="s">
        <v>21</v>
      </c>
      <c r="F4073">
        <f t="shared" ca="1" si="126"/>
        <v>3.0527777777777776</v>
      </c>
      <c r="G4073">
        <f t="shared" ca="1" si="127"/>
        <v>0</v>
      </c>
    </row>
    <row r="4074" spans="1:7">
      <c r="A4074">
        <v>4178</v>
      </c>
      <c r="B4074" t="s">
        <v>20</v>
      </c>
      <c r="C4074" t="s">
        <v>128</v>
      </c>
      <c r="D4074" s="9">
        <v>40918.782222222224</v>
      </c>
      <c r="E4074" t="s">
        <v>43</v>
      </c>
      <c r="F4074">
        <f t="shared" ca="1" si="126"/>
        <v>3.0527777777777776</v>
      </c>
      <c r="G4074">
        <f t="shared" ca="1" si="127"/>
        <v>0</v>
      </c>
    </row>
    <row r="4075" spans="1:7">
      <c r="A4075">
        <v>4182</v>
      </c>
      <c r="B4075" t="s">
        <v>8</v>
      </c>
      <c r="C4075" t="s">
        <v>128</v>
      </c>
      <c r="D4075" s="9">
        <v>40920.586030092592</v>
      </c>
      <c r="E4075" t="s">
        <v>38</v>
      </c>
      <c r="F4075">
        <f t="shared" ca="1" si="126"/>
        <v>3.0472222222222221</v>
      </c>
      <c r="G4075">
        <f t="shared" ca="1" si="127"/>
        <v>0</v>
      </c>
    </row>
    <row r="4076" spans="1:7">
      <c r="A4076">
        <v>4183</v>
      </c>
      <c r="B4076" t="s">
        <v>99</v>
      </c>
      <c r="C4076" t="s">
        <v>128</v>
      </c>
      <c r="D4076" s="9">
        <v>40925.976122685184</v>
      </c>
      <c r="E4076" t="s">
        <v>43</v>
      </c>
      <c r="F4076">
        <f t="shared" ca="1" si="126"/>
        <v>3.0333333333333332</v>
      </c>
      <c r="G4076">
        <f t="shared" ca="1" si="127"/>
        <v>0</v>
      </c>
    </row>
    <row r="4077" spans="1:7">
      <c r="A4077">
        <v>4185</v>
      </c>
      <c r="B4077" t="s">
        <v>44</v>
      </c>
      <c r="C4077" t="s">
        <v>128</v>
      </c>
      <c r="D4077" s="9">
        <v>40920.09511574074</v>
      </c>
      <c r="E4077" t="s">
        <v>36</v>
      </c>
      <c r="F4077">
        <f t="shared" ca="1" si="126"/>
        <v>3.0472222222222221</v>
      </c>
      <c r="G4077">
        <f t="shared" ca="1" si="127"/>
        <v>0</v>
      </c>
    </row>
    <row r="4078" spans="1:7">
      <c r="A4078">
        <v>4188</v>
      </c>
      <c r="B4078" t="s">
        <v>30</v>
      </c>
      <c r="C4078" t="s">
        <v>128</v>
      </c>
      <c r="D4078" s="9">
        <v>40917.607928240737</v>
      </c>
      <c r="E4078" t="s">
        <v>44</v>
      </c>
      <c r="F4078">
        <f t="shared" ca="1" si="126"/>
        <v>3.0555555555555554</v>
      </c>
      <c r="G4078">
        <f t="shared" ca="1" si="127"/>
        <v>0</v>
      </c>
    </row>
    <row r="4079" spans="1:7">
      <c r="A4079">
        <v>4189</v>
      </c>
      <c r="B4079" t="s">
        <v>19</v>
      </c>
      <c r="C4079" t="s">
        <v>128</v>
      </c>
      <c r="D4079" s="9">
        <v>40919.72619212963</v>
      </c>
      <c r="E4079" t="s">
        <v>43</v>
      </c>
      <c r="F4079">
        <f t="shared" ref="F4079:F4142" ca="1" si="128">YEARFRAC(TODAY(),$D4079)</f>
        <v>3.05</v>
      </c>
      <c r="G4079">
        <f t="shared" ref="G4079:G4142" ca="1" si="129">IF($F4079&lt;1,1,0)</f>
        <v>0</v>
      </c>
    </row>
    <row r="4080" spans="1:7">
      <c r="A4080">
        <v>4191</v>
      </c>
      <c r="B4080" t="s">
        <v>99</v>
      </c>
      <c r="C4080" t="s">
        <v>128</v>
      </c>
      <c r="D4080" s="9">
        <v>40918.69971064815</v>
      </c>
      <c r="E4080" t="s">
        <v>27</v>
      </c>
      <c r="F4080">
        <f t="shared" ca="1" si="128"/>
        <v>3.0527777777777776</v>
      </c>
      <c r="G4080">
        <f t="shared" ca="1" si="129"/>
        <v>0</v>
      </c>
    </row>
    <row r="4081" spans="1:7">
      <c r="A4081">
        <v>4193</v>
      </c>
      <c r="B4081" t="s">
        <v>143</v>
      </c>
      <c r="C4081" t="s">
        <v>128</v>
      </c>
      <c r="D4081" s="9">
        <v>40918.69767361111</v>
      </c>
      <c r="E4081" t="s">
        <v>44</v>
      </c>
      <c r="F4081">
        <f t="shared" ca="1" si="128"/>
        <v>3.0527777777777776</v>
      </c>
      <c r="G4081">
        <f t="shared" ca="1" si="129"/>
        <v>0</v>
      </c>
    </row>
    <row r="4082" spans="1:7">
      <c r="A4082">
        <v>4194</v>
      </c>
      <c r="B4082" t="s">
        <v>19</v>
      </c>
      <c r="C4082" t="s">
        <v>128</v>
      </c>
      <c r="D4082" s="9">
        <v>40918.801192129627</v>
      </c>
      <c r="E4082" t="s">
        <v>27</v>
      </c>
      <c r="F4082">
        <f t="shared" ca="1" si="128"/>
        <v>3.0527777777777776</v>
      </c>
      <c r="G4082">
        <f t="shared" ca="1" si="129"/>
        <v>0</v>
      </c>
    </row>
    <row r="4083" spans="1:7">
      <c r="A4083">
        <v>4195</v>
      </c>
      <c r="B4083" t="s">
        <v>8</v>
      </c>
      <c r="C4083" t="s">
        <v>128</v>
      </c>
      <c r="D4083" s="9">
        <v>40921.415069444447</v>
      </c>
      <c r="E4083" t="s">
        <v>30</v>
      </c>
      <c r="F4083">
        <f t="shared" ca="1" si="128"/>
        <v>3.0444444444444443</v>
      </c>
      <c r="G4083">
        <f t="shared" ca="1" si="129"/>
        <v>0</v>
      </c>
    </row>
    <row r="4084" spans="1:7">
      <c r="A4084">
        <v>4197</v>
      </c>
      <c r="B4084" t="s">
        <v>44</v>
      </c>
      <c r="C4084" t="s">
        <v>128</v>
      </c>
      <c r="D4084" s="9">
        <v>40921.684629629628</v>
      </c>
      <c r="E4084" t="s">
        <v>30</v>
      </c>
      <c r="F4084">
        <f t="shared" ca="1" si="128"/>
        <v>3.0444444444444443</v>
      </c>
      <c r="G4084">
        <f t="shared" ca="1" si="129"/>
        <v>0</v>
      </c>
    </row>
    <row r="4085" spans="1:7">
      <c r="A4085">
        <v>4205</v>
      </c>
      <c r="B4085" t="s">
        <v>54</v>
      </c>
      <c r="C4085" t="s">
        <v>127</v>
      </c>
      <c r="D4085" s="9">
        <v>41033.703541666669</v>
      </c>
      <c r="E4085" t="s">
        <v>32</v>
      </c>
      <c r="F4085">
        <f t="shared" ca="1" si="128"/>
        <v>2.7361111111111112</v>
      </c>
      <c r="G4085">
        <f t="shared" ca="1" si="129"/>
        <v>0</v>
      </c>
    </row>
    <row r="4086" spans="1:7">
      <c r="A4086">
        <v>4206</v>
      </c>
      <c r="B4086" t="s">
        <v>99</v>
      </c>
      <c r="C4086" t="s">
        <v>128</v>
      </c>
      <c r="D4086" s="9">
        <v>40917.652430555558</v>
      </c>
      <c r="E4086" t="s">
        <v>19</v>
      </c>
      <c r="F4086">
        <f t="shared" ca="1" si="128"/>
        <v>3.0555555555555554</v>
      </c>
      <c r="G4086">
        <f t="shared" ca="1" si="129"/>
        <v>0</v>
      </c>
    </row>
    <row r="4087" spans="1:7">
      <c r="A4087">
        <v>4210</v>
      </c>
      <c r="B4087" t="s">
        <v>111</v>
      </c>
      <c r="C4087" t="s">
        <v>128</v>
      </c>
      <c r="D4087" s="9">
        <v>40941.713113425925</v>
      </c>
      <c r="E4087" t="s">
        <v>38</v>
      </c>
      <c r="F4087">
        <f t="shared" ca="1" si="128"/>
        <v>2.9916666666666667</v>
      </c>
      <c r="G4087">
        <f t="shared" ca="1" si="129"/>
        <v>0</v>
      </c>
    </row>
    <row r="4088" spans="1:7">
      <c r="A4088">
        <v>4212</v>
      </c>
      <c r="B4088" t="s">
        <v>32</v>
      </c>
      <c r="C4088" t="s">
        <v>128</v>
      </c>
      <c r="D4088" s="9">
        <v>40920.72074074074</v>
      </c>
      <c r="E4088" t="s">
        <v>21</v>
      </c>
      <c r="F4088">
        <f t="shared" ca="1" si="128"/>
        <v>3.0472222222222221</v>
      </c>
      <c r="G4088">
        <f t="shared" ca="1" si="129"/>
        <v>0</v>
      </c>
    </row>
    <row r="4089" spans="1:7">
      <c r="A4089">
        <v>4213</v>
      </c>
      <c r="B4089" t="s">
        <v>20</v>
      </c>
      <c r="C4089" t="s">
        <v>128</v>
      </c>
      <c r="D4089" s="9">
        <v>40919.680902777778</v>
      </c>
      <c r="E4089" t="s">
        <v>64</v>
      </c>
      <c r="F4089">
        <f t="shared" ca="1" si="128"/>
        <v>3.05</v>
      </c>
      <c r="G4089">
        <f t="shared" ca="1" si="129"/>
        <v>0</v>
      </c>
    </row>
    <row r="4090" spans="1:7">
      <c r="A4090">
        <v>4215</v>
      </c>
      <c r="B4090" t="s">
        <v>21</v>
      </c>
      <c r="C4090" t="s">
        <v>128</v>
      </c>
      <c r="D4090" s="9">
        <v>40920.822395833333</v>
      </c>
      <c r="E4090" t="s">
        <v>32</v>
      </c>
      <c r="F4090">
        <f t="shared" ca="1" si="128"/>
        <v>3.0472222222222221</v>
      </c>
      <c r="G4090">
        <f t="shared" ca="1" si="129"/>
        <v>0</v>
      </c>
    </row>
    <row r="4091" spans="1:7">
      <c r="A4091">
        <v>4217</v>
      </c>
      <c r="B4091" t="s">
        <v>32</v>
      </c>
      <c r="C4091" t="s">
        <v>128</v>
      </c>
      <c r="D4091" s="9">
        <v>40918.694178240738</v>
      </c>
      <c r="E4091" t="s">
        <v>21</v>
      </c>
      <c r="F4091">
        <f t="shared" ca="1" si="128"/>
        <v>3.0527777777777776</v>
      </c>
      <c r="G4091">
        <f t="shared" ca="1" si="129"/>
        <v>0</v>
      </c>
    </row>
    <row r="4092" spans="1:7">
      <c r="A4092">
        <v>4220</v>
      </c>
      <c r="B4092" t="s">
        <v>8</v>
      </c>
      <c r="C4092" t="s">
        <v>128</v>
      </c>
      <c r="D4092" s="9">
        <v>40918.859861111108</v>
      </c>
      <c r="E4092" t="s">
        <v>99</v>
      </c>
      <c r="F4092">
        <f t="shared" ca="1" si="128"/>
        <v>3.0527777777777776</v>
      </c>
      <c r="G4092">
        <f t="shared" ca="1" si="129"/>
        <v>0</v>
      </c>
    </row>
    <row r="4093" spans="1:7">
      <c r="A4093">
        <v>4223</v>
      </c>
      <c r="B4093" t="s">
        <v>99</v>
      </c>
      <c r="C4093" t="s">
        <v>128</v>
      </c>
      <c r="D4093" s="9">
        <v>40917.946006944447</v>
      </c>
      <c r="E4093" t="s">
        <v>21</v>
      </c>
      <c r="F4093">
        <f t="shared" ca="1" si="128"/>
        <v>3.0555555555555554</v>
      </c>
      <c r="G4093">
        <f t="shared" ca="1" si="129"/>
        <v>0</v>
      </c>
    </row>
    <row r="4094" spans="1:7">
      <c r="A4094">
        <v>4226</v>
      </c>
      <c r="B4094" t="s">
        <v>8</v>
      </c>
      <c r="C4094" t="s">
        <v>128</v>
      </c>
      <c r="D4094" s="9">
        <v>40921.577118055553</v>
      </c>
      <c r="E4094" t="s">
        <v>20</v>
      </c>
      <c r="F4094">
        <f t="shared" ca="1" si="128"/>
        <v>3.0444444444444443</v>
      </c>
      <c r="G4094">
        <f t="shared" ca="1" si="129"/>
        <v>0</v>
      </c>
    </row>
    <row r="4095" spans="1:7">
      <c r="A4095">
        <v>4230</v>
      </c>
      <c r="B4095" t="s">
        <v>27</v>
      </c>
      <c r="C4095" t="s">
        <v>128</v>
      </c>
      <c r="D4095" s="9">
        <v>40920.802719907406</v>
      </c>
      <c r="E4095" t="s">
        <v>38</v>
      </c>
      <c r="F4095">
        <f t="shared" ca="1" si="128"/>
        <v>3.0472222222222221</v>
      </c>
      <c r="G4095">
        <f t="shared" ca="1" si="129"/>
        <v>0</v>
      </c>
    </row>
    <row r="4096" spans="1:7">
      <c r="A4096">
        <v>4231</v>
      </c>
      <c r="B4096" t="s">
        <v>27</v>
      </c>
      <c r="C4096" t="s">
        <v>128</v>
      </c>
      <c r="D4096" s="9">
        <v>40921.645648148151</v>
      </c>
      <c r="E4096" t="s">
        <v>38</v>
      </c>
      <c r="F4096">
        <f t="shared" ca="1" si="128"/>
        <v>3.0444444444444443</v>
      </c>
      <c r="G4096">
        <f t="shared" ca="1" si="129"/>
        <v>0</v>
      </c>
    </row>
    <row r="4097" spans="1:7">
      <c r="A4097">
        <v>4233</v>
      </c>
      <c r="B4097" t="s">
        <v>143</v>
      </c>
      <c r="C4097" t="s">
        <v>127</v>
      </c>
      <c r="D4097" s="9">
        <v>41029.807222222225</v>
      </c>
      <c r="E4097" t="s">
        <v>38</v>
      </c>
      <c r="F4097">
        <f t="shared" ca="1" si="128"/>
        <v>2.7472222222222222</v>
      </c>
      <c r="G4097">
        <f t="shared" ca="1" si="129"/>
        <v>0</v>
      </c>
    </row>
    <row r="4098" spans="1:7">
      <c r="A4098">
        <v>4236</v>
      </c>
      <c r="B4098" t="s">
        <v>34</v>
      </c>
      <c r="C4098" t="s">
        <v>128</v>
      </c>
      <c r="D4098" s="9">
        <v>40918.982303240744</v>
      </c>
      <c r="E4098" t="s">
        <v>43</v>
      </c>
      <c r="F4098">
        <f t="shared" ca="1" si="128"/>
        <v>3.0527777777777776</v>
      </c>
      <c r="G4098">
        <f t="shared" ca="1" si="129"/>
        <v>0</v>
      </c>
    </row>
    <row r="4099" spans="1:7">
      <c r="A4099">
        <v>4239</v>
      </c>
      <c r="B4099" t="s">
        <v>27</v>
      </c>
      <c r="C4099" t="s">
        <v>128</v>
      </c>
      <c r="D4099" s="9">
        <v>40920.550046296295</v>
      </c>
      <c r="E4099" t="s">
        <v>19</v>
      </c>
      <c r="F4099">
        <f t="shared" ca="1" si="128"/>
        <v>3.0472222222222221</v>
      </c>
      <c r="G4099">
        <f t="shared" ca="1" si="129"/>
        <v>0</v>
      </c>
    </row>
    <row r="4100" spans="1:7">
      <c r="A4100">
        <v>4240</v>
      </c>
      <c r="B4100" t="s">
        <v>27</v>
      </c>
      <c r="C4100" t="s">
        <v>128</v>
      </c>
      <c r="D4100" s="9">
        <v>40920.568819444445</v>
      </c>
      <c r="E4100" t="s">
        <v>19</v>
      </c>
      <c r="F4100">
        <f t="shared" ca="1" si="128"/>
        <v>3.0472222222222221</v>
      </c>
      <c r="G4100">
        <f t="shared" ca="1" si="129"/>
        <v>0</v>
      </c>
    </row>
    <row r="4101" spans="1:7">
      <c r="A4101">
        <v>4241</v>
      </c>
      <c r="B4101" t="s">
        <v>38</v>
      </c>
      <c r="C4101" t="s">
        <v>128</v>
      </c>
      <c r="D4101" s="9">
        <v>40918.69771990741</v>
      </c>
      <c r="E4101" t="s">
        <v>27</v>
      </c>
      <c r="F4101">
        <f t="shared" ca="1" si="128"/>
        <v>3.0527777777777776</v>
      </c>
      <c r="G4101">
        <f t="shared" ca="1" si="129"/>
        <v>0</v>
      </c>
    </row>
    <row r="4102" spans="1:7">
      <c r="A4102">
        <v>4243</v>
      </c>
      <c r="B4102" t="s">
        <v>99</v>
      </c>
      <c r="C4102" t="s">
        <v>128</v>
      </c>
      <c r="D4102" s="9">
        <v>40919.787581018521</v>
      </c>
      <c r="E4102" t="s">
        <v>36</v>
      </c>
      <c r="F4102">
        <f t="shared" ca="1" si="128"/>
        <v>3.05</v>
      </c>
      <c r="G4102">
        <f t="shared" ca="1" si="129"/>
        <v>0</v>
      </c>
    </row>
    <row r="4103" spans="1:7">
      <c r="A4103">
        <v>4244</v>
      </c>
      <c r="B4103" t="s">
        <v>99</v>
      </c>
      <c r="C4103" t="s">
        <v>127</v>
      </c>
      <c r="D4103" s="9">
        <v>41031.673159722224</v>
      </c>
      <c r="E4103" t="s">
        <v>19</v>
      </c>
      <c r="F4103">
        <f t="shared" ca="1" si="128"/>
        <v>2.7416666666666667</v>
      </c>
      <c r="G4103">
        <f t="shared" ca="1" si="129"/>
        <v>0</v>
      </c>
    </row>
    <row r="4104" spans="1:7">
      <c r="A4104">
        <v>4247</v>
      </c>
      <c r="B4104" t="s">
        <v>112</v>
      </c>
      <c r="C4104" t="s">
        <v>128</v>
      </c>
      <c r="D4104" s="9">
        <v>40919.973356481481</v>
      </c>
      <c r="E4104" t="s">
        <v>99</v>
      </c>
      <c r="F4104">
        <f t="shared" ca="1" si="128"/>
        <v>3.05</v>
      </c>
      <c r="G4104">
        <f t="shared" ca="1" si="129"/>
        <v>0</v>
      </c>
    </row>
    <row r="4105" spans="1:7">
      <c r="A4105">
        <v>4248</v>
      </c>
      <c r="B4105" t="s">
        <v>34</v>
      </c>
      <c r="C4105" t="s">
        <v>128</v>
      </c>
      <c r="D4105" s="9">
        <v>40920.675891203704</v>
      </c>
      <c r="E4105" t="s">
        <v>32</v>
      </c>
      <c r="F4105">
        <f t="shared" ca="1" si="128"/>
        <v>3.0472222222222221</v>
      </c>
      <c r="G4105">
        <f t="shared" ca="1" si="129"/>
        <v>0</v>
      </c>
    </row>
    <row r="4106" spans="1:7">
      <c r="A4106">
        <v>4250</v>
      </c>
      <c r="B4106" t="s">
        <v>8</v>
      </c>
      <c r="C4106" t="s">
        <v>128</v>
      </c>
      <c r="D4106" s="9">
        <v>40918.992060185185</v>
      </c>
      <c r="E4106" t="s">
        <v>21</v>
      </c>
      <c r="F4106">
        <f t="shared" ca="1" si="128"/>
        <v>3.0527777777777776</v>
      </c>
      <c r="G4106">
        <f t="shared" ca="1" si="129"/>
        <v>0</v>
      </c>
    </row>
    <row r="4107" spans="1:7">
      <c r="A4107">
        <v>4253</v>
      </c>
      <c r="B4107" t="s">
        <v>11</v>
      </c>
      <c r="C4107" t="s">
        <v>128</v>
      </c>
      <c r="D4107" s="9">
        <v>40918.652662037035</v>
      </c>
      <c r="E4107" t="s">
        <v>52</v>
      </c>
      <c r="F4107">
        <f t="shared" ca="1" si="128"/>
        <v>3.0527777777777776</v>
      </c>
      <c r="G4107">
        <f t="shared" ca="1" si="129"/>
        <v>0</v>
      </c>
    </row>
    <row r="4108" spans="1:7">
      <c r="A4108">
        <v>4254</v>
      </c>
      <c r="B4108" t="s">
        <v>99</v>
      </c>
      <c r="C4108" t="s">
        <v>128</v>
      </c>
      <c r="D4108" s="9">
        <v>40920.474374999998</v>
      </c>
      <c r="E4108" t="s">
        <v>19</v>
      </c>
      <c r="F4108">
        <f t="shared" ca="1" si="128"/>
        <v>3.0472222222222221</v>
      </c>
      <c r="G4108">
        <f t="shared" ca="1" si="129"/>
        <v>0</v>
      </c>
    </row>
    <row r="4109" spans="1:7">
      <c r="A4109">
        <v>4255</v>
      </c>
      <c r="B4109" t="s">
        <v>21</v>
      </c>
      <c r="C4109" t="s">
        <v>128</v>
      </c>
      <c r="D4109" s="9">
        <v>40918.910370370373</v>
      </c>
      <c r="E4109" t="s">
        <v>43</v>
      </c>
      <c r="F4109">
        <f t="shared" ca="1" si="128"/>
        <v>3.0527777777777776</v>
      </c>
      <c r="G4109">
        <f t="shared" ca="1" si="129"/>
        <v>0</v>
      </c>
    </row>
    <row r="4110" spans="1:7">
      <c r="A4110">
        <v>4256</v>
      </c>
      <c r="B4110" t="s">
        <v>99</v>
      </c>
      <c r="C4110" t="s">
        <v>127</v>
      </c>
      <c r="D4110" s="9">
        <v>41073.754166666666</v>
      </c>
      <c r="E4110" t="s">
        <v>21</v>
      </c>
      <c r="F4110">
        <f t="shared" ca="1" si="128"/>
        <v>2.6277777777777778</v>
      </c>
      <c r="G4110">
        <f t="shared" ca="1" si="129"/>
        <v>0</v>
      </c>
    </row>
    <row r="4111" spans="1:7">
      <c r="A4111">
        <v>4258</v>
      </c>
      <c r="B4111" t="s">
        <v>34</v>
      </c>
      <c r="C4111" t="s">
        <v>128</v>
      </c>
      <c r="D4111" s="9">
        <v>40938.623090277775</v>
      </c>
      <c r="E4111" t="s">
        <v>8</v>
      </c>
      <c r="F4111">
        <f t="shared" ca="1" si="128"/>
        <v>2.9972222222222222</v>
      </c>
      <c r="G4111">
        <f t="shared" ca="1" si="129"/>
        <v>0</v>
      </c>
    </row>
    <row r="4112" spans="1:7">
      <c r="A4112">
        <v>4261</v>
      </c>
      <c r="B4112" t="s">
        <v>8</v>
      </c>
      <c r="C4112" t="s">
        <v>128</v>
      </c>
      <c r="D4112" s="9">
        <v>40918.475590277776</v>
      </c>
      <c r="E4112" t="s">
        <v>30</v>
      </c>
      <c r="F4112">
        <f t="shared" ca="1" si="128"/>
        <v>3.0527777777777776</v>
      </c>
      <c r="G4112">
        <f t="shared" ca="1" si="129"/>
        <v>0</v>
      </c>
    </row>
    <row r="4113" spans="1:7">
      <c r="A4113">
        <v>4263</v>
      </c>
      <c r="B4113" t="s">
        <v>99</v>
      </c>
      <c r="C4113" t="s">
        <v>128</v>
      </c>
      <c r="D4113" s="9">
        <v>40919.674942129626</v>
      </c>
      <c r="E4113" t="s">
        <v>36</v>
      </c>
      <c r="F4113">
        <f t="shared" ca="1" si="128"/>
        <v>3.05</v>
      </c>
      <c r="G4113">
        <f t="shared" ca="1" si="129"/>
        <v>0</v>
      </c>
    </row>
    <row r="4114" spans="1:7">
      <c r="A4114">
        <v>4264</v>
      </c>
      <c r="B4114" t="s">
        <v>20</v>
      </c>
      <c r="C4114" t="s">
        <v>128</v>
      </c>
      <c r="D4114" s="9">
        <v>40925.777048611111</v>
      </c>
      <c r="E4114" t="s">
        <v>38</v>
      </c>
      <c r="F4114">
        <f t="shared" ca="1" si="128"/>
        <v>3.0333333333333332</v>
      </c>
      <c r="G4114">
        <f t="shared" ca="1" si="129"/>
        <v>0</v>
      </c>
    </row>
    <row r="4115" spans="1:7">
      <c r="A4115">
        <v>4265</v>
      </c>
      <c r="B4115" t="s">
        <v>99</v>
      </c>
      <c r="C4115" t="s">
        <v>128</v>
      </c>
      <c r="D4115" s="9">
        <v>40918.710138888891</v>
      </c>
      <c r="E4115" t="s">
        <v>36</v>
      </c>
      <c r="F4115">
        <f t="shared" ca="1" si="128"/>
        <v>3.0527777777777776</v>
      </c>
      <c r="G4115">
        <f t="shared" ca="1" si="129"/>
        <v>0</v>
      </c>
    </row>
    <row r="4116" spans="1:7">
      <c r="A4116">
        <v>4268</v>
      </c>
      <c r="B4116" t="s">
        <v>38</v>
      </c>
      <c r="C4116" t="s">
        <v>128</v>
      </c>
      <c r="D4116" s="9">
        <v>40919.969629629632</v>
      </c>
      <c r="E4116" t="s">
        <v>99</v>
      </c>
      <c r="F4116">
        <f t="shared" ca="1" si="128"/>
        <v>3.05</v>
      </c>
      <c r="G4116">
        <f t="shared" ca="1" si="129"/>
        <v>0</v>
      </c>
    </row>
    <row r="4117" spans="1:7">
      <c r="A4117">
        <v>4269</v>
      </c>
      <c r="B4117" t="s">
        <v>49</v>
      </c>
      <c r="C4117" t="s">
        <v>128</v>
      </c>
      <c r="D4117" s="9">
        <v>40917.776597222219</v>
      </c>
      <c r="E4117" t="s">
        <v>36</v>
      </c>
      <c r="F4117">
        <f t="shared" ca="1" si="128"/>
        <v>3.0555555555555554</v>
      </c>
      <c r="G4117">
        <f t="shared" ca="1" si="129"/>
        <v>0</v>
      </c>
    </row>
    <row r="4118" spans="1:7">
      <c r="A4118">
        <v>4272</v>
      </c>
      <c r="B4118" t="s">
        <v>99</v>
      </c>
      <c r="C4118" t="s">
        <v>128</v>
      </c>
      <c r="D4118" s="9">
        <v>40918.698831018519</v>
      </c>
      <c r="E4118" t="s">
        <v>27</v>
      </c>
      <c r="F4118">
        <f t="shared" ca="1" si="128"/>
        <v>3.0527777777777776</v>
      </c>
      <c r="G4118">
        <f t="shared" ca="1" si="129"/>
        <v>0</v>
      </c>
    </row>
    <row r="4119" spans="1:7">
      <c r="A4119">
        <v>4275</v>
      </c>
      <c r="B4119" t="s">
        <v>99</v>
      </c>
      <c r="C4119" t="s">
        <v>128</v>
      </c>
      <c r="D4119" s="9">
        <v>40919.785995370374</v>
      </c>
      <c r="E4119" t="s">
        <v>36</v>
      </c>
      <c r="F4119">
        <f t="shared" ca="1" si="128"/>
        <v>3.05</v>
      </c>
      <c r="G4119">
        <f t="shared" ca="1" si="129"/>
        <v>0</v>
      </c>
    </row>
    <row r="4120" spans="1:7">
      <c r="A4120">
        <v>4276</v>
      </c>
      <c r="B4120" t="s">
        <v>99</v>
      </c>
      <c r="C4120" t="s">
        <v>128</v>
      </c>
      <c r="D4120" s="9">
        <v>40917.642604166664</v>
      </c>
      <c r="E4120" t="s">
        <v>19</v>
      </c>
      <c r="F4120">
        <f t="shared" ca="1" si="128"/>
        <v>3.0555555555555554</v>
      </c>
      <c r="G4120">
        <f t="shared" ca="1" si="129"/>
        <v>0</v>
      </c>
    </row>
    <row r="4121" spans="1:7">
      <c r="A4121">
        <v>4281</v>
      </c>
      <c r="B4121" t="s">
        <v>34</v>
      </c>
      <c r="C4121" t="s">
        <v>128</v>
      </c>
      <c r="D4121" s="9">
        <v>40919.895879629628</v>
      </c>
      <c r="E4121" t="s">
        <v>32</v>
      </c>
      <c r="F4121">
        <f t="shared" ca="1" si="128"/>
        <v>3.05</v>
      </c>
      <c r="G4121">
        <f t="shared" ca="1" si="129"/>
        <v>0</v>
      </c>
    </row>
    <row r="4122" spans="1:7">
      <c r="A4122">
        <v>4285</v>
      </c>
      <c r="B4122" t="s">
        <v>32</v>
      </c>
      <c r="C4122" t="s">
        <v>128</v>
      </c>
      <c r="D4122" s="9">
        <v>40920.723483796297</v>
      </c>
      <c r="E4122" t="s">
        <v>21</v>
      </c>
      <c r="F4122">
        <f t="shared" ca="1" si="128"/>
        <v>3.0472222222222221</v>
      </c>
      <c r="G4122">
        <f t="shared" ca="1" si="129"/>
        <v>0</v>
      </c>
    </row>
    <row r="4123" spans="1:7">
      <c r="A4123">
        <v>4286</v>
      </c>
      <c r="B4123" t="s">
        <v>38</v>
      </c>
      <c r="C4123" t="s">
        <v>127</v>
      </c>
      <c r="D4123" s="9">
        <v>41029.817986111113</v>
      </c>
      <c r="E4123" t="s">
        <v>27</v>
      </c>
      <c r="F4123">
        <f t="shared" ca="1" si="128"/>
        <v>2.7472222222222222</v>
      </c>
      <c r="G4123">
        <f t="shared" ca="1" si="129"/>
        <v>0</v>
      </c>
    </row>
    <row r="4124" spans="1:7">
      <c r="A4124">
        <v>4288</v>
      </c>
      <c r="B4124" t="s">
        <v>19</v>
      </c>
      <c r="C4124" t="s">
        <v>128</v>
      </c>
      <c r="D4124" s="9">
        <v>40919.723425925928</v>
      </c>
      <c r="E4124" t="s">
        <v>99</v>
      </c>
      <c r="F4124">
        <f t="shared" ca="1" si="128"/>
        <v>3.05</v>
      </c>
      <c r="G4124">
        <f t="shared" ca="1" si="129"/>
        <v>0</v>
      </c>
    </row>
    <row r="4125" spans="1:7">
      <c r="A4125">
        <v>4289</v>
      </c>
      <c r="B4125" t="s">
        <v>36</v>
      </c>
      <c r="C4125" t="s">
        <v>128</v>
      </c>
      <c r="D4125" s="9">
        <v>40917.499282407407</v>
      </c>
      <c r="E4125" t="s">
        <v>112</v>
      </c>
      <c r="F4125">
        <f t="shared" ca="1" si="128"/>
        <v>3.0555555555555554</v>
      </c>
      <c r="G4125">
        <f t="shared" ca="1" si="129"/>
        <v>0</v>
      </c>
    </row>
    <row r="4126" spans="1:7">
      <c r="A4126">
        <v>4290</v>
      </c>
      <c r="B4126" t="s">
        <v>111</v>
      </c>
      <c r="C4126" t="s">
        <v>128</v>
      </c>
      <c r="D4126" s="9">
        <v>40921.610648148147</v>
      </c>
      <c r="E4126" t="s">
        <v>44</v>
      </c>
      <c r="F4126">
        <f t="shared" ca="1" si="128"/>
        <v>3.0444444444444443</v>
      </c>
      <c r="G4126">
        <f t="shared" ca="1" si="129"/>
        <v>0</v>
      </c>
    </row>
    <row r="4127" spans="1:7">
      <c r="A4127">
        <v>4291</v>
      </c>
      <c r="B4127" t="s">
        <v>111</v>
      </c>
      <c r="C4127" t="s">
        <v>122</v>
      </c>
      <c r="D4127" s="9">
        <v>41391.728472222225</v>
      </c>
      <c r="E4127" t="s">
        <v>11</v>
      </c>
      <c r="F4127">
        <f t="shared" ca="1" si="128"/>
        <v>1.7555555555555555</v>
      </c>
      <c r="G4127">
        <f t="shared" ca="1" si="129"/>
        <v>0</v>
      </c>
    </row>
    <row r="4128" spans="1:7">
      <c r="A4128">
        <v>4292</v>
      </c>
      <c r="B4128" t="s">
        <v>11</v>
      </c>
      <c r="C4128" t="s">
        <v>128</v>
      </c>
      <c r="D4128" s="9">
        <v>40918.651643518519</v>
      </c>
      <c r="E4128" t="s">
        <v>21</v>
      </c>
      <c r="F4128">
        <f t="shared" ca="1" si="128"/>
        <v>3.0527777777777776</v>
      </c>
      <c r="G4128">
        <f t="shared" ca="1" si="129"/>
        <v>0</v>
      </c>
    </row>
    <row r="4129" spans="1:7">
      <c r="A4129">
        <v>4293</v>
      </c>
      <c r="B4129" t="s">
        <v>111</v>
      </c>
      <c r="C4129" t="s">
        <v>123</v>
      </c>
      <c r="D4129" s="9">
        <v>41536.566400462965</v>
      </c>
      <c r="F4129">
        <f t="shared" ca="1" si="128"/>
        <v>1.3611111111111112</v>
      </c>
      <c r="G4129">
        <f t="shared" ca="1" si="129"/>
        <v>0</v>
      </c>
    </row>
    <row r="4130" spans="1:7">
      <c r="A4130">
        <v>4297</v>
      </c>
      <c r="B4130" t="s">
        <v>30</v>
      </c>
      <c r="C4130" t="s">
        <v>128</v>
      </c>
      <c r="D4130" s="9">
        <v>40917.645127314812</v>
      </c>
      <c r="E4130" t="s">
        <v>44</v>
      </c>
      <c r="F4130">
        <f t="shared" ca="1" si="128"/>
        <v>3.0555555555555554</v>
      </c>
      <c r="G4130">
        <f t="shared" ca="1" si="129"/>
        <v>0</v>
      </c>
    </row>
    <row r="4131" spans="1:7">
      <c r="A4131">
        <v>4299</v>
      </c>
      <c r="B4131" t="s">
        <v>30</v>
      </c>
      <c r="C4131" t="s">
        <v>128</v>
      </c>
      <c r="D4131" s="9">
        <v>40919.591111111113</v>
      </c>
      <c r="E4131" t="s">
        <v>44</v>
      </c>
      <c r="F4131">
        <f t="shared" ca="1" si="128"/>
        <v>3.05</v>
      </c>
      <c r="G4131">
        <f t="shared" ca="1" si="129"/>
        <v>0</v>
      </c>
    </row>
    <row r="4132" spans="1:7">
      <c r="A4132">
        <v>4300</v>
      </c>
      <c r="B4132" t="s">
        <v>143</v>
      </c>
      <c r="C4132" t="s">
        <v>128</v>
      </c>
      <c r="D4132" s="9">
        <v>40941.654502314814</v>
      </c>
      <c r="E4132" t="s">
        <v>44</v>
      </c>
      <c r="F4132">
        <f t="shared" ca="1" si="128"/>
        <v>2.9916666666666667</v>
      </c>
      <c r="G4132">
        <f t="shared" ca="1" si="129"/>
        <v>0</v>
      </c>
    </row>
    <row r="4133" spans="1:7">
      <c r="A4133">
        <v>4301</v>
      </c>
      <c r="B4133" t="s">
        <v>27</v>
      </c>
      <c r="C4133" t="s">
        <v>128</v>
      </c>
      <c r="D4133" s="9">
        <v>40920.491412037038</v>
      </c>
      <c r="E4133" t="s">
        <v>19</v>
      </c>
      <c r="F4133">
        <f t="shared" ca="1" si="128"/>
        <v>3.0472222222222221</v>
      </c>
      <c r="G4133">
        <f t="shared" ca="1" si="129"/>
        <v>0</v>
      </c>
    </row>
    <row r="4134" spans="1:7">
      <c r="A4134">
        <v>4303</v>
      </c>
      <c r="B4134" t="s">
        <v>52</v>
      </c>
      <c r="C4134" t="s">
        <v>125</v>
      </c>
      <c r="D4134" s="9">
        <v>41213.554664351854</v>
      </c>
      <c r="E4134" t="s">
        <v>27</v>
      </c>
      <c r="F4134">
        <f t="shared" ca="1" si="128"/>
        <v>2.2472222222222222</v>
      </c>
      <c r="G4134">
        <f t="shared" ca="1" si="129"/>
        <v>0</v>
      </c>
    </row>
    <row r="4135" spans="1:7">
      <c r="A4135">
        <v>4307</v>
      </c>
      <c r="B4135" t="s">
        <v>143</v>
      </c>
      <c r="C4135" t="s">
        <v>128</v>
      </c>
      <c r="D4135" s="9">
        <v>40918.705092592594</v>
      </c>
      <c r="E4135" t="s">
        <v>44</v>
      </c>
      <c r="F4135">
        <f t="shared" ca="1" si="128"/>
        <v>3.0527777777777776</v>
      </c>
      <c r="G4135">
        <f t="shared" ca="1" si="129"/>
        <v>0</v>
      </c>
    </row>
    <row r="4136" spans="1:7">
      <c r="A4136">
        <v>4308</v>
      </c>
      <c r="B4136" t="s">
        <v>44</v>
      </c>
      <c r="C4136" t="s">
        <v>128</v>
      </c>
      <c r="D4136" s="9">
        <v>40917.677731481483</v>
      </c>
      <c r="E4136" t="s">
        <v>112</v>
      </c>
      <c r="F4136">
        <f t="shared" ca="1" si="128"/>
        <v>3.0555555555555554</v>
      </c>
      <c r="G4136">
        <f t="shared" ca="1" si="129"/>
        <v>0</v>
      </c>
    </row>
    <row r="4137" spans="1:7">
      <c r="A4137">
        <v>4309</v>
      </c>
      <c r="B4137" t="s">
        <v>37</v>
      </c>
      <c r="C4137" t="s">
        <v>128</v>
      </c>
      <c r="D4137" s="9">
        <v>40919.702708333331</v>
      </c>
      <c r="E4137" t="s">
        <v>143</v>
      </c>
      <c r="F4137">
        <f t="shared" ca="1" si="128"/>
        <v>3.05</v>
      </c>
      <c r="G4137">
        <f t="shared" ca="1" si="129"/>
        <v>0</v>
      </c>
    </row>
    <row r="4138" spans="1:7">
      <c r="A4138">
        <v>4310</v>
      </c>
      <c r="B4138" t="s">
        <v>27</v>
      </c>
      <c r="C4138" t="s">
        <v>128</v>
      </c>
      <c r="D4138" s="9">
        <v>40917.693449074075</v>
      </c>
      <c r="E4138" t="s">
        <v>19</v>
      </c>
      <c r="F4138">
        <f t="shared" ca="1" si="128"/>
        <v>3.0555555555555554</v>
      </c>
      <c r="G4138">
        <f t="shared" ca="1" si="129"/>
        <v>0</v>
      </c>
    </row>
    <row r="4139" spans="1:7">
      <c r="A4139">
        <v>4311</v>
      </c>
      <c r="B4139" t="s">
        <v>11</v>
      </c>
      <c r="C4139" t="s">
        <v>120</v>
      </c>
      <c r="D4139" s="9">
        <v>41572.469085648147</v>
      </c>
      <c r="E4139" t="s">
        <v>24</v>
      </c>
      <c r="F4139">
        <f t="shared" ca="1" si="128"/>
        <v>1.2611111111111111</v>
      </c>
      <c r="G4139">
        <f t="shared" ca="1" si="129"/>
        <v>0</v>
      </c>
    </row>
    <row r="4140" spans="1:7">
      <c r="A4140">
        <v>4314</v>
      </c>
      <c r="B4140" t="s">
        <v>32</v>
      </c>
      <c r="C4140" t="s">
        <v>128</v>
      </c>
      <c r="D4140" s="9">
        <v>40918.845185185186</v>
      </c>
      <c r="E4140" t="s">
        <v>21</v>
      </c>
      <c r="F4140">
        <f t="shared" ca="1" si="128"/>
        <v>3.0527777777777776</v>
      </c>
      <c r="G4140">
        <f t="shared" ca="1" si="129"/>
        <v>0</v>
      </c>
    </row>
    <row r="4141" spans="1:7">
      <c r="A4141">
        <v>4315</v>
      </c>
      <c r="B4141" t="s">
        <v>8</v>
      </c>
      <c r="C4141" t="s">
        <v>128</v>
      </c>
      <c r="D4141" s="9">
        <v>40920.715648148151</v>
      </c>
      <c r="E4141" t="s">
        <v>20</v>
      </c>
      <c r="F4141">
        <f t="shared" ca="1" si="128"/>
        <v>3.0472222222222221</v>
      </c>
      <c r="G4141">
        <f t="shared" ca="1" si="129"/>
        <v>0</v>
      </c>
    </row>
    <row r="4142" spans="1:7">
      <c r="A4142">
        <v>4316</v>
      </c>
      <c r="B4142" t="s">
        <v>99</v>
      </c>
      <c r="C4142" t="s">
        <v>128</v>
      </c>
      <c r="D4142" s="9">
        <v>40919.778657407405</v>
      </c>
      <c r="E4142" t="s">
        <v>36</v>
      </c>
      <c r="F4142">
        <f t="shared" ca="1" si="128"/>
        <v>3.05</v>
      </c>
      <c r="G4142">
        <f t="shared" ca="1" si="129"/>
        <v>0</v>
      </c>
    </row>
    <row r="4143" spans="1:7">
      <c r="A4143">
        <v>4318</v>
      </c>
      <c r="B4143" t="s">
        <v>19</v>
      </c>
      <c r="C4143" t="s">
        <v>128</v>
      </c>
      <c r="D4143" s="9">
        <v>40917.483738425923</v>
      </c>
      <c r="E4143" t="s">
        <v>112</v>
      </c>
      <c r="F4143">
        <f t="shared" ref="F4143:F4206" ca="1" si="130">YEARFRAC(TODAY(),$D4143)</f>
        <v>3.0555555555555554</v>
      </c>
      <c r="G4143">
        <f t="shared" ref="G4143:G4206" ca="1" si="131">IF($F4143&lt;1,1,0)</f>
        <v>0</v>
      </c>
    </row>
    <row r="4144" spans="1:7">
      <c r="A4144">
        <v>4320</v>
      </c>
      <c r="B4144" t="s">
        <v>111</v>
      </c>
      <c r="C4144" t="s">
        <v>128</v>
      </c>
      <c r="D4144" s="9">
        <v>40919.890648148146</v>
      </c>
      <c r="E4144" t="s">
        <v>43</v>
      </c>
      <c r="F4144">
        <f t="shared" ca="1" si="130"/>
        <v>3.05</v>
      </c>
      <c r="G4144">
        <f t="shared" ca="1" si="131"/>
        <v>0</v>
      </c>
    </row>
    <row r="4145" spans="1:7">
      <c r="A4145">
        <v>4321</v>
      </c>
      <c r="B4145" t="s">
        <v>30</v>
      </c>
      <c r="C4145" t="s">
        <v>128</v>
      </c>
      <c r="D4145" s="9">
        <v>40919.599120370367</v>
      </c>
      <c r="E4145" t="s">
        <v>44</v>
      </c>
      <c r="F4145">
        <f t="shared" ca="1" si="130"/>
        <v>3.05</v>
      </c>
      <c r="G4145">
        <f t="shared" ca="1" si="131"/>
        <v>0</v>
      </c>
    </row>
    <row r="4146" spans="1:7">
      <c r="A4146">
        <v>4322</v>
      </c>
      <c r="B4146" t="s">
        <v>99</v>
      </c>
      <c r="C4146" t="s">
        <v>128</v>
      </c>
      <c r="D4146" s="9">
        <v>40917.966643518521</v>
      </c>
      <c r="E4146" t="s">
        <v>21</v>
      </c>
      <c r="F4146">
        <f t="shared" ca="1" si="130"/>
        <v>3.0555555555555554</v>
      </c>
      <c r="G4146">
        <f t="shared" ca="1" si="131"/>
        <v>0</v>
      </c>
    </row>
    <row r="4147" spans="1:7">
      <c r="A4147">
        <v>4323</v>
      </c>
      <c r="B4147" t="s">
        <v>27</v>
      </c>
      <c r="C4147" t="s">
        <v>128</v>
      </c>
      <c r="D4147" s="9">
        <v>40920.59337962963</v>
      </c>
      <c r="E4147" t="s">
        <v>19</v>
      </c>
      <c r="F4147">
        <f t="shared" ca="1" si="130"/>
        <v>3.0472222222222221</v>
      </c>
      <c r="G4147">
        <f t="shared" ca="1" si="131"/>
        <v>0</v>
      </c>
    </row>
    <row r="4148" spans="1:7">
      <c r="A4148">
        <v>4325</v>
      </c>
      <c r="B4148" t="s">
        <v>30</v>
      </c>
      <c r="C4148" t="s">
        <v>128</v>
      </c>
      <c r="D4148" s="9">
        <v>40917.647187499999</v>
      </c>
      <c r="E4148" t="s">
        <v>44</v>
      </c>
      <c r="F4148">
        <f t="shared" ca="1" si="130"/>
        <v>3.0555555555555554</v>
      </c>
      <c r="G4148">
        <f t="shared" ca="1" si="131"/>
        <v>0</v>
      </c>
    </row>
    <row r="4149" spans="1:7">
      <c r="A4149">
        <v>4326</v>
      </c>
      <c r="B4149" t="s">
        <v>44</v>
      </c>
      <c r="C4149" t="s">
        <v>128</v>
      </c>
      <c r="D4149" s="9">
        <v>40920.634942129633</v>
      </c>
      <c r="E4149" t="s">
        <v>30</v>
      </c>
      <c r="F4149">
        <f t="shared" ca="1" si="130"/>
        <v>3.0472222222222221</v>
      </c>
      <c r="G4149">
        <f t="shared" ca="1" si="131"/>
        <v>0</v>
      </c>
    </row>
    <row r="4150" spans="1:7">
      <c r="A4150">
        <v>4328</v>
      </c>
      <c r="B4150" t="s">
        <v>19</v>
      </c>
      <c r="C4150" t="s">
        <v>128</v>
      </c>
      <c r="D4150" s="9">
        <v>40931.669340277775</v>
      </c>
      <c r="E4150" t="s">
        <v>36</v>
      </c>
      <c r="F4150">
        <f t="shared" ca="1" si="130"/>
        <v>3.0166666666666666</v>
      </c>
      <c r="G4150">
        <f t="shared" ca="1" si="131"/>
        <v>0</v>
      </c>
    </row>
    <row r="4151" spans="1:7">
      <c r="A4151">
        <v>4332</v>
      </c>
      <c r="B4151" t="s">
        <v>32</v>
      </c>
      <c r="C4151" t="s">
        <v>128</v>
      </c>
      <c r="D4151" s="9">
        <v>40919.618194444447</v>
      </c>
      <c r="E4151" t="s">
        <v>64</v>
      </c>
      <c r="F4151">
        <f t="shared" ca="1" si="130"/>
        <v>3.05</v>
      </c>
      <c r="G4151">
        <f t="shared" ca="1" si="131"/>
        <v>0</v>
      </c>
    </row>
    <row r="4152" spans="1:7">
      <c r="A4152">
        <v>4335</v>
      </c>
      <c r="B4152" t="s">
        <v>11</v>
      </c>
      <c r="C4152" t="s">
        <v>128</v>
      </c>
      <c r="D4152" s="9">
        <v>40918.856446759259</v>
      </c>
      <c r="E4152" t="s">
        <v>99</v>
      </c>
      <c r="F4152">
        <f t="shared" ca="1" si="130"/>
        <v>3.0527777777777776</v>
      </c>
      <c r="G4152">
        <f t="shared" ca="1" si="131"/>
        <v>0</v>
      </c>
    </row>
    <row r="4153" spans="1:7">
      <c r="A4153">
        <v>4339</v>
      </c>
      <c r="B4153" t="s">
        <v>21</v>
      </c>
      <c r="C4153" t="s">
        <v>128</v>
      </c>
      <c r="D4153" s="9">
        <v>40919.001307870371</v>
      </c>
      <c r="E4153" t="s">
        <v>43</v>
      </c>
      <c r="F4153">
        <f t="shared" ca="1" si="130"/>
        <v>3.05</v>
      </c>
      <c r="G4153">
        <f t="shared" ca="1" si="131"/>
        <v>0</v>
      </c>
    </row>
    <row r="4154" spans="1:7">
      <c r="A4154">
        <v>4340</v>
      </c>
      <c r="B4154" t="s">
        <v>99</v>
      </c>
      <c r="C4154" t="s">
        <v>128</v>
      </c>
      <c r="D4154" s="9">
        <v>40919.920081018521</v>
      </c>
      <c r="E4154" t="s">
        <v>27</v>
      </c>
      <c r="F4154">
        <f t="shared" ca="1" si="130"/>
        <v>3.05</v>
      </c>
      <c r="G4154">
        <f t="shared" ca="1" si="131"/>
        <v>0</v>
      </c>
    </row>
    <row r="4155" spans="1:7">
      <c r="A4155">
        <v>4341</v>
      </c>
      <c r="B4155" t="s">
        <v>11</v>
      </c>
      <c r="C4155" t="s">
        <v>128</v>
      </c>
      <c r="D4155" s="9">
        <v>40917.695138888892</v>
      </c>
      <c r="E4155" t="s">
        <v>112</v>
      </c>
      <c r="F4155">
        <f t="shared" ca="1" si="130"/>
        <v>3.0555555555555554</v>
      </c>
      <c r="G4155">
        <f t="shared" ca="1" si="131"/>
        <v>0</v>
      </c>
    </row>
    <row r="4156" spans="1:7">
      <c r="A4156">
        <v>4342</v>
      </c>
      <c r="B4156" t="s">
        <v>99</v>
      </c>
      <c r="C4156" t="s">
        <v>128</v>
      </c>
      <c r="D4156" s="9">
        <v>40919.837326388886</v>
      </c>
      <c r="E4156" t="s">
        <v>36</v>
      </c>
      <c r="F4156">
        <f t="shared" ca="1" si="130"/>
        <v>3.05</v>
      </c>
      <c r="G4156">
        <f t="shared" ca="1" si="131"/>
        <v>0</v>
      </c>
    </row>
    <row r="4157" spans="1:7">
      <c r="A4157">
        <v>4347</v>
      </c>
      <c r="B4157" t="s">
        <v>99</v>
      </c>
      <c r="C4157" t="s">
        <v>128</v>
      </c>
      <c r="D4157" s="9">
        <v>40918.713136574072</v>
      </c>
      <c r="E4157" t="s">
        <v>36</v>
      </c>
      <c r="F4157">
        <f t="shared" ca="1" si="130"/>
        <v>3.0527777777777776</v>
      </c>
      <c r="G4157">
        <f t="shared" ca="1" si="131"/>
        <v>0</v>
      </c>
    </row>
    <row r="4158" spans="1:7">
      <c r="A4158">
        <v>4348</v>
      </c>
      <c r="B4158" t="s">
        <v>21</v>
      </c>
      <c r="C4158" t="s">
        <v>128</v>
      </c>
      <c r="D4158" s="9">
        <v>40919.001192129632</v>
      </c>
      <c r="E4158" t="s">
        <v>43</v>
      </c>
      <c r="F4158">
        <f t="shared" ca="1" si="130"/>
        <v>3.05</v>
      </c>
      <c r="G4158">
        <f t="shared" ca="1" si="131"/>
        <v>0</v>
      </c>
    </row>
    <row r="4159" spans="1:7">
      <c r="A4159">
        <v>4349</v>
      </c>
      <c r="B4159" t="s">
        <v>11</v>
      </c>
      <c r="C4159" t="s">
        <v>128</v>
      </c>
      <c r="D4159" s="9">
        <v>40919.685243055559</v>
      </c>
      <c r="E4159" t="s">
        <v>36</v>
      </c>
      <c r="F4159">
        <f t="shared" ca="1" si="130"/>
        <v>3.05</v>
      </c>
      <c r="G4159">
        <f t="shared" ca="1" si="131"/>
        <v>0</v>
      </c>
    </row>
    <row r="4160" spans="1:7">
      <c r="A4160">
        <v>4350</v>
      </c>
      <c r="B4160" t="s">
        <v>36</v>
      </c>
      <c r="C4160" t="s">
        <v>168</v>
      </c>
      <c r="D4160" s="9">
        <v>40981.477939814817</v>
      </c>
      <c r="E4160" t="s">
        <v>34</v>
      </c>
      <c r="F4160">
        <f t="shared" ca="1" si="130"/>
        <v>2.8777777777777778</v>
      </c>
      <c r="G4160">
        <f t="shared" ca="1" si="131"/>
        <v>0</v>
      </c>
    </row>
    <row r="4161" spans="1:7">
      <c r="A4161">
        <v>4351</v>
      </c>
      <c r="B4161" t="s">
        <v>8</v>
      </c>
      <c r="C4161" t="s">
        <v>128</v>
      </c>
      <c r="D4161" s="9">
        <v>40921.707824074074</v>
      </c>
      <c r="E4161" t="s">
        <v>20</v>
      </c>
      <c r="F4161">
        <f t="shared" ca="1" si="130"/>
        <v>3.0444444444444443</v>
      </c>
      <c r="G4161">
        <f t="shared" ca="1" si="131"/>
        <v>0</v>
      </c>
    </row>
    <row r="4162" spans="1:7">
      <c r="A4162">
        <v>4352</v>
      </c>
      <c r="B4162" t="s">
        <v>99</v>
      </c>
      <c r="C4162" t="s">
        <v>128</v>
      </c>
      <c r="D4162" s="9">
        <v>40920.056932870371</v>
      </c>
      <c r="E4162" t="s">
        <v>36</v>
      </c>
      <c r="F4162">
        <f t="shared" ca="1" si="130"/>
        <v>3.0472222222222221</v>
      </c>
      <c r="G4162">
        <f t="shared" ca="1" si="131"/>
        <v>0</v>
      </c>
    </row>
    <row r="4163" spans="1:7">
      <c r="A4163">
        <v>4354</v>
      </c>
      <c r="B4163" t="s">
        <v>99</v>
      </c>
      <c r="C4163" t="s">
        <v>127</v>
      </c>
      <c r="D4163" s="9">
        <v>41030.170092592591</v>
      </c>
      <c r="E4163" t="s">
        <v>36</v>
      </c>
      <c r="F4163">
        <f t="shared" ca="1" si="130"/>
        <v>2.7444444444444445</v>
      </c>
      <c r="G4163">
        <f t="shared" ca="1" si="131"/>
        <v>0</v>
      </c>
    </row>
    <row r="4164" spans="1:7">
      <c r="A4164">
        <v>4355</v>
      </c>
      <c r="B4164" t="s">
        <v>99</v>
      </c>
      <c r="C4164" t="s">
        <v>128</v>
      </c>
      <c r="D4164" s="9">
        <v>40918.668796296297</v>
      </c>
      <c r="E4164" t="s">
        <v>27</v>
      </c>
      <c r="F4164">
        <f t="shared" ca="1" si="130"/>
        <v>3.0527777777777776</v>
      </c>
      <c r="G4164">
        <f t="shared" ca="1" si="131"/>
        <v>0</v>
      </c>
    </row>
    <row r="4165" spans="1:7">
      <c r="A4165">
        <v>4360</v>
      </c>
      <c r="B4165" t="s">
        <v>20</v>
      </c>
      <c r="C4165" t="s">
        <v>128</v>
      </c>
      <c r="D4165" s="9">
        <v>40919.634351851855</v>
      </c>
      <c r="E4165" t="s">
        <v>38</v>
      </c>
      <c r="F4165">
        <f t="shared" ca="1" si="130"/>
        <v>3.05</v>
      </c>
      <c r="G4165">
        <f t="shared" ca="1" si="131"/>
        <v>0</v>
      </c>
    </row>
    <row r="4166" spans="1:7">
      <c r="A4166">
        <v>4361</v>
      </c>
      <c r="B4166" t="s">
        <v>8</v>
      </c>
      <c r="C4166" t="s">
        <v>128</v>
      </c>
      <c r="D4166" s="9">
        <v>40920.469363425924</v>
      </c>
      <c r="E4166" t="s">
        <v>37</v>
      </c>
      <c r="F4166">
        <f t="shared" ca="1" si="130"/>
        <v>3.0472222222222221</v>
      </c>
      <c r="G4166">
        <f t="shared" ca="1" si="131"/>
        <v>0</v>
      </c>
    </row>
    <row r="4167" spans="1:7">
      <c r="A4167">
        <v>4364</v>
      </c>
      <c r="B4167" t="s">
        <v>143</v>
      </c>
      <c r="C4167" t="s">
        <v>128</v>
      </c>
      <c r="D4167" s="9">
        <v>40919.59784722222</v>
      </c>
      <c r="E4167" t="s">
        <v>44</v>
      </c>
      <c r="F4167">
        <f t="shared" ca="1" si="130"/>
        <v>3.05</v>
      </c>
      <c r="G4167">
        <f t="shared" ca="1" si="131"/>
        <v>0</v>
      </c>
    </row>
    <row r="4168" spans="1:7">
      <c r="A4168">
        <v>4370</v>
      </c>
      <c r="B4168" t="s">
        <v>21</v>
      </c>
      <c r="C4168" t="s">
        <v>127</v>
      </c>
      <c r="D4168" s="9">
        <v>41030.446099537039</v>
      </c>
      <c r="E4168" t="s">
        <v>34</v>
      </c>
      <c r="F4168">
        <f t="shared" ca="1" si="130"/>
        <v>2.7444444444444445</v>
      </c>
      <c r="G4168">
        <f t="shared" ca="1" si="131"/>
        <v>0</v>
      </c>
    </row>
    <row r="4169" spans="1:7">
      <c r="A4169">
        <v>4371</v>
      </c>
      <c r="B4169" t="s">
        <v>21</v>
      </c>
      <c r="C4169" t="s">
        <v>128</v>
      </c>
      <c r="D4169" s="9">
        <v>40919.855868055558</v>
      </c>
      <c r="E4169" t="s">
        <v>43</v>
      </c>
      <c r="F4169">
        <f t="shared" ca="1" si="130"/>
        <v>3.05</v>
      </c>
      <c r="G4169">
        <f t="shared" ca="1" si="131"/>
        <v>0</v>
      </c>
    </row>
    <row r="4170" spans="1:7">
      <c r="A4170">
        <v>4373</v>
      </c>
      <c r="B4170" t="s">
        <v>111</v>
      </c>
      <c r="C4170" t="s">
        <v>128</v>
      </c>
      <c r="D4170" s="9">
        <v>40926.690868055557</v>
      </c>
      <c r="E4170" t="s">
        <v>64</v>
      </c>
      <c r="F4170">
        <f t="shared" ca="1" si="130"/>
        <v>3.0305555555555554</v>
      </c>
      <c r="G4170">
        <f t="shared" ca="1" si="131"/>
        <v>0</v>
      </c>
    </row>
    <row r="4171" spans="1:7">
      <c r="A4171">
        <v>4375</v>
      </c>
      <c r="B4171" t="s">
        <v>99</v>
      </c>
      <c r="C4171" t="s">
        <v>128</v>
      </c>
      <c r="D4171" s="9">
        <v>40919.688738425924</v>
      </c>
      <c r="E4171" t="s">
        <v>36</v>
      </c>
      <c r="F4171">
        <f t="shared" ca="1" si="130"/>
        <v>3.05</v>
      </c>
      <c r="G4171">
        <f t="shared" ca="1" si="131"/>
        <v>0</v>
      </c>
    </row>
    <row r="4172" spans="1:7">
      <c r="A4172">
        <v>4377</v>
      </c>
      <c r="B4172" t="s">
        <v>99</v>
      </c>
      <c r="C4172" t="s">
        <v>128</v>
      </c>
      <c r="D4172" s="9">
        <v>40917.684317129628</v>
      </c>
      <c r="E4172" t="s">
        <v>32</v>
      </c>
      <c r="F4172">
        <f t="shared" ca="1" si="130"/>
        <v>3.0555555555555554</v>
      </c>
      <c r="G4172">
        <f t="shared" ca="1" si="131"/>
        <v>0</v>
      </c>
    </row>
    <row r="4173" spans="1:7">
      <c r="A4173">
        <v>4379</v>
      </c>
      <c r="B4173" t="s">
        <v>99</v>
      </c>
      <c r="C4173" t="s">
        <v>128</v>
      </c>
      <c r="D4173" s="9">
        <v>40919.830405092594</v>
      </c>
      <c r="E4173" t="s">
        <v>27</v>
      </c>
      <c r="F4173">
        <f t="shared" ca="1" si="130"/>
        <v>3.05</v>
      </c>
      <c r="G4173">
        <f t="shared" ca="1" si="131"/>
        <v>0</v>
      </c>
    </row>
    <row r="4174" spans="1:7">
      <c r="A4174">
        <v>4381</v>
      </c>
      <c r="B4174" t="s">
        <v>36</v>
      </c>
      <c r="C4174" t="s">
        <v>128</v>
      </c>
      <c r="D4174" s="9">
        <v>40917.831064814818</v>
      </c>
      <c r="E4174" t="s">
        <v>99</v>
      </c>
      <c r="F4174">
        <f t="shared" ca="1" si="130"/>
        <v>3.0555555555555554</v>
      </c>
      <c r="G4174">
        <f t="shared" ca="1" si="131"/>
        <v>0</v>
      </c>
    </row>
    <row r="4175" spans="1:7">
      <c r="A4175">
        <v>4382</v>
      </c>
      <c r="B4175" t="s">
        <v>111</v>
      </c>
      <c r="C4175" t="s">
        <v>128</v>
      </c>
      <c r="D4175" s="9">
        <v>40925.9762962963</v>
      </c>
      <c r="E4175" t="s">
        <v>43</v>
      </c>
      <c r="F4175">
        <f t="shared" ca="1" si="130"/>
        <v>3.0333333333333332</v>
      </c>
      <c r="G4175">
        <f t="shared" ca="1" si="131"/>
        <v>0</v>
      </c>
    </row>
    <row r="4176" spans="1:7">
      <c r="A4176">
        <v>4386</v>
      </c>
      <c r="B4176" t="s">
        <v>30</v>
      </c>
      <c r="C4176" t="s">
        <v>128</v>
      </c>
      <c r="D4176" s="9">
        <v>40917.69971064815</v>
      </c>
      <c r="E4176" t="s">
        <v>44</v>
      </c>
      <c r="F4176">
        <f t="shared" ca="1" si="130"/>
        <v>3.0555555555555554</v>
      </c>
      <c r="G4176">
        <f t="shared" ca="1" si="131"/>
        <v>0</v>
      </c>
    </row>
    <row r="4177" spans="1:7">
      <c r="A4177">
        <v>4387</v>
      </c>
      <c r="B4177" t="s">
        <v>19</v>
      </c>
      <c r="C4177" t="s">
        <v>128</v>
      </c>
      <c r="D4177" s="9">
        <v>40919.8278587963</v>
      </c>
      <c r="E4177" t="s">
        <v>36</v>
      </c>
      <c r="F4177">
        <f t="shared" ca="1" si="130"/>
        <v>3.05</v>
      </c>
      <c r="G4177">
        <f t="shared" ca="1" si="131"/>
        <v>0</v>
      </c>
    </row>
    <row r="4178" spans="1:7">
      <c r="A4178">
        <v>4389</v>
      </c>
      <c r="B4178" t="s">
        <v>8</v>
      </c>
      <c r="C4178" t="s">
        <v>128</v>
      </c>
      <c r="D4178" s="9">
        <v>40925.976469907408</v>
      </c>
      <c r="E4178" t="s">
        <v>43</v>
      </c>
      <c r="F4178">
        <f t="shared" ca="1" si="130"/>
        <v>3.0333333333333332</v>
      </c>
      <c r="G4178">
        <f t="shared" ca="1" si="131"/>
        <v>0</v>
      </c>
    </row>
    <row r="4179" spans="1:7">
      <c r="A4179">
        <v>4390</v>
      </c>
      <c r="B4179" t="s">
        <v>111</v>
      </c>
      <c r="C4179" t="s">
        <v>128</v>
      </c>
      <c r="D4179" s="9">
        <v>40928.849236111113</v>
      </c>
      <c r="E4179" t="s">
        <v>20</v>
      </c>
      <c r="F4179">
        <f t="shared" ca="1" si="130"/>
        <v>3.0249999999999999</v>
      </c>
      <c r="G4179">
        <f t="shared" ca="1" si="131"/>
        <v>0</v>
      </c>
    </row>
    <row r="4180" spans="1:7">
      <c r="A4180">
        <v>4391</v>
      </c>
      <c r="B4180" t="s">
        <v>111</v>
      </c>
      <c r="C4180" t="s">
        <v>128</v>
      </c>
      <c r="D4180" s="9">
        <v>40919.837094907409</v>
      </c>
      <c r="E4180" t="s">
        <v>43</v>
      </c>
      <c r="F4180">
        <f t="shared" ca="1" si="130"/>
        <v>3.05</v>
      </c>
      <c r="G4180">
        <f t="shared" ca="1" si="131"/>
        <v>0</v>
      </c>
    </row>
    <row r="4181" spans="1:7">
      <c r="A4181">
        <v>4393</v>
      </c>
      <c r="B4181" t="s">
        <v>21</v>
      </c>
      <c r="C4181" t="s">
        <v>128</v>
      </c>
      <c r="D4181" s="9">
        <v>40917.561006944445</v>
      </c>
      <c r="E4181" t="s">
        <v>32</v>
      </c>
      <c r="F4181">
        <f t="shared" ca="1" si="130"/>
        <v>3.0555555555555554</v>
      </c>
      <c r="G4181">
        <f t="shared" ca="1" si="131"/>
        <v>0</v>
      </c>
    </row>
    <row r="4182" spans="1:7">
      <c r="A4182">
        <v>4394</v>
      </c>
      <c r="B4182" t="s">
        <v>43</v>
      </c>
      <c r="C4182" t="s">
        <v>119</v>
      </c>
      <c r="D4182" s="9">
        <v>41675.028854166667</v>
      </c>
      <c r="E4182" t="s">
        <v>36</v>
      </c>
      <c r="F4182">
        <f t="shared" ca="1" si="130"/>
        <v>0.98333333333333328</v>
      </c>
      <c r="G4182">
        <f t="shared" ca="1" si="131"/>
        <v>1</v>
      </c>
    </row>
    <row r="4183" spans="1:7">
      <c r="A4183">
        <v>4395</v>
      </c>
      <c r="B4183" t="s">
        <v>112</v>
      </c>
      <c r="C4183" t="s">
        <v>128</v>
      </c>
      <c r="D4183" s="9">
        <v>40918.868078703701</v>
      </c>
      <c r="E4183" t="s">
        <v>99</v>
      </c>
      <c r="F4183">
        <f t="shared" ca="1" si="130"/>
        <v>3.0527777777777776</v>
      </c>
      <c r="G4183">
        <f t="shared" ca="1" si="131"/>
        <v>0</v>
      </c>
    </row>
    <row r="4184" spans="1:7">
      <c r="A4184">
        <v>4398</v>
      </c>
      <c r="B4184" t="s">
        <v>99</v>
      </c>
      <c r="C4184" t="s">
        <v>128</v>
      </c>
      <c r="D4184" s="9">
        <v>40980.657488425924</v>
      </c>
      <c r="E4184" t="s">
        <v>36</v>
      </c>
      <c r="F4184">
        <f t="shared" ca="1" si="130"/>
        <v>2.8805555555555555</v>
      </c>
      <c r="G4184">
        <f t="shared" ca="1" si="131"/>
        <v>0</v>
      </c>
    </row>
    <row r="4185" spans="1:7">
      <c r="A4185">
        <v>4399</v>
      </c>
      <c r="B4185" t="s">
        <v>8</v>
      </c>
      <c r="C4185" t="s">
        <v>127</v>
      </c>
      <c r="D4185" s="9">
        <v>41029.795856481483</v>
      </c>
      <c r="E4185" t="s">
        <v>111</v>
      </c>
      <c r="F4185">
        <f t="shared" ca="1" si="130"/>
        <v>2.7472222222222222</v>
      </c>
      <c r="G4185">
        <f t="shared" ca="1" si="131"/>
        <v>0</v>
      </c>
    </row>
    <row r="4186" spans="1:7">
      <c r="A4186">
        <v>4400</v>
      </c>
      <c r="B4186" t="s">
        <v>23</v>
      </c>
      <c r="C4186" t="s">
        <v>127</v>
      </c>
      <c r="D4186" s="9">
        <v>41033.703750000001</v>
      </c>
      <c r="E4186" t="s">
        <v>8</v>
      </c>
      <c r="F4186">
        <f t="shared" ca="1" si="130"/>
        <v>2.7361111111111112</v>
      </c>
      <c r="G4186">
        <f t="shared" ca="1" si="131"/>
        <v>0</v>
      </c>
    </row>
    <row r="4187" spans="1:7">
      <c r="A4187">
        <v>4401</v>
      </c>
      <c r="B4187" t="s">
        <v>23</v>
      </c>
      <c r="C4187" t="s">
        <v>127</v>
      </c>
      <c r="D4187" s="9">
        <v>41114.784421296295</v>
      </c>
      <c r="E4187" t="s">
        <v>34</v>
      </c>
      <c r="F4187">
        <f t="shared" ca="1" si="130"/>
        <v>2.5138888888888888</v>
      </c>
      <c r="G4187">
        <f t="shared" ca="1" si="131"/>
        <v>0</v>
      </c>
    </row>
    <row r="4188" spans="1:7">
      <c r="A4188">
        <v>4402</v>
      </c>
      <c r="B4188" t="s">
        <v>112</v>
      </c>
      <c r="C4188" t="s">
        <v>128</v>
      </c>
      <c r="D4188" s="9">
        <v>40926.690879629627</v>
      </c>
      <c r="E4188" t="s">
        <v>27</v>
      </c>
      <c r="F4188">
        <f t="shared" ca="1" si="130"/>
        <v>3.0305555555555554</v>
      </c>
      <c r="G4188">
        <f t="shared" ca="1" si="131"/>
        <v>0</v>
      </c>
    </row>
    <row r="4189" spans="1:7">
      <c r="A4189">
        <v>4409</v>
      </c>
      <c r="B4189" t="s">
        <v>21</v>
      </c>
      <c r="C4189" t="s">
        <v>127</v>
      </c>
      <c r="D4189" s="9">
        <v>41033.703842592593</v>
      </c>
      <c r="E4189" t="s">
        <v>36</v>
      </c>
      <c r="F4189">
        <f t="shared" ca="1" si="130"/>
        <v>2.7361111111111112</v>
      </c>
      <c r="G4189">
        <f t="shared" ca="1" si="131"/>
        <v>0</v>
      </c>
    </row>
    <row r="4190" spans="1:7">
      <c r="A4190">
        <v>4411</v>
      </c>
      <c r="B4190" t="s">
        <v>8</v>
      </c>
      <c r="C4190" t="s">
        <v>127</v>
      </c>
      <c r="D4190" s="9">
        <v>41029.786481481482</v>
      </c>
      <c r="E4190" t="s">
        <v>38</v>
      </c>
      <c r="F4190">
        <f t="shared" ca="1" si="130"/>
        <v>2.7472222222222222</v>
      </c>
      <c r="G4190">
        <f t="shared" ca="1" si="131"/>
        <v>0</v>
      </c>
    </row>
    <row r="4191" spans="1:7">
      <c r="A4191">
        <v>4412</v>
      </c>
      <c r="B4191" t="s">
        <v>34</v>
      </c>
      <c r="C4191" t="s">
        <v>128</v>
      </c>
      <c r="D4191" s="9">
        <v>40918.788321759261</v>
      </c>
      <c r="E4191" t="s">
        <v>99</v>
      </c>
      <c r="F4191">
        <f t="shared" ca="1" si="130"/>
        <v>3.0527777777777776</v>
      </c>
      <c r="G4191">
        <f t="shared" ca="1" si="131"/>
        <v>0</v>
      </c>
    </row>
    <row r="4192" spans="1:7">
      <c r="A4192">
        <v>4413</v>
      </c>
      <c r="B4192" t="s">
        <v>30</v>
      </c>
      <c r="C4192" t="s">
        <v>127</v>
      </c>
      <c r="D4192" s="9">
        <v>41030.474421296298</v>
      </c>
      <c r="E4192" t="s">
        <v>143</v>
      </c>
      <c r="F4192">
        <f t="shared" ca="1" si="130"/>
        <v>2.7444444444444445</v>
      </c>
      <c r="G4192">
        <f t="shared" ca="1" si="131"/>
        <v>0</v>
      </c>
    </row>
    <row r="4193" spans="1:7">
      <c r="A4193">
        <v>4414</v>
      </c>
      <c r="B4193" t="s">
        <v>30</v>
      </c>
      <c r="C4193" t="s">
        <v>127</v>
      </c>
      <c r="D4193" s="9">
        <v>41030.474756944444</v>
      </c>
      <c r="E4193" t="s">
        <v>143</v>
      </c>
      <c r="F4193">
        <f t="shared" ca="1" si="130"/>
        <v>2.7444444444444445</v>
      </c>
      <c r="G4193">
        <f t="shared" ca="1" si="131"/>
        <v>0</v>
      </c>
    </row>
    <row r="4194" spans="1:7">
      <c r="A4194">
        <v>4415</v>
      </c>
      <c r="B4194" t="s">
        <v>30</v>
      </c>
      <c r="C4194" t="s">
        <v>127</v>
      </c>
      <c r="D4194" s="9">
        <v>41030.607893518521</v>
      </c>
      <c r="E4194" t="s">
        <v>34</v>
      </c>
      <c r="F4194">
        <f t="shared" ca="1" si="130"/>
        <v>2.7444444444444445</v>
      </c>
      <c r="G4194">
        <f t="shared" ca="1" si="131"/>
        <v>0</v>
      </c>
    </row>
    <row r="4195" spans="1:7">
      <c r="A4195">
        <v>4416</v>
      </c>
      <c r="B4195" t="s">
        <v>30</v>
      </c>
      <c r="C4195" t="s">
        <v>127</v>
      </c>
      <c r="D4195" s="9">
        <v>41030.613206018519</v>
      </c>
      <c r="E4195" t="s">
        <v>34</v>
      </c>
      <c r="F4195">
        <f t="shared" ca="1" si="130"/>
        <v>2.7444444444444445</v>
      </c>
      <c r="G4195">
        <f t="shared" ca="1" si="131"/>
        <v>0</v>
      </c>
    </row>
    <row r="4196" spans="1:7">
      <c r="A4196">
        <v>4421</v>
      </c>
      <c r="B4196" t="s">
        <v>143</v>
      </c>
      <c r="C4196" t="s">
        <v>127</v>
      </c>
      <c r="D4196" s="9">
        <v>41029.585868055554</v>
      </c>
      <c r="E4196" t="s">
        <v>44</v>
      </c>
      <c r="F4196">
        <f t="shared" ca="1" si="130"/>
        <v>2.7472222222222222</v>
      </c>
      <c r="G4196">
        <f t="shared" ca="1" si="131"/>
        <v>0</v>
      </c>
    </row>
    <row r="4197" spans="1:7">
      <c r="A4197">
        <v>4422</v>
      </c>
      <c r="B4197" t="s">
        <v>19</v>
      </c>
      <c r="C4197" t="s">
        <v>128</v>
      </c>
      <c r="D4197" s="9">
        <v>40917.692037037035</v>
      </c>
      <c r="E4197" t="s">
        <v>30</v>
      </c>
      <c r="F4197">
        <f t="shared" ca="1" si="130"/>
        <v>3.0555555555555554</v>
      </c>
      <c r="G4197">
        <f t="shared" ca="1" si="131"/>
        <v>0</v>
      </c>
    </row>
    <row r="4198" spans="1:7">
      <c r="A4198">
        <v>4425</v>
      </c>
      <c r="B4198" t="s">
        <v>30</v>
      </c>
      <c r="C4198" t="s">
        <v>128</v>
      </c>
      <c r="D4198" s="9">
        <v>40919.820115740738</v>
      </c>
      <c r="E4198" t="s">
        <v>36</v>
      </c>
      <c r="F4198">
        <f t="shared" ca="1" si="130"/>
        <v>3.05</v>
      </c>
      <c r="G4198">
        <f t="shared" ca="1" si="131"/>
        <v>0</v>
      </c>
    </row>
    <row r="4199" spans="1:7">
      <c r="A4199">
        <v>4432</v>
      </c>
      <c r="B4199" t="s">
        <v>19</v>
      </c>
      <c r="C4199" t="s">
        <v>125</v>
      </c>
      <c r="D4199" s="9">
        <v>41211.729166666664</v>
      </c>
      <c r="E4199" t="s">
        <v>36</v>
      </c>
      <c r="F4199">
        <f t="shared" ca="1" si="130"/>
        <v>2.25</v>
      </c>
      <c r="G4199">
        <f t="shared" ca="1" si="131"/>
        <v>0</v>
      </c>
    </row>
    <row r="4200" spans="1:7">
      <c r="A4200">
        <v>4435</v>
      </c>
      <c r="B4200" t="s">
        <v>34</v>
      </c>
      <c r="C4200" t="s">
        <v>128</v>
      </c>
      <c r="D4200" s="9">
        <v>40918.635925925926</v>
      </c>
      <c r="E4200" t="s">
        <v>52</v>
      </c>
      <c r="F4200">
        <f t="shared" ca="1" si="130"/>
        <v>3.0527777777777776</v>
      </c>
      <c r="G4200">
        <f t="shared" ca="1" si="131"/>
        <v>0</v>
      </c>
    </row>
    <row r="4201" spans="1:7">
      <c r="A4201">
        <v>4437</v>
      </c>
      <c r="B4201" t="s">
        <v>143</v>
      </c>
      <c r="C4201" t="s">
        <v>128</v>
      </c>
      <c r="D4201" s="9">
        <v>40920.434027777781</v>
      </c>
      <c r="E4201" t="s">
        <v>37</v>
      </c>
      <c r="F4201">
        <f t="shared" ca="1" si="130"/>
        <v>3.0472222222222221</v>
      </c>
      <c r="G4201">
        <f t="shared" ca="1" si="131"/>
        <v>0</v>
      </c>
    </row>
    <row r="4202" spans="1:7">
      <c r="A4202">
        <v>4443</v>
      </c>
      <c r="B4202" t="s">
        <v>18</v>
      </c>
      <c r="C4202" t="s">
        <v>121</v>
      </c>
      <c r="D4202" s="9">
        <v>41471.657997685186</v>
      </c>
      <c r="E4202" t="s">
        <v>19</v>
      </c>
      <c r="F4202">
        <f t="shared" ca="1" si="130"/>
        <v>1.5361111111111112</v>
      </c>
      <c r="G4202">
        <f t="shared" ca="1" si="131"/>
        <v>0</v>
      </c>
    </row>
    <row r="4203" spans="1:7">
      <c r="A4203">
        <v>4456</v>
      </c>
      <c r="B4203" t="s">
        <v>19</v>
      </c>
      <c r="C4203" t="s">
        <v>127</v>
      </c>
      <c r="D4203" s="9">
        <v>41029.64539351852</v>
      </c>
      <c r="E4203" t="s">
        <v>36</v>
      </c>
      <c r="F4203">
        <f t="shared" ca="1" si="130"/>
        <v>2.7472222222222222</v>
      </c>
      <c r="G4203">
        <f t="shared" ca="1" si="131"/>
        <v>0</v>
      </c>
    </row>
    <row r="4204" spans="1:7">
      <c r="A4204">
        <v>4457</v>
      </c>
      <c r="B4204" t="s">
        <v>8</v>
      </c>
      <c r="C4204" t="s">
        <v>128</v>
      </c>
      <c r="D4204" s="9">
        <v>40921.641157407408</v>
      </c>
      <c r="E4204" t="s">
        <v>19</v>
      </c>
      <c r="F4204">
        <f t="shared" ca="1" si="130"/>
        <v>3.0444444444444443</v>
      </c>
      <c r="G4204">
        <f t="shared" ca="1" si="131"/>
        <v>0</v>
      </c>
    </row>
    <row r="4205" spans="1:7">
      <c r="A4205">
        <v>4461</v>
      </c>
      <c r="B4205" t="s">
        <v>8</v>
      </c>
      <c r="C4205" t="s">
        <v>127</v>
      </c>
      <c r="D4205" s="9">
        <v>41029.688564814816</v>
      </c>
      <c r="E4205" t="s">
        <v>43</v>
      </c>
      <c r="F4205">
        <f t="shared" ca="1" si="130"/>
        <v>2.7472222222222222</v>
      </c>
      <c r="G4205">
        <f t="shared" ca="1" si="131"/>
        <v>0</v>
      </c>
    </row>
    <row r="4206" spans="1:7">
      <c r="A4206">
        <v>4462</v>
      </c>
      <c r="B4206" t="s">
        <v>8</v>
      </c>
      <c r="C4206" t="s">
        <v>128</v>
      </c>
      <c r="D4206" s="9">
        <v>40920.653402777774</v>
      </c>
      <c r="E4206" t="s">
        <v>143</v>
      </c>
      <c r="F4206">
        <f t="shared" ca="1" si="130"/>
        <v>3.0472222222222221</v>
      </c>
      <c r="G4206">
        <f t="shared" ca="1" si="131"/>
        <v>0</v>
      </c>
    </row>
    <row r="4207" spans="1:7">
      <c r="A4207">
        <v>4463</v>
      </c>
      <c r="B4207" t="s">
        <v>30</v>
      </c>
      <c r="C4207" t="s">
        <v>125</v>
      </c>
      <c r="D4207" s="9">
        <v>41215.696944444448</v>
      </c>
      <c r="E4207" t="s">
        <v>24</v>
      </c>
      <c r="F4207">
        <f t="shared" ref="F4207:F4270" ca="1" si="132">YEARFRAC(TODAY(),$D4207)</f>
        <v>2.2416666666666667</v>
      </c>
      <c r="G4207">
        <f t="shared" ref="G4207:G4270" ca="1" si="133">IF($F4207&lt;1,1,0)</f>
        <v>0</v>
      </c>
    </row>
    <row r="4208" spans="1:7">
      <c r="A4208">
        <v>4466</v>
      </c>
      <c r="B4208" t="s">
        <v>111</v>
      </c>
      <c r="C4208" t="s">
        <v>127</v>
      </c>
      <c r="D4208" s="9">
        <v>41031.917013888888</v>
      </c>
      <c r="E4208" t="s">
        <v>38</v>
      </c>
      <c r="F4208">
        <f t="shared" ca="1" si="132"/>
        <v>2.7416666666666667</v>
      </c>
      <c r="G4208">
        <f t="shared" ca="1" si="133"/>
        <v>0</v>
      </c>
    </row>
    <row r="4209" spans="1:7">
      <c r="A4209">
        <v>4472</v>
      </c>
      <c r="B4209" t="s">
        <v>112</v>
      </c>
      <c r="C4209" t="s">
        <v>127</v>
      </c>
      <c r="D4209" s="9">
        <v>41033.703958333332</v>
      </c>
      <c r="E4209" t="s">
        <v>38</v>
      </c>
      <c r="F4209">
        <f t="shared" ca="1" si="132"/>
        <v>2.7361111111111112</v>
      </c>
      <c r="G4209">
        <f t="shared" ca="1" si="133"/>
        <v>0</v>
      </c>
    </row>
    <row r="4210" spans="1:7">
      <c r="A4210">
        <v>4473</v>
      </c>
      <c r="B4210" t="s">
        <v>112</v>
      </c>
      <c r="C4210" t="s">
        <v>127</v>
      </c>
      <c r="D4210" s="9">
        <v>41033.703831018516</v>
      </c>
      <c r="E4210" t="s">
        <v>38</v>
      </c>
      <c r="F4210">
        <f t="shared" ca="1" si="132"/>
        <v>2.7361111111111112</v>
      </c>
      <c r="G4210">
        <f t="shared" ca="1" si="133"/>
        <v>0</v>
      </c>
    </row>
    <row r="4211" spans="1:7">
      <c r="A4211">
        <v>4474</v>
      </c>
      <c r="B4211" t="s">
        <v>112</v>
      </c>
      <c r="C4211" t="s">
        <v>127</v>
      </c>
      <c r="D4211" s="9">
        <v>41033.703483796293</v>
      </c>
      <c r="E4211" t="s">
        <v>38</v>
      </c>
      <c r="F4211">
        <f t="shared" ca="1" si="132"/>
        <v>2.7361111111111112</v>
      </c>
      <c r="G4211">
        <f t="shared" ca="1" si="133"/>
        <v>0</v>
      </c>
    </row>
    <row r="4212" spans="1:7">
      <c r="A4212">
        <v>4475</v>
      </c>
      <c r="B4212" t="s">
        <v>19</v>
      </c>
      <c r="C4212" t="s">
        <v>128</v>
      </c>
      <c r="D4212" s="9">
        <v>40920.633645833332</v>
      </c>
      <c r="E4212" t="s">
        <v>27</v>
      </c>
      <c r="F4212">
        <f t="shared" ca="1" si="132"/>
        <v>3.0472222222222221</v>
      </c>
      <c r="G4212">
        <f t="shared" ca="1" si="133"/>
        <v>0</v>
      </c>
    </row>
    <row r="4213" spans="1:7">
      <c r="A4213">
        <v>4478</v>
      </c>
      <c r="B4213" t="s">
        <v>99</v>
      </c>
      <c r="C4213" t="s">
        <v>127</v>
      </c>
      <c r="D4213" s="9">
        <v>40927.466527777775</v>
      </c>
      <c r="E4213" t="s">
        <v>30</v>
      </c>
      <c r="F4213">
        <f t="shared" ca="1" si="132"/>
        <v>3.0277777777777777</v>
      </c>
      <c r="G4213">
        <f t="shared" ca="1" si="133"/>
        <v>0</v>
      </c>
    </row>
    <row r="4214" spans="1:7">
      <c r="A4214">
        <v>4481</v>
      </c>
      <c r="B4214" t="s">
        <v>23</v>
      </c>
      <c r="C4214" t="s">
        <v>128</v>
      </c>
      <c r="D4214" s="9">
        <v>40927.662766203706</v>
      </c>
      <c r="E4214" t="s">
        <v>104</v>
      </c>
      <c r="F4214">
        <f t="shared" ca="1" si="132"/>
        <v>3.0277777777777777</v>
      </c>
      <c r="G4214">
        <f t="shared" ca="1" si="133"/>
        <v>0</v>
      </c>
    </row>
    <row r="4215" spans="1:7">
      <c r="A4215">
        <v>4482</v>
      </c>
      <c r="B4215" t="s">
        <v>21</v>
      </c>
      <c r="C4215" t="s">
        <v>128</v>
      </c>
      <c r="D4215" s="9">
        <v>40934.841666666667</v>
      </c>
      <c r="E4215" t="s">
        <v>20</v>
      </c>
      <c r="F4215">
        <f t="shared" ca="1" si="132"/>
        <v>3.0083333333333333</v>
      </c>
      <c r="G4215">
        <f t="shared" ca="1" si="133"/>
        <v>0</v>
      </c>
    </row>
    <row r="4216" spans="1:7">
      <c r="A4216">
        <v>4483</v>
      </c>
      <c r="B4216" t="s">
        <v>34</v>
      </c>
      <c r="C4216" t="s">
        <v>126</v>
      </c>
      <c r="D4216" s="9">
        <v>41129.427303240744</v>
      </c>
      <c r="E4216" t="s">
        <v>37</v>
      </c>
      <c r="F4216">
        <f t="shared" ca="1" si="132"/>
        <v>2.4750000000000001</v>
      </c>
      <c r="G4216">
        <f t="shared" ca="1" si="133"/>
        <v>0</v>
      </c>
    </row>
    <row r="4217" spans="1:7">
      <c r="A4217">
        <v>4484</v>
      </c>
      <c r="B4217" t="s">
        <v>99</v>
      </c>
      <c r="C4217" t="s">
        <v>127</v>
      </c>
      <c r="D4217" s="9">
        <v>41030.803136574075</v>
      </c>
      <c r="E4217" t="s">
        <v>49</v>
      </c>
      <c r="F4217">
        <f t="shared" ca="1" si="132"/>
        <v>2.7444444444444445</v>
      </c>
      <c r="G4217">
        <f t="shared" ca="1" si="133"/>
        <v>0</v>
      </c>
    </row>
    <row r="4218" spans="1:7">
      <c r="A4218">
        <v>4486</v>
      </c>
      <c r="B4218" t="s">
        <v>99</v>
      </c>
      <c r="C4218" t="s">
        <v>127</v>
      </c>
      <c r="D4218" s="9">
        <v>41031.76048611111</v>
      </c>
      <c r="E4218" t="s">
        <v>49</v>
      </c>
      <c r="F4218">
        <f t="shared" ca="1" si="132"/>
        <v>2.7416666666666667</v>
      </c>
      <c r="G4218">
        <f t="shared" ca="1" si="133"/>
        <v>0</v>
      </c>
    </row>
    <row r="4219" spans="1:7">
      <c r="A4219">
        <v>4487</v>
      </c>
      <c r="B4219" t="s">
        <v>99</v>
      </c>
      <c r="C4219" t="s">
        <v>127</v>
      </c>
      <c r="D4219" s="9">
        <v>41031.76085648148</v>
      </c>
      <c r="E4219" t="s">
        <v>49</v>
      </c>
      <c r="F4219">
        <f t="shared" ca="1" si="132"/>
        <v>2.7416666666666667</v>
      </c>
      <c r="G4219">
        <f t="shared" ca="1" si="133"/>
        <v>0</v>
      </c>
    </row>
    <row r="4220" spans="1:7">
      <c r="A4220">
        <v>4489</v>
      </c>
      <c r="B4220" t="s">
        <v>29</v>
      </c>
      <c r="C4220" t="s">
        <v>121</v>
      </c>
      <c r="D4220" s="9">
        <v>41474.605833333335</v>
      </c>
      <c r="E4220" t="s">
        <v>14</v>
      </c>
      <c r="F4220">
        <f t="shared" ca="1" si="132"/>
        <v>1.5277777777777777</v>
      </c>
      <c r="G4220">
        <f t="shared" ca="1" si="133"/>
        <v>0</v>
      </c>
    </row>
    <row r="4221" spans="1:7">
      <c r="A4221">
        <v>4493</v>
      </c>
      <c r="B4221" t="s">
        <v>99</v>
      </c>
      <c r="C4221" t="s">
        <v>127</v>
      </c>
      <c r="D4221" s="9">
        <v>41029.634189814817</v>
      </c>
      <c r="E4221" t="s">
        <v>19</v>
      </c>
      <c r="F4221">
        <f t="shared" ca="1" si="132"/>
        <v>2.7472222222222222</v>
      </c>
      <c r="G4221">
        <f t="shared" ca="1" si="133"/>
        <v>0</v>
      </c>
    </row>
    <row r="4222" spans="1:7">
      <c r="A4222">
        <v>4498</v>
      </c>
      <c r="B4222" t="s">
        <v>99</v>
      </c>
      <c r="C4222" t="s">
        <v>127</v>
      </c>
      <c r="D4222" s="9">
        <v>41032.90315972222</v>
      </c>
      <c r="E4222" t="s">
        <v>20</v>
      </c>
      <c r="F4222">
        <f t="shared" ca="1" si="132"/>
        <v>2.7388888888888889</v>
      </c>
      <c r="G4222">
        <f t="shared" ca="1" si="133"/>
        <v>0</v>
      </c>
    </row>
    <row r="4223" spans="1:7">
      <c r="A4223">
        <v>4510</v>
      </c>
      <c r="B4223" t="s">
        <v>99</v>
      </c>
      <c r="C4223" t="s">
        <v>128</v>
      </c>
      <c r="D4223" s="9">
        <v>40942.627083333333</v>
      </c>
      <c r="E4223" t="s">
        <v>38</v>
      </c>
      <c r="F4223">
        <f t="shared" ca="1" si="132"/>
        <v>2.9888888888888889</v>
      </c>
      <c r="G4223">
        <f t="shared" ca="1" si="133"/>
        <v>0</v>
      </c>
    </row>
    <row r="4224" spans="1:7">
      <c r="A4224">
        <v>4511</v>
      </c>
      <c r="B4224" t="s">
        <v>99</v>
      </c>
      <c r="C4224" t="s">
        <v>128</v>
      </c>
      <c r="D4224" s="9">
        <v>40942.62704861111</v>
      </c>
      <c r="E4224" t="s">
        <v>38</v>
      </c>
      <c r="F4224">
        <f t="shared" ca="1" si="132"/>
        <v>2.9888888888888889</v>
      </c>
      <c r="G4224">
        <f t="shared" ca="1" si="133"/>
        <v>0</v>
      </c>
    </row>
    <row r="4225" spans="1:7">
      <c r="A4225">
        <v>4517</v>
      </c>
      <c r="B4225" t="s">
        <v>8</v>
      </c>
      <c r="C4225" t="s">
        <v>128</v>
      </c>
      <c r="D4225" s="9">
        <v>40926.690775462965</v>
      </c>
      <c r="E4225" t="s">
        <v>11</v>
      </c>
      <c r="F4225">
        <f t="shared" ca="1" si="132"/>
        <v>3.0305555555555554</v>
      </c>
      <c r="G4225">
        <f t="shared" ca="1" si="133"/>
        <v>0</v>
      </c>
    </row>
    <row r="4226" spans="1:7">
      <c r="A4226">
        <v>4521</v>
      </c>
      <c r="B4226" t="s">
        <v>30</v>
      </c>
      <c r="C4226" t="s">
        <v>127</v>
      </c>
      <c r="D4226" s="9">
        <v>41029.786886574075</v>
      </c>
      <c r="E4226" t="s">
        <v>38</v>
      </c>
      <c r="F4226">
        <f t="shared" ca="1" si="132"/>
        <v>2.7472222222222222</v>
      </c>
      <c r="G4226">
        <f t="shared" ca="1" si="133"/>
        <v>0</v>
      </c>
    </row>
    <row r="4227" spans="1:7">
      <c r="A4227">
        <v>4524</v>
      </c>
      <c r="B4227" t="s">
        <v>99</v>
      </c>
      <c r="C4227" t="s">
        <v>128</v>
      </c>
      <c r="D4227" s="9">
        <v>40934.602951388886</v>
      </c>
      <c r="E4227" t="s">
        <v>27</v>
      </c>
      <c r="F4227">
        <f t="shared" ca="1" si="132"/>
        <v>3.0083333333333333</v>
      </c>
      <c r="G4227">
        <f t="shared" ca="1" si="133"/>
        <v>0</v>
      </c>
    </row>
    <row r="4228" spans="1:7">
      <c r="A4228">
        <v>4525</v>
      </c>
      <c r="B4228" t="s">
        <v>27</v>
      </c>
      <c r="C4228" t="s">
        <v>128</v>
      </c>
      <c r="D4228" s="9">
        <v>40927.463553240741</v>
      </c>
      <c r="E4228" t="s">
        <v>19</v>
      </c>
      <c r="F4228">
        <f t="shared" ca="1" si="132"/>
        <v>3.0277777777777777</v>
      </c>
      <c r="G4228">
        <f t="shared" ca="1" si="133"/>
        <v>0</v>
      </c>
    </row>
    <row r="4229" spans="1:7">
      <c r="A4229">
        <v>4526</v>
      </c>
      <c r="B4229" t="s">
        <v>27</v>
      </c>
      <c r="C4229" t="s">
        <v>128</v>
      </c>
      <c r="D4229" s="9">
        <v>40927.399502314816</v>
      </c>
      <c r="E4229" t="s">
        <v>19</v>
      </c>
      <c r="F4229">
        <f t="shared" ca="1" si="132"/>
        <v>3.0277777777777777</v>
      </c>
      <c r="G4229">
        <f t="shared" ca="1" si="133"/>
        <v>0</v>
      </c>
    </row>
    <row r="4230" spans="1:7">
      <c r="A4230">
        <v>4528</v>
      </c>
      <c r="B4230" t="s">
        <v>143</v>
      </c>
      <c r="C4230" t="s">
        <v>128</v>
      </c>
      <c r="D4230" s="9">
        <v>40926.690821759257</v>
      </c>
      <c r="E4230" t="s">
        <v>30</v>
      </c>
      <c r="F4230">
        <f t="shared" ca="1" si="132"/>
        <v>3.0305555555555554</v>
      </c>
      <c r="G4230">
        <f t="shared" ca="1" si="133"/>
        <v>0</v>
      </c>
    </row>
    <row r="4231" spans="1:7">
      <c r="A4231">
        <v>4529</v>
      </c>
      <c r="B4231" t="s">
        <v>8</v>
      </c>
      <c r="C4231" t="s">
        <v>128</v>
      </c>
      <c r="D4231" s="9">
        <v>40931.849814814814</v>
      </c>
      <c r="E4231" t="s">
        <v>36</v>
      </c>
      <c r="F4231">
        <f t="shared" ca="1" si="132"/>
        <v>3.0166666666666666</v>
      </c>
      <c r="G4231">
        <f t="shared" ca="1" si="133"/>
        <v>0</v>
      </c>
    </row>
    <row r="4232" spans="1:7">
      <c r="A4232">
        <v>4532</v>
      </c>
      <c r="B4232" t="s">
        <v>143</v>
      </c>
      <c r="C4232" t="s">
        <v>128</v>
      </c>
      <c r="D4232" s="9">
        <v>40926.698495370372</v>
      </c>
      <c r="E4232" t="s">
        <v>30</v>
      </c>
      <c r="F4232">
        <f t="shared" ca="1" si="132"/>
        <v>3.0305555555555554</v>
      </c>
      <c r="G4232">
        <f t="shared" ca="1" si="133"/>
        <v>0</v>
      </c>
    </row>
    <row r="4233" spans="1:7">
      <c r="A4233">
        <v>4533</v>
      </c>
      <c r="B4233" t="s">
        <v>27</v>
      </c>
      <c r="C4233" t="s">
        <v>128</v>
      </c>
      <c r="D4233" s="9">
        <v>40927.397407407407</v>
      </c>
      <c r="E4233" t="s">
        <v>19</v>
      </c>
      <c r="F4233">
        <f t="shared" ca="1" si="132"/>
        <v>3.0277777777777777</v>
      </c>
      <c r="G4233">
        <f t="shared" ca="1" si="133"/>
        <v>0</v>
      </c>
    </row>
    <row r="4234" spans="1:7">
      <c r="A4234">
        <v>4534</v>
      </c>
      <c r="B4234" t="s">
        <v>11</v>
      </c>
      <c r="C4234" t="s">
        <v>128</v>
      </c>
      <c r="D4234" s="9">
        <v>40931.849872685183</v>
      </c>
      <c r="E4234" t="s">
        <v>27</v>
      </c>
      <c r="F4234">
        <f t="shared" ca="1" si="132"/>
        <v>3.0166666666666666</v>
      </c>
      <c r="G4234">
        <f t="shared" ca="1" si="133"/>
        <v>0</v>
      </c>
    </row>
    <row r="4235" spans="1:7">
      <c r="A4235">
        <v>4535</v>
      </c>
      <c r="B4235" t="s">
        <v>20</v>
      </c>
      <c r="C4235" t="s">
        <v>128</v>
      </c>
      <c r="D4235" s="9">
        <v>40926.724583333336</v>
      </c>
      <c r="E4235" t="s">
        <v>32</v>
      </c>
      <c r="F4235">
        <f t="shared" ca="1" si="132"/>
        <v>3.0305555555555554</v>
      </c>
      <c r="G4235">
        <f t="shared" ca="1" si="133"/>
        <v>0</v>
      </c>
    </row>
    <row r="4236" spans="1:7">
      <c r="A4236">
        <v>4537</v>
      </c>
      <c r="B4236" t="s">
        <v>99</v>
      </c>
      <c r="C4236" t="s">
        <v>127</v>
      </c>
      <c r="D4236" s="9">
        <v>41029.636874999997</v>
      </c>
      <c r="E4236" t="s">
        <v>19</v>
      </c>
      <c r="F4236">
        <f t="shared" ca="1" si="132"/>
        <v>2.7472222222222222</v>
      </c>
      <c r="G4236">
        <f t="shared" ca="1" si="133"/>
        <v>0</v>
      </c>
    </row>
    <row r="4237" spans="1:7">
      <c r="A4237">
        <v>4538</v>
      </c>
      <c r="B4237" t="s">
        <v>11</v>
      </c>
      <c r="C4237" t="s">
        <v>128</v>
      </c>
      <c r="D4237" s="9">
        <v>40934.69840277778</v>
      </c>
      <c r="E4237" t="s">
        <v>99</v>
      </c>
      <c r="F4237">
        <f t="shared" ca="1" si="132"/>
        <v>3.0083333333333333</v>
      </c>
      <c r="G4237">
        <f t="shared" ca="1" si="133"/>
        <v>0</v>
      </c>
    </row>
    <row r="4238" spans="1:7">
      <c r="A4238">
        <v>4539</v>
      </c>
      <c r="B4238" t="s">
        <v>34</v>
      </c>
      <c r="C4238" t="s">
        <v>128</v>
      </c>
      <c r="D4238" s="9">
        <v>40926.690891203703</v>
      </c>
      <c r="E4238" t="s">
        <v>30</v>
      </c>
      <c r="F4238">
        <f t="shared" ca="1" si="132"/>
        <v>3.0305555555555554</v>
      </c>
      <c r="G4238">
        <f t="shared" ca="1" si="133"/>
        <v>0</v>
      </c>
    </row>
    <row r="4239" spans="1:7">
      <c r="A4239">
        <v>4540</v>
      </c>
      <c r="B4239" t="s">
        <v>143</v>
      </c>
      <c r="C4239" t="s">
        <v>128</v>
      </c>
      <c r="D4239" s="9">
        <v>40926.690937500003</v>
      </c>
      <c r="E4239" t="s">
        <v>30</v>
      </c>
      <c r="F4239">
        <f t="shared" ca="1" si="132"/>
        <v>3.0305555555555554</v>
      </c>
      <c r="G4239">
        <f t="shared" ca="1" si="133"/>
        <v>0</v>
      </c>
    </row>
    <row r="4240" spans="1:7">
      <c r="A4240">
        <v>4544</v>
      </c>
      <c r="B4240" t="s">
        <v>99</v>
      </c>
      <c r="C4240" t="s">
        <v>127</v>
      </c>
      <c r="D4240" s="9">
        <v>41031.440196759257</v>
      </c>
      <c r="E4240" t="s">
        <v>34</v>
      </c>
      <c r="F4240">
        <f t="shared" ca="1" si="132"/>
        <v>2.7416666666666667</v>
      </c>
      <c r="G4240">
        <f t="shared" ca="1" si="133"/>
        <v>0</v>
      </c>
    </row>
    <row r="4241" spans="1:7">
      <c r="A4241">
        <v>4545</v>
      </c>
      <c r="B4241" t="s">
        <v>99</v>
      </c>
      <c r="C4241" t="s">
        <v>127</v>
      </c>
      <c r="D4241" s="9">
        <v>41029.859942129631</v>
      </c>
      <c r="E4241" t="s">
        <v>27</v>
      </c>
      <c r="F4241">
        <f t="shared" ca="1" si="132"/>
        <v>2.7472222222222222</v>
      </c>
      <c r="G4241">
        <f t="shared" ca="1" si="133"/>
        <v>0</v>
      </c>
    </row>
    <row r="4242" spans="1:7">
      <c r="A4242">
        <v>4547</v>
      </c>
      <c r="B4242" t="s">
        <v>143</v>
      </c>
      <c r="C4242" t="s">
        <v>128</v>
      </c>
      <c r="D4242" s="9">
        <v>40941.709629629629</v>
      </c>
      <c r="E4242" t="s">
        <v>38</v>
      </c>
      <c r="F4242">
        <f t="shared" ca="1" si="132"/>
        <v>2.9916666666666667</v>
      </c>
      <c r="G4242">
        <f t="shared" ca="1" si="133"/>
        <v>0</v>
      </c>
    </row>
    <row r="4243" spans="1:7">
      <c r="A4243">
        <v>4553</v>
      </c>
      <c r="B4243" t="s">
        <v>21</v>
      </c>
      <c r="C4243" t="s">
        <v>128</v>
      </c>
      <c r="D4243" s="9">
        <v>40928.807604166665</v>
      </c>
      <c r="E4243" t="s">
        <v>32</v>
      </c>
      <c r="F4243">
        <f t="shared" ca="1" si="132"/>
        <v>3.0249999999999999</v>
      </c>
      <c r="G4243">
        <f t="shared" ca="1" si="133"/>
        <v>0</v>
      </c>
    </row>
    <row r="4244" spans="1:7">
      <c r="A4244">
        <v>4554</v>
      </c>
      <c r="B4244" t="s">
        <v>99</v>
      </c>
      <c r="C4244" t="s">
        <v>127</v>
      </c>
      <c r="D4244" s="9">
        <v>41031.790798611109</v>
      </c>
      <c r="E4244" t="s">
        <v>32</v>
      </c>
      <c r="F4244">
        <f t="shared" ca="1" si="132"/>
        <v>2.7416666666666667</v>
      </c>
      <c r="G4244">
        <f t="shared" ca="1" si="133"/>
        <v>0</v>
      </c>
    </row>
    <row r="4245" spans="1:7">
      <c r="A4245">
        <v>4556</v>
      </c>
      <c r="B4245" t="s">
        <v>143</v>
      </c>
      <c r="C4245" t="s">
        <v>128</v>
      </c>
      <c r="D4245" s="9">
        <v>40928.693541666667</v>
      </c>
      <c r="E4245" t="s">
        <v>30</v>
      </c>
      <c r="F4245">
        <f t="shared" ca="1" si="132"/>
        <v>3.0249999999999999</v>
      </c>
      <c r="G4245">
        <f t="shared" ca="1" si="133"/>
        <v>0</v>
      </c>
    </row>
    <row r="4246" spans="1:7">
      <c r="A4246">
        <v>4560</v>
      </c>
      <c r="B4246" t="s">
        <v>30</v>
      </c>
      <c r="C4246" t="s">
        <v>127</v>
      </c>
      <c r="D4246" s="9">
        <v>41032.38853009259</v>
      </c>
      <c r="E4246" t="s">
        <v>44</v>
      </c>
      <c r="F4246">
        <f t="shared" ca="1" si="132"/>
        <v>2.7388888888888889</v>
      </c>
      <c r="G4246">
        <f t="shared" ca="1" si="133"/>
        <v>0</v>
      </c>
    </row>
    <row r="4247" spans="1:7">
      <c r="A4247">
        <v>4561</v>
      </c>
      <c r="B4247" t="s">
        <v>8</v>
      </c>
      <c r="C4247" t="s">
        <v>128</v>
      </c>
      <c r="D4247" s="9">
        <v>40932.671979166669</v>
      </c>
      <c r="E4247" t="s">
        <v>30</v>
      </c>
      <c r="F4247">
        <f t="shared" ca="1" si="132"/>
        <v>3.0138888888888888</v>
      </c>
      <c r="G4247">
        <f t="shared" ca="1" si="133"/>
        <v>0</v>
      </c>
    </row>
    <row r="4248" spans="1:7">
      <c r="A4248">
        <v>4562</v>
      </c>
      <c r="B4248" t="s">
        <v>99</v>
      </c>
      <c r="C4248" t="s">
        <v>128</v>
      </c>
      <c r="D4248" s="9">
        <v>40927.769629629627</v>
      </c>
      <c r="E4248" t="s">
        <v>23</v>
      </c>
      <c r="F4248">
        <f t="shared" ca="1" si="132"/>
        <v>3.0277777777777777</v>
      </c>
      <c r="G4248">
        <f t="shared" ca="1" si="133"/>
        <v>0</v>
      </c>
    </row>
    <row r="4249" spans="1:7">
      <c r="A4249">
        <v>4564</v>
      </c>
      <c r="B4249" t="s">
        <v>19</v>
      </c>
      <c r="C4249" t="s">
        <v>128</v>
      </c>
      <c r="D4249" s="9">
        <v>40928.848113425927</v>
      </c>
      <c r="E4249" t="s">
        <v>27</v>
      </c>
      <c r="F4249">
        <f t="shared" ca="1" si="132"/>
        <v>3.0249999999999999</v>
      </c>
      <c r="G4249">
        <f t="shared" ca="1" si="133"/>
        <v>0</v>
      </c>
    </row>
    <row r="4250" spans="1:7">
      <c r="A4250">
        <v>4565</v>
      </c>
      <c r="B4250" t="s">
        <v>27</v>
      </c>
      <c r="C4250" t="s">
        <v>128</v>
      </c>
      <c r="D4250" s="9">
        <v>40933.393541666665</v>
      </c>
      <c r="E4250" t="s">
        <v>19</v>
      </c>
      <c r="F4250">
        <f t="shared" ca="1" si="132"/>
        <v>3.0111111111111111</v>
      </c>
      <c r="G4250">
        <f t="shared" ca="1" si="133"/>
        <v>0</v>
      </c>
    </row>
    <row r="4251" spans="1:7">
      <c r="A4251">
        <v>4567</v>
      </c>
      <c r="B4251" t="s">
        <v>32</v>
      </c>
      <c r="C4251" t="s">
        <v>127</v>
      </c>
      <c r="D4251" s="9">
        <v>41029.863877314812</v>
      </c>
      <c r="E4251" t="s">
        <v>38</v>
      </c>
      <c r="F4251">
        <f t="shared" ca="1" si="132"/>
        <v>2.7472222222222222</v>
      </c>
      <c r="G4251">
        <f t="shared" ca="1" si="133"/>
        <v>0</v>
      </c>
    </row>
    <row r="4252" spans="1:7">
      <c r="A4252">
        <v>4568</v>
      </c>
      <c r="B4252" t="s">
        <v>111</v>
      </c>
      <c r="C4252" t="s">
        <v>127</v>
      </c>
      <c r="D4252" s="9">
        <v>41029.872407407405</v>
      </c>
      <c r="E4252" t="s">
        <v>38</v>
      </c>
      <c r="F4252">
        <f t="shared" ca="1" si="132"/>
        <v>2.7472222222222222</v>
      </c>
      <c r="G4252">
        <f t="shared" ca="1" si="133"/>
        <v>0</v>
      </c>
    </row>
    <row r="4253" spans="1:7">
      <c r="A4253">
        <v>4573</v>
      </c>
      <c r="B4253" t="s">
        <v>11</v>
      </c>
      <c r="C4253" t="s">
        <v>128</v>
      </c>
      <c r="D4253" s="9">
        <v>40931.867546296293</v>
      </c>
      <c r="E4253" t="s">
        <v>27</v>
      </c>
      <c r="F4253">
        <f t="shared" ca="1" si="132"/>
        <v>3.0166666666666666</v>
      </c>
      <c r="G4253">
        <f t="shared" ca="1" si="133"/>
        <v>0</v>
      </c>
    </row>
    <row r="4254" spans="1:7">
      <c r="A4254">
        <v>4579</v>
      </c>
      <c r="B4254" t="s">
        <v>112</v>
      </c>
      <c r="C4254" t="s">
        <v>128</v>
      </c>
      <c r="D4254" s="9">
        <v>40928.778657407405</v>
      </c>
      <c r="E4254" t="s">
        <v>44</v>
      </c>
      <c r="F4254">
        <f t="shared" ca="1" si="132"/>
        <v>3.0249999999999999</v>
      </c>
      <c r="G4254">
        <f t="shared" ca="1" si="133"/>
        <v>0</v>
      </c>
    </row>
    <row r="4255" spans="1:7">
      <c r="A4255">
        <v>4580</v>
      </c>
      <c r="B4255" t="s">
        <v>32</v>
      </c>
      <c r="C4255" t="s">
        <v>127</v>
      </c>
      <c r="D4255" s="9">
        <v>41030.897604166668</v>
      </c>
      <c r="E4255" t="s">
        <v>64</v>
      </c>
      <c r="F4255">
        <f t="shared" ca="1" si="132"/>
        <v>2.7444444444444445</v>
      </c>
      <c r="G4255">
        <f t="shared" ca="1" si="133"/>
        <v>0</v>
      </c>
    </row>
    <row r="4256" spans="1:7">
      <c r="A4256">
        <v>4581</v>
      </c>
      <c r="B4256" t="s">
        <v>143</v>
      </c>
      <c r="C4256" t="s">
        <v>128</v>
      </c>
      <c r="D4256" s="9">
        <v>40941.652291666665</v>
      </c>
      <c r="E4256" t="s">
        <v>44</v>
      </c>
      <c r="F4256">
        <f t="shared" ca="1" si="132"/>
        <v>2.9916666666666667</v>
      </c>
      <c r="G4256">
        <f t="shared" ca="1" si="133"/>
        <v>0</v>
      </c>
    </row>
    <row r="4257" spans="1:7">
      <c r="A4257">
        <v>4582</v>
      </c>
      <c r="B4257" t="s">
        <v>34</v>
      </c>
      <c r="C4257" t="s">
        <v>128</v>
      </c>
      <c r="D4257" s="9">
        <v>40941.672106481485</v>
      </c>
      <c r="E4257" t="s">
        <v>44</v>
      </c>
      <c r="F4257">
        <f t="shared" ca="1" si="132"/>
        <v>2.9916666666666667</v>
      </c>
      <c r="G4257">
        <f t="shared" ca="1" si="133"/>
        <v>0</v>
      </c>
    </row>
    <row r="4258" spans="1:7">
      <c r="A4258">
        <v>4583</v>
      </c>
      <c r="B4258" t="s">
        <v>8</v>
      </c>
      <c r="C4258" t="s">
        <v>128</v>
      </c>
      <c r="D4258" s="9">
        <v>40933.132476851853</v>
      </c>
      <c r="E4258" t="s">
        <v>11</v>
      </c>
      <c r="F4258">
        <f t="shared" ca="1" si="132"/>
        <v>3.0111111111111111</v>
      </c>
      <c r="G4258">
        <f t="shared" ca="1" si="133"/>
        <v>0</v>
      </c>
    </row>
    <row r="4259" spans="1:7">
      <c r="A4259">
        <v>4586</v>
      </c>
      <c r="B4259" t="s">
        <v>8</v>
      </c>
      <c r="C4259" t="s">
        <v>128</v>
      </c>
      <c r="D4259" s="9">
        <v>40934.867002314815</v>
      </c>
      <c r="E4259" t="s">
        <v>11</v>
      </c>
      <c r="F4259">
        <f t="shared" ca="1" si="132"/>
        <v>3.0083333333333333</v>
      </c>
      <c r="G4259">
        <f t="shared" ca="1" si="133"/>
        <v>0</v>
      </c>
    </row>
    <row r="4260" spans="1:7">
      <c r="A4260">
        <v>4587</v>
      </c>
      <c r="B4260" t="s">
        <v>8</v>
      </c>
      <c r="C4260" t="s">
        <v>128</v>
      </c>
      <c r="D4260" s="9">
        <v>40933.836134259262</v>
      </c>
      <c r="E4260" t="s">
        <v>36</v>
      </c>
      <c r="F4260">
        <f t="shared" ca="1" si="132"/>
        <v>3.0111111111111111</v>
      </c>
      <c r="G4260">
        <f t="shared" ca="1" si="133"/>
        <v>0</v>
      </c>
    </row>
    <row r="4261" spans="1:7">
      <c r="A4261">
        <v>4591</v>
      </c>
      <c r="B4261" t="s">
        <v>27</v>
      </c>
      <c r="C4261" t="s">
        <v>128</v>
      </c>
      <c r="D4261" s="9">
        <v>40934.35597222222</v>
      </c>
      <c r="E4261" t="s">
        <v>19</v>
      </c>
      <c r="F4261">
        <f t="shared" ca="1" si="132"/>
        <v>3.0083333333333333</v>
      </c>
      <c r="G4261">
        <f t="shared" ca="1" si="133"/>
        <v>0</v>
      </c>
    </row>
    <row r="4262" spans="1:7">
      <c r="A4262">
        <v>4595</v>
      </c>
      <c r="B4262" t="s">
        <v>8</v>
      </c>
      <c r="C4262" t="s">
        <v>128</v>
      </c>
      <c r="D4262" s="9">
        <v>40931.621689814812</v>
      </c>
      <c r="E4262" t="s">
        <v>19</v>
      </c>
      <c r="F4262">
        <f t="shared" ca="1" si="132"/>
        <v>3.0166666666666666</v>
      </c>
      <c r="G4262">
        <f t="shared" ca="1" si="133"/>
        <v>0</v>
      </c>
    </row>
    <row r="4263" spans="1:7">
      <c r="A4263">
        <v>4596</v>
      </c>
      <c r="B4263" t="s">
        <v>32</v>
      </c>
      <c r="C4263" t="s">
        <v>127</v>
      </c>
      <c r="D4263" s="9">
        <v>41029.926724537036</v>
      </c>
      <c r="E4263" t="s">
        <v>99</v>
      </c>
      <c r="F4263">
        <f t="shared" ca="1" si="132"/>
        <v>2.7472222222222222</v>
      </c>
      <c r="G4263">
        <f t="shared" ca="1" si="133"/>
        <v>0</v>
      </c>
    </row>
    <row r="4264" spans="1:7">
      <c r="A4264">
        <v>4597</v>
      </c>
      <c r="B4264" t="s">
        <v>21</v>
      </c>
      <c r="C4264" t="s">
        <v>128</v>
      </c>
      <c r="D4264" s="9">
        <v>40928.839930555558</v>
      </c>
      <c r="E4264" t="s">
        <v>20</v>
      </c>
      <c r="F4264">
        <f t="shared" ca="1" si="132"/>
        <v>3.0249999999999999</v>
      </c>
      <c r="G4264">
        <f t="shared" ca="1" si="133"/>
        <v>0</v>
      </c>
    </row>
    <row r="4265" spans="1:7">
      <c r="A4265">
        <v>4599</v>
      </c>
      <c r="B4265" t="s">
        <v>27</v>
      </c>
      <c r="C4265" t="s">
        <v>128</v>
      </c>
      <c r="D4265" s="9">
        <v>40934.694409722222</v>
      </c>
      <c r="E4265" t="s">
        <v>99</v>
      </c>
      <c r="F4265">
        <f t="shared" ca="1" si="132"/>
        <v>3.0083333333333333</v>
      </c>
      <c r="G4265">
        <f t="shared" ca="1" si="133"/>
        <v>0</v>
      </c>
    </row>
    <row r="4266" spans="1:7">
      <c r="A4266">
        <v>4602</v>
      </c>
      <c r="B4266" t="s">
        <v>27</v>
      </c>
      <c r="C4266" t="s">
        <v>128</v>
      </c>
      <c r="D4266" s="9">
        <v>40934.79896990741</v>
      </c>
      <c r="E4266" t="s">
        <v>99</v>
      </c>
      <c r="F4266">
        <f t="shared" ca="1" si="132"/>
        <v>3.0083333333333333</v>
      </c>
      <c r="G4266">
        <f t="shared" ca="1" si="133"/>
        <v>0</v>
      </c>
    </row>
    <row r="4267" spans="1:7">
      <c r="A4267">
        <v>4603</v>
      </c>
      <c r="B4267" t="s">
        <v>20</v>
      </c>
      <c r="C4267" t="s">
        <v>128</v>
      </c>
      <c r="D4267" s="9">
        <v>40935.922511574077</v>
      </c>
      <c r="E4267" t="s">
        <v>11</v>
      </c>
      <c r="F4267">
        <f t="shared" ca="1" si="132"/>
        <v>3.0055555555555555</v>
      </c>
      <c r="G4267">
        <f t="shared" ca="1" si="133"/>
        <v>0</v>
      </c>
    </row>
    <row r="4268" spans="1:7">
      <c r="A4268">
        <v>4605</v>
      </c>
      <c r="B4268" t="s">
        <v>8</v>
      </c>
      <c r="C4268" t="s">
        <v>128</v>
      </c>
      <c r="D4268" s="9">
        <v>40932.901875000003</v>
      </c>
      <c r="E4268" t="s">
        <v>11</v>
      </c>
      <c r="F4268">
        <f t="shared" ca="1" si="132"/>
        <v>3.0138888888888888</v>
      </c>
      <c r="G4268">
        <f t="shared" ca="1" si="133"/>
        <v>0</v>
      </c>
    </row>
    <row r="4269" spans="1:7">
      <c r="A4269">
        <v>4609</v>
      </c>
      <c r="B4269" t="s">
        <v>36</v>
      </c>
      <c r="C4269" t="s">
        <v>127</v>
      </c>
      <c r="D4269" s="9">
        <v>41031.86378472222</v>
      </c>
      <c r="E4269" t="s">
        <v>27</v>
      </c>
      <c r="F4269">
        <f t="shared" ca="1" si="132"/>
        <v>2.7416666666666667</v>
      </c>
      <c r="G4269">
        <f t="shared" ca="1" si="133"/>
        <v>0</v>
      </c>
    </row>
    <row r="4270" spans="1:7">
      <c r="A4270">
        <v>4610</v>
      </c>
      <c r="B4270" t="s">
        <v>34</v>
      </c>
      <c r="C4270" t="s">
        <v>128</v>
      </c>
      <c r="D4270" s="9">
        <v>40932.628946759258</v>
      </c>
      <c r="E4270" t="s">
        <v>30</v>
      </c>
      <c r="F4270">
        <f t="shared" ca="1" si="132"/>
        <v>3.0138888888888888</v>
      </c>
      <c r="G4270">
        <f t="shared" ca="1" si="133"/>
        <v>0</v>
      </c>
    </row>
    <row r="4271" spans="1:7">
      <c r="A4271">
        <v>4611</v>
      </c>
      <c r="B4271" t="s">
        <v>30</v>
      </c>
      <c r="C4271" t="s">
        <v>121</v>
      </c>
      <c r="D4271" s="9">
        <v>41480.457071759258</v>
      </c>
      <c r="E4271" t="s">
        <v>11</v>
      </c>
      <c r="F4271">
        <f t="shared" ref="F4271:F4293" ca="1" si="134">YEARFRAC(TODAY(),$D4271)</f>
        <v>1.5111111111111111</v>
      </c>
      <c r="G4271">
        <f t="shared" ref="G4271:G4293" ca="1" si="135">IF($F4271&lt;1,1,0)</f>
        <v>0</v>
      </c>
    </row>
    <row r="4272" spans="1:7">
      <c r="A4272">
        <v>4612</v>
      </c>
      <c r="B4272" t="s">
        <v>8</v>
      </c>
      <c r="C4272" t="s">
        <v>128</v>
      </c>
      <c r="D4272" s="9">
        <v>40933.592291666668</v>
      </c>
      <c r="E4272" t="s">
        <v>11</v>
      </c>
      <c r="F4272">
        <f t="shared" ca="1" si="134"/>
        <v>3.0111111111111111</v>
      </c>
      <c r="G4272">
        <f t="shared" ca="1" si="135"/>
        <v>0</v>
      </c>
    </row>
    <row r="4273" spans="1:7">
      <c r="A4273">
        <v>4613</v>
      </c>
      <c r="B4273" t="s">
        <v>143</v>
      </c>
      <c r="C4273" t="s">
        <v>128</v>
      </c>
      <c r="D4273" s="9">
        <v>40941.702499999999</v>
      </c>
      <c r="E4273" t="s">
        <v>38</v>
      </c>
      <c r="F4273">
        <f t="shared" ca="1" si="134"/>
        <v>2.9916666666666667</v>
      </c>
      <c r="G4273">
        <f t="shared" ca="1" si="135"/>
        <v>0</v>
      </c>
    </row>
    <row r="4274" spans="1:7">
      <c r="A4274">
        <v>4615</v>
      </c>
      <c r="B4274" t="s">
        <v>19</v>
      </c>
      <c r="C4274" t="s">
        <v>128</v>
      </c>
      <c r="D4274" s="9">
        <v>40934.812928240739</v>
      </c>
      <c r="E4274" t="s">
        <v>20</v>
      </c>
      <c r="F4274">
        <f t="shared" ca="1" si="134"/>
        <v>3.0083333333333333</v>
      </c>
      <c r="G4274">
        <f t="shared" ca="1" si="135"/>
        <v>0</v>
      </c>
    </row>
    <row r="4275" spans="1:7">
      <c r="A4275">
        <v>4618</v>
      </c>
      <c r="B4275" t="s">
        <v>64</v>
      </c>
      <c r="C4275" t="s">
        <v>127</v>
      </c>
      <c r="D4275" s="9">
        <v>41029.627118055556</v>
      </c>
      <c r="E4275" t="s">
        <v>38</v>
      </c>
      <c r="F4275">
        <f t="shared" ca="1" si="134"/>
        <v>2.7472222222222222</v>
      </c>
      <c r="G4275">
        <f t="shared" ca="1" si="135"/>
        <v>0</v>
      </c>
    </row>
    <row r="4276" spans="1:7">
      <c r="A4276">
        <v>4619</v>
      </c>
      <c r="B4276" t="s">
        <v>27</v>
      </c>
      <c r="C4276" t="s">
        <v>128</v>
      </c>
      <c r="D4276" s="9">
        <v>40940.468275462961</v>
      </c>
      <c r="E4276" t="s">
        <v>19</v>
      </c>
      <c r="F4276">
        <f t="shared" ca="1" si="134"/>
        <v>2.9944444444444445</v>
      </c>
      <c r="G4276">
        <f t="shared" ca="1" si="135"/>
        <v>0</v>
      </c>
    </row>
    <row r="4277" spans="1:7">
      <c r="A4277">
        <v>4622</v>
      </c>
      <c r="B4277" t="s">
        <v>37</v>
      </c>
      <c r="C4277" t="s">
        <v>128</v>
      </c>
      <c r="D4277" s="9">
        <v>40940.708240740743</v>
      </c>
      <c r="E4277" t="s">
        <v>38</v>
      </c>
      <c r="F4277">
        <f t="shared" ca="1" si="134"/>
        <v>2.9944444444444445</v>
      </c>
      <c r="G4277">
        <f t="shared" ca="1" si="135"/>
        <v>0</v>
      </c>
    </row>
    <row r="4278" spans="1:7">
      <c r="A4278">
        <v>4623</v>
      </c>
      <c r="B4278" t="s">
        <v>143</v>
      </c>
      <c r="C4278" t="s">
        <v>128</v>
      </c>
      <c r="D4278" s="9">
        <v>40938.829131944447</v>
      </c>
      <c r="E4278" t="s">
        <v>36</v>
      </c>
      <c r="F4278">
        <f t="shared" ca="1" si="134"/>
        <v>2.9972222222222222</v>
      </c>
      <c r="G4278">
        <f t="shared" ca="1" si="135"/>
        <v>0</v>
      </c>
    </row>
    <row r="4279" spans="1:7">
      <c r="A4279">
        <v>4624</v>
      </c>
      <c r="B4279" t="s">
        <v>143</v>
      </c>
      <c r="C4279" t="s">
        <v>128</v>
      </c>
      <c r="D4279" s="9">
        <v>40941.672569444447</v>
      </c>
      <c r="E4279" t="s">
        <v>44</v>
      </c>
      <c r="F4279">
        <f t="shared" ca="1" si="134"/>
        <v>2.9916666666666667</v>
      </c>
      <c r="G4279">
        <f t="shared" ca="1" si="135"/>
        <v>0</v>
      </c>
    </row>
    <row r="4280" spans="1:7">
      <c r="A4280">
        <v>4625</v>
      </c>
      <c r="B4280" t="s">
        <v>11</v>
      </c>
      <c r="C4280" t="s">
        <v>127</v>
      </c>
      <c r="D4280" s="9">
        <v>41029.709537037037</v>
      </c>
      <c r="E4280" t="s">
        <v>21</v>
      </c>
      <c r="F4280">
        <f t="shared" ca="1" si="134"/>
        <v>2.7472222222222222</v>
      </c>
      <c r="G4280">
        <f t="shared" ca="1" si="135"/>
        <v>0</v>
      </c>
    </row>
    <row r="4281" spans="1:7">
      <c r="A4281">
        <v>4626</v>
      </c>
      <c r="B4281" t="s">
        <v>143</v>
      </c>
      <c r="C4281" t="s">
        <v>128</v>
      </c>
      <c r="D4281" s="9">
        <v>40941.704652777778</v>
      </c>
      <c r="E4281" t="s">
        <v>38</v>
      </c>
      <c r="F4281">
        <f t="shared" ca="1" si="134"/>
        <v>2.9916666666666667</v>
      </c>
      <c r="G4281">
        <f t="shared" ca="1" si="135"/>
        <v>0</v>
      </c>
    </row>
    <row r="4282" spans="1:7">
      <c r="A4282">
        <v>4628</v>
      </c>
      <c r="B4282" t="s">
        <v>112</v>
      </c>
      <c r="C4282" t="s">
        <v>128</v>
      </c>
      <c r="D4282" s="9">
        <v>40939.942870370367</v>
      </c>
      <c r="E4282" t="s">
        <v>38</v>
      </c>
      <c r="F4282">
        <f t="shared" ca="1" si="134"/>
        <v>2.9972222222222222</v>
      </c>
      <c r="G4282">
        <f t="shared" ca="1" si="135"/>
        <v>0</v>
      </c>
    </row>
    <row r="4283" spans="1:7">
      <c r="A4283">
        <v>4637</v>
      </c>
      <c r="B4283" t="s">
        <v>30</v>
      </c>
      <c r="C4283" t="s">
        <v>127</v>
      </c>
      <c r="D4283" s="9">
        <v>41029.778912037036</v>
      </c>
      <c r="E4283" t="s">
        <v>43</v>
      </c>
      <c r="F4283">
        <f t="shared" ca="1" si="134"/>
        <v>2.7472222222222222</v>
      </c>
      <c r="G4283">
        <f t="shared" ca="1" si="135"/>
        <v>0</v>
      </c>
    </row>
    <row r="4284" spans="1:7">
      <c r="A4284">
        <v>4638</v>
      </c>
      <c r="B4284" t="s">
        <v>34</v>
      </c>
      <c r="C4284" t="s">
        <v>128</v>
      </c>
      <c r="D4284" s="9">
        <v>40941.584016203706</v>
      </c>
      <c r="E4284" t="s">
        <v>11</v>
      </c>
      <c r="F4284">
        <f t="shared" ca="1" si="134"/>
        <v>2.9916666666666667</v>
      </c>
      <c r="G4284">
        <f t="shared" ca="1" si="135"/>
        <v>0</v>
      </c>
    </row>
    <row r="4285" spans="1:7">
      <c r="A4285">
        <v>4639</v>
      </c>
      <c r="B4285" t="s">
        <v>34</v>
      </c>
      <c r="C4285" t="s">
        <v>128</v>
      </c>
      <c r="D4285" s="9">
        <v>40940.562314814815</v>
      </c>
      <c r="E4285" t="s">
        <v>19</v>
      </c>
      <c r="F4285">
        <f t="shared" ca="1" si="134"/>
        <v>2.9944444444444445</v>
      </c>
      <c r="G4285">
        <f t="shared" ca="1" si="135"/>
        <v>0</v>
      </c>
    </row>
    <row r="4286" spans="1:7">
      <c r="A4286">
        <v>4641</v>
      </c>
      <c r="B4286" t="s">
        <v>99</v>
      </c>
      <c r="C4286" t="s">
        <v>127</v>
      </c>
      <c r="D4286" s="9">
        <v>41031.485555555555</v>
      </c>
      <c r="E4286" t="s">
        <v>34</v>
      </c>
      <c r="F4286">
        <f t="shared" ca="1" si="134"/>
        <v>2.7416666666666667</v>
      </c>
      <c r="G4286">
        <f t="shared" ca="1" si="135"/>
        <v>0</v>
      </c>
    </row>
    <row r="4287" spans="1:7">
      <c r="A4287">
        <v>4642</v>
      </c>
      <c r="B4287" t="s">
        <v>112</v>
      </c>
      <c r="C4287" t="s">
        <v>128</v>
      </c>
      <c r="D4287" s="9">
        <v>40934.839282407411</v>
      </c>
      <c r="E4287" t="s">
        <v>99</v>
      </c>
      <c r="F4287">
        <f t="shared" ca="1" si="134"/>
        <v>3.0083333333333333</v>
      </c>
      <c r="G4287">
        <f t="shared" ca="1" si="135"/>
        <v>0</v>
      </c>
    </row>
    <row r="4288" spans="1:7">
      <c r="A4288">
        <v>4643</v>
      </c>
      <c r="B4288" t="s">
        <v>19</v>
      </c>
      <c r="C4288" t="s">
        <v>127</v>
      </c>
      <c r="D4288" s="9">
        <v>41030.9059837963</v>
      </c>
      <c r="E4288" t="s">
        <v>27</v>
      </c>
      <c r="F4288">
        <f t="shared" ca="1" si="134"/>
        <v>2.7444444444444445</v>
      </c>
      <c r="G4288">
        <f t="shared" ca="1" si="135"/>
        <v>0</v>
      </c>
    </row>
    <row r="4289" spans="1:7">
      <c r="A4289">
        <v>4644</v>
      </c>
      <c r="B4289" t="s">
        <v>19</v>
      </c>
      <c r="C4289" t="s">
        <v>128</v>
      </c>
      <c r="D4289" s="9">
        <v>40934.665312500001</v>
      </c>
      <c r="E4289" t="s">
        <v>27</v>
      </c>
      <c r="F4289">
        <f t="shared" ca="1" si="134"/>
        <v>3.0083333333333333</v>
      </c>
      <c r="G4289">
        <f t="shared" ca="1" si="135"/>
        <v>0</v>
      </c>
    </row>
    <row r="4290" spans="1:7">
      <c r="A4290">
        <v>4646</v>
      </c>
      <c r="B4290" t="s">
        <v>8</v>
      </c>
      <c r="C4290" t="s">
        <v>128</v>
      </c>
      <c r="D4290" s="9">
        <v>40934.87395833333</v>
      </c>
      <c r="E4290" t="s">
        <v>11</v>
      </c>
      <c r="F4290">
        <f t="shared" ca="1" si="134"/>
        <v>3.0083333333333333</v>
      </c>
      <c r="G4290">
        <f t="shared" ca="1" si="135"/>
        <v>0</v>
      </c>
    </row>
    <row r="4291" spans="1:7">
      <c r="A4291">
        <v>4647</v>
      </c>
      <c r="B4291" t="s">
        <v>99</v>
      </c>
      <c r="C4291" t="s">
        <v>127</v>
      </c>
      <c r="D4291" s="9">
        <v>41031.955462962964</v>
      </c>
      <c r="E4291" t="s">
        <v>11</v>
      </c>
      <c r="F4291">
        <f t="shared" ca="1" si="134"/>
        <v>2.7416666666666667</v>
      </c>
      <c r="G4291">
        <f t="shared" ca="1" si="135"/>
        <v>0</v>
      </c>
    </row>
    <row r="4292" spans="1:7">
      <c r="A4292">
        <v>4648</v>
      </c>
      <c r="B4292" t="s">
        <v>143</v>
      </c>
      <c r="C4292" t="s">
        <v>128</v>
      </c>
      <c r="D4292" s="9">
        <v>40941.653564814813</v>
      </c>
      <c r="E4292" t="s">
        <v>44</v>
      </c>
      <c r="F4292">
        <f t="shared" ca="1" si="134"/>
        <v>2.9916666666666667</v>
      </c>
      <c r="G4292">
        <f t="shared" ca="1" si="135"/>
        <v>0</v>
      </c>
    </row>
    <row r="4293" spans="1:7">
      <c r="A4293">
        <v>4649</v>
      </c>
      <c r="B4293" t="s">
        <v>8</v>
      </c>
      <c r="C4293" t="s">
        <v>125</v>
      </c>
      <c r="D4293" s="9">
        <v>41211.751689814817</v>
      </c>
      <c r="E4293" t="s">
        <v>36</v>
      </c>
      <c r="F4293">
        <f t="shared" ca="1" si="134"/>
        <v>2.25</v>
      </c>
      <c r="G4293">
        <f t="shared" ca="1" si="135"/>
        <v>0</v>
      </c>
    </row>
    <row r="4294" spans="1:7">
      <c r="A4294">
        <v>4650</v>
      </c>
      <c r="B4294" t="s">
        <v>8</v>
      </c>
      <c r="C4294" t="s">
        <v>128</v>
      </c>
      <c r="D4294" s="9">
        <v>40933.689004629632</v>
      </c>
      <c r="E4294" t="s">
        <v>36</v>
      </c>
      <c r="F4294">
        <f ca="1">YEARFRAC(TODAY(),$D4294)</f>
        <v>3.0111111111111111</v>
      </c>
      <c r="G4294">
        <f ca="1">IF($F4294&lt;1,1,0)</f>
        <v>0</v>
      </c>
    </row>
    <row r="4295" spans="1:7">
      <c r="A4295">
        <v>4654</v>
      </c>
      <c r="B4295" t="s">
        <v>21</v>
      </c>
      <c r="C4295" t="s">
        <v>128</v>
      </c>
      <c r="D4295" s="9">
        <v>40938.606886574074</v>
      </c>
      <c r="E4295" t="s">
        <v>32</v>
      </c>
      <c r="F4295">
        <f t="shared" ref="F4295:F4358" ca="1" si="136">YEARFRAC(TODAY(),$D4295)</f>
        <v>2.9972222222222222</v>
      </c>
      <c r="G4295">
        <f t="shared" ref="G4295:G4358" ca="1" si="137">IF($F4295&lt;1,1,0)</f>
        <v>0</v>
      </c>
    </row>
    <row r="4296" spans="1:7">
      <c r="A4296">
        <v>4655</v>
      </c>
      <c r="B4296" t="s">
        <v>19</v>
      </c>
      <c r="C4296" t="s">
        <v>128</v>
      </c>
      <c r="D4296" s="9">
        <v>40933.797673611109</v>
      </c>
      <c r="E4296" t="s">
        <v>27</v>
      </c>
      <c r="F4296">
        <f t="shared" ca="1" si="136"/>
        <v>3.0111111111111111</v>
      </c>
      <c r="G4296">
        <f t="shared" ca="1" si="137"/>
        <v>0</v>
      </c>
    </row>
    <row r="4297" spans="1:7">
      <c r="A4297">
        <v>4656</v>
      </c>
      <c r="B4297" t="s">
        <v>32</v>
      </c>
      <c r="C4297" t="s">
        <v>128</v>
      </c>
      <c r="D4297" s="9">
        <v>40934.780532407407</v>
      </c>
      <c r="E4297" t="s">
        <v>20</v>
      </c>
      <c r="F4297">
        <f t="shared" ca="1" si="136"/>
        <v>3.0083333333333333</v>
      </c>
      <c r="G4297">
        <f t="shared" ca="1" si="137"/>
        <v>0</v>
      </c>
    </row>
    <row r="4298" spans="1:7">
      <c r="A4298">
        <v>4657</v>
      </c>
      <c r="B4298" t="s">
        <v>54</v>
      </c>
      <c r="C4298" t="s">
        <v>127</v>
      </c>
      <c r="D4298" s="9">
        <v>41030.721296296295</v>
      </c>
      <c r="E4298" t="s">
        <v>32</v>
      </c>
      <c r="F4298">
        <f t="shared" ca="1" si="136"/>
        <v>2.7444444444444445</v>
      </c>
      <c r="G4298">
        <f t="shared" ca="1" si="137"/>
        <v>0</v>
      </c>
    </row>
    <row r="4299" spans="1:7">
      <c r="A4299">
        <v>4658</v>
      </c>
      <c r="B4299" t="s">
        <v>19</v>
      </c>
      <c r="C4299" t="s">
        <v>128</v>
      </c>
      <c r="D4299" s="9">
        <v>41712.407581018517</v>
      </c>
      <c r="E4299" t="s">
        <v>11</v>
      </c>
      <c r="F4299">
        <f t="shared" ca="1" si="136"/>
        <v>0.875</v>
      </c>
      <c r="G4299">
        <f t="shared" ca="1" si="137"/>
        <v>1</v>
      </c>
    </row>
    <row r="4300" spans="1:7">
      <c r="A4300">
        <v>4661</v>
      </c>
      <c r="B4300" t="s">
        <v>32</v>
      </c>
      <c r="C4300" t="s">
        <v>128</v>
      </c>
      <c r="D4300" s="9">
        <v>40935.707395833335</v>
      </c>
      <c r="E4300" t="s">
        <v>21</v>
      </c>
      <c r="F4300">
        <f t="shared" ca="1" si="136"/>
        <v>3.0055555555555555</v>
      </c>
      <c r="G4300">
        <f t="shared" ca="1" si="137"/>
        <v>0</v>
      </c>
    </row>
    <row r="4301" spans="1:7">
      <c r="A4301">
        <v>4664</v>
      </c>
      <c r="B4301" t="s">
        <v>143</v>
      </c>
      <c r="C4301" t="s">
        <v>128</v>
      </c>
      <c r="D4301" s="9">
        <v>40941.708032407405</v>
      </c>
      <c r="E4301" t="s">
        <v>38</v>
      </c>
      <c r="F4301">
        <f t="shared" ca="1" si="136"/>
        <v>2.9916666666666667</v>
      </c>
      <c r="G4301">
        <f t="shared" ca="1" si="137"/>
        <v>0</v>
      </c>
    </row>
    <row r="4302" spans="1:7">
      <c r="A4302">
        <v>4666</v>
      </c>
      <c r="B4302" t="s">
        <v>99</v>
      </c>
      <c r="C4302" t="s">
        <v>127</v>
      </c>
      <c r="D4302" s="9">
        <v>41031.620057870372</v>
      </c>
      <c r="E4302" t="s">
        <v>19</v>
      </c>
      <c r="F4302">
        <f t="shared" ca="1" si="136"/>
        <v>2.7416666666666667</v>
      </c>
      <c r="G4302">
        <f t="shared" ca="1" si="137"/>
        <v>0</v>
      </c>
    </row>
    <row r="4303" spans="1:7">
      <c r="A4303">
        <v>4668</v>
      </c>
      <c r="B4303" t="s">
        <v>27</v>
      </c>
      <c r="C4303" t="s">
        <v>126</v>
      </c>
      <c r="D4303" s="9">
        <v>41128.539560185185</v>
      </c>
      <c r="E4303" t="s">
        <v>19</v>
      </c>
      <c r="F4303">
        <f t="shared" ca="1" si="136"/>
        <v>2.4777777777777779</v>
      </c>
      <c r="G4303">
        <f t="shared" ca="1" si="137"/>
        <v>0</v>
      </c>
    </row>
    <row r="4304" spans="1:7">
      <c r="A4304">
        <v>4674</v>
      </c>
      <c r="B4304" t="s">
        <v>17</v>
      </c>
      <c r="C4304" t="s">
        <v>120</v>
      </c>
      <c r="D4304" s="9">
        <v>41527.618935185186</v>
      </c>
      <c r="E4304" t="s">
        <v>11</v>
      </c>
      <c r="F4304">
        <f t="shared" ca="1" si="136"/>
        <v>1.3861111111111111</v>
      </c>
      <c r="G4304">
        <f t="shared" ca="1" si="137"/>
        <v>0</v>
      </c>
    </row>
    <row r="4305" spans="1:7">
      <c r="A4305">
        <v>4675</v>
      </c>
      <c r="B4305" t="s">
        <v>143</v>
      </c>
      <c r="C4305" t="s">
        <v>128</v>
      </c>
      <c r="D4305" s="9">
        <v>40941.707048611112</v>
      </c>
      <c r="E4305" t="s">
        <v>38</v>
      </c>
      <c r="F4305">
        <f t="shared" ca="1" si="136"/>
        <v>2.9916666666666667</v>
      </c>
      <c r="G4305">
        <f t="shared" ca="1" si="137"/>
        <v>0</v>
      </c>
    </row>
    <row r="4306" spans="1:7">
      <c r="A4306">
        <v>4677</v>
      </c>
      <c r="B4306" t="s">
        <v>32</v>
      </c>
      <c r="C4306" t="s">
        <v>127</v>
      </c>
      <c r="D4306" s="9">
        <v>41033.703344907408</v>
      </c>
      <c r="E4306" t="s">
        <v>99</v>
      </c>
      <c r="F4306">
        <f t="shared" ca="1" si="136"/>
        <v>2.7361111111111112</v>
      </c>
      <c r="G4306">
        <f t="shared" ca="1" si="137"/>
        <v>0</v>
      </c>
    </row>
    <row r="4307" spans="1:7">
      <c r="A4307">
        <v>4678</v>
      </c>
      <c r="B4307" t="s">
        <v>20</v>
      </c>
      <c r="C4307" t="s">
        <v>128</v>
      </c>
      <c r="D4307" s="9">
        <v>40940.650370370371</v>
      </c>
      <c r="E4307" t="s">
        <v>38</v>
      </c>
      <c r="F4307">
        <f t="shared" ca="1" si="136"/>
        <v>2.9944444444444445</v>
      </c>
      <c r="G4307">
        <f t="shared" ca="1" si="137"/>
        <v>0</v>
      </c>
    </row>
    <row r="4308" spans="1:7">
      <c r="A4308">
        <v>4681</v>
      </c>
      <c r="B4308" t="s">
        <v>112</v>
      </c>
      <c r="C4308" t="s">
        <v>128</v>
      </c>
      <c r="D4308" s="9">
        <v>40939.778969907406</v>
      </c>
      <c r="E4308" t="s">
        <v>11</v>
      </c>
      <c r="F4308">
        <f t="shared" ca="1" si="136"/>
        <v>2.9972222222222222</v>
      </c>
      <c r="G4308">
        <f t="shared" ca="1" si="137"/>
        <v>0</v>
      </c>
    </row>
    <row r="4309" spans="1:7">
      <c r="A4309">
        <v>4682</v>
      </c>
      <c r="B4309" t="s">
        <v>34</v>
      </c>
      <c r="C4309" t="s">
        <v>128</v>
      </c>
      <c r="D4309" s="9">
        <v>40940.716307870367</v>
      </c>
      <c r="E4309" t="s">
        <v>38</v>
      </c>
      <c r="F4309">
        <f t="shared" ca="1" si="136"/>
        <v>2.9944444444444445</v>
      </c>
      <c r="G4309">
        <f t="shared" ca="1" si="137"/>
        <v>0</v>
      </c>
    </row>
    <row r="4310" spans="1:7">
      <c r="A4310">
        <v>4684</v>
      </c>
      <c r="B4310" t="s">
        <v>20</v>
      </c>
      <c r="C4310" t="s">
        <v>128</v>
      </c>
      <c r="D4310" s="9">
        <v>40938.641712962963</v>
      </c>
      <c r="E4310" t="s">
        <v>99</v>
      </c>
      <c r="F4310">
        <f t="shared" ca="1" si="136"/>
        <v>2.9972222222222222</v>
      </c>
      <c r="G4310">
        <f t="shared" ca="1" si="137"/>
        <v>0</v>
      </c>
    </row>
    <row r="4311" spans="1:7">
      <c r="A4311">
        <v>4685</v>
      </c>
      <c r="B4311" t="s">
        <v>143</v>
      </c>
      <c r="C4311" t="s">
        <v>128</v>
      </c>
      <c r="D4311" s="9">
        <v>40938.830497685187</v>
      </c>
      <c r="E4311" t="s">
        <v>36</v>
      </c>
      <c r="F4311">
        <f t="shared" ca="1" si="136"/>
        <v>2.9972222222222222</v>
      </c>
      <c r="G4311">
        <f t="shared" ca="1" si="137"/>
        <v>0</v>
      </c>
    </row>
    <row r="4312" spans="1:7">
      <c r="A4312">
        <v>4686</v>
      </c>
      <c r="B4312" t="s">
        <v>34</v>
      </c>
      <c r="C4312" t="s">
        <v>128</v>
      </c>
      <c r="D4312" s="9">
        <v>40939.76766203704</v>
      </c>
      <c r="E4312" t="s">
        <v>11</v>
      </c>
      <c r="F4312">
        <f t="shared" ca="1" si="136"/>
        <v>2.9972222222222222</v>
      </c>
      <c r="G4312">
        <f t="shared" ca="1" si="137"/>
        <v>0</v>
      </c>
    </row>
    <row r="4313" spans="1:7">
      <c r="A4313">
        <v>4687</v>
      </c>
      <c r="B4313" t="s">
        <v>143</v>
      </c>
      <c r="C4313" t="s">
        <v>128</v>
      </c>
      <c r="D4313" s="9">
        <v>40941.698518518519</v>
      </c>
      <c r="E4313" t="s">
        <v>38</v>
      </c>
      <c r="F4313">
        <f t="shared" ca="1" si="136"/>
        <v>2.9916666666666667</v>
      </c>
      <c r="G4313">
        <f t="shared" ca="1" si="137"/>
        <v>0</v>
      </c>
    </row>
    <row r="4314" spans="1:7">
      <c r="A4314">
        <v>4689</v>
      </c>
      <c r="B4314" t="s">
        <v>8</v>
      </c>
      <c r="C4314" t="s">
        <v>128</v>
      </c>
      <c r="D4314" s="9">
        <v>40940.644074074073</v>
      </c>
      <c r="E4314" t="s">
        <v>38</v>
      </c>
      <c r="F4314">
        <f t="shared" ca="1" si="136"/>
        <v>2.9944444444444445</v>
      </c>
      <c r="G4314">
        <f t="shared" ca="1" si="137"/>
        <v>0</v>
      </c>
    </row>
    <row r="4315" spans="1:7">
      <c r="A4315">
        <v>4691</v>
      </c>
      <c r="B4315" t="s">
        <v>143</v>
      </c>
      <c r="C4315" t="s">
        <v>128</v>
      </c>
      <c r="D4315" s="9">
        <v>40941.703784722224</v>
      </c>
      <c r="E4315" t="s">
        <v>38</v>
      </c>
      <c r="F4315">
        <f t="shared" ca="1" si="136"/>
        <v>2.9916666666666667</v>
      </c>
      <c r="G4315">
        <f t="shared" ca="1" si="137"/>
        <v>0</v>
      </c>
    </row>
    <row r="4316" spans="1:7">
      <c r="A4316">
        <v>4693</v>
      </c>
      <c r="B4316" t="s">
        <v>32</v>
      </c>
      <c r="C4316" t="s">
        <v>121</v>
      </c>
      <c r="D4316" s="9">
        <v>41480.458912037036</v>
      </c>
      <c r="E4316" t="s">
        <v>20</v>
      </c>
      <c r="F4316">
        <f t="shared" ca="1" si="136"/>
        <v>1.5111111111111111</v>
      </c>
      <c r="G4316">
        <f t="shared" ca="1" si="137"/>
        <v>0</v>
      </c>
    </row>
    <row r="4317" spans="1:7">
      <c r="A4317">
        <v>4694</v>
      </c>
      <c r="B4317" t="s">
        <v>38</v>
      </c>
      <c r="C4317" t="s">
        <v>128</v>
      </c>
      <c r="D4317" s="9">
        <v>40940.380347222221</v>
      </c>
      <c r="E4317" t="s">
        <v>37</v>
      </c>
      <c r="F4317">
        <f t="shared" ca="1" si="136"/>
        <v>2.9944444444444445</v>
      </c>
      <c r="G4317">
        <f t="shared" ca="1" si="137"/>
        <v>0</v>
      </c>
    </row>
    <row r="4318" spans="1:7">
      <c r="A4318">
        <v>4695</v>
      </c>
      <c r="B4318" t="s">
        <v>34</v>
      </c>
      <c r="C4318" t="s">
        <v>128</v>
      </c>
      <c r="D4318" s="9">
        <v>40940.667210648149</v>
      </c>
      <c r="E4318" t="s">
        <v>19</v>
      </c>
      <c r="F4318">
        <f t="shared" ca="1" si="136"/>
        <v>2.9944444444444445</v>
      </c>
      <c r="G4318">
        <f t="shared" ca="1" si="137"/>
        <v>0</v>
      </c>
    </row>
    <row r="4319" spans="1:7">
      <c r="A4319">
        <v>4698</v>
      </c>
      <c r="B4319" t="s">
        <v>143</v>
      </c>
      <c r="C4319" t="s">
        <v>128</v>
      </c>
      <c r="D4319" s="9">
        <v>40981.798854166664</v>
      </c>
      <c r="E4319" t="s">
        <v>38</v>
      </c>
      <c r="F4319">
        <f t="shared" ca="1" si="136"/>
        <v>2.8777777777777778</v>
      </c>
      <c r="G4319">
        <f t="shared" ca="1" si="137"/>
        <v>0</v>
      </c>
    </row>
    <row r="4320" spans="1:7">
      <c r="A4320">
        <v>4699</v>
      </c>
      <c r="B4320" t="s">
        <v>143</v>
      </c>
      <c r="C4320" t="s">
        <v>128</v>
      </c>
      <c r="D4320" s="9">
        <v>40940.795243055552</v>
      </c>
      <c r="E4320" t="s">
        <v>38</v>
      </c>
      <c r="F4320">
        <f t="shared" ca="1" si="136"/>
        <v>2.9944444444444445</v>
      </c>
      <c r="G4320">
        <f t="shared" ca="1" si="137"/>
        <v>0</v>
      </c>
    </row>
    <row r="4321" spans="1:7">
      <c r="A4321">
        <v>4700</v>
      </c>
      <c r="B4321" t="s">
        <v>8</v>
      </c>
      <c r="C4321" t="s">
        <v>128</v>
      </c>
      <c r="D4321" s="9">
        <v>40940.703784722224</v>
      </c>
      <c r="E4321" t="s">
        <v>36</v>
      </c>
      <c r="F4321">
        <f t="shared" ca="1" si="136"/>
        <v>2.9944444444444445</v>
      </c>
      <c r="G4321">
        <f t="shared" ca="1" si="137"/>
        <v>0</v>
      </c>
    </row>
    <row r="4322" spans="1:7">
      <c r="A4322">
        <v>4703</v>
      </c>
      <c r="B4322" t="s">
        <v>99</v>
      </c>
      <c r="C4322" t="s">
        <v>128</v>
      </c>
      <c r="D4322" s="9">
        <v>40942.627013888887</v>
      </c>
      <c r="F4322">
        <f t="shared" ca="1" si="136"/>
        <v>2.9888888888888889</v>
      </c>
      <c r="G4322">
        <f t="shared" ca="1" si="137"/>
        <v>0</v>
      </c>
    </row>
    <row r="4323" spans="1:7">
      <c r="A4323">
        <v>4704</v>
      </c>
      <c r="B4323" t="s">
        <v>99</v>
      </c>
      <c r="C4323" t="s">
        <v>127</v>
      </c>
      <c r="D4323" s="9">
        <v>41029.868171296293</v>
      </c>
      <c r="E4323" t="s">
        <v>38</v>
      </c>
      <c r="F4323">
        <f t="shared" ca="1" si="136"/>
        <v>2.7472222222222222</v>
      </c>
      <c r="G4323">
        <f t="shared" ca="1" si="137"/>
        <v>0</v>
      </c>
    </row>
    <row r="4324" spans="1:7">
      <c r="A4324">
        <v>4705</v>
      </c>
      <c r="B4324" t="s">
        <v>37</v>
      </c>
      <c r="C4324" t="s">
        <v>128</v>
      </c>
      <c r="D4324" s="9">
        <v>40942.62699074074</v>
      </c>
      <c r="E4324" t="s">
        <v>38</v>
      </c>
      <c r="F4324">
        <f t="shared" ca="1" si="136"/>
        <v>2.9888888888888889</v>
      </c>
      <c r="G4324">
        <f t="shared" ca="1" si="137"/>
        <v>0</v>
      </c>
    </row>
    <row r="4325" spans="1:7">
      <c r="A4325">
        <v>4706</v>
      </c>
      <c r="B4325" t="s">
        <v>8</v>
      </c>
      <c r="C4325" t="s">
        <v>128</v>
      </c>
      <c r="D4325" s="9">
        <v>40940.717951388891</v>
      </c>
      <c r="E4325" t="s">
        <v>38</v>
      </c>
      <c r="F4325">
        <f t="shared" ca="1" si="136"/>
        <v>2.9944444444444445</v>
      </c>
      <c r="G4325">
        <f t="shared" ca="1" si="137"/>
        <v>0</v>
      </c>
    </row>
    <row r="4326" spans="1:7">
      <c r="A4326">
        <v>4707</v>
      </c>
      <c r="B4326" t="s">
        <v>37</v>
      </c>
      <c r="C4326" t="s">
        <v>128</v>
      </c>
      <c r="D4326" s="9">
        <v>40940.756504629629</v>
      </c>
      <c r="E4326" t="s">
        <v>38</v>
      </c>
      <c r="F4326">
        <f t="shared" ca="1" si="136"/>
        <v>2.9944444444444445</v>
      </c>
      <c r="G4326">
        <f t="shared" ca="1" si="137"/>
        <v>0</v>
      </c>
    </row>
    <row r="4327" spans="1:7">
      <c r="A4327">
        <v>4708</v>
      </c>
      <c r="B4327" t="s">
        <v>36</v>
      </c>
      <c r="C4327" t="s">
        <v>128</v>
      </c>
      <c r="D4327" s="9">
        <v>40940.760335648149</v>
      </c>
      <c r="E4327" t="s">
        <v>38</v>
      </c>
      <c r="F4327">
        <f t="shared" ca="1" si="136"/>
        <v>2.9944444444444445</v>
      </c>
      <c r="G4327">
        <f t="shared" ca="1" si="137"/>
        <v>0</v>
      </c>
    </row>
    <row r="4328" spans="1:7">
      <c r="A4328">
        <v>4711</v>
      </c>
      <c r="B4328" t="s">
        <v>20</v>
      </c>
      <c r="C4328" t="s">
        <v>127</v>
      </c>
      <c r="D4328" s="9">
        <v>41029.836458333331</v>
      </c>
      <c r="E4328" t="s">
        <v>43</v>
      </c>
      <c r="F4328">
        <f t="shared" ca="1" si="136"/>
        <v>2.7472222222222222</v>
      </c>
      <c r="G4328">
        <f t="shared" ca="1" si="137"/>
        <v>0</v>
      </c>
    </row>
    <row r="4329" spans="1:7">
      <c r="A4329">
        <v>4713</v>
      </c>
      <c r="B4329" t="s">
        <v>32</v>
      </c>
      <c r="C4329" t="s">
        <v>127</v>
      </c>
      <c r="D4329" s="9">
        <v>41029.697314814817</v>
      </c>
      <c r="E4329" t="s">
        <v>99</v>
      </c>
      <c r="F4329">
        <f t="shared" ca="1" si="136"/>
        <v>2.7472222222222222</v>
      </c>
      <c r="G4329">
        <f t="shared" ca="1" si="137"/>
        <v>0</v>
      </c>
    </row>
    <row r="4330" spans="1:7">
      <c r="A4330">
        <v>4715</v>
      </c>
      <c r="B4330" t="s">
        <v>8</v>
      </c>
      <c r="C4330" t="s">
        <v>128</v>
      </c>
      <c r="D4330" s="9">
        <v>40940.915775462963</v>
      </c>
      <c r="E4330" t="s">
        <v>36</v>
      </c>
      <c r="F4330">
        <f t="shared" ca="1" si="136"/>
        <v>2.9944444444444445</v>
      </c>
      <c r="G4330">
        <f t="shared" ca="1" si="137"/>
        <v>0</v>
      </c>
    </row>
    <row r="4331" spans="1:7">
      <c r="A4331">
        <v>4716</v>
      </c>
      <c r="B4331" t="s">
        <v>99</v>
      </c>
      <c r="C4331" t="s">
        <v>128</v>
      </c>
      <c r="D4331" s="9">
        <v>40942.627083333333</v>
      </c>
      <c r="E4331" t="s">
        <v>38</v>
      </c>
      <c r="F4331">
        <f t="shared" ca="1" si="136"/>
        <v>2.9888888888888889</v>
      </c>
      <c r="G4331">
        <f t="shared" ca="1" si="137"/>
        <v>0</v>
      </c>
    </row>
    <row r="4332" spans="1:7">
      <c r="A4332">
        <v>4720</v>
      </c>
      <c r="B4332" t="s">
        <v>99</v>
      </c>
      <c r="C4332" t="s">
        <v>127</v>
      </c>
      <c r="D4332" s="9">
        <v>41030.642870370371</v>
      </c>
      <c r="E4332" t="s">
        <v>111</v>
      </c>
      <c r="F4332">
        <f t="shared" ca="1" si="136"/>
        <v>2.7444444444444445</v>
      </c>
      <c r="G4332">
        <f t="shared" ca="1" si="137"/>
        <v>0</v>
      </c>
    </row>
    <row r="4333" spans="1:7">
      <c r="A4333">
        <v>4721</v>
      </c>
      <c r="B4333" t="s">
        <v>143</v>
      </c>
      <c r="C4333" t="s">
        <v>128</v>
      </c>
      <c r="D4333" s="9">
        <v>40941.580821759257</v>
      </c>
      <c r="E4333" t="s">
        <v>34</v>
      </c>
      <c r="F4333">
        <f t="shared" ca="1" si="136"/>
        <v>2.9916666666666667</v>
      </c>
      <c r="G4333">
        <f t="shared" ca="1" si="137"/>
        <v>0</v>
      </c>
    </row>
    <row r="4334" spans="1:7">
      <c r="A4334">
        <v>4722</v>
      </c>
      <c r="B4334" t="s">
        <v>37</v>
      </c>
      <c r="C4334" t="s">
        <v>128</v>
      </c>
      <c r="D4334" s="9">
        <v>40942.62699074074</v>
      </c>
      <c r="E4334" t="s">
        <v>38</v>
      </c>
      <c r="F4334">
        <f t="shared" ca="1" si="136"/>
        <v>2.9888888888888889</v>
      </c>
      <c r="G4334">
        <f t="shared" ca="1" si="137"/>
        <v>0</v>
      </c>
    </row>
    <row r="4335" spans="1:7">
      <c r="A4335">
        <v>4723</v>
      </c>
      <c r="B4335" t="s">
        <v>8</v>
      </c>
      <c r="C4335" t="s">
        <v>128</v>
      </c>
      <c r="D4335" s="9">
        <v>40941.700879629629</v>
      </c>
      <c r="E4335" t="s">
        <v>38</v>
      </c>
      <c r="F4335">
        <f t="shared" ca="1" si="136"/>
        <v>2.9916666666666667</v>
      </c>
      <c r="G4335">
        <f t="shared" ca="1" si="137"/>
        <v>0</v>
      </c>
    </row>
    <row r="4336" spans="1:7">
      <c r="A4336">
        <v>4726</v>
      </c>
      <c r="B4336" t="s">
        <v>143</v>
      </c>
      <c r="C4336" t="s">
        <v>127</v>
      </c>
      <c r="D4336" s="9">
        <v>41033.70385416667</v>
      </c>
      <c r="E4336" t="s">
        <v>44</v>
      </c>
      <c r="F4336">
        <f t="shared" ca="1" si="136"/>
        <v>2.7361111111111112</v>
      </c>
      <c r="G4336">
        <f t="shared" ca="1" si="137"/>
        <v>0</v>
      </c>
    </row>
    <row r="4337" spans="1:7">
      <c r="A4337">
        <v>4727</v>
      </c>
      <c r="B4337" t="s">
        <v>8</v>
      </c>
      <c r="C4337" t="s">
        <v>127</v>
      </c>
      <c r="D4337" s="9">
        <v>41135.823240740741</v>
      </c>
      <c r="E4337" t="s">
        <v>44</v>
      </c>
      <c r="F4337">
        <f t="shared" ca="1" si="136"/>
        <v>2.4583333333333335</v>
      </c>
      <c r="G4337">
        <f t="shared" ca="1" si="137"/>
        <v>0</v>
      </c>
    </row>
    <row r="4338" spans="1:7">
      <c r="A4338">
        <v>4729</v>
      </c>
      <c r="B4338" t="s">
        <v>99</v>
      </c>
      <c r="C4338" t="s">
        <v>127</v>
      </c>
      <c r="D4338" s="9">
        <v>41030.457615740743</v>
      </c>
      <c r="E4338" t="s">
        <v>19</v>
      </c>
      <c r="F4338">
        <f t="shared" ca="1" si="136"/>
        <v>2.7444444444444445</v>
      </c>
      <c r="G4338">
        <f t="shared" ca="1" si="137"/>
        <v>0</v>
      </c>
    </row>
    <row r="4339" spans="1:7">
      <c r="A4339">
        <v>4731</v>
      </c>
      <c r="B4339" t="s">
        <v>8</v>
      </c>
      <c r="C4339" t="s">
        <v>128</v>
      </c>
      <c r="D4339" s="9">
        <v>40942.62709490741</v>
      </c>
      <c r="F4339">
        <f t="shared" ca="1" si="136"/>
        <v>2.9888888888888889</v>
      </c>
      <c r="G4339">
        <f t="shared" ca="1" si="137"/>
        <v>0</v>
      </c>
    </row>
    <row r="4340" spans="1:7">
      <c r="A4340">
        <v>4733</v>
      </c>
      <c r="B4340" t="s">
        <v>99</v>
      </c>
      <c r="C4340" t="s">
        <v>127</v>
      </c>
      <c r="D4340" s="9">
        <v>41029.672847222224</v>
      </c>
      <c r="E4340" t="s">
        <v>19</v>
      </c>
      <c r="F4340">
        <f t="shared" ca="1" si="136"/>
        <v>2.7472222222222222</v>
      </c>
      <c r="G4340">
        <f t="shared" ca="1" si="137"/>
        <v>0</v>
      </c>
    </row>
    <row r="4341" spans="1:7">
      <c r="A4341">
        <v>4735</v>
      </c>
      <c r="B4341" t="s">
        <v>21</v>
      </c>
      <c r="C4341" t="s">
        <v>127</v>
      </c>
      <c r="D4341" s="9">
        <v>41030.861388888887</v>
      </c>
      <c r="E4341" t="s">
        <v>32</v>
      </c>
      <c r="F4341">
        <f t="shared" ca="1" si="136"/>
        <v>2.7444444444444445</v>
      </c>
      <c r="G4341">
        <f t="shared" ca="1" si="137"/>
        <v>0</v>
      </c>
    </row>
    <row r="4342" spans="1:7">
      <c r="A4342">
        <v>4737</v>
      </c>
      <c r="B4342" t="s">
        <v>21</v>
      </c>
      <c r="C4342" t="s">
        <v>126</v>
      </c>
      <c r="D4342" s="9">
        <v>41130.776817129627</v>
      </c>
      <c r="E4342" t="s">
        <v>11</v>
      </c>
      <c r="F4342">
        <f t="shared" ca="1" si="136"/>
        <v>2.4722222222222223</v>
      </c>
      <c r="G4342">
        <f t="shared" ca="1" si="137"/>
        <v>0</v>
      </c>
    </row>
    <row r="4343" spans="1:7">
      <c r="A4343">
        <v>4738</v>
      </c>
      <c r="B4343" t="s">
        <v>21</v>
      </c>
      <c r="C4343" t="s">
        <v>127</v>
      </c>
      <c r="D4343" s="9">
        <v>41030.626215277778</v>
      </c>
      <c r="E4343" t="s">
        <v>34</v>
      </c>
      <c r="F4343">
        <f t="shared" ca="1" si="136"/>
        <v>2.7444444444444445</v>
      </c>
      <c r="G4343">
        <f t="shared" ca="1" si="137"/>
        <v>0</v>
      </c>
    </row>
    <row r="4344" spans="1:7">
      <c r="A4344">
        <v>4740</v>
      </c>
      <c r="B4344" t="s">
        <v>27</v>
      </c>
      <c r="C4344" t="s">
        <v>127</v>
      </c>
      <c r="D4344" s="9">
        <v>41029.595486111109</v>
      </c>
      <c r="E4344" t="s">
        <v>19</v>
      </c>
      <c r="F4344">
        <f t="shared" ca="1" si="136"/>
        <v>2.7472222222222222</v>
      </c>
      <c r="G4344">
        <f t="shared" ca="1" si="137"/>
        <v>0</v>
      </c>
    </row>
    <row r="4345" spans="1:7">
      <c r="A4345">
        <v>4744</v>
      </c>
      <c r="B4345" t="s">
        <v>19</v>
      </c>
      <c r="C4345" t="s">
        <v>127</v>
      </c>
      <c r="D4345" s="9">
        <v>41029.835023148145</v>
      </c>
      <c r="E4345" t="s">
        <v>38</v>
      </c>
      <c r="F4345">
        <f t="shared" ca="1" si="136"/>
        <v>2.7472222222222222</v>
      </c>
      <c r="G4345">
        <f t="shared" ca="1" si="137"/>
        <v>0</v>
      </c>
    </row>
    <row r="4346" spans="1:7">
      <c r="A4346">
        <v>4746</v>
      </c>
      <c r="B4346" t="s">
        <v>19</v>
      </c>
      <c r="C4346" t="s">
        <v>127</v>
      </c>
      <c r="D4346" s="9">
        <v>41029.683206018519</v>
      </c>
      <c r="E4346" t="s">
        <v>27</v>
      </c>
      <c r="F4346">
        <f t="shared" ca="1" si="136"/>
        <v>2.7472222222222222</v>
      </c>
      <c r="G4346">
        <f t="shared" ca="1" si="137"/>
        <v>0</v>
      </c>
    </row>
    <row r="4347" spans="1:7">
      <c r="A4347">
        <v>4750</v>
      </c>
      <c r="B4347" t="s">
        <v>19</v>
      </c>
      <c r="C4347" t="s">
        <v>127</v>
      </c>
      <c r="D4347" s="9">
        <v>41029.897743055553</v>
      </c>
      <c r="E4347" t="s">
        <v>27</v>
      </c>
      <c r="F4347">
        <f t="shared" ca="1" si="136"/>
        <v>2.7472222222222222</v>
      </c>
      <c r="G4347">
        <f t="shared" ca="1" si="137"/>
        <v>0</v>
      </c>
    </row>
    <row r="4348" spans="1:7">
      <c r="A4348">
        <v>4751</v>
      </c>
      <c r="B4348" t="s">
        <v>19</v>
      </c>
      <c r="C4348" t="s">
        <v>127</v>
      </c>
      <c r="D4348" s="9">
        <v>41029.850219907406</v>
      </c>
      <c r="E4348" t="s">
        <v>27</v>
      </c>
      <c r="F4348">
        <f t="shared" ca="1" si="136"/>
        <v>2.7472222222222222</v>
      </c>
      <c r="G4348">
        <f t="shared" ca="1" si="137"/>
        <v>0</v>
      </c>
    </row>
    <row r="4349" spans="1:7">
      <c r="A4349">
        <v>4753</v>
      </c>
      <c r="B4349" t="s">
        <v>32</v>
      </c>
      <c r="C4349" t="s">
        <v>127</v>
      </c>
      <c r="D4349" s="9">
        <v>41029.702094907407</v>
      </c>
      <c r="E4349" t="s">
        <v>99</v>
      </c>
      <c r="F4349">
        <f t="shared" ca="1" si="136"/>
        <v>2.7472222222222222</v>
      </c>
      <c r="G4349">
        <f t="shared" ca="1" si="137"/>
        <v>0</v>
      </c>
    </row>
    <row r="4350" spans="1:7">
      <c r="A4350">
        <v>4756</v>
      </c>
      <c r="B4350" t="s">
        <v>21</v>
      </c>
      <c r="C4350" t="s">
        <v>127</v>
      </c>
      <c r="D4350" s="9">
        <v>41030.605543981481</v>
      </c>
      <c r="E4350" t="s">
        <v>37</v>
      </c>
      <c r="F4350">
        <f t="shared" ca="1" si="136"/>
        <v>2.7444444444444445</v>
      </c>
      <c r="G4350">
        <f t="shared" ca="1" si="137"/>
        <v>0</v>
      </c>
    </row>
    <row r="4351" spans="1:7">
      <c r="A4351">
        <v>4757</v>
      </c>
      <c r="B4351" t="s">
        <v>21</v>
      </c>
      <c r="C4351" t="s">
        <v>127</v>
      </c>
      <c r="D4351" s="9">
        <v>41029.860590277778</v>
      </c>
      <c r="E4351" t="s">
        <v>38</v>
      </c>
      <c r="F4351">
        <f t="shared" ca="1" si="136"/>
        <v>2.7472222222222222</v>
      </c>
      <c r="G4351">
        <f t="shared" ca="1" si="137"/>
        <v>0</v>
      </c>
    </row>
    <row r="4352" spans="1:7">
      <c r="A4352">
        <v>4758</v>
      </c>
      <c r="B4352" t="s">
        <v>21</v>
      </c>
      <c r="C4352" t="s">
        <v>127</v>
      </c>
      <c r="D4352" s="9">
        <v>41033.501597222225</v>
      </c>
      <c r="E4352" t="s">
        <v>34</v>
      </c>
      <c r="F4352">
        <f t="shared" ca="1" si="136"/>
        <v>2.7361111111111112</v>
      </c>
      <c r="G4352">
        <f t="shared" ca="1" si="137"/>
        <v>0</v>
      </c>
    </row>
    <row r="4353" spans="1:7">
      <c r="A4353">
        <v>4760</v>
      </c>
      <c r="B4353" t="s">
        <v>32</v>
      </c>
      <c r="C4353" t="s">
        <v>127</v>
      </c>
      <c r="D4353" s="9">
        <v>41031.63076388889</v>
      </c>
      <c r="E4353" t="s">
        <v>64</v>
      </c>
      <c r="F4353">
        <f t="shared" ca="1" si="136"/>
        <v>2.7416666666666667</v>
      </c>
      <c r="G4353">
        <f t="shared" ca="1" si="137"/>
        <v>0</v>
      </c>
    </row>
    <row r="4354" spans="1:7">
      <c r="A4354">
        <v>4761</v>
      </c>
      <c r="B4354" t="s">
        <v>111</v>
      </c>
      <c r="C4354" t="s">
        <v>127</v>
      </c>
      <c r="D4354" s="9">
        <v>41029.839641203704</v>
      </c>
      <c r="E4354" t="s">
        <v>43</v>
      </c>
      <c r="F4354">
        <f t="shared" ca="1" si="136"/>
        <v>2.7472222222222222</v>
      </c>
      <c r="G4354">
        <f t="shared" ca="1" si="137"/>
        <v>0</v>
      </c>
    </row>
    <row r="4355" spans="1:7">
      <c r="A4355">
        <v>4762</v>
      </c>
      <c r="B4355" t="s">
        <v>111</v>
      </c>
      <c r="C4355" t="s">
        <v>127</v>
      </c>
      <c r="D4355" s="9">
        <v>41029.840821759259</v>
      </c>
      <c r="E4355" t="s">
        <v>43</v>
      </c>
      <c r="F4355">
        <f t="shared" ca="1" si="136"/>
        <v>2.7472222222222222</v>
      </c>
      <c r="G4355">
        <f t="shared" ca="1" si="137"/>
        <v>0</v>
      </c>
    </row>
    <row r="4356" spans="1:7">
      <c r="A4356">
        <v>4763</v>
      </c>
      <c r="B4356" t="s">
        <v>11</v>
      </c>
      <c r="C4356" t="s">
        <v>127</v>
      </c>
      <c r="D4356" s="9">
        <v>41030.793738425928</v>
      </c>
      <c r="E4356" t="s">
        <v>27</v>
      </c>
      <c r="F4356">
        <f t="shared" ca="1" si="136"/>
        <v>2.7444444444444445</v>
      </c>
      <c r="G4356">
        <f t="shared" ca="1" si="137"/>
        <v>0</v>
      </c>
    </row>
    <row r="4357" spans="1:7">
      <c r="A4357">
        <v>4766</v>
      </c>
      <c r="B4357" t="s">
        <v>36</v>
      </c>
      <c r="C4357" t="s">
        <v>127</v>
      </c>
      <c r="D4357" s="9">
        <v>41031.863900462966</v>
      </c>
      <c r="E4357" t="s">
        <v>27</v>
      </c>
      <c r="F4357">
        <f t="shared" ca="1" si="136"/>
        <v>2.7416666666666667</v>
      </c>
      <c r="G4357">
        <f t="shared" ca="1" si="137"/>
        <v>0</v>
      </c>
    </row>
    <row r="4358" spans="1:7">
      <c r="A4358">
        <v>4768</v>
      </c>
      <c r="B4358" t="s">
        <v>8</v>
      </c>
      <c r="C4358" t="s">
        <v>127</v>
      </c>
      <c r="D4358" s="9">
        <v>41029.915324074071</v>
      </c>
      <c r="E4358" t="s">
        <v>38</v>
      </c>
      <c r="F4358">
        <f t="shared" ca="1" si="136"/>
        <v>2.7472222222222222</v>
      </c>
      <c r="G4358">
        <f t="shared" ca="1" si="137"/>
        <v>0</v>
      </c>
    </row>
    <row r="4359" spans="1:7">
      <c r="A4359">
        <v>4769</v>
      </c>
      <c r="B4359" t="s">
        <v>8</v>
      </c>
      <c r="C4359" t="s">
        <v>127</v>
      </c>
      <c r="D4359" s="9">
        <v>41029.017384259256</v>
      </c>
      <c r="E4359" t="s">
        <v>36</v>
      </c>
      <c r="F4359">
        <f t="shared" ref="F4359:F4422" ca="1" si="138">YEARFRAC(TODAY(),$D4359)</f>
        <v>2.7472222222222222</v>
      </c>
      <c r="G4359">
        <f t="shared" ref="G4359:G4422" ca="1" si="139">IF($F4359&lt;1,1,0)</f>
        <v>0</v>
      </c>
    </row>
    <row r="4360" spans="1:7">
      <c r="A4360">
        <v>4771</v>
      </c>
      <c r="B4360" t="s">
        <v>99</v>
      </c>
      <c r="C4360" t="s">
        <v>127</v>
      </c>
      <c r="D4360" s="9">
        <v>41030.807569444441</v>
      </c>
      <c r="E4360" t="s">
        <v>49</v>
      </c>
      <c r="F4360">
        <f t="shared" ca="1" si="138"/>
        <v>2.7444444444444445</v>
      </c>
      <c r="G4360">
        <f t="shared" ca="1" si="139"/>
        <v>0</v>
      </c>
    </row>
    <row r="4361" spans="1:7">
      <c r="A4361">
        <v>4772</v>
      </c>
      <c r="B4361" t="s">
        <v>32</v>
      </c>
      <c r="C4361" t="s">
        <v>127</v>
      </c>
      <c r="D4361" s="9">
        <v>41030.860092592593</v>
      </c>
      <c r="E4361" t="s">
        <v>21</v>
      </c>
      <c r="F4361">
        <f t="shared" ca="1" si="138"/>
        <v>2.7444444444444445</v>
      </c>
      <c r="G4361">
        <f t="shared" ca="1" si="139"/>
        <v>0</v>
      </c>
    </row>
    <row r="4362" spans="1:7">
      <c r="A4362">
        <v>4773</v>
      </c>
      <c r="B4362" t="s">
        <v>20</v>
      </c>
      <c r="C4362" t="s">
        <v>127</v>
      </c>
      <c r="D4362" s="9">
        <v>41030.605162037034</v>
      </c>
      <c r="E4362" t="s">
        <v>32</v>
      </c>
      <c r="F4362">
        <f t="shared" ca="1" si="138"/>
        <v>2.7444444444444445</v>
      </c>
      <c r="G4362">
        <f t="shared" ca="1" si="139"/>
        <v>0</v>
      </c>
    </row>
    <row r="4363" spans="1:7">
      <c r="A4363">
        <v>4774</v>
      </c>
      <c r="B4363" t="s">
        <v>8</v>
      </c>
      <c r="C4363" t="s">
        <v>127</v>
      </c>
      <c r="D4363" s="9">
        <v>41032.722986111112</v>
      </c>
      <c r="E4363" t="s">
        <v>11</v>
      </c>
      <c r="F4363">
        <f t="shared" ca="1" si="138"/>
        <v>2.7388888888888889</v>
      </c>
      <c r="G4363">
        <f t="shared" ca="1" si="139"/>
        <v>0</v>
      </c>
    </row>
    <row r="4364" spans="1:7">
      <c r="A4364">
        <v>4775</v>
      </c>
      <c r="B4364" t="s">
        <v>99</v>
      </c>
      <c r="C4364" t="s">
        <v>127</v>
      </c>
      <c r="D4364" s="9">
        <v>41029.720960648148</v>
      </c>
      <c r="E4364" t="s">
        <v>21</v>
      </c>
      <c r="F4364">
        <f t="shared" ca="1" si="138"/>
        <v>2.7472222222222222</v>
      </c>
      <c r="G4364">
        <f t="shared" ca="1" si="139"/>
        <v>0</v>
      </c>
    </row>
    <row r="4365" spans="1:7">
      <c r="A4365">
        <v>4776</v>
      </c>
      <c r="B4365" t="s">
        <v>11</v>
      </c>
      <c r="C4365" t="s">
        <v>127</v>
      </c>
      <c r="D4365" s="9">
        <v>41029.774502314816</v>
      </c>
      <c r="E4365" t="s">
        <v>43</v>
      </c>
      <c r="F4365">
        <f t="shared" ca="1" si="138"/>
        <v>2.7472222222222222</v>
      </c>
      <c r="G4365">
        <f t="shared" ca="1" si="139"/>
        <v>0</v>
      </c>
    </row>
    <row r="4366" spans="1:7">
      <c r="A4366">
        <v>4777</v>
      </c>
      <c r="B4366" t="s">
        <v>143</v>
      </c>
      <c r="C4366" t="s">
        <v>127</v>
      </c>
      <c r="D4366" s="9">
        <v>41029.593715277777</v>
      </c>
      <c r="E4366" t="s">
        <v>44</v>
      </c>
      <c r="F4366">
        <f t="shared" ca="1" si="138"/>
        <v>2.7472222222222222</v>
      </c>
      <c r="G4366">
        <f t="shared" ca="1" si="139"/>
        <v>0</v>
      </c>
    </row>
    <row r="4367" spans="1:7">
      <c r="A4367">
        <v>4782</v>
      </c>
      <c r="B4367" t="s">
        <v>99</v>
      </c>
      <c r="C4367" t="s">
        <v>127</v>
      </c>
      <c r="D4367" s="9">
        <v>41030.419016203705</v>
      </c>
      <c r="E4367" t="s">
        <v>19</v>
      </c>
      <c r="F4367">
        <f t="shared" ca="1" si="138"/>
        <v>2.7444444444444445</v>
      </c>
      <c r="G4367">
        <f t="shared" ca="1" si="139"/>
        <v>0</v>
      </c>
    </row>
    <row r="4368" spans="1:7">
      <c r="A4368">
        <v>4783</v>
      </c>
      <c r="B4368" t="s">
        <v>11</v>
      </c>
      <c r="C4368" t="s">
        <v>127</v>
      </c>
      <c r="D4368" s="9">
        <v>41029.842581018522</v>
      </c>
      <c r="E4368" t="s">
        <v>21</v>
      </c>
      <c r="F4368">
        <f t="shared" ca="1" si="138"/>
        <v>2.7472222222222222</v>
      </c>
      <c r="G4368">
        <f t="shared" ca="1" si="139"/>
        <v>0</v>
      </c>
    </row>
    <row r="4369" spans="1:7">
      <c r="A4369">
        <v>4785</v>
      </c>
      <c r="B4369" t="s">
        <v>27</v>
      </c>
      <c r="C4369" t="s">
        <v>121</v>
      </c>
      <c r="D4369" s="9">
        <v>41411.61451388889</v>
      </c>
      <c r="E4369" t="s">
        <v>34</v>
      </c>
      <c r="F4369">
        <f t="shared" ca="1" si="138"/>
        <v>1.7</v>
      </c>
      <c r="G4369">
        <f t="shared" ca="1" si="139"/>
        <v>0</v>
      </c>
    </row>
    <row r="4370" spans="1:7">
      <c r="A4370">
        <v>4786</v>
      </c>
      <c r="B4370" t="s">
        <v>36</v>
      </c>
      <c r="C4370" t="s">
        <v>123</v>
      </c>
      <c r="D4370" s="9">
        <v>41302.66269675926</v>
      </c>
      <c r="E4370" t="s">
        <v>27</v>
      </c>
      <c r="F4370">
        <f t="shared" ca="1" si="138"/>
        <v>2.0027777777777778</v>
      </c>
      <c r="G4370">
        <f t="shared" ca="1" si="139"/>
        <v>0</v>
      </c>
    </row>
    <row r="4371" spans="1:7">
      <c r="A4371">
        <v>4789</v>
      </c>
      <c r="B4371" t="s">
        <v>99</v>
      </c>
      <c r="C4371" t="s">
        <v>127</v>
      </c>
      <c r="D4371" s="9">
        <v>41029.658645833333</v>
      </c>
      <c r="E4371" t="s">
        <v>19</v>
      </c>
      <c r="F4371">
        <f t="shared" ca="1" si="138"/>
        <v>2.7472222222222222</v>
      </c>
      <c r="G4371">
        <f t="shared" ca="1" si="139"/>
        <v>0</v>
      </c>
    </row>
    <row r="4372" spans="1:7">
      <c r="A4372">
        <v>4790</v>
      </c>
      <c r="B4372" t="s">
        <v>32</v>
      </c>
      <c r="C4372" t="s">
        <v>127</v>
      </c>
      <c r="D4372" s="9">
        <v>41031.710775462961</v>
      </c>
      <c r="E4372" t="s">
        <v>64</v>
      </c>
      <c r="F4372">
        <f t="shared" ca="1" si="138"/>
        <v>2.7416666666666667</v>
      </c>
      <c r="G4372">
        <f t="shared" ca="1" si="139"/>
        <v>0</v>
      </c>
    </row>
    <row r="4373" spans="1:7">
      <c r="A4373">
        <v>4791</v>
      </c>
      <c r="B4373" t="s">
        <v>99</v>
      </c>
      <c r="C4373" t="s">
        <v>127</v>
      </c>
      <c r="D4373" s="9">
        <v>41031.69021990741</v>
      </c>
      <c r="E4373" t="s">
        <v>43</v>
      </c>
      <c r="F4373">
        <f t="shared" ca="1" si="138"/>
        <v>2.7416666666666667</v>
      </c>
      <c r="G4373">
        <f t="shared" ca="1" si="139"/>
        <v>0</v>
      </c>
    </row>
    <row r="4374" spans="1:7">
      <c r="A4374">
        <v>4792</v>
      </c>
      <c r="B4374" t="s">
        <v>111</v>
      </c>
      <c r="C4374" t="s">
        <v>127</v>
      </c>
      <c r="D4374" s="9">
        <v>41033.703333333331</v>
      </c>
      <c r="E4374" t="s">
        <v>38</v>
      </c>
      <c r="F4374">
        <f t="shared" ca="1" si="138"/>
        <v>2.7361111111111112</v>
      </c>
      <c r="G4374">
        <f t="shared" ca="1" si="139"/>
        <v>0</v>
      </c>
    </row>
    <row r="4375" spans="1:7">
      <c r="A4375">
        <v>4793</v>
      </c>
      <c r="B4375" t="s">
        <v>27</v>
      </c>
      <c r="C4375" t="s">
        <v>127</v>
      </c>
      <c r="D4375" s="9">
        <v>41031.633483796293</v>
      </c>
      <c r="E4375" t="s">
        <v>49</v>
      </c>
      <c r="F4375">
        <f t="shared" ca="1" si="138"/>
        <v>2.7416666666666667</v>
      </c>
      <c r="G4375">
        <f t="shared" ca="1" si="139"/>
        <v>0</v>
      </c>
    </row>
    <row r="4376" spans="1:7">
      <c r="A4376">
        <v>4796</v>
      </c>
      <c r="B4376" t="s">
        <v>36</v>
      </c>
      <c r="C4376" t="s">
        <v>127</v>
      </c>
      <c r="D4376" s="9">
        <v>41029.923842592594</v>
      </c>
      <c r="E4376" t="s">
        <v>38</v>
      </c>
      <c r="F4376">
        <f t="shared" ca="1" si="138"/>
        <v>2.7472222222222222</v>
      </c>
      <c r="G4376">
        <f t="shared" ca="1" si="139"/>
        <v>0</v>
      </c>
    </row>
    <row r="4377" spans="1:7">
      <c r="A4377">
        <v>4804</v>
      </c>
      <c r="B4377" t="s">
        <v>99</v>
      </c>
      <c r="C4377" t="s">
        <v>127</v>
      </c>
      <c r="D4377" s="9">
        <v>41029.691145833334</v>
      </c>
      <c r="E4377" t="s">
        <v>43</v>
      </c>
      <c r="F4377">
        <f t="shared" ca="1" si="138"/>
        <v>2.7472222222222222</v>
      </c>
      <c r="G4377">
        <f t="shared" ca="1" si="139"/>
        <v>0</v>
      </c>
    </row>
    <row r="4378" spans="1:7">
      <c r="A4378">
        <v>4807</v>
      </c>
      <c r="B4378" t="s">
        <v>99</v>
      </c>
      <c r="C4378" t="s">
        <v>127</v>
      </c>
      <c r="D4378" s="9">
        <v>41029.884212962963</v>
      </c>
      <c r="E4378" t="s">
        <v>27</v>
      </c>
      <c r="F4378">
        <f t="shared" ca="1" si="138"/>
        <v>2.7472222222222222</v>
      </c>
      <c r="G4378">
        <f t="shared" ca="1" si="139"/>
        <v>0</v>
      </c>
    </row>
    <row r="4379" spans="1:7">
      <c r="A4379">
        <v>4810</v>
      </c>
      <c r="B4379" t="s">
        <v>44</v>
      </c>
      <c r="C4379" t="s">
        <v>127</v>
      </c>
      <c r="D4379" s="9">
        <v>41031.42428240741</v>
      </c>
      <c r="E4379" t="s">
        <v>34</v>
      </c>
      <c r="F4379">
        <f t="shared" ca="1" si="138"/>
        <v>2.7416666666666667</v>
      </c>
      <c r="G4379">
        <f t="shared" ca="1" si="139"/>
        <v>0</v>
      </c>
    </row>
    <row r="4380" spans="1:7">
      <c r="A4380">
        <v>4813</v>
      </c>
      <c r="B4380" t="s">
        <v>36</v>
      </c>
      <c r="C4380" t="s">
        <v>127</v>
      </c>
      <c r="D4380" s="9">
        <v>41031.864340277774</v>
      </c>
      <c r="E4380" t="s">
        <v>27</v>
      </c>
      <c r="F4380">
        <f t="shared" ca="1" si="138"/>
        <v>2.7416666666666667</v>
      </c>
      <c r="G4380">
        <f t="shared" ca="1" si="139"/>
        <v>0</v>
      </c>
    </row>
    <row r="4381" spans="1:7">
      <c r="A4381">
        <v>4814</v>
      </c>
      <c r="B4381" t="s">
        <v>20</v>
      </c>
      <c r="C4381" t="s">
        <v>127</v>
      </c>
      <c r="D4381" s="9">
        <v>41030.152245370373</v>
      </c>
      <c r="E4381" t="s">
        <v>36</v>
      </c>
      <c r="F4381">
        <f t="shared" ca="1" si="138"/>
        <v>2.7444444444444445</v>
      </c>
      <c r="G4381">
        <f t="shared" ca="1" si="139"/>
        <v>0</v>
      </c>
    </row>
    <row r="4382" spans="1:7">
      <c r="A4382">
        <v>4815</v>
      </c>
      <c r="B4382" t="s">
        <v>38</v>
      </c>
      <c r="C4382" t="s">
        <v>168</v>
      </c>
      <c r="D4382" s="9">
        <v>40981.469050925924</v>
      </c>
      <c r="E4382" t="s">
        <v>34</v>
      </c>
      <c r="F4382">
        <f t="shared" ca="1" si="138"/>
        <v>2.8777777777777778</v>
      </c>
      <c r="G4382">
        <f t="shared" ca="1" si="139"/>
        <v>0</v>
      </c>
    </row>
    <row r="4383" spans="1:7">
      <c r="A4383">
        <v>4816</v>
      </c>
      <c r="B4383" t="s">
        <v>99</v>
      </c>
      <c r="C4383" t="s">
        <v>127</v>
      </c>
      <c r="D4383" s="9">
        <v>41030.43309027778</v>
      </c>
      <c r="E4383" t="s">
        <v>19</v>
      </c>
      <c r="F4383">
        <f t="shared" ca="1" si="138"/>
        <v>2.7444444444444445</v>
      </c>
      <c r="G4383">
        <f t="shared" ca="1" si="139"/>
        <v>0</v>
      </c>
    </row>
    <row r="4384" spans="1:7">
      <c r="A4384">
        <v>4819</v>
      </c>
      <c r="B4384" t="s">
        <v>38</v>
      </c>
      <c r="C4384" t="s">
        <v>127</v>
      </c>
      <c r="D4384" s="9">
        <v>41030.89534722222</v>
      </c>
      <c r="E4384" t="s">
        <v>21</v>
      </c>
      <c r="F4384">
        <f t="shared" ca="1" si="138"/>
        <v>2.7444444444444445</v>
      </c>
      <c r="G4384">
        <f t="shared" ca="1" si="139"/>
        <v>0</v>
      </c>
    </row>
    <row r="4385" spans="1:7">
      <c r="A4385">
        <v>4820</v>
      </c>
      <c r="B4385" t="s">
        <v>37</v>
      </c>
      <c r="C4385" t="s">
        <v>127</v>
      </c>
      <c r="D4385" s="9">
        <v>41030.648738425924</v>
      </c>
      <c r="E4385" t="s">
        <v>38</v>
      </c>
      <c r="F4385">
        <f t="shared" ca="1" si="138"/>
        <v>2.7444444444444445</v>
      </c>
      <c r="G4385">
        <f t="shared" ca="1" si="139"/>
        <v>0</v>
      </c>
    </row>
    <row r="4386" spans="1:7">
      <c r="A4386">
        <v>4825</v>
      </c>
      <c r="B4386" t="s">
        <v>8</v>
      </c>
      <c r="C4386" t="s">
        <v>127</v>
      </c>
      <c r="D4386" s="9">
        <v>41029.907557870371</v>
      </c>
      <c r="E4386" t="s">
        <v>38</v>
      </c>
      <c r="F4386">
        <f t="shared" ca="1" si="138"/>
        <v>2.7472222222222222</v>
      </c>
      <c r="G4386">
        <f t="shared" ca="1" si="139"/>
        <v>0</v>
      </c>
    </row>
    <row r="4387" spans="1:7">
      <c r="A4387">
        <v>4826</v>
      </c>
      <c r="B4387" t="s">
        <v>112</v>
      </c>
      <c r="C4387" t="s">
        <v>127</v>
      </c>
      <c r="D4387" s="9">
        <v>41031.855497685188</v>
      </c>
      <c r="E4387" t="s">
        <v>11</v>
      </c>
      <c r="F4387">
        <f t="shared" ca="1" si="138"/>
        <v>2.7416666666666667</v>
      </c>
      <c r="G4387">
        <f t="shared" ca="1" si="139"/>
        <v>0</v>
      </c>
    </row>
    <row r="4388" spans="1:7">
      <c r="A4388">
        <v>4830</v>
      </c>
      <c r="B4388" t="s">
        <v>99</v>
      </c>
      <c r="C4388" t="s">
        <v>127</v>
      </c>
      <c r="D4388" s="9">
        <v>41029.800486111111</v>
      </c>
      <c r="E4388" t="s">
        <v>38</v>
      </c>
      <c r="F4388">
        <f t="shared" ca="1" si="138"/>
        <v>2.7472222222222222</v>
      </c>
      <c r="G4388">
        <f t="shared" ca="1" si="139"/>
        <v>0</v>
      </c>
    </row>
    <row r="4389" spans="1:7">
      <c r="A4389">
        <v>4832</v>
      </c>
      <c r="B4389" t="s">
        <v>21</v>
      </c>
      <c r="C4389" t="s">
        <v>127</v>
      </c>
      <c r="D4389" s="9">
        <v>41031.803449074076</v>
      </c>
      <c r="E4389" t="s">
        <v>36</v>
      </c>
      <c r="F4389">
        <f t="shared" ca="1" si="138"/>
        <v>2.7416666666666667</v>
      </c>
      <c r="G4389">
        <f t="shared" ca="1" si="139"/>
        <v>0</v>
      </c>
    </row>
    <row r="4390" spans="1:7">
      <c r="A4390">
        <v>4835</v>
      </c>
      <c r="B4390" t="s">
        <v>32</v>
      </c>
      <c r="C4390" t="s">
        <v>167</v>
      </c>
      <c r="D4390" s="9">
        <v>41060.81832175926</v>
      </c>
      <c r="E4390" t="s">
        <v>20</v>
      </c>
      <c r="F4390">
        <f t="shared" ca="1" si="138"/>
        <v>2.6638888888888888</v>
      </c>
      <c r="G4390">
        <f t="shared" ca="1" si="139"/>
        <v>0</v>
      </c>
    </row>
    <row r="4391" spans="1:7">
      <c r="A4391">
        <v>4836</v>
      </c>
      <c r="B4391" t="s">
        <v>143</v>
      </c>
      <c r="C4391" t="s">
        <v>127</v>
      </c>
      <c r="D4391" s="9">
        <v>41029.631180555552</v>
      </c>
      <c r="E4391" t="s">
        <v>44</v>
      </c>
      <c r="F4391">
        <f t="shared" ca="1" si="138"/>
        <v>2.7472222222222222</v>
      </c>
      <c r="G4391">
        <f t="shared" ca="1" si="139"/>
        <v>0</v>
      </c>
    </row>
    <row r="4392" spans="1:7">
      <c r="A4392">
        <v>4839</v>
      </c>
      <c r="B4392" t="s">
        <v>19</v>
      </c>
      <c r="C4392" t="s">
        <v>127</v>
      </c>
      <c r="D4392" s="9">
        <v>41030.609872685185</v>
      </c>
      <c r="E4392" t="s">
        <v>27</v>
      </c>
      <c r="F4392">
        <f t="shared" ca="1" si="138"/>
        <v>2.7444444444444445</v>
      </c>
      <c r="G4392">
        <f t="shared" ca="1" si="139"/>
        <v>0</v>
      </c>
    </row>
    <row r="4393" spans="1:7">
      <c r="A4393">
        <v>4842</v>
      </c>
      <c r="B4393" t="s">
        <v>37</v>
      </c>
      <c r="C4393" t="s">
        <v>127</v>
      </c>
      <c r="D4393" s="9">
        <v>41030.592094907406</v>
      </c>
      <c r="E4393" t="s">
        <v>143</v>
      </c>
      <c r="F4393">
        <f t="shared" ca="1" si="138"/>
        <v>2.7444444444444445</v>
      </c>
      <c r="G4393">
        <f t="shared" ca="1" si="139"/>
        <v>0</v>
      </c>
    </row>
    <row r="4394" spans="1:7">
      <c r="A4394">
        <v>4843</v>
      </c>
      <c r="B4394" t="s">
        <v>51</v>
      </c>
      <c r="C4394" t="s">
        <v>122</v>
      </c>
      <c r="D4394" s="9">
        <v>41416.489953703705</v>
      </c>
      <c r="E4394" t="s">
        <v>30</v>
      </c>
      <c r="F4394">
        <f t="shared" ca="1" si="138"/>
        <v>1.6861111111111111</v>
      </c>
      <c r="G4394">
        <f t="shared" ca="1" si="139"/>
        <v>0</v>
      </c>
    </row>
    <row r="4395" spans="1:7">
      <c r="A4395">
        <v>4845</v>
      </c>
      <c r="B4395" t="s">
        <v>36</v>
      </c>
      <c r="C4395" t="s">
        <v>127</v>
      </c>
      <c r="D4395" s="9">
        <v>41029.828900462962</v>
      </c>
      <c r="E4395" t="s">
        <v>43</v>
      </c>
      <c r="F4395">
        <f t="shared" ca="1" si="138"/>
        <v>2.7472222222222222</v>
      </c>
      <c r="G4395">
        <f t="shared" ca="1" si="139"/>
        <v>0</v>
      </c>
    </row>
    <row r="4396" spans="1:7">
      <c r="A4396">
        <v>4849</v>
      </c>
      <c r="B4396" t="s">
        <v>19</v>
      </c>
      <c r="C4396" t="s">
        <v>127</v>
      </c>
      <c r="D4396" s="9">
        <v>41029.697025462963</v>
      </c>
      <c r="E4396" t="s">
        <v>21</v>
      </c>
      <c r="F4396">
        <f t="shared" ca="1" si="138"/>
        <v>2.7472222222222222</v>
      </c>
      <c r="G4396">
        <f t="shared" ca="1" si="139"/>
        <v>0</v>
      </c>
    </row>
    <row r="4397" spans="1:7">
      <c r="A4397">
        <v>4850</v>
      </c>
      <c r="B4397" t="s">
        <v>38</v>
      </c>
      <c r="C4397" t="s">
        <v>127</v>
      </c>
      <c r="D4397" s="9">
        <v>41030.915254629632</v>
      </c>
      <c r="E4397" t="s">
        <v>27</v>
      </c>
      <c r="F4397">
        <f t="shared" ca="1" si="138"/>
        <v>2.7444444444444445</v>
      </c>
      <c r="G4397">
        <f t="shared" ca="1" si="139"/>
        <v>0</v>
      </c>
    </row>
    <row r="4398" spans="1:7">
      <c r="A4398">
        <v>4854</v>
      </c>
      <c r="B4398" t="s">
        <v>143</v>
      </c>
      <c r="C4398" t="s">
        <v>127</v>
      </c>
      <c r="D4398" s="9">
        <v>41029.632615740738</v>
      </c>
      <c r="E4398" t="s">
        <v>44</v>
      </c>
      <c r="F4398">
        <f t="shared" ca="1" si="138"/>
        <v>2.7472222222222222</v>
      </c>
      <c r="G4398">
        <f t="shared" ca="1" si="139"/>
        <v>0</v>
      </c>
    </row>
    <row r="4399" spans="1:7">
      <c r="A4399">
        <v>4855</v>
      </c>
      <c r="B4399" t="s">
        <v>8</v>
      </c>
      <c r="C4399" t="s">
        <v>168</v>
      </c>
      <c r="D4399" s="9">
        <v>40981.545127314814</v>
      </c>
      <c r="E4399" t="s">
        <v>34</v>
      </c>
      <c r="F4399">
        <f t="shared" ca="1" si="138"/>
        <v>2.8777777777777778</v>
      </c>
      <c r="G4399">
        <f t="shared" ca="1" si="139"/>
        <v>0</v>
      </c>
    </row>
    <row r="4400" spans="1:7">
      <c r="A4400">
        <v>4856</v>
      </c>
      <c r="B4400" t="s">
        <v>14</v>
      </c>
      <c r="C4400" t="s">
        <v>118</v>
      </c>
      <c r="D4400" s="9">
        <v>41760.467314814814</v>
      </c>
      <c r="E4400" t="s">
        <v>34</v>
      </c>
      <c r="F4400">
        <f t="shared" ca="1" si="138"/>
        <v>0.74444444444444446</v>
      </c>
      <c r="G4400">
        <f t="shared" ca="1" si="139"/>
        <v>1</v>
      </c>
    </row>
    <row r="4401" spans="1:7">
      <c r="A4401">
        <v>4859</v>
      </c>
      <c r="B4401" t="s">
        <v>20</v>
      </c>
      <c r="C4401" t="s">
        <v>123</v>
      </c>
      <c r="D4401" s="9">
        <v>41304.781064814815</v>
      </c>
      <c r="E4401" t="s">
        <v>27</v>
      </c>
      <c r="F4401">
        <f t="shared" ca="1" si="138"/>
        <v>1.9972222222222222</v>
      </c>
      <c r="G4401">
        <f t="shared" ca="1" si="139"/>
        <v>0</v>
      </c>
    </row>
    <row r="4402" spans="1:7">
      <c r="A4402">
        <v>4860</v>
      </c>
      <c r="B4402" t="s">
        <v>99</v>
      </c>
      <c r="C4402" t="s">
        <v>127</v>
      </c>
      <c r="D4402" s="9">
        <v>41029.79892361111</v>
      </c>
      <c r="E4402" t="s">
        <v>38</v>
      </c>
      <c r="F4402">
        <f t="shared" ca="1" si="138"/>
        <v>2.7472222222222222</v>
      </c>
      <c r="G4402">
        <f t="shared" ca="1" si="139"/>
        <v>0</v>
      </c>
    </row>
    <row r="4403" spans="1:7">
      <c r="A4403">
        <v>4862</v>
      </c>
      <c r="B4403" t="s">
        <v>37</v>
      </c>
      <c r="C4403" t="s">
        <v>127</v>
      </c>
      <c r="D4403" s="9">
        <v>41030.600717592592</v>
      </c>
      <c r="E4403" t="s">
        <v>143</v>
      </c>
      <c r="F4403">
        <f t="shared" ca="1" si="138"/>
        <v>2.7444444444444445</v>
      </c>
      <c r="G4403">
        <f t="shared" ca="1" si="139"/>
        <v>0</v>
      </c>
    </row>
    <row r="4404" spans="1:7">
      <c r="A4404">
        <v>4865</v>
      </c>
      <c r="B4404" t="s">
        <v>51</v>
      </c>
      <c r="C4404" t="s">
        <v>121</v>
      </c>
      <c r="D4404" s="9">
        <v>41480.459305555552</v>
      </c>
      <c r="E4404" t="s">
        <v>27</v>
      </c>
      <c r="F4404">
        <f t="shared" ca="1" si="138"/>
        <v>1.5111111111111111</v>
      </c>
      <c r="G4404">
        <f t="shared" ca="1" si="139"/>
        <v>0</v>
      </c>
    </row>
    <row r="4405" spans="1:7">
      <c r="A4405">
        <v>4867</v>
      </c>
      <c r="B4405" t="s">
        <v>51</v>
      </c>
      <c r="C4405" t="s">
        <v>126</v>
      </c>
      <c r="D4405" s="9">
        <v>41428.572581018518</v>
      </c>
      <c r="E4405" t="s">
        <v>24</v>
      </c>
      <c r="F4405">
        <f t="shared" ca="1" si="138"/>
        <v>1.6555555555555554</v>
      </c>
      <c r="G4405">
        <f t="shared" ca="1" si="139"/>
        <v>0</v>
      </c>
    </row>
    <row r="4406" spans="1:7">
      <c r="A4406">
        <v>4869</v>
      </c>
      <c r="B4406" t="s">
        <v>51</v>
      </c>
      <c r="C4406" t="s">
        <v>121</v>
      </c>
      <c r="D4406" s="9">
        <v>41480.459421296298</v>
      </c>
      <c r="E4406" t="s">
        <v>34</v>
      </c>
      <c r="F4406">
        <f t="shared" ca="1" si="138"/>
        <v>1.5111111111111111</v>
      </c>
      <c r="G4406">
        <f t="shared" ca="1" si="139"/>
        <v>0</v>
      </c>
    </row>
    <row r="4407" spans="1:7">
      <c r="A4407">
        <v>4870</v>
      </c>
      <c r="B4407" t="s">
        <v>14</v>
      </c>
      <c r="C4407" t="s">
        <v>121</v>
      </c>
      <c r="D4407" s="9">
        <v>41481.494583333333</v>
      </c>
      <c r="E4407" t="s">
        <v>17</v>
      </c>
      <c r="F4407">
        <f t="shared" ca="1" si="138"/>
        <v>1.5083333333333333</v>
      </c>
      <c r="G4407">
        <f t="shared" ca="1" si="139"/>
        <v>0</v>
      </c>
    </row>
    <row r="4408" spans="1:7">
      <c r="A4408">
        <v>4872</v>
      </c>
      <c r="B4408" t="s">
        <v>37</v>
      </c>
      <c r="C4408" t="s">
        <v>127</v>
      </c>
      <c r="D4408" s="9">
        <v>41030.507268518515</v>
      </c>
      <c r="E4408" t="s">
        <v>143</v>
      </c>
      <c r="F4408">
        <f t="shared" ca="1" si="138"/>
        <v>2.7444444444444445</v>
      </c>
      <c r="G4408">
        <f t="shared" ca="1" si="139"/>
        <v>0</v>
      </c>
    </row>
    <row r="4409" spans="1:7">
      <c r="A4409">
        <v>4873</v>
      </c>
      <c r="B4409" t="s">
        <v>99</v>
      </c>
      <c r="C4409" t="s">
        <v>127</v>
      </c>
      <c r="D4409" s="9">
        <v>41029.918738425928</v>
      </c>
      <c r="E4409" t="s">
        <v>38</v>
      </c>
      <c r="F4409">
        <f t="shared" ca="1" si="138"/>
        <v>2.7472222222222222</v>
      </c>
      <c r="G4409">
        <f t="shared" ca="1" si="139"/>
        <v>0</v>
      </c>
    </row>
    <row r="4410" spans="1:7">
      <c r="A4410">
        <v>4875</v>
      </c>
      <c r="B4410" t="s">
        <v>37</v>
      </c>
      <c r="C4410" t="s">
        <v>127</v>
      </c>
      <c r="D4410" s="9">
        <v>41030.630925925929</v>
      </c>
      <c r="E4410" t="s">
        <v>143</v>
      </c>
      <c r="F4410">
        <f t="shared" ca="1" si="138"/>
        <v>2.7444444444444445</v>
      </c>
      <c r="G4410">
        <f t="shared" ca="1" si="139"/>
        <v>0</v>
      </c>
    </row>
    <row r="4411" spans="1:7">
      <c r="A4411">
        <v>4876</v>
      </c>
      <c r="B4411" t="s">
        <v>8</v>
      </c>
      <c r="C4411" t="s">
        <v>122</v>
      </c>
      <c r="D4411" s="9">
        <v>41410.94425925926</v>
      </c>
      <c r="E4411" t="s">
        <v>34</v>
      </c>
      <c r="F4411">
        <f t="shared" ca="1" si="138"/>
        <v>1.7027777777777777</v>
      </c>
      <c r="G4411">
        <f t="shared" ca="1" si="139"/>
        <v>0</v>
      </c>
    </row>
    <row r="4412" spans="1:7">
      <c r="A4412">
        <v>4878</v>
      </c>
      <c r="B4412" t="s">
        <v>37</v>
      </c>
      <c r="C4412" t="s">
        <v>127</v>
      </c>
      <c r="D4412" s="9">
        <v>41033.703912037039</v>
      </c>
      <c r="E4412" t="s">
        <v>38</v>
      </c>
      <c r="F4412">
        <f t="shared" ca="1" si="138"/>
        <v>2.7361111111111112</v>
      </c>
      <c r="G4412">
        <f t="shared" ca="1" si="139"/>
        <v>0</v>
      </c>
    </row>
    <row r="4413" spans="1:7">
      <c r="A4413">
        <v>4879</v>
      </c>
      <c r="B4413" t="s">
        <v>30</v>
      </c>
      <c r="C4413" t="s">
        <v>127</v>
      </c>
      <c r="D4413" s="9">
        <v>41029.784351851849</v>
      </c>
      <c r="E4413" t="s">
        <v>43</v>
      </c>
      <c r="F4413">
        <f t="shared" ca="1" si="138"/>
        <v>2.7472222222222222</v>
      </c>
      <c r="G4413">
        <f t="shared" ca="1" si="139"/>
        <v>0</v>
      </c>
    </row>
    <row r="4414" spans="1:7">
      <c r="A4414">
        <v>4882</v>
      </c>
      <c r="B4414" t="s">
        <v>8</v>
      </c>
      <c r="C4414" t="s">
        <v>126</v>
      </c>
      <c r="D4414" s="9">
        <v>41127.640405092592</v>
      </c>
      <c r="E4414" t="s">
        <v>27</v>
      </c>
      <c r="F4414">
        <f t="shared" ca="1" si="138"/>
        <v>2.4805555555555556</v>
      </c>
      <c r="G4414">
        <f t="shared" ca="1" si="139"/>
        <v>0</v>
      </c>
    </row>
    <row r="4415" spans="1:7">
      <c r="A4415">
        <v>4884</v>
      </c>
      <c r="B4415" t="s">
        <v>45</v>
      </c>
      <c r="C4415" t="s">
        <v>121</v>
      </c>
      <c r="D4415" s="9">
        <v>41438.659780092596</v>
      </c>
      <c r="E4415" t="s">
        <v>111</v>
      </c>
      <c r="F4415">
        <f t="shared" ca="1" si="138"/>
        <v>1.6277777777777778</v>
      </c>
      <c r="G4415">
        <f t="shared" ca="1" si="139"/>
        <v>0</v>
      </c>
    </row>
    <row r="4416" spans="1:7">
      <c r="A4416">
        <v>4885</v>
      </c>
      <c r="B4416" t="s">
        <v>38</v>
      </c>
      <c r="C4416" t="s">
        <v>127</v>
      </c>
      <c r="D4416" s="9">
        <v>41030.15729166667</v>
      </c>
      <c r="E4416" t="s">
        <v>36</v>
      </c>
      <c r="F4416">
        <f t="shared" ca="1" si="138"/>
        <v>2.7444444444444445</v>
      </c>
      <c r="G4416">
        <f t="shared" ca="1" si="139"/>
        <v>0</v>
      </c>
    </row>
    <row r="4417" spans="1:7">
      <c r="A4417">
        <v>4889</v>
      </c>
      <c r="B4417" t="s">
        <v>14</v>
      </c>
      <c r="C4417" t="s">
        <v>120</v>
      </c>
      <c r="D4417" s="9">
        <v>41516.806909722225</v>
      </c>
      <c r="E4417" t="s">
        <v>27</v>
      </c>
      <c r="F4417">
        <f t="shared" ca="1" si="138"/>
        <v>1.413888888888889</v>
      </c>
      <c r="G4417">
        <f t="shared" ca="1" si="139"/>
        <v>0</v>
      </c>
    </row>
    <row r="4418" spans="1:7">
      <c r="A4418">
        <v>4893</v>
      </c>
      <c r="B4418" t="s">
        <v>99</v>
      </c>
      <c r="C4418" t="s">
        <v>127</v>
      </c>
      <c r="D4418" s="9">
        <v>41033.703622685185</v>
      </c>
      <c r="E4418" t="s">
        <v>11</v>
      </c>
      <c r="F4418">
        <f t="shared" ca="1" si="138"/>
        <v>2.7361111111111112</v>
      </c>
      <c r="G4418">
        <f t="shared" ca="1" si="139"/>
        <v>0</v>
      </c>
    </row>
    <row r="4419" spans="1:7">
      <c r="A4419">
        <v>4894</v>
      </c>
      <c r="B4419" t="s">
        <v>99</v>
      </c>
      <c r="C4419" t="s">
        <v>126</v>
      </c>
      <c r="D4419" s="9">
        <v>41127.595092592594</v>
      </c>
      <c r="E4419" t="s">
        <v>32</v>
      </c>
      <c r="F4419">
        <f t="shared" ca="1" si="138"/>
        <v>2.4805555555555556</v>
      </c>
      <c r="G4419">
        <f t="shared" ca="1" si="139"/>
        <v>0</v>
      </c>
    </row>
    <row r="4420" spans="1:7">
      <c r="A4420">
        <v>4895</v>
      </c>
      <c r="B4420" t="s">
        <v>19</v>
      </c>
      <c r="C4420" t="s">
        <v>127</v>
      </c>
      <c r="D4420" s="9">
        <v>41031.370011574072</v>
      </c>
      <c r="E4420" t="s">
        <v>34</v>
      </c>
      <c r="F4420">
        <f t="shared" ca="1" si="138"/>
        <v>2.7416666666666667</v>
      </c>
      <c r="G4420">
        <f t="shared" ca="1" si="139"/>
        <v>0</v>
      </c>
    </row>
    <row r="4421" spans="1:7">
      <c r="A4421">
        <v>4896</v>
      </c>
      <c r="B4421" t="s">
        <v>19</v>
      </c>
      <c r="C4421" t="s">
        <v>127</v>
      </c>
      <c r="D4421" s="9">
        <v>41031.92763888889</v>
      </c>
      <c r="E4421" t="s">
        <v>27</v>
      </c>
      <c r="F4421">
        <f t="shared" ca="1" si="138"/>
        <v>2.7416666666666667</v>
      </c>
      <c r="G4421">
        <f t="shared" ca="1" si="139"/>
        <v>0</v>
      </c>
    </row>
    <row r="4422" spans="1:7">
      <c r="A4422">
        <v>4899</v>
      </c>
      <c r="B4422" t="s">
        <v>36</v>
      </c>
      <c r="C4422" t="s">
        <v>127</v>
      </c>
      <c r="D4422" s="9">
        <v>41033.703831018516</v>
      </c>
      <c r="E4422" t="s">
        <v>99</v>
      </c>
      <c r="F4422">
        <f t="shared" ca="1" si="138"/>
        <v>2.7361111111111112</v>
      </c>
      <c r="G4422">
        <f t="shared" ca="1" si="139"/>
        <v>0</v>
      </c>
    </row>
    <row r="4423" spans="1:7">
      <c r="A4423">
        <v>4900</v>
      </c>
      <c r="B4423" t="s">
        <v>20</v>
      </c>
      <c r="C4423" t="s">
        <v>127</v>
      </c>
      <c r="D4423" s="9">
        <v>41031.649780092594</v>
      </c>
      <c r="E4423" t="s">
        <v>21</v>
      </c>
      <c r="F4423">
        <f t="shared" ref="F4423:F4486" ca="1" si="140">YEARFRAC(TODAY(),$D4423)</f>
        <v>2.7416666666666667</v>
      </c>
      <c r="G4423">
        <f t="shared" ref="G4423:G4486" ca="1" si="141">IF($F4423&lt;1,1,0)</f>
        <v>0</v>
      </c>
    </row>
    <row r="4424" spans="1:7">
      <c r="A4424">
        <v>4901</v>
      </c>
      <c r="B4424" t="s">
        <v>111</v>
      </c>
      <c r="C4424" t="s">
        <v>127</v>
      </c>
      <c r="D4424" s="9">
        <v>41029.91233796296</v>
      </c>
      <c r="E4424" t="s">
        <v>38</v>
      </c>
      <c r="F4424">
        <f t="shared" ca="1" si="140"/>
        <v>2.7472222222222222</v>
      </c>
      <c r="G4424">
        <f t="shared" ca="1" si="141"/>
        <v>0</v>
      </c>
    </row>
    <row r="4425" spans="1:7">
      <c r="A4425">
        <v>4902</v>
      </c>
      <c r="B4425" t="s">
        <v>99</v>
      </c>
      <c r="C4425" t="s">
        <v>127</v>
      </c>
      <c r="D4425" s="9">
        <v>41031.716527777775</v>
      </c>
      <c r="E4425" t="s">
        <v>38</v>
      </c>
      <c r="F4425">
        <f t="shared" ca="1" si="140"/>
        <v>2.7416666666666667</v>
      </c>
      <c r="G4425">
        <f t="shared" ca="1" si="141"/>
        <v>0</v>
      </c>
    </row>
    <row r="4426" spans="1:7">
      <c r="A4426">
        <v>4904</v>
      </c>
      <c r="B4426" t="s">
        <v>21</v>
      </c>
      <c r="C4426" t="s">
        <v>127</v>
      </c>
      <c r="D4426" s="9">
        <v>41036.873773148145</v>
      </c>
      <c r="E4426" t="s">
        <v>34</v>
      </c>
      <c r="F4426">
        <f t="shared" ca="1" si="140"/>
        <v>2.7277777777777779</v>
      </c>
      <c r="G4426">
        <f t="shared" ca="1" si="141"/>
        <v>0</v>
      </c>
    </row>
    <row r="4427" spans="1:7">
      <c r="A4427">
        <v>4906</v>
      </c>
      <c r="B4427" t="s">
        <v>32</v>
      </c>
      <c r="C4427" t="s">
        <v>127</v>
      </c>
      <c r="D4427" s="9">
        <v>41030.864675925928</v>
      </c>
      <c r="E4427" t="s">
        <v>111</v>
      </c>
      <c r="F4427">
        <f t="shared" ca="1" si="140"/>
        <v>2.7444444444444445</v>
      </c>
      <c r="G4427">
        <f t="shared" ca="1" si="141"/>
        <v>0</v>
      </c>
    </row>
    <row r="4428" spans="1:7">
      <c r="A4428">
        <v>4907</v>
      </c>
      <c r="B4428" t="s">
        <v>143</v>
      </c>
      <c r="C4428" t="s">
        <v>127</v>
      </c>
      <c r="D4428" s="9">
        <v>41029.636874999997</v>
      </c>
      <c r="E4428" t="s">
        <v>44</v>
      </c>
      <c r="F4428">
        <f t="shared" ca="1" si="140"/>
        <v>2.7472222222222222</v>
      </c>
      <c r="G4428">
        <f t="shared" ca="1" si="141"/>
        <v>0</v>
      </c>
    </row>
    <row r="4429" spans="1:7">
      <c r="A4429">
        <v>4908</v>
      </c>
      <c r="B4429" t="s">
        <v>143</v>
      </c>
      <c r="C4429" t="s">
        <v>127</v>
      </c>
      <c r="D4429" s="9">
        <v>41029.63853009259</v>
      </c>
      <c r="E4429" t="s">
        <v>44</v>
      </c>
      <c r="F4429">
        <f t="shared" ca="1" si="140"/>
        <v>2.7472222222222222</v>
      </c>
      <c r="G4429">
        <f t="shared" ca="1" si="141"/>
        <v>0</v>
      </c>
    </row>
    <row r="4430" spans="1:7">
      <c r="A4430">
        <v>4909</v>
      </c>
      <c r="B4430" t="s">
        <v>143</v>
      </c>
      <c r="C4430" t="s">
        <v>127</v>
      </c>
      <c r="D4430" s="9">
        <v>41029.639467592591</v>
      </c>
      <c r="E4430" t="s">
        <v>44</v>
      </c>
      <c r="F4430">
        <f t="shared" ca="1" si="140"/>
        <v>2.7472222222222222</v>
      </c>
      <c r="G4430">
        <f t="shared" ca="1" si="141"/>
        <v>0</v>
      </c>
    </row>
    <row r="4431" spans="1:7">
      <c r="A4431">
        <v>4910</v>
      </c>
      <c r="B4431" t="s">
        <v>143</v>
      </c>
      <c r="C4431" t="s">
        <v>127</v>
      </c>
      <c r="D4431" s="9">
        <v>41029.641608796293</v>
      </c>
      <c r="E4431" t="s">
        <v>44</v>
      </c>
      <c r="F4431">
        <f t="shared" ca="1" si="140"/>
        <v>2.7472222222222222</v>
      </c>
      <c r="G4431">
        <f t="shared" ca="1" si="141"/>
        <v>0</v>
      </c>
    </row>
    <row r="4432" spans="1:7">
      <c r="A4432">
        <v>4911</v>
      </c>
      <c r="B4432" t="s">
        <v>21</v>
      </c>
      <c r="C4432" t="s">
        <v>126</v>
      </c>
      <c r="D4432" s="9">
        <v>41127.774884259263</v>
      </c>
      <c r="E4432" t="s">
        <v>27</v>
      </c>
      <c r="F4432">
        <f t="shared" ca="1" si="140"/>
        <v>2.4805555555555556</v>
      </c>
      <c r="G4432">
        <f t="shared" ca="1" si="141"/>
        <v>0</v>
      </c>
    </row>
    <row r="4433" spans="1:7">
      <c r="A4433">
        <v>4912</v>
      </c>
      <c r="B4433" t="s">
        <v>11</v>
      </c>
      <c r="C4433" t="s">
        <v>127</v>
      </c>
      <c r="D4433" s="9">
        <v>41029.605520833335</v>
      </c>
      <c r="E4433" t="s">
        <v>30</v>
      </c>
      <c r="F4433">
        <f t="shared" ca="1" si="140"/>
        <v>2.7472222222222222</v>
      </c>
      <c r="G4433">
        <f t="shared" ca="1" si="141"/>
        <v>0</v>
      </c>
    </row>
    <row r="4434" spans="1:7">
      <c r="A4434">
        <v>4913</v>
      </c>
      <c r="B4434" t="s">
        <v>27</v>
      </c>
      <c r="C4434" t="s">
        <v>127</v>
      </c>
      <c r="D4434" s="9">
        <v>41030.926921296297</v>
      </c>
      <c r="E4434" t="s">
        <v>38</v>
      </c>
      <c r="F4434">
        <f t="shared" ca="1" si="140"/>
        <v>2.7444444444444445</v>
      </c>
      <c r="G4434">
        <f t="shared" ca="1" si="141"/>
        <v>0</v>
      </c>
    </row>
    <row r="4435" spans="1:7">
      <c r="A4435">
        <v>4915</v>
      </c>
      <c r="B4435" t="s">
        <v>8</v>
      </c>
      <c r="C4435" t="s">
        <v>127</v>
      </c>
      <c r="D4435" s="9">
        <v>41030.92324074074</v>
      </c>
      <c r="E4435" t="s">
        <v>38</v>
      </c>
      <c r="F4435">
        <f t="shared" ca="1" si="140"/>
        <v>2.7444444444444445</v>
      </c>
      <c r="G4435">
        <f t="shared" ca="1" si="141"/>
        <v>0</v>
      </c>
    </row>
    <row r="4436" spans="1:7">
      <c r="A4436">
        <v>4916</v>
      </c>
      <c r="B4436" t="s">
        <v>64</v>
      </c>
      <c r="C4436" t="s">
        <v>127</v>
      </c>
      <c r="D4436" s="9">
        <v>41031.795439814814</v>
      </c>
      <c r="E4436" t="s">
        <v>32</v>
      </c>
      <c r="F4436">
        <f t="shared" ca="1" si="140"/>
        <v>2.7416666666666667</v>
      </c>
      <c r="G4436">
        <f t="shared" ca="1" si="141"/>
        <v>0</v>
      </c>
    </row>
    <row r="4437" spans="1:7">
      <c r="A4437">
        <v>4917</v>
      </c>
      <c r="B4437" t="s">
        <v>99</v>
      </c>
      <c r="C4437" t="s">
        <v>127</v>
      </c>
      <c r="D4437" s="9">
        <v>41030.639247685183</v>
      </c>
      <c r="E4437" t="s">
        <v>37</v>
      </c>
      <c r="F4437">
        <f t="shared" ca="1" si="140"/>
        <v>2.7444444444444445</v>
      </c>
      <c r="G4437">
        <f t="shared" ca="1" si="141"/>
        <v>0</v>
      </c>
    </row>
    <row r="4438" spans="1:7">
      <c r="A4438">
        <v>4918</v>
      </c>
      <c r="B4438" t="s">
        <v>34</v>
      </c>
      <c r="C4438" t="s">
        <v>119</v>
      </c>
      <c r="D4438" s="9">
        <v>41600.644444444442</v>
      </c>
      <c r="E4438" t="s">
        <v>21</v>
      </c>
      <c r="F4438">
        <f t="shared" ca="1" si="140"/>
        <v>1.1861111111111111</v>
      </c>
      <c r="G4438">
        <f t="shared" ca="1" si="141"/>
        <v>0</v>
      </c>
    </row>
    <row r="4439" spans="1:7">
      <c r="A4439">
        <v>4919</v>
      </c>
      <c r="B4439" t="s">
        <v>111</v>
      </c>
      <c r="C4439" t="s">
        <v>125</v>
      </c>
      <c r="D4439" s="9">
        <v>41214.621631944443</v>
      </c>
      <c r="E4439" t="s">
        <v>11</v>
      </c>
      <c r="F4439">
        <f t="shared" ca="1" si="140"/>
        <v>2.2444444444444445</v>
      </c>
      <c r="G4439">
        <f t="shared" ca="1" si="141"/>
        <v>0</v>
      </c>
    </row>
    <row r="4440" spans="1:7">
      <c r="A4440">
        <v>4920</v>
      </c>
      <c r="B4440" t="s">
        <v>99</v>
      </c>
      <c r="C4440" t="s">
        <v>127</v>
      </c>
      <c r="D4440" s="9">
        <v>41030.851331018515</v>
      </c>
      <c r="E4440" t="s">
        <v>38</v>
      </c>
      <c r="F4440">
        <f t="shared" ca="1" si="140"/>
        <v>2.7444444444444445</v>
      </c>
      <c r="G4440">
        <f t="shared" ca="1" si="141"/>
        <v>0</v>
      </c>
    </row>
    <row r="4441" spans="1:7">
      <c r="A4441">
        <v>4921</v>
      </c>
      <c r="B4441" t="s">
        <v>43</v>
      </c>
      <c r="C4441" t="s">
        <v>127</v>
      </c>
      <c r="D4441" s="9">
        <v>41032.434502314813</v>
      </c>
      <c r="E4441" t="s">
        <v>44</v>
      </c>
      <c r="F4441">
        <f t="shared" ca="1" si="140"/>
        <v>2.7388888888888889</v>
      </c>
      <c r="G4441">
        <f t="shared" ca="1" si="141"/>
        <v>0</v>
      </c>
    </row>
    <row r="4442" spans="1:7">
      <c r="A4442">
        <v>4924</v>
      </c>
      <c r="B4442" t="s">
        <v>8</v>
      </c>
      <c r="C4442" t="s">
        <v>127</v>
      </c>
      <c r="D4442" s="9">
        <v>41029.84412037037</v>
      </c>
      <c r="E4442" t="s">
        <v>38</v>
      </c>
      <c r="F4442">
        <f t="shared" ca="1" si="140"/>
        <v>2.7472222222222222</v>
      </c>
      <c r="G4442">
        <f t="shared" ca="1" si="141"/>
        <v>0</v>
      </c>
    </row>
    <row r="4443" spans="1:7">
      <c r="A4443">
        <v>4925</v>
      </c>
      <c r="B4443" t="s">
        <v>43</v>
      </c>
      <c r="C4443" t="s">
        <v>127</v>
      </c>
      <c r="D4443" s="9">
        <v>41030.642291666663</v>
      </c>
      <c r="E4443" t="s">
        <v>34</v>
      </c>
      <c r="F4443">
        <f t="shared" ca="1" si="140"/>
        <v>2.7444444444444445</v>
      </c>
      <c r="G4443">
        <f t="shared" ca="1" si="141"/>
        <v>0</v>
      </c>
    </row>
    <row r="4444" spans="1:7">
      <c r="A4444">
        <v>4927</v>
      </c>
      <c r="B4444" t="s">
        <v>11</v>
      </c>
      <c r="C4444" t="s">
        <v>127</v>
      </c>
      <c r="D4444" s="9">
        <v>41029.68681712963</v>
      </c>
      <c r="E4444" t="s">
        <v>21</v>
      </c>
      <c r="F4444">
        <f t="shared" ca="1" si="140"/>
        <v>2.7472222222222222</v>
      </c>
      <c r="G4444">
        <f t="shared" ca="1" si="141"/>
        <v>0</v>
      </c>
    </row>
    <row r="4445" spans="1:7">
      <c r="A4445">
        <v>4932</v>
      </c>
      <c r="B4445" t="s">
        <v>19</v>
      </c>
      <c r="C4445" t="s">
        <v>127</v>
      </c>
      <c r="D4445" s="9">
        <v>41029.668530092589</v>
      </c>
      <c r="E4445" t="s">
        <v>99</v>
      </c>
      <c r="F4445">
        <f t="shared" ca="1" si="140"/>
        <v>2.7472222222222222</v>
      </c>
      <c r="G4445">
        <f t="shared" ca="1" si="141"/>
        <v>0</v>
      </c>
    </row>
    <row r="4446" spans="1:7">
      <c r="A4446">
        <v>4935</v>
      </c>
      <c r="B4446" t="s">
        <v>99</v>
      </c>
      <c r="C4446" t="s">
        <v>127</v>
      </c>
      <c r="D4446" s="9">
        <v>41031.610347222224</v>
      </c>
      <c r="E4446" t="s">
        <v>19</v>
      </c>
      <c r="F4446">
        <f t="shared" ca="1" si="140"/>
        <v>2.7416666666666667</v>
      </c>
      <c r="G4446">
        <f t="shared" ca="1" si="141"/>
        <v>0</v>
      </c>
    </row>
    <row r="4447" spans="1:7">
      <c r="A4447">
        <v>4936</v>
      </c>
      <c r="B4447" t="s">
        <v>8</v>
      </c>
      <c r="C4447" t="s">
        <v>168</v>
      </c>
      <c r="D4447" s="9">
        <v>40981.584849537037</v>
      </c>
      <c r="E4447" t="s">
        <v>34</v>
      </c>
      <c r="F4447">
        <f t="shared" ca="1" si="140"/>
        <v>2.8777777777777778</v>
      </c>
      <c r="G4447">
        <f t="shared" ca="1" si="141"/>
        <v>0</v>
      </c>
    </row>
    <row r="4448" spans="1:7">
      <c r="A4448">
        <v>4937</v>
      </c>
      <c r="B4448" t="s">
        <v>8</v>
      </c>
      <c r="C4448" t="s">
        <v>119</v>
      </c>
      <c r="D4448" s="9">
        <v>41591.846226851849</v>
      </c>
      <c r="E4448" t="s">
        <v>36</v>
      </c>
      <c r="F4448">
        <f t="shared" ca="1" si="140"/>
        <v>1.211111111111111</v>
      </c>
      <c r="G4448">
        <f t="shared" ca="1" si="141"/>
        <v>0</v>
      </c>
    </row>
    <row r="4449" spans="1:7">
      <c r="A4449">
        <v>4938</v>
      </c>
      <c r="B4449" t="s">
        <v>20</v>
      </c>
      <c r="C4449" t="s">
        <v>127</v>
      </c>
      <c r="D4449" s="9">
        <v>41031.671817129631</v>
      </c>
      <c r="E4449" t="s">
        <v>38</v>
      </c>
      <c r="F4449">
        <f t="shared" ca="1" si="140"/>
        <v>2.7416666666666667</v>
      </c>
      <c r="G4449">
        <f t="shared" ca="1" si="141"/>
        <v>0</v>
      </c>
    </row>
    <row r="4450" spans="1:7">
      <c r="A4450">
        <v>4939</v>
      </c>
      <c r="B4450" t="s">
        <v>99</v>
      </c>
      <c r="C4450" t="s">
        <v>127</v>
      </c>
      <c r="D4450" s="9">
        <v>41030.452141203707</v>
      </c>
      <c r="E4450" t="s">
        <v>19</v>
      </c>
      <c r="F4450">
        <f t="shared" ca="1" si="140"/>
        <v>2.7444444444444445</v>
      </c>
      <c r="G4450">
        <f t="shared" ca="1" si="141"/>
        <v>0</v>
      </c>
    </row>
    <row r="4451" spans="1:7">
      <c r="A4451">
        <v>4943</v>
      </c>
      <c r="B4451" t="s">
        <v>19</v>
      </c>
      <c r="C4451" t="s">
        <v>127</v>
      </c>
      <c r="D4451" s="9">
        <v>41030.91846064815</v>
      </c>
      <c r="E4451" t="s">
        <v>27</v>
      </c>
      <c r="F4451">
        <f t="shared" ca="1" si="140"/>
        <v>2.7444444444444445</v>
      </c>
      <c r="G4451">
        <f t="shared" ca="1" si="141"/>
        <v>0</v>
      </c>
    </row>
    <row r="4452" spans="1:7">
      <c r="A4452">
        <v>4944</v>
      </c>
      <c r="B4452" t="s">
        <v>19</v>
      </c>
      <c r="C4452" t="s">
        <v>127</v>
      </c>
      <c r="D4452" s="9">
        <v>41029.769641203704</v>
      </c>
      <c r="E4452" t="s">
        <v>38</v>
      </c>
      <c r="F4452">
        <f t="shared" ca="1" si="140"/>
        <v>2.7472222222222222</v>
      </c>
      <c r="G4452">
        <f t="shared" ca="1" si="141"/>
        <v>0</v>
      </c>
    </row>
    <row r="4453" spans="1:7">
      <c r="A4453">
        <v>4946</v>
      </c>
      <c r="B4453" t="s">
        <v>19</v>
      </c>
      <c r="C4453" t="s">
        <v>127</v>
      </c>
      <c r="D4453" s="9">
        <v>41029.665601851855</v>
      </c>
      <c r="E4453" t="s">
        <v>27</v>
      </c>
      <c r="F4453">
        <f t="shared" ca="1" si="140"/>
        <v>2.7472222222222222</v>
      </c>
      <c r="G4453">
        <f t="shared" ca="1" si="141"/>
        <v>0</v>
      </c>
    </row>
    <row r="4454" spans="1:7">
      <c r="A4454">
        <v>4947</v>
      </c>
      <c r="B4454" t="s">
        <v>27</v>
      </c>
      <c r="C4454" t="s">
        <v>127</v>
      </c>
      <c r="D4454" s="9">
        <v>41031.877928240741</v>
      </c>
      <c r="E4454" t="s">
        <v>99</v>
      </c>
      <c r="F4454">
        <f t="shared" ca="1" si="140"/>
        <v>2.7416666666666667</v>
      </c>
      <c r="G4454">
        <f t="shared" ca="1" si="141"/>
        <v>0</v>
      </c>
    </row>
    <row r="4455" spans="1:7">
      <c r="A4455">
        <v>4949</v>
      </c>
      <c r="B4455" t="s">
        <v>8</v>
      </c>
      <c r="C4455" t="s">
        <v>127</v>
      </c>
      <c r="D4455" s="9">
        <v>41029.666527777779</v>
      </c>
      <c r="E4455" t="s">
        <v>19</v>
      </c>
      <c r="F4455">
        <f t="shared" ca="1" si="140"/>
        <v>2.7472222222222222</v>
      </c>
      <c r="G4455">
        <f t="shared" ca="1" si="141"/>
        <v>0</v>
      </c>
    </row>
    <row r="4456" spans="1:7">
      <c r="A4456">
        <v>4950</v>
      </c>
      <c r="B4456" t="s">
        <v>8</v>
      </c>
      <c r="C4456" t="s">
        <v>127</v>
      </c>
      <c r="D4456" s="9">
        <v>41030.72016203704</v>
      </c>
      <c r="E4456" t="s">
        <v>36</v>
      </c>
      <c r="F4456">
        <f t="shared" ca="1" si="140"/>
        <v>2.7444444444444445</v>
      </c>
      <c r="G4456">
        <f t="shared" ca="1" si="141"/>
        <v>0</v>
      </c>
    </row>
    <row r="4457" spans="1:7">
      <c r="A4457">
        <v>4953</v>
      </c>
      <c r="B4457" t="s">
        <v>99</v>
      </c>
      <c r="C4457" t="s">
        <v>127</v>
      </c>
      <c r="D4457" s="9">
        <v>41030.873379629629</v>
      </c>
      <c r="E4457" t="s">
        <v>111</v>
      </c>
      <c r="F4457">
        <f t="shared" ca="1" si="140"/>
        <v>2.7444444444444445</v>
      </c>
      <c r="G4457">
        <f t="shared" ca="1" si="141"/>
        <v>0</v>
      </c>
    </row>
    <row r="4458" spans="1:7">
      <c r="A4458">
        <v>4954</v>
      </c>
      <c r="B4458" t="s">
        <v>54</v>
      </c>
      <c r="C4458" t="s">
        <v>126</v>
      </c>
      <c r="D4458" s="9">
        <v>41135.82304398148</v>
      </c>
      <c r="E4458" t="s">
        <v>32</v>
      </c>
      <c r="F4458">
        <f t="shared" ca="1" si="140"/>
        <v>2.4583333333333335</v>
      </c>
      <c r="G4458">
        <f t="shared" ca="1" si="141"/>
        <v>0</v>
      </c>
    </row>
    <row r="4459" spans="1:7">
      <c r="A4459">
        <v>4955</v>
      </c>
      <c r="B4459" t="s">
        <v>30</v>
      </c>
      <c r="C4459" t="s">
        <v>127</v>
      </c>
      <c r="D4459" s="9">
        <v>41030.634039351855</v>
      </c>
      <c r="E4459" t="s">
        <v>143</v>
      </c>
      <c r="F4459">
        <f t="shared" ca="1" si="140"/>
        <v>2.7444444444444445</v>
      </c>
      <c r="G4459">
        <f t="shared" ca="1" si="141"/>
        <v>0</v>
      </c>
    </row>
    <row r="4460" spans="1:7">
      <c r="A4460">
        <v>4956</v>
      </c>
      <c r="B4460" t="s">
        <v>30</v>
      </c>
      <c r="C4460" t="s">
        <v>127</v>
      </c>
      <c r="D4460" s="9">
        <v>41030.647986111115</v>
      </c>
      <c r="E4460" t="s">
        <v>34</v>
      </c>
      <c r="F4460">
        <f t="shared" ca="1" si="140"/>
        <v>2.7444444444444445</v>
      </c>
      <c r="G4460">
        <f t="shared" ca="1" si="141"/>
        <v>0</v>
      </c>
    </row>
    <row r="4461" spans="1:7">
      <c r="A4461">
        <v>4957</v>
      </c>
      <c r="B4461" t="s">
        <v>30</v>
      </c>
      <c r="C4461" t="s">
        <v>127</v>
      </c>
      <c r="D4461" s="9">
        <v>41030.560648148145</v>
      </c>
      <c r="E4461" t="s">
        <v>143</v>
      </c>
      <c r="F4461">
        <f t="shared" ca="1" si="140"/>
        <v>2.7444444444444445</v>
      </c>
      <c r="G4461">
        <f t="shared" ca="1" si="141"/>
        <v>0</v>
      </c>
    </row>
    <row r="4462" spans="1:7">
      <c r="A4462">
        <v>4958</v>
      </c>
      <c r="B4462" t="s">
        <v>30</v>
      </c>
      <c r="C4462" t="s">
        <v>127</v>
      </c>
      <c r="D4462" s="9">
        <v>41030.667071759257</v>
      </c>
      <c r="E4462" t="s">
        <v>143</v>
      </c>
      <c r="F4462">
        <f t="shared" ca="1" si="140"/>
        <v>2.7444444444444445</v>
      </c>
      <c r="G4462">
        <f t="shared" ca="1" si="141"/>
        <v>0</v>
      </c>
    </row>
    <row r="4463" spans="1:7">
      <c r="A4463">
        <v>4959</v>
      </c>
      <c r="B4463" t="s">
        <v>38</v>
      </c>
      <c r="C4463" t="s">
        <v>127</v>
      </c>
      <c r="D4463" s="9">
        <v>41029.677743055552</v>
      </c>
      <c r="E4463" t="s">
        <v>36</v>
      </c>
      <c r="F4463">
        <f t="shared" ca="1" si="140"/>
        <v>2.7472222222222222</v>
      </c>
      <c r="G4463">
        <f t="shared" ca="1" si="141"/>
        <v>0</v>
      </c>
    </row>
    <row r="4464" spans="1:7">
      <c r="A4464">
        <v>4960</v>
      </c>
      <c r="B4464" t="s">
        <v>104</v>
      </c>
      <c r="C4464" t="s">
        <v>127</v>
      </c>
      <c r="D4464" s="9">
        <v>41032.750439814816</v>
      </c>
      <c r="E4464" t="s">
        <v>23</v>
      </c>
      <c r="F4464">
        <f t="shared" ca="1" si="140"/>
        <v>2.7388888888888889</v>
      </c>
      <c r="G4464">
        <f t="shared" ca="1" si="141"/>
        <v>0</v>
      </c>
    </row>
    <row r="4465" spans="1:7">
      <c r="A4465">
        <v>4962</v>
      </c>
      <c r="B4465" t="s">
        <v>99</v>
      </c>
      <c r="C4465" t="s">
        <v>127</v>
      </c>
      <c r="D4465" s="9">
        <v>41030.592152777775</v>
      </c>
      <c r="E4465" t="s">
        <v>34</v>
      </c>
      <c r="F4465">
        <f t="shared" ca="1" si="140"/>
        <v>2.7444444444444445</v>
      </c>
      <c r="G4465">
        <f t="shared" ca="1" si="141"/>
        <v>0</v>
      </c>
    </row>
    <row r="4466" spans="1:7">
      <c r="A4466">
        <v>4963</v>
      </c>
      <c r="B4466" t="s">
        <v>30</v>
      </c>
      <c r="C4466" t="s">
        <v>121</v>
      </c>
      <c r="D4466" s="9">
        <v>41467.652199074073</v>
      </c>
      <c r="E4466" t="s">
        <v>27</v>
      </c>
      <c r="F4466">
        <f t="shared" ca="1" si="140"/>
        <v>1.5472222222222223</v>
      </c>
      <c r="G4466">
        <f t="shared" ca="1" si="141"/>
        <v>0</v>
      </c>
    </row>
    <row r="4467" spans="1:7">
      <c r="A4467">
        <v>4964</v>
      </c>
      <c r="B4467" t="s">
        <v>8</v>
      </c>
      <c r="C4467" t="s">
        <v>168</v>
      </c>
      <c r="D4467" s="9">
        <v>40984.402557870373</v>
      </c>
      <c r="E4467" t="s">
        <v>30</v>
      </c>
      <c r="F4467">
        <f t="shared" ca="1" si="140"/>
        <v>2.8694444444444445</v>
      </c>
      <c r="G4467">
        <f t="shared" ca="1" si="141"/>
        <v>0</v>
      </c>
    </row>
    <row r="4468" spans="1:7">
      <c r="A4468">
        <v>4965</v>
      </c>
      <c r="B4468" t="s">
        <v>8</v>
      </c>
      <c r="C4468" t="s">
        <v>168</v>
      </c>
      <c r="D4468" s="9">
        <v>40982.08390046296</v>
      </c>
      <c r="E4468" t="s">
        <v>34</v>
      </c>
      <c r="F4468">
        <f t="shared" ca="1" si="140"/>
        <v>2.875</v>
      </c>
      <c r="G4468">
        <f t="shared" ca="1" si="141"/>
        <v>0</v>
      </c>
    </row>
    <row r="4469" spans="1:7">
      <c r="A4469">
        <v>4966</v>
      </c>
      <c r="B4469" t="s">
        <v>8</v>
      </c>
      <c r="C4469" t="s">
        <v>168</v>
      </c>
      <c r="D4469" s="9">
        <v>40982.561967592592</v>
      </c>
      <c r="E4469" t="s">
        <v>34</v>
      </c>
      <c r="F4469">
        <f t="shared" ca="1" si="140"/>
        <v>2.875</v>
      </c>
      <c r="G4469">
        <f t="shared" ca="1" si="141"/>
        <v>0</v>
      </c>
    </row>
    <row r="4470" spans="1:7">
      <c r="A4470">
        <v>4968</v>
      </c>
      <c r="B4470" t="s">
        <v>43</v>
      </c>
      <c r="C4470" t="s">
        <v>127</v>
      </c>
      <c r="D4470" s="9">
        <v>41032.437384259261</v>
      </c>
      <c r="E4470" t="s">
        <v>44</v>
      </c>
      <c r="F4470">
        <f t="shared" ca="1" si="140"/>
        <v>2.7388888888888889</v>
      </c>
      <c r="G4470">
        <f t="shared" ca="1" si="141"/>
        <v>0</v>
      </c>
    </row>
    <row r="4471" spans="1:7">
      <c r="A4471">
        <v>4970</v>
      </c>
      <c r="B4471" t="s">
        <v>99</v>
      </c>
      <c r="C4471" t="s">
        <v>127</v>
      </c>
      <c r="D4471" s="9">
        <v>41031.926307870373</v>
      </c>
      <c r="E4471" t="s">
        <v>38</v>
      </c>
      <c r="F4471">
        <f t="shared" ca="1" si="140"/>
        <v>2.7416666666666667</v>
      </c>
      <c r="G4471">
        <f t="shared" ca="1" si="141"/>
        <v>0</v>
      </c>
    </row>
    <row r="4472" spans="1:7">
      <c r="A4472">
        <v>4973</v>
      </c>
      <c r="B4472" t="s">
        <v>27</v>
      </c>
      <c r="C4472" t="s">
        <v>127</v>
      </c>
      <c r="D4472" s="9">
        <v>41031.883391203701</v>
      </c>
      <c r="E4472" t="s">
        <v>99</v>
      </c>
      <c r="F4472">
        <f t="shared" ca="1" si="140"/>
        <v>2.7416666666666667</v>
      </c>
      <c r="G4472">
        <f t="shared" ca="1" si="141"/>
        <v>0</v>
      </c>
    </row>
    <row r="4473" spans="1:7">
      <c r="A4473">
        <v>4974</v>
      </c>
      <c r="B4473" t="s">
        <v>99</v>
      </c>
      <c r="C4473" t="s">
        <v>127</v>
      </c>
      <c r="D4473" s="9">
        <v>41032.511863425927</v>
      </c>
      <c r="E4473" t="s">
        <v>11</v>
      </c>
      <c r="F4473">
        <f t="shared" ca="1" si="140"/>
        <v>2.7388888888888889</v>
      </c>
      <c r="G4473">
        <f t="shared" ca="1" si="141"/>
        <v>0</v>
      </c>
    </row>
    <row r="4474" spans="1:7">
      <c r="A4474">
        <v>4976</v>
      </c>
      <c r="B4474" t="s">
        <v>32</v>
      </c>
      <c r="C4474" t="s">
        <v>127</v>
      </c>
      <c r="D4474" s="9">
        <v>41030.774236111109</v>
      </c>
      <c r="E4474" t="s">
        <v>11</v>
      </c>
      <c r="F4474">
        <f t="shared" ca="1" si="140"/>
        <v>2.7444444444444445</v>
      </c>
      <c r="G4474">
        <f t="shared" ca="1" si="141"/>
        <v>0</v>
      </c>
    </row>
    <row r="4475" spans="1:7">
      <c r="A4475">
        <v>4979</v>
      </c>
      <c r="B4475" t="s">
        <v>38</v>
      </c>
      <c r="C4475" t="s">
        <v>127</v>
      </c>
      <c r="D4475" s="9">
        <v>41030.710578703707</v>
      </c>
      <c r="E4475" t="s">
        <v>36</v>
      </c>
      <c r="F4475">
        <f t="shared" ca="1" si="140"/>
        <v>2.7444444444444445</v>
      </c>
      <c r="G4475">
        <f t="shared" ca="1" si="141"/>
        <v>0</v>
      </c>
    </row>
    <row r="4476" spans="1:7">
      <c r="A4476">
        <v>4980</v>
      </c>
      <c r="B4476" t="s">
        <v>32</v>
      </c>
      <c r="C4476" t="s">
        <v>127</v>
      </c>
      <c r="D4476" s="9">
        <v>41032.953240740739</v>
      </c>
      <c r="E4476" t="s">
        <v>11</v>
      </c>
      <c r="F4476">
        <f t="shared" ca="1" si="140"/>
        <v>2.7388888888888889</v>
      </c>
      <c r="G4476">
        <f t="shared" ca="1" si="141"/>
        <v>0</v>
      </c>
    </row>
    <row r="4477" spans="1:7">
      <c r="A4477">
        <v>4981</v>
      </c>
      <c r="B4477" t="s">
        <v>44</v>
      </c>
      <c r="C4477" t="s">
        <v>127</v>
      </c>
      <c r="D4477" s="9">
        <v>41029.894328703704</v>
      </c>
      <c r="E4477" t="s">
        <v>43</v>
      </c>
      <c r="F4477">
        <f t="shared" ca="1" si="140"/>
        <v>2.7472222222222222</v>
      </c>
      <c r="G4477">
        <f t="shared" ca="1" si="141"/>
        <v>0</v>
      </c>
    </row>
    <row r="4478" spans="1:7">
      <c r="A4478">
        <v>4984</v>
      </c>
      <c r="B4478" t="s">
        <v>20</v>
      </c>
      <c r="C4478" t="s">
        <v>127</v>
      </c>
      <c r="D4478" s="9">
        <v>41030.612824074073</v>
      </c>
      <c r="E4478" t="s">
        <v>32</v>
      </c>
      <c r="F4478">
        <f t="shared" ca="1" si="140"/>
        <v>2.7444444444444445</v>
      </c>
      <c r="G4478">
        <f t="shared" ca="1" si="141"/>
        <v>0</v>
      </c>
    </row>
    <row r="4479" spans="1:7">
      <c r="A4479">
        <v>4985</v>
      </c>
      <c r="B4479" t="s">
        <v>20</v>
      </c>
      <c r="C4479" t="s">
        <v>127</v>
      </c>
      <c r="D4479" s="9">
        <v>41029.82644675926</v>
      </c>
      <c r="E4479" t="s">
        <v>21</v>
      </c>
      <c r="F4479">
        <f t="shared" ca="1" si="140"/>
        <v>2.7472222222222222</v>
      </c>
      <c r="G4479">
        <f t="shared" ca="1" si="141"/>
        <v>0</v>
      </c>
    </row>
    <row r="4480" spans="1:7">
      <c r="A4480">
        <v>4987</v>
      </c>
      <c r="B4480" t="s">
        <v>38</v>
      </c>
      <c r="C4480" t="s">
        <v>127</v>
      </c>
      <c r="D4480" s="9">
        <v>41031.803414351853</v>
      </c>
      <c r="E4480" t="s">
        <v>43</v>
      </c>
      <c r="F4480">
        <f t="shared" ca="1" si="140"/>
        <v>2.7416666666666667</v>
      </c>
      <c r="G4480">
        <f t="shared" ca="1" si="141"/>
        <v>0</v>
      </c>
    </row>
    <row r="4481" spans="1:7">
      <c r="A4481">
        <v>4988</v>
      </c>
      <c r="B4481" t="s">
        <v>27</v>
      </c>
      <c r="C4481" t="s">
        <v>127</v>
      </c>
      <c r="D4481" s="9">
        <v>41029.611504629633</v>
      </c>
      <c r="E4481" t="s">
        <v>19</v>
      </c>
      <c r="F4481">
        <f t="shared" ca="1" si="140"/>
        <v>2.7472222222222222</v>
      </c>
      <c r="G4481">
        <f t="shared" ca="1" si="141"/>
        <v>0</v>
      </c>
    </row>
    <row r="4482" spans="1:7">
      <c r="A4482">
        <v>4989</v>
      </c>
      <c r="B4482" t="s">
        <v>8</v>
      </c>
      <c r="C4482" t="s">
        <v>127</v>
      </c>
      <c r="D4482" s="9">
        <v>41030.154502314814</v>
      </c>
      <c r="E4482" t="s">
        <v>36</v>
      </c>
      <c r="F4482">
        <f t="shared" ca="1" si="140"/>
        <v>2.7444444444444445</v>
      </c>
      <c r="G4482">
        <f t="shared" ca="1" si="141"/>
        <v>0</v>
      </c>
    </row>
    <row r="4483" spans="1:7">
      <c r="A4483">
        <v>4990</v>
      </c>
      <c r="B4483" t="s">
        <v>99</v>
      </c>
      <c r="C4483" t="s">
        <v>127</v>
      </c>
      <c r="D4483" s="9">
        <v>41031.770277777781</v>
      </c>
      <c r="E4483" t="s">
        <v>32</v>
      </c>
      <c r="F4483">
        <f t="shared" ca="1" si="140"/>
        <v>2.7416666666666667</v>
      </c>
      <c r="G4483">
        <f t="shared" ca="1" si="141"/>
        <v>0</v>
      </c>
    </row>
    <row r="4484" spans="1:7">
      <c r="A4484">
        <v>4991</v>
      </c>
      <c r="B4484" t="s">
        <v>8</v>
      </c>
      <c r="C4484" t="s">
        <v>127</v>
      </c>
      <c r="D4484" s="9">
        <v>41029.709861111114</v>
      </c>
      <c r="E4484" t="s">
        <v>19</v>
      </c>
      <c r="F4484">
        <f t="shared" ca="1" si="140"/>
        <v>2.7472222222222222</v>
      </c>
      <c r="G4484">
        <f t="shared" ca="1" si="141"/>
        <v>0</v>
      </c>
    </row>
    <row r="4485" spans="1:7">
      <c r="A4485">
        <v>4993</v>
      </c>
      <c r="B4485" t="s">
        <v>143</v>
      </c>
      <c r="C4485" t="s">
        <v>127</v>
      </c>
      <c r="D4485" s="9">
        <v>41029.646782407406</v>
      </c>
      <c r="E4485" t="s">
        <v>44</v>
      </c>
      <c r="F4485">
        <f t="shared" ca="1" si="140"/>
        <v>2.7472222222222222</v>
      </c>
      <c r="G4485">
        <f t="shared" ca="1" si="141"/>
        <v>0</v>
      </c>
    </row>
    <row r="4486" spans="1:7">
      <c r="A4486">
        <v>4997</v>
      </c>
      <c r="B4486" t="s">
        <v>99</v>
      </c>
      <c r="C4486" t="s">
        <v>127</v>
      </c>
      <c r="D4486" s="9">
        <v>41030.76394675926</v>
      </c>
      <c r="E4486" t="s">
        <v>27</v>
      </c>
      <c r="F4486">
        <f t="shared" ca="1" si="140"/>
        <v>2.7444444444444445</v>
      </c>
      <c r="G4486">
        <f t="shared" ca="1" si="141"/>
        <v>0</v>
      </c>
    </row>
    <row r="4487" spans="1:7">
      <c r="A4487">
        <v>4998</v>
      </c>
      <c r="B4487" t="s">
        <v>32</v>
      </c>
      <c r="C4487" t="s">
        <v>126</v>
      </c>
      <c r="D4487" s="9">
        <v>41130.817685185182</v>
      </c>
      <c r="E4487" t="s">
        <v>27</v>
      </c>
      <c r="F4487">
        <f t="shared" ref="F4487:F4550" ca="1" si="142">YEARFRAC(TODAY(),$D4487)</f>
        <v>2.4722222222222223</v>
      </c>
      <c r="G4487">
        <f t="shared" ref="G4487:G4550" ca="1" si="143">IF($F4487&lt;1,1,0)</f>
        <v>0</v>
      </c>
    </row>
    <row r="4488" spans="1:7">
      <c r="A4488">
        <v>4999</v>
      </c>
      <c r="B4488" t="s">
        <v>18</v>
      </c>
      <c r="C4488" t="s">
        <v>120</v>
      </c>
      <c r="D4488" s="9">
        <v>41516.708692129629</v>
      </c>
      <c r="E4488" t="s">
        <v>34</v>
      </c>
      <c r="F4488">
        <f t="shared" ca="1" si="142"/>
        <v>1.413888888888889</v>
      </c>
      <c r="G4488">
        <f t="shared" ca="1" si="143"/>
        <v>0</v>
      </c>
    </row>
    <row r="4489" spans="1:7">
      <c r="A4489">
        <v>5000</v>
      </c>
      <c r="B4489" t="s">
        <v>99</v>
      </c>
      <c r="C4489" t="s">
        <v>127</v>
      </c>
      <c r="D4489" s="9">
        <v>41031.638425925928</v>
      </c>
      <c r="E4489" t="s">
        <v>19</v>
      </c>
      <c r="F4489">
        <f t="shared" ca="1" si="142"/>
        <v>2.7416666666666667</v>
      </c>
      <c r="G4489">
        <f t="shared" ca="1" si="143"/>
        <v>0</v>
      </c>
    </row>
    <row r="4490" spans="1:7">
      <c r="A4490">
        <v>5001</v>
      </c>
      <c r="B4490" t="s">
        <v>99</v>
      </c>
      <c r="C4490" t="s">
        <v>127</v>
      </c>
      <c r="D4490" s="9">
        <v>41030.690763888888</v>
      </c>
      <c r="E4490" t="s">
        <v>27</v>
      </c>
      <c r="F4490">
        <f t="shared" ca="1" si="142"/>
        <v>2.7444444444444445</v>
      </c>
      <c r="G4490">
        <f t="shared" ca="1" si="143"/>
        <v>0</v>
      </c>
    </row>
    <row r="4491" spans="1:7">
      <c r="A4491">
        <v>5002</v>
      </c>
      <c r="B4491" t="s">
        <v>99</v>
      </c>
      <c r="C4491" t="s">
        <v>127</v>
      </c>
      <c r="D4491" s="9">
        <v>41031.709409722222</v>
      </c>
      <c r="E4491" t="s">
        <v>38</v>
      </c>
      <c r="F4491">
        <f t="shared" ca="1" si="142"/>
        <v>2.7416666666666667</v>
      </c>
      <c r="G4491">
        <f t="shared" ca="1" si="143"/>
        <v>0</v>
      </c>
    </row>
    <row r="4492" spans="1:7">
      <c r="A4492">
        <v>5003</v>
      </c>
      <c r="B4492" t="s">
        <v>34</v>
      </c>
      <c r="C4492" t="s">
        <v>127</v>
      </c>
      <c r="D4492" s="9">
        <v>41033.370983796296</v>
      </c>
      <c r="E4492" t="s">
        <v>44</v>
      </c>
      <c r="F4492">
        <f t="shared" ca="1" si="142"/>
        <v>2.7361111111111112</v>
      </c>
      <c r="G4492">
        <f t="shared" ca="1" si="143"/>
        <v>0</v>
      </c>
    </row>
    <row r="4493" spans="1:7">
      <c r="A4493">
        <v>5004</v>
      </c>
      <c r="B4493" t="s">
        <v>20</v>
      </c>
      <c r="C4493" t="s">
        <v>127</v>
      </c>
      <c r="D4493" s="9">
        <v>41031.604201388887</v>
      </c>
      <c r="E4493" t="s">
        <v>38</v>
      </c>
      <c r="F4493">
        <f t="shared" ca="1" si="142"/>
        <v>2.7416666666666667</v>
      </c>
      <c r="G4493">
        <f t="shared" ca="1" si="143"/>
        <v>0</v>
      </c>
    </row>
    <row r="4494" spans="1:7">
      <c r="A4494">
        <v>5007</v>
      </c>
      <c r="B4494" t="s">
        <v>14</v>
      </c>
      <c r="C4494" t="s">
        <v>120</v>
      </c>
      <c r="D4494" s="9">
        <v>41495.527060185188</v>
      </c>
      <c r="E4494" t="s">
        <v>24</v>
      </c>
      <c r="F4494">
        <f t="shared" ca="1" si="142"/>
        <v>1.4722222222222223</v>
      </c>
      <c r="G4494">
        <f t="shared" ca="1" si="143"/>
        <v>0</v>
      </c>
    </row>
    <row r="4495" spans="1:7">
      <c r="A4495">
        <v>5008</v>
      </c>
      <c r="B4495" t="s">
        <v>14</v>
      </c>
      <c r="C4495" t="s">
        <v>120</v>
      </c>
      <c r="D4495" s="9">
        <v>41570.440659722219</v>
      </c>
      <c r="E4495" t="s">
        <v>18</v>
      </c>
      <c r="F4495">
        <f t="shared" ca="1" si="142"/>
        <v>1.2666666666666666</v>
      </c>
      <c r="G4495">
        <f t="shared" ca="1" si="143"/>
        <v>0</v>
      </c>
    </row>
    <row r="4496" spans="1:7">
      <c r="A4496">
        <v>5011</v>
      </c>
      <c r="B4496" t="s">
        <v>34</v>
      </c>
      <c r="C4496" t="s">
        <v>127</v>
      </c>
      <c r="D4496" s="9">
        <v>41029.761423611111</v>
      </c>
      <c r="E4496" t="s">
        <v>99</v>
      </c>
      <c r="F4496">
        <f t="shared" ca="1" si="142"/>
        <v>2.7472222222222222</v>
      </c>
      <c r="G4496">
        <f t="shared" ca="1" si="143"/>
        <v>0</v>
      </c>
    </row>
    <row r="4497" spans="1:7">
      <c r="A4497">
        <v>5013</v>
      </c>
      <c r="B4497" t="s">
        <v>11</v>
      </c>
      <c r="C4497" t="s">
        <v>126</v>
      </c>
      <c r="D4497" s="9">
        <v>41127.695844907408</v>
      </c>
      <c r="E4497" t="s">
        <v>37</v>
      </c>
      <c r="F4497">
        <f t="shared" ca="1" si="142"/>
        <v>2.4805555555555556</v>
      </c>
      <c r="G4497">
        <f t="shared" ca="1" si="143"/>
        <v>0</v>
      </c>
    </row>
    <row r="4498" spans="1:7">
      <c r="A4498">
        <v>5015</v>
      </c>
      <c r="B4498" t="s">
        <v>44</v>
      </c>
      <c r="C4498" t="s">
        <v>127</v>
      </c>
      <c r="D4498" s="9">
        <v>41029.920069444444</v>
      </c>
      <c r="E4498" t="s">
        <v>38</v>
      </c>
      <c r="F4498">
        <f t="shared" ca="1" si="142"/>
        <v>2.7472222222222222</v>
      </c>
      <c r="G4498">
        <f t="shared" ca="1" si="143"/>
        <v>0</v>
      </c>
    </row>
    <row r="4499" spans="1:7">
      <c r="A4499">
        <v>5016</v>
      </c>
      <c r="B4499" t="s">
        <v>19</v>
      </c>
      <c r="C4499" t="s">
        <v>126</v>
      </c>
      <c r="D4499" s="9">
        <v>41130.364317129628</v>
      </c>
      <c r="E4499" t="s">
        <v>44</v>
      </c>
      <c r="F4499">
        <f t="shared" ca="1" si="142"/>
        <v>2.4722222222222223</v>
      </c>
      <c r="G4499">
        <f t="shared" ca="1" si="143"/>
        <v>0</v>
      </c>
    </row>
    <row r="4500" spans="1:7">
      <c r="A4500">
        <v>5018</v>
      </c>
      <c r="B4500" t="s">
        <v>19</v>
      </c>
      <c r="C4500" t="s">
        <v>127</v>
      </c>
      <c r="D4500" s="9">
        <v>41029.71503472222</v>
      </c>
      <c r="E4500" t="s">
        <v>99</v>
      </c>
      <c r="F4500">
        <f t="shared" ca="1" si="142"/>
        <v>2.7472222222222222</v>
      </c>
      <c r="G4500">
        <f t="shared" ca="1" si="143"/>
        <v>0</v>
      </c>
    </row>
    <row r="4501" spans="1:7">
      <c r="A4501">
        <v>5019</v>
      </c>
      <c r="B4501" t="s">
        <v>32</v>
      </c>
      <c r="C4501" t="s">
        <v>127</v>
      </c>
      <c r="D4501" s="9">
        <v>41029.934374999997</v>
      </c>
      <c r="E4501" t="s">
        <v>99</v>
      </c>
      <c r="F4501">
        <f t="shared" ca="1" si="142"/>
        <v>2.7472222222222222</v>
      </c>
      <c r="G4501">
        <f t="shared" ca="1" si="143"/>
        <v>0</v>
      </c>
    </row>
    <row r="4502" spans="1:7">
      <c r="A4502">
        <v>5020</v>
      </c>
      <c r="B4502" t="s">
        <v>19</v>
      </c>
      <c r="C4502" t="s">
        <v>127</v>
      </c>
      <c r="D4502" s="9">
        <v>41030.694374999999</v>
      </c>
      <c r="E4502" t="s">
        <v>37</v>
      </c>
      <c r="F4502">
        <f t="shared" ca="1" si="142"/>
        <v>2.7444444444444445</v>
      </c>
      <c r="G4502">
        <f t="shared" ca="1" si="143"/>
        <v>0</v>
      </c>
    </row>
    <row r="4503" spans="1:7">
      <c r="A4503">
        <v>5022</v>
      </c>
      <c r="B4503" t="s">
        <v>21</v>
      </c>
      <c r="C4503" t="s">
        <v>127</v>
      </c>
      <c r="D4503" s="9">
        <v>41029.846168981479</v>
      </c>
      <c r="E4503" t="s">
        <v>32</v>
      </c>
      <c r="F4503">
        <f t="shared" ca="1" si="142"/>
        <v>2.7472222222222222</v>
      </c>
      <c r="G4503">
        <f t="shared" ca="1" si="143"/>
        <v>0</v>
      </c>
    </row>
    <row r="4504" spans="1:7">
      <c r="A4504">
        <v>5023</v>
      </c>
      <c r="B4504" t="s">
        <v>111</v>
      </c>
      <c r="C4504" t="s">
        <v>127</v>
      </c>
      <c r="D4504" s="9">
        <v>41031.909155092595</v>
      </c>
      <c r="E4504" t="s">
        <v>38</v>
      </c>
      <c r="F4504">
        <f t="shared" ca="1" si="142"/>
        <v>2.7416666666666667</v>
      </c>
      <c r="G4504">
        <f t="shared" ca="1" si="143"/>
        <v>0</v>
      </c>
    </row>
    <row r="4505" spans="1:7">
      <c r="A4505">
        <v>5028</v>
      </c>
      <c r="B4505" t="s">
        <v>143</v>
      </c>
      <c r="C4505" t="s">
        <v>127</v>
      </c>
      <c r="D4505" s="9">
        <v>41029.65016203704</v>
      </c>
      <c r="E4505" t="s">
        <v>44</v>
      </c>
      <c r="F4505">
        <f t="shared" ca="1" si="142"/>
        <v>2.7472222222222222</v>
      </c>
      <c r="G4505">
        <f t="shared" ca="1" si="143"/>
        <v>0</v>
      </c>
    </row>
    <row r="4506" spans="1:7">
      <c r="A4506">
        <v>5030</v>
      </c>
      <c r="B4506" t="s">
        <v>20</v>
      </c>
      <c r="C4506" t="s">
        <v>127</v>
      </c>
      <c r="D4506" s="9">
        <v>41029.655659722222</v>
      </c>
      <c r="E4506" t="s">
        <v>21</v>
      </c>
      <c r="F4506">
        <f t="shared" ca="1" si="142"/>
        <v>2.7472222222222222</v>
      </c>
      <c r="G4506">
        <f t="shared" ca="1" si="143"/>
        <v>0</v>
      </c>
    </row>
    <row r="4507" spans="1:7">
      <c r="A4507">
        <v>5031</v>
      </c>
      <c r="B4507" t="s">
        <v>111</v>
      </c>
      <c r="C4507" t="s">
        <v>127</v>
      </c>
      <c r="D4507" s="9">
        <v>41031.902349537035</v>
      </c>
      <c r="E4507" t="s">
        <v>64</v>
      </c>
      <c r="F4507">
        <f t="shared" ca="1" si="142"/>
        <v>2.7416666666666667</v>
      </c>
      <c r="G4507">
        <f t="shared" ca="1" si="143"/>
        <v>0</v>
      </c>
    </row>
    <row r="4508" spans="1:7">
      <c r="A4508">
        <v>5032</v>
      </c>
      <c r="B4508" t="s">
        <v>111</v>
      </c>
      <c r="C4508" t="s">
        <v>127</v>
      </c>
      <c r="D4508" s="9">
        <v>41031.914004629631</v>
      </c>
      <c r="E4508" t="s">
        <v>64</v>
      </c>
      <c r="F4508">
        <f t="shared" ca="1" si="142"/>
        <v>2.7416666666666667</v>
      </c>
      <c r="G4508">
        <f t="shared" ca="1" si="143"/>
        <v>0</v>
      </c>
    </row>
    <row r="4509" spans="1:7">
      <c r="A4509">
        <v>5035</v>
      </c>
      <c r="B4509" t="s">
        <v>37</v>
      </c>
      <c r="C4509" t="s">
        <v>127</v>
      </c>
      <c r="D4509" s="9">
        <v>41031.912754629629</v>
      </c>
      <c r="E4509" t="s">
        <v>38</v>
      </c>
      <c r="F4509">
        <f t="shared" ca="1" si="142"/>
        <v>2.7416666666666667</v>
      </c>
      <c r="G4509">
        <f t="shared" ca="1" si="143"/>
        <v>0</v>
      </c>
    </row>
    <row r="4510" spans="1:7">
      <c r="A4510">
        <v>5036</v>
      </c>
      <c r="B4510" t="s">
        <v>37</v>
      </c>
      <c r="C4510" t="s">
        <v>127</v>
      </c>
      <c r="D4510" s="9">
        <v>41031.510312500002</v>
      </c>
      <c r="E4510" t="s">
        <v>143</v>
      </c>
      <c r="F4510">
        <f t="shared" ca="1" si="142"/>
        <v>2.7416666666666667</v>
      </c>
      <c r="G4510">
        <f t="shared" ca="1" si="143"/>
        <v>0</v>
      </c>
    </row>
    <row r="4511" spans="1:7">
      <c r="A4511">
        <v>5038</v>
      </c>
      <c r="B4511" t="s">
        <v>38</v>
      </c>
      <c r="C4511" t="s">
        <v>127</v>
      </c>
      <c r="D4511" s="9">
        <v>41029.650127314817</v>
      </c>
      <c r="E4511" t="s">
        <v>21</v>
      </c>
      <c r="F4511">
        <f t="shared" ca="1" si="142"/>
        <v>2.7472222222222222</v>
      </c>
      <c r="G4511">
        <f t="shared" ca="1" si="143"/>
        <v>0</v>
      </c>
    </row>
    <row r="4512" spans="1:7">
      <c r="A4512">
        <v>5039</v>
      </c>
      <c r="B4512" t="s">
        <v>34</v>
      </c>
      <c r="C4512" t="s">
        <v>127</v>
      </c>
      <c r="D4512" s="9">
        <v>41029.752939814818</v>
      </c>
      <c r="E4512" t="s">
        <v>99</v>
      </c>
      <c r="F4512">
        <f t="shared" ca="1" si="142"/>
        <v>2.7472222222222222</v>
      </c>
      <c r="G4512">
        <f t="shared" ca="1" si="143"/>
        <v>0</v>
      </c>
    </row>
    <row r="4513" spans="1:7">
      <c r="A4513">
        <v>5040</v>
      </c>
      <c r="B4513" t="s">
        <v>99</v>
      </c>
      <c r="C4513" t="s">
        <v>127</v>
      </c>
      <c r="D4513" s="9">
        <v>41031.589849537035</v>
      </c>
      <c r="E4513" t="s">
        <v>20</v>
      </c>
      <c r="F4513">
        <f t="shared" ca="1" si="142"/>
        <v>2.7416666666666667</v>
      </c>
      <c r="G4513">
        <f t="shared" ca="1" si="143"/>
        <v>0</v>
      </c>
    </row>
    <row r="4514" spans="1:7">
      <c r="A4514">
        <v>5041</v>
      </c>
      <c r="B4514" t="s">
        <v>21</v>
      </c>
      <c r="C4514" t="s">
        <v>127</v>
      </c>
      <c r="D4514" s="9">
        <v>41029.827962962961</v>
      </c>
      <c r="E4514" t="s">
        <v>43</v>
      </c>
      <c r="F4514">
        <f t="shared" ca="1" si="142"/>
        <v>2.7472222222222222</v>
      </c>
      <c r="G4514">
        <f t="shared" ca="1" si="143"/>
        <v>0</v>
      </c>
    </row>
    <row r="4515" spans="1:7">
      <c r="A4515">
        <v>5042</v>
      </c>
      <c r="B4515" t="s">
        <v>111</v>
      </c>
      <c r="C4515" t="s">
        <v>127</v>
      </c>
      <c r="D4515" s="9">
        <v>41033.703310185185</v>
      </c>
      <c r="E4515" t="s">
        <v>38</v>
      </c>
      <c r="F4515">
        <f t="shared" ca="1" si="142"/>
        <v>2.7361111111111112</v>
      </c>
      <c r="G4515">
        <f t="shared" ca="1" si="143"/>
        <v>0</v>
      </c>
    </row>
    <row r="4516" spans="1:7">
      <c r="A4516">
        <v>5043</v>
      </c>
      <c r="B4516" t="s">
        <v>38</v>
      </c>
      <c r="C4516" t="s">
        <v>127</v>
      </c>
      <c r="D4516" s="9">
        <v>41030.465844907405</v>
      </c>
      <c r="E4516" t="s">
        <v>30</v>
      </c>
      <c r="F4516">
        <f t="shared" ca="1" si="142"/>
        <v>2.7444444444444445</v>
      </c>
      <c r="G4516">
        <f t="shared" ca="1" si="143"/>
        <v>0</v>
      </c>
    </row>
    <row r="4517" spans="1:7">
      <c r="A4517">
        <v>5045</v>
      </c>
      <c r="B4517" t="s">
        <v>38</v>
      </c>
      <c r="C4517" t="s">
        <v>127</v>
      </c>
      <c r="D4517" s="9">
        <v>41030.712685185186</v>
      </c>
      <c r="E4517" t="s">
        <v>36</v>
      </c>
      <c r="F4517">
        <f t="shared" ca="1" si="142"/>
        <v>2.7444444444444445</v>
      </c>
      <c r="G4517">
        <f t="shared" ca="1" si="143"/>
        <v>0</v>
      </c>
    </row>
    <row r="4518" spans="1:7">
      <c r="A4518">
        <v>5047</v>
      </c>
      <c r="B4518" t="s">
        <v>111</v>
      </c>
      <c r="C4518" t="s">
        <v>127</v>
      </c>
      <c r="D4518" s="9">
        <v>41031.839560185188</v>
      </c>
      <c r="E4518" t="s">
        <v>64</v>
      </c>
      <c r="F4518">
        <f t="shared" ca="1" si="142"/>
        <v>2.7416666666666667</v>
      </c>
      <c r="G4518">
        <f t="shared" ca="1" si="143"/>
        <v>0</v>
      </c>
    </row>
    <row r="4519" spans="1:7">
      <c r="A4519">
        <v>5048</v>
      </c>
      <c r="B4519" t="s">
        <v>99</v>
      </c>
      <c r="C4519" t="s">
        <v>127</v>
      </c>
      <c r="D4519" s="9">
        <v>41030.932824074072</v>
      </c>
      <c r="E4519" t="s">
        <v>38</v>
      </c>
      <c r="F4519">
        <f t="shared" ca="1" si="142"/>
        <v>2.7444444444444445</v>
      </c>
      <c r="G4519">
        <f t="shared" ca="1" si="143"/>
        <v>0</v>
      </c>
    </row>
    <row r="4520" spans="1:7">
      <c r="A4520">
        <v>5051</v>
      </c>
      <c r="B4520" t="s">
        <v>20</v>
      </c>
      <c r="C4520" t="s">
        <v>121</v>
      </c>
      <c r="D4520" s="9">
        <v>41442.885729166665</v>
      </c>
      <c r="E4520" t="s">
        <v>21</v>
      </c>
      <c r="F4520">
        <f t="shared" ca="1" si="142"/>
        <v>1.6166666666666667</v>
      </c>
      <c r="G4520">
        <f t="shared" ca="1" si="143"/>
        <v>0</v>
      </c>
    </row>
    <row r="4521" spans="1:7">
      <c r="A4521">
        <v>5052</v>
      </c>
      <c r="B4521" t="s">
        <v>19</v>
      </c>
      <c r="C4521" t="s">
        <v>127</v>
      </c>
      <c r="D4521" s="9">
        <v>41029.709444444445</v>
      </c>
      <c r="E4521" t="s">
        <v>99</v>
      </c>
      <c r="F4521">
        <f t="shared" ca="1" si="142"/>
        <v>2.7472222222222222</v>
      </c>
      <c r="G4521">
        <f t="shared" ca="1" si="143"/>
        <v>0</v>
      </c>
    </row>
    <row r="4522" spans="1:7">
      <c r="A4522">
        <v>5053</v>
      </c>
      <c r="B4522" t="s">
        <v>8</v>
      </c>
      <c r="C4522" t="s">
        <v>127</v>
      </c>
      <c r="D4522" s="9">
        <v>41030.614085648151</v>
      </c>
      <c r="E4522" t="s">
        <v>37</v>
      </c>
      <c r="F4522">
        <f t="shared" ca="1" si="142"/>
        <v>2.7444444444444445</v>
      </c>
      <c r="G4522">
        <f t="shared" ca="1" si="143"/>
        <v>0</v>
      </c>
    </row>
    <row r="4523" spans="1:7">
      <c r="A4523">
        <v>5054</v>
      </c>
      <c r="B4523" t="s">
        <v>32</v>
      </c>
      <c r="C4523" t="s">
        <v>127</v>
      </c>
      <c r="D4523" s="9">
        <v>41029.785173611112</v>
      </c>
      <c r="E4523" t="s">
        <v>43</v>
      </c>
      <c r="F4523">
        <f t="shared" ca="1" si="142"/>
        <v>2.7472222222222222</v>
      </c>
      <c r="G4523">
        <f t="shared" ca="1" si="143"/>
        <v>0</v>
      </c>
    </row>
    <row r="4524" spans="1:7">
      <c r="A4524">
        <v>5055</v>
      </c>
      <c r="B4524" t="s">
        <v>20</v>
      </c>
      <c r="C4524" t="s">
        <v>127</v>
      </c>
      <c r="D4524" s="9">
        <v>41029.90761574074</v>
      </c>
      <c r="E4524" t="s">
        <v>21</v>
      </c>
      <c r="F4524">
        <f t="shared" ca="1" si="142"/>
        <v>2.7472222222222222</v>
      </c>
      <c r="G4524">
        <f t="shared" ca="1" si="143"/>
        <v>0</v>
      </c>
    </row>
    <row r="4525" spans="1:7">
      <c r="A4525">
        <v>5058</v>
      </c>
      <c r="B4525" t="s">
        <v>49</v>
      </c>
      <c r="C4525" t="s">
        <v>126</v>
      </c>
      <c r="D4525" s="9">
        <v>41127.656678240739</v>
      </c>
      <c r="E4525" t="s">
        <v>32</v>
      </c>
      <c r="F4525">
        <f t="shared" ca="1" si="142"/>
        <v>2.4805555555555556</v>
      </c>
      <c r="G4525">
        <f t="shared" ca="1" si="143"/>
        <v>0</v>
      </c>
    </row>
    <row r="4526" spans="1:7">
      <c r="A4526">
        <v>5061</v>
      </c>
      <c r="B4526" t="s">
        <v>99</v>
      </c>
      <c r="C4526" t="s">
        <v>127</v>
      </c>
      <c r="D4526" s="9">
        <v>41029.93167824074</v>
      </c>
      <c r="E4526" t="s">
        <v>38</v>
      </c>
      <c r="F4526">
        <f t="shared" ca="1" si="142"/>
        <v>2.7472222222222222</v>
      </c>
      <c r="G4526">
        <f t="shared" ca="1" si="143"/>
        <v>0</v>
      </c>
    </row>
    <row r="4527" spans="1:7">
      <c r="A4527">
        <v>5069</v>
      </c>
      <c r="B4527" t="s">
        <v>27</v>
      </c>
      <c r="C4527" t="s">
        <v>127</v>
      </c>
      <c r="D4527" s="9">
        <v>41033.379942129628</v>
      </c>
      <c r="E4527" t="s">
        <v>8</v>
      </c>
      <c r="F4527">
        <f t="shared" ca="1" si="142"/>
        <v>2.7361111111111112</v>
      </c>
      <c r="G4527">
        <f t="shared" ca="1" si="143"/>
        <v>0</v>
      </c>
    </row>
    <row r="4528" spans="1:7">
      <c r="A4528">
        <v>5070</v>
      </c>
      <c r="B4528" t="s">
        <v>27</v>
      </c>
      <c r="C4528" t="s">
        <v>127</v>
      </c>
      <c r="D4528" s="9">
        <v>41033.392071759263</v>
      </c>
      <c r="E4528" t="s">
        <v>8</v>
      </c>
      <c r="F4528">
        <f t="shared" ca="1" si="142"/>
        <v>2.7361111111111112</v>
      </c>
      <c r="G4528">
        <f t="shared" ca="1" si="143"/>
        <v>0</v>
      </c>
    </row>
    <row r="4529" spans="1:7">
      <c r="A4529">
        <v>5075</v>
      </c>
      <c r="B4529" t="s">
        <v>38</v>
      </c>
      <c r="C4529" t="s">
        <v>127</v>
      </c>
      <c r="D4529" s="9">
        <v>41030.593078703707</v>
      </c>
      <c r="E4529" t="s">
        <v>30</v>
      </c>
      <c r="F4529">
        <f t="shared" ca="1" si="142"/>
        <v>2.7444444444444445</v>
      </c>
      <c r="G4529">
        <f t="shared" ca="1" si="143"/>
        <v>0</v>
      </c>
    </row>
    <row r="4530" spans="1:7">
      <c r="A4530">
        <v>5076</v>
      </c>
      <c r="B4530" t="s">
        <v>38</v>
      </c>
      <c r="C4530" t="s">
        <v>127</v>
      </c>
      <c r="D4530" s="9">
        <v>41029.89949074074</v>
      </c>
      <c r="E4530" t="s">
        <v>27</v>
      </c>
      <c r="F4530">
        <f t="shared" ca="1" si="142"/>
        <v>2.7472222222222222</v>
      </c>
      <c r="G4530">
        <f t="shared" ca="1" si="143"/>
        <v>0</v>
      </c>
    </row>
    <row r="4531" spans="1:7">
      <c r="A4531">
        <v>5078</v>
      </c>
      <c r="B4531" t="s">
        <v>111</v>
      </c>
      <c r="C4531" t="s">
        <v>127</v>
      </c>
      <c r="D4531" s="9">
        <v>41031.649953703702</v>
      </c>
      <c r="E4531" t="s">
        <v>99</v>
      </c>
      <c r="F4531">
        <f t="shared" ca="1" si="142"/>
        <v>2.7416666666666667</v>
      </c>
      <c r="G4531">
        <f t="shared" ca="1" si="143"/>
        <v>0</v>
      </c>
    </row>
    <row r="4532" spans="1:7">
      <c r="A4532">
        <v>5080</v>
      </c>
      <c r="B4532" t="s">
        <v>38</v>
      </c>
      <c r="C4532" t="s">
        <v>127</v>
      </c>
      <c r="D4532" s="9">
        <v>41029.601504629631</v>
      </c>
      <c r="E4532" t="s">
        <v>37</v>
      </c>
      <c r="F4532">
        <f t="shared" ca="1" si="142"/>
        <v>2.7472222222222222</v>
      </c>
      <c r="G4532">
        <f t="shared" ca="1" si="143"/>
        <v>0</v>
      </c>
    </row>
    <row r="4533" spans="1:7">
      <c r="A4533">
        <v>5081</v>
      </c>
      <c r="B4533" t="s">
        <v>34</v>
      </c>
      <c r="C4533" t="s">
        <v>127</v>
      </c>
      <c r="D4533" s="9">
        <v>41029.778344907405</v>
      </c>
      <c r="E4533" t="s">
        <v>43</v>
      </c>
      <c r="F4533">
        <f t="shared" ca="1" si="142"/>
        <v>2.7472222222222222</v>
      </c>
      <c r="G4533">
        <f t="shared" ca="1" si="143"/>
        <v>0</v>
      </c>
    </row>
    <row r="4534" spans="1:7">
      <c r="A4534">
        <v>5082</v>
      </c>
      <c r="B4534" t="s">
        <v>143</v>
      </c>
      <c r="C4534" t="s">
        <v>127</v>
      </c>
      <c r="D4534" s="9">
        <v>41029.652592592596</v>
      </c>
      <c r="E4534" t="s">
        <v>44</v>
      </c>
      <c r="F4534">
        <f t="shared" ca="1" si="142"/>
        <v>2.7472222222222222</v>
      </c>
      <c r="G4534">
        <f t="shared" ca="1" si="143"/>
        <v>0</v>
      </c>
    </row>
    <row r="4535" spans="1:7">
      <c r="A4535">
        <v>5083</v>
      </c>
      <c r="B4535" t="s">
        <v>19</v>
      </c>
      <c r="C4535" t="s">
        <v>127</v>
      </c>
      <c r="D4535" s="9">
        <v>41031.667025462964</v>
      </c>
      <c r="E4535" t="s">
        <v>21</v>
      </c>
      <c r="F4535">
        <f t="shared" ca="1" si="142"/>
        <v>2.7416666666666667</v>
      </c>
      <c r="G4535">
        <f t="shared" ca="1" si="143"/>
        <v>0</v>
      </c>
    </row>
    <row r="4536" spans="1:7">
      <c r="A4536">
        <v>5084</v>
      </c>
      <c r="B4536" t="s">
        <v>20</v>
      </c>
      <c r="C4536" t="s">
        <v>123</v>
      </c>
      <c r="D4536" s="9">
        <v>41303.602453703701</v>
      </c>
      <c r="E4536" t="s">
        <v>21</v>
      </c>
      <c r="F4536">
        <f t="shared" ca="1" si="142"/>
        <v>2</v>
      </c>
      <c r="G4536">
        <f t="shared" ca="1" si="143"/>
        <v>0</v>
      </c>
    </row>
    <row r="4537" spans="1:7">
      <c r="A4537">
        <v>5085</v>
      </c>
      <c r="B4537" t="s">
        <v>99</v>
      </c>
      <c r="C4537" t="s">
        <v>127</v>
      </c>
      <c r="D4537" s="9">
        <v>41030.767337962963</v>
      </c>
      <c r="E4537" t="s">
        <v>27</v>
      </c>
      <c r="F4537">
        <f t="shared" ca="1" si="142"/>
        <v>2.7444444444444445</v>
      </c>
      <c r="G4537">
        <f t="shared" ca="1" si="143"/>
        <v>0</v>
      </c>
    </row>
    <row r="4538" spans="1:7">
      <c r="A4538">
        <v>5086</v>
      </c>
      <c r="B4538" t="s">
        <v>44</v>
      </c>
      <c r="C4538" t="s">
        <v>127</v>
      </c>
      <c r="D4538" s="9">
        <v>41031.87164351852</v>
      </c>
      <c r="E4538" t="s">
        <v>36</v>
      </c>
      <c r="F4538">
        <f t="shared" ca="1" si="142"/>
        <v>2.7416666666666667</v>
      </c>
      <c r="G4538">
        <f t="shared" ca="1" si="143"/>
        <v>0</v>
      </c>
    </row>
    <row r="4539" spans="1:7">
      <c r="A4539">
        <v>5087</v>
      </c>
      <c r="B4539" t="s">
        <v>143</v>
      </c>
      <c r="C4539" t="s">
        <v>127</v>
      </c>
      <c r="D4539" s="9">
        <v>41029.581979166665</v>
      </c>
      <c r="E4539" t="s">
        <v>44</v>
      </c>
      <c r="F4539">
        <f t="shared" ca="1" si="142"/>
        <v>2.7472222222222222</v>
      </c>
      <c r="G4539">
        <f t="shared" ca="1" si="143"/>
        <v>0</v>
      </c>
    </row>
    <row r="4540" spans="1:7">
      <c r="A4540">
        <v>5088</v>
      </c>
      <c r="B4540" t="s">
        <v>19</v>
      </c>
      <c r="C4540" t="s">
        <v>127</v>
      </c>
      <c r="D4540" s="9">
        <v>41030.86859953704</v>
      </c>
      <c r="E4540" t="s">
        <v>27</v>
      </c>
      <c r="F4540">
        <f t="shared" ca="1" si="142"/>
        <v>2.7444444444444445</v>
      </c>
      <c r="G4540">
        <f t="shared" ca="1" si="143"/>
        <v>0</v>
      </c>
    </row>
    <row r="4541" spans="1:7">
      <c r="A4541">
        <v>5089</v>
      </c>
      <c r="B4541" t="s">
        <v>32</v>
      </c>
      <c r="C4541" t="s">
        <v>127</v>
      </c>
      <c r="D4541" s="9">
        <v>41030.652407407404</v>
      </c>
      <c r="E4541" t="s">
        <v>99</v>
      </c>
      <c r="F4541">
        <f t="shared" ca="1" si="142"/>
        <v>2.7444444444444445</v>
      </c>
      <c r="G4541">
        <f t="shared" ca="1" si="143"/>
        <v>0</v>
      </c>
    </row>
    <row r="4542" spans="1:7">
      <c r="A4542">
        <v>5090</v>
      </c>
      <c r="B4542" t="s">
        <v>32</v>
      </c>
      <c r="C4542" t="s">
        <v>127</v>
      </c>
      <c r="D4542" s="9">
        <v>41072.846805555557</v>
      </c>
      <c r="E4542" t="s">
        <v>112</v>
      </c>
      <c r="F4542">
        <f t="shared" ca="1" si="142"/>
        <v>2.6305555555555555</v>
      </c>
      <c r="G4542">
        <f t="shared" ca="1" si="143"/>
        <v>0</v>
      </c>
    </row>
    <row r="4543" spans="1:7">
      <c r="A4543">
        <v>5092</v>
      </c>
      <c r="B4543" t="s">
        <v>143</v>
      </c>
      <c r="C4543" t="s">
        <v>127</v>
      </c>
      <c r="D4543" s="9">
        <v>41029.672407407408</v>
      </c>
      <c r="E4543" t="s">
        <v>44</v>
      </c>
      <c r="F4543">
        <f t="shared" ca="1" si="142"/>
        <v>2.7472222222222222</v>
      </c>
      <c r="G4543">
        <f t="shared" ca="1" si="143"/>
        <v>0</v>
      </c>
    </row>
    <row r="4544" spans="1:7">
      <c r="A4544">
        <v>5093</v>
      </c>
      <c r="B4544" t="s">
        <v>8</v>
      </c>
      <c r="C4544" t="s">
        <v>127</v>
      </c>
      <c r="D4544" s="9">
        <v>41030.81795138889</v>
      </c>
      <c r="E4544" t="s">
        <v>11</v>
      </c>
      <c r="F4544">
        <f t="shared" ca="1" si="142"/>
        <v>2.7444444444444445</v>
      </c>
      <c r="G4544">
        <f t="shared" ca="1" si="143"/>
        <v>0</v>
      </c>
    </row>
    <row r="4545" spans="1:7">
      <c r="A4545">
        <v>5095</v>
      </c>
      <c r="B4545" t="s">
        <v>38</v>
      </c>
      <c r="C4545" t="s">
        <v>127</v>
      </c>
      <c r="D4545" s="9">
        <v>41029.634386574071</v>
      </c>
      <c r="E4545" t="s">
        <v>27</v>
      </c>
      <c r="F4545">
        <f t="shared" ca="1" si="142"/>
        <v>2.7472222222222222</v>
      </c>
      <c r="G4545">
        <f t="shared" ca="1" si="143"/>
        <v>0</v>
      </c>
    </row>
    <row r="4546" spans="1:7">
      <c r="A4546">
        <v>5099</v>
      </c>
      <c r="B4546" t="s">
        <v>20</v>
      </c>
      <c r="C4546" t="s">
        <v>127</v>
      </c>
      <c r="D4546" s="9">
        <v>41033.703425925924</v>
      </c>
      <c r="E4546" t="s">
        <v>21</v>
      </c>
      <c r="F4546">
        <f t="shared" ca="1" si="142"/>
        <v>2.7361111111111112</v>
      </c>
      <c r="G4546">
        <f t="shared" ca="1" si="143"/>
        <v>0</v>
      </c>
    </row>
    <row r="4547" spans="1:7">
      <c r="A4547">
        <v>5104</v>
      </c>
      <c r="B4547" t="s">
        <v>20</v>
      </c>
      <c r="C4547" t="s">
        <v>127</v>
      </c>
      <c r="D4547" s="9">
        <v>41031.647731481484</v>
      </c>
      <c r="E4547" t="s">
        <v>64</v>
      </c>
      <c r="F4547">
        <f t="shared" ca="1" si="142"/>
        <v>2.7416666666666667</v>
      </c>
      <c r="G4547">
        <f t="shared" ca="1" si="143"/>
        <v>0</v>
      </c>
    </row>
    <row r="4548" spans="1:7">
      <c r="A4548">
        <v>5105</v>
      </c>
      <c r="B4548" t="s">
        <v>36</v>
      </c>
      <c r="C4548" t="s">
        <v>126</v>
      </c>
      <c r="D4548" s="9">
        <v>41127.699930555558</v>
      </c>
      <c r="E4548" t="s">
        <v>27</v>
      </c>
      <c r="F4548">
        <f t="shared" ca="1" si="142"/>
        <v>2.4805555555555556</v>
      </c>
      <c r="G4548">
        <f t="shared" ca="1" si="143"/>
        <v>0</v>
      </c>
    </row>
    <row r="4549" spans="1:7">
      <c r="A4549">
        <v>5108</v>
      </c>
      <c r="B4549" t="s">
        <v>34</v>
      </c>
      <c r="C4549" t="s">
        <v>127</v>
      </c>
      <c r="D4549" s="9">
        <v>41033.499502314815</v>
      </c>
      <c r="E4549" t="s">
        <v>23</v>
      </c>
      <c r="F4549">
        <f t="shared" ca="1" si="142"/>
        <v>2.7361111111111112</v>
      </c>
      <c r="G4549">
        <f t="shared" ca="1" si="143"/>
        <v>0</v>
      </c>
    </row>
    <row r="4550" spans="1:7">
      <c r="A4550">
        <v>5109</v>
      </c>
      <c r="B4550" t="s">
        <v>20</v>
      </c>
      <c r="C4550" t="s">
        <v>127</v>
      </c>
      <c r="D4550" s="9">
        <v>41030.771782407406</v>
      </c>
      <c r="E4550" t="s">
        <v>32</v>
      </c>
      <c r="F4550">
        <f t="shared" ca="1" si="142"/>
        <v>2.7444444444444445</v>
      </c>
      <c r="G4550">
        <f t="shared" ca="1" si="143"/>
        <v>0</v>
      </c>
    </row>
    <row r="4551" spans="1:7">
      <c r="A4551">
        <v>5110</v>
      </c>
      <c r="B4551" t="s">
        <v>32</v>
      </c>
      <c r="C4551" t="s">
        <v>127</v>
      </c>
      <c r="D4551" s="9">
        <v>41030.944282407407</v>
      </c>
      <c r="E4551" t="s">
        <v>21</v>
      </c>
      <c r="F4551">
        <f t="shared" ref="F4551:F4614" ca="1" si="144">YEARFRAC(TODAY(),$D4551)</f>
        <v>2.7444444444444445</v>
      </c>
      <c r="G4551">
        <f t="shared" ref="G4551:G4614" ca="1" si="145">IF($F4551&lt;1,1,0)</f>
        <v>0</v>
      </c>
    </row>
    <row r="4552" spans="1:7">
      <c r="A4552">
        <v>5114</v>
      </c>
      <c r="B4552" t="s">
        <v>18</v>
      </c>
      <c r="C4552" t="s">
        <v>120</v>
      </c>
      <c r="D4552" s="9">
        <v>41523.642002314817</v>
      </c>
      <c r="E4552" t="s">
        <v>34</v>
      </c>
      <c r="F4552">
        <f t="shared" ca="1" si="144"/>
        <v>1.3972222222222221</v>
      </c>
      <c r="G4552">
        <f t="shared" ca="1" si="145"/>
        <v>0</v>
      </c>
    </row>
    <row r="4553" spans="1:7">
      <c r="A4553">
        <v>5116</v>
      </c>
      <c r="B4553" t="s">
        <v>18</v>
      </c>
      <c r="C4553" t="s">
        <v>120</v>
      </c>
      <c r="D4553" s="9">
        <v>41529.687476851854</v>
      </c>
      <c r="E4553" t="s">
        <v>44</v>
      </c>
      <c r="F4553">
        <f t="shared" ca="1" si="144"/>
        <v>1.3805555555555555</v>
      </c>
      <c r="G4553">
        <f t="shared" ca="1" si="145"/>
        <v>0</v>
      </c>
    </row>
    <row r="4554" spans="1:7">
      <c r="A4554">
        <v>5117</v>
      </c>
      <c r="B4554" t="s">
        <v>44</v>
      </c>
      <c r="C4554" t="s">
        <v>120</v>
      </c>
      <c r="D4554" s="9">
        <v>41570.481423611112</v>
      </c>
      <c r="E4554" t="s">
        <v>11</v>
      </c>
      <c r="F4554">
        <f t="shared" ca="1" si="144"/>
        <v>1.2666666666666666</v>
      </c>
      <c r="G4554">
        <f t="shared" ca="1" si="145"/>
        <v>0</v>
      </c>
    </row>
    <row r="4555" spans="1:7">
      <c r="A4555">
        <v>5118</v>
      </c>
      <c r="B4555" t="s">
        <v>99</v>
      </c>
      <c r="C4555" t="s">
        <v>127</v>
      </c>
      <c r="D4555" s="9">
        <v>41030.713229166664</v>
      </c>
      <c r="E4555" t="s">
        <v>27</v>
      </c>
      <c r="F4555">
        <f t="shared" ca="1" si="144"/>
        <v>2.7444444444444445</v>
      </c>
      <c r="G4555">
        <f t="shared" ca="1" si="145"/>
        <v>0</v>
      </c>
    </row>
    <row r="4556" spans="1:7">
      <c r="A4556">
        <v>5120</v>
      </c>
      <c r="B4556" t="s">
        <v>20</v>
      </c>
      <c r="C4556" t="s">
        <v>127</v>
      </c>
      <c r="D4556" s="9">
        <v>41030.650543981479</v>
      </c>
      <c r="E4556" t="s">
        <v>34</v>
      </c>
      <c r="F4556">
        <f t="shared" ca="1" si="144"/>
        <v>2.7444444444444445</v>
      </c>
      <c r="G4556">
        <f t="shared" ca="1" si="145"/>
        <v>0</v>
      </c>
    </row>
    <row r="4557" spans="1:7">
      <c r="A4557">
        <v>5121</v>
      </c>
      <c r="B4557" t="s">
        <v>14</v>
      </c>
      <c r="C4557" t="s">
        <v>118</v>
      </c>
      <c r="D4557" s="9">
        <v>41759.603171296294</v>
      </c>
      <c r="E4557" t="s">
        <v>17</v>
      </c>
      <c r="F4557">
        <f t="shared" ca="1" si="144"/>
        <v>0.74722222222222223</v>
      </c>
      <c r="G4557">
        <f t="shared" ca="1" si="145"/>
        <v>1</v>
      </c>
    </row>
    <row r="4558" spans="1:7">
      <c r="A4558">
        <v>5125</v>
      </c>
      <c r="B4558" t="s">
        <v>8</v>
      </c>
      <c r="C4558" t="s">
        <v>123</v>
      </c>
      <c r="D4558" s="9">
        <v>41302.789884259262</v>
      </c>
      <c r="E4558" t="s">
        <v>11</v>
      </c>
      <c r="F4558">
        <f t="shared" ca="1" si="144"/>
        <v>2.0027777777777778</v>
      </c>
      <c r="G4558">
        <f t="shared" ca="1" si="145"/>
        <v>0</v>
      </c>
    </row>
    <row r="4559" spans="1:7">
      <c r="A4559">
        <v>5126</v>
      </c>
      <c r="B4559" t="s">
        <v>19</v>
      </c>
      <c r="C4559" t="s">
        <v>127</v>
      </c>
      <c r="D4559" s="9">
        <v>41029.720347222225</v>
      </c>
      <c r="E4559" t="s">
        <v>38</v>
      </c>
      <c r="F4559">
        <f t="shared" ca="1" si="144"/>
        <v>2.7472222222222222</v>
      </c>
      <c r="G4559">
        <f t="shared" ca="1" si="145"/>
        <v>0</v>
      </c>
    </row>
    <row r="4560" spans="1:7">
      <c r="A4560">
        <v>5127</v>
      </c>
      <c r="B4560" t="s">
        <v>34</v>
      </c>
      <c r="C4560" t="s">
        <v>126</v>
      </c>
      <c r="D4560" s="9">
        <v>41129.737557870372</v>
      </c>
      <c r="E4560" t="s">
        <v>43</v>
      </c>
      <c r="F4560">
        <f t="shared" ca="1" si="144"/>
        <v>2.4750000000000001</v>
      </c>
      <c r="G4560">
        <f t="shared" ca="1" si="145"/>
        <v>0</v>
      </c>
    </row>
    <row r="4561" spans="1:7">
      <c r="A4561">
        <v>5129</v>
      </c>
      <c r="B4561" t="s">
        <v>38</v>
      </c>
      <c r="C4561" t="s">
        <v>127</v>
      </c>
      <c r="D4561" s="9">
        <v>41029.605775462966</v>
      </c>
      <c r="E4561" t="s">
        <v>27</v>
      </c>
      <c r="F4561">
        <f t="shared" ca="1" si="144"/>
        <v>2.7472222222222222</v>
      </c>
      <c r="G4561">
        <f t="shared" ca="1" si="145"/>
        <v>0</v>
      </c>
    </row>
    <row r="4562" spans="1:7">
      <c r="A4562">
        <v>5133</v>
      </c>
      <c r="B4562" t="s">
        <v>54</v>
      </c>
      <c r="C4562" t="s">
        <v>126</v>
      </c>
      <c r="D4562" s="9">
        <v>41128.668726851851</v>
      </c>
      <c r="E4562" t="s">
        <v>32</v>
      </c>
      <c r="F4562">
        <f t="shared" ca="1" si="144"/>
        <v>2.4777777777777779</v>
      </c>
      <c r="G4562">
        <f t="shared" ca="1" si="145"/>
        <v>0</v>
      </c>
    </row>
    <row r="4563" spans="1:7">
      <c r="A4563">
        <v>5134</v>
      </c>
      <c r="B4563" t="s">
        <v>32</v>
      </c>
      <c r="C4563" t="s">
        <v>127</v>
      </c>
      <c r="D4563" s="9">
        <v>41031.671064814815</v>
      </c>
      <c r="E4563" t="s">
        <v>64</v>
      </c>
      <c r="F4563">
        <f t="shared" ca="1" si="144"/>
        <v>2.7416666666666667</v>
      </c>
      <c r="G4563">
        <f t="shared" ca="1" si="145"/>
        <v>0</v>
      </c>
    </row>
    <row r="4564" spans="1:7">
      <c r="A4564">
        <v>5136</v>
      </c>
      <c r="B4564" t="s">
        <v>111</v>
      </c>
      <c r="C4564" t="s">
        <v>127</v>
      </c>
      <c r="D4564" s="9">
        <v>41031.832824074074</v>
      </c>
      <c r="E4564" t="s">
        <v>36</v>
      </c>
      <c r="F4564">
        <f t="shared" ca="1" si="144"/>
        <v>2.7416666666666667</v>
      </c>
      <c r="G4564">
        <f t="shared" ca="1" si="145"/>
        <v>0</v>
      </c>
    </row>
    <row r="4565" spans="1:7">
      <c r="A4565">
        <v>5139</v>
      </c>
      <c r="B4565" t="s">
        <v>20</v>
      </c>
      <c r="C4565" t="s">
        <v>127</v>
      </c>
      <c r="D4565" s="9">
        <v>41036.886828703704</v>
      </c>
      <c r="E4565" t="s">
        <v>32</v>
      </c>
      <c r="F4565">
        <f t="shared" ca="1" si="144"/>
        <v>2.7277777777777779</v>
      </c>
      <c r="G4565">
        <f t="shared" ca="1" si="145"/>
        <v>0</v>
      </c>
    </row>
    <row r="4566" spans="1:7">
      <c r="A4566">
        <v>5140</v>
      </c>
      <c r="B4566" t="s">
        <v>8</v>
      </c>
      <c r="C4566" t="s">
        <v>127</v>
      </c>
      <c r="D4566" s="9">
        <v>41030.664675925924</v>
      </c>
      <c r="E4566" t="s">
        <v>37</v>
      </c>
      <c r="F4566">
        <f t="shared" ca="1" si="144"/>
        <v>2.7444444444444445</v>
      </c>
      <c r="G4566">
        <f t="shared" ca="1" si="145"/>
        <v>0</v>
      </c>
    </row>
    <row r="4567" spans="1:7">
      <c r="A4567">
        <v>5141</v>
      </c>
      <c r="B4567" t="s">
        <v>99</v>
      </c>
      <c r="C4567" t="s">
        <v>127</v>
      </c>
      <c r="D4567" s="9">
        <v>41029.691331018519</v>
      </c>
      <c r="E4567" t="s">
        <v>19</v>
      </c>
      <c r="F4567">
        <f t="shared" ca="1" si="144"/>
        <v>2.7472222222222222</v>
      </c>
      <c r="G4567">
        <f t="shared" ca="1" si="145"/>
        <v>0</v>
      </c>
    </row>
    <row r="4568" spans="1:7">
      <c r="A4568">
        <v>5143</v>
      </c>
      <c r="B4568" t="s">
        <v>19</v>
      </c>
      <c r="C4568" t="s">
        <v>127</v>
      </c>
      <c r="D4568" s="9">
        <v>41029.779548611114</v>
      </c>
      <c r="E4568" t="s">
        <v>43</v>
      </c>
      <c r="F4568">
        <f t="shared" ca="1" si="144"/>
        <v>2.7472222222222222</v>
      </c>
      <c r="G4568">
        <f t="shared" ca="1" si="145"/>
        <v>0</v>
      </c>
    </row>
    <row r="4569" spans="1:7">
      <c r="A4569">
        <v>5146</v>
      </c>
      <c r="B4569" t="s">
        <v>43</v>
      </c>
      <c r="C4569" t="s">
        <v>123</v>
      </c>
      <c r="D4569" s="9">
        <v>41302.846990740742</v>
      </c>
      <c r="E4569" t="s">
        <v>36</v>
      </c>
      <c r="F4569">
        <f t="shared" ca="1" si="144"/>
        <v>2.0027777777777778</v>
      </c>
      <c r="G4569">
        <f t="shared" ca="1" si="145"/>
        <v>0</v>
      </c>
    </row>
    <row r="4570" spans="1:7">
      <c r="A4570">
        <v>5151</v>
      </c>
      <c r="B4570" t="s">
        <v>11</v>
      </c>
      <c r="C4570" t="s">
        <v>120</v>
      </c>
      <c r="D4570" s="9">
        <v>41495.805555555555</v>
      </c>
      <c r="E4570" t="s">
        <v>27</v>
      </c>
      <c r="F4570">
        <f t="shared" ca="1" si="144"/>
        <v>1.4722222222222223</v>
      </c>
      <c r="G4570">
        <f t="shared" ca="1" si="145"/>
        <v>0</v>
      </c>
    </row>
    <row r="4571" spans="1:7">
      <c r="A4571">
        <v>5154</v>
      </c>
      <c r="B4571" t="s">
        <v>37</v>
      </c>
      <c r="C4571" t="s">
        <v>127</v>
      </c>
      <c r="D4571" s="9">
        <v>41031.690752314818</v>
      </c>
      <c r="E4571" t="s">
        <v>38</v>
      </c>
      <c r="F4571">
        <f t="shared" ca="1" si="144"/>
        <v>2.7416666666666667</v>
      </c>
      <c r="G4571">
        <f t="shared" ca="1" si="145"/>
        <v>0</v>
      </c>
    </row>
    <row r="4572" spans="1:7">
      <c r="A4572">
        <v>5156</v>
      </c>
      <c r="B4572" t="s">
        <v>8</v>
      </c>
      <c r="C4572" t="s">
        <v>167</v>
      </c>
      <c r="D4572" s="9">
        <v>41060.545034722221</v>
      </c>
      <c r="E4572" t="s">
        <v>19</v>
      </c>
      <c r="F4572">
        <f t="shared" ca="1" si="144"/>
        <v>2.6638888888888888</v>
      </c>
      <c r="G4572">
        <f t="shared" ca="1" si="145"/>
        <v>0</v>
      </c>
    </row>
    <row r="4573" spans="1:7">
      <c r="A4573">
        <v>5158</v>
      </c>
      <c r="B4573" t="s">
        <v>8</v>
      </c>
      <c r="C4573" t="s">
        <v>127</v>
      </c>
      <c r="D4573" s="9">
        <v>41033.703738425924</v>
      </c>
      <c r="E4573" t="s">
        <v>20</v>
      </c>
      <c r="F4573">
        <f t="shared" ca="1" si="144"/>
        <v>2.7361111111111112</v>
      </c>
      <c r="G4573">
        <f t="shared" ca="1" si="145"/>
        <v>0</v>
      </c>
    </row>
    <row r="4574" spans="1:7">
      <c r="A4574">
        <v>5160</v>
      </c>
      <c r="B4574" t="s">
        <v>32</v>
      </c>
      <c r="C4574" t="s">
        <v>127</v>
      </c>
      <c r="D4574" s="9">
        <v>41031.651967592596</v>
      </c>
      <c r="E4574" t="s">
        <v>64</v>
      </c>
      <c r="F4574">
        <f t="shared" ca="1" si="144"/>
        <v>2.7416666666666667</v>
      </c>
      <c r="G4574">
        <f t="shared" ca="1" si="145"/>
        <v>0</v>
      </c>
    </row>
    <row r="4575" spans="1:7">
      <c r="A4575">
        <v>5161</v>
      </c>
      <c r="B4575" t="s">
        <v>23</v>
      </c>
      <c r="C4575" t="s">
        <v>125</v>
      </c>
      <c r="D4575" s="9">
        <v>41215.696481481478</v>
      </c>
      <c r="E4575" t="s">
        <v>36</v>
      </c>
      <c r="F4575">
        <f t="shared" ca="1" si="144"/>
        <v>2.2416666666666667</v>
      </c>
      <c r="G4575">
        <f t="shared" ca="1" si="145"/>
        <v>0</v>
      </c>
    </row>
    <row r="4576" spans="1:7">
      <c r="A4576">
        <v>5162</v>
      </c>
      <c r="B4576" t="s">
        <v>38</v>
      </c>
      <c r="C4576" t="s">
        <v>127</v>
      </c>
      <c r="D4576" s="9">
        <v>41031.60765046296</v>
      </c>
      <c r="E4576" t="s">
        <v>37</v>
      </c>
      <c r="F4576">
        <f t="shared" ca="1" si="144"/>
        <v>2.7416666666666667</v>
      </c>
      <c r="G4576">
        <f t="shared" ca="1" si="145"/>
        <v>0</v>
      </c>
    </row>
    <row r="4577" spans="1:7">
      <c r="A4577">
        <v>5163</v>
      </c>
      <c r="B4577" t="s">
        <v>38</v>
      </c>
      <c r="C4577" t="s">
        <v>127</v>
      </c>
      <c r="D4577" s="9">
        <v>41029.631585648145</v>
      </c>
      <c r="E4577" t="s">
        <v>27</v>
      </c>
      <c r="F4577">
        <f t="shared" ca="1" si="144"/>
        <v>2.7472222222222222</v>
      </c>
      <c r="G4577">
        <f t="shared" ca="1" si="145"/>
        <v>0</v>
      </c>
    </row>
    <row r="4578" spans="1:7">
      <c r="A4578">
        <v>5164</v>
      </c>
      <c r="B4578" t="s">
        <v>32</v>
      </c>
      <c r="C4578" t="s">
        <v>127</v>
      </c>
      <c r="D4578" s="9">
        <v>41029.880416666667</v>
      </c>
      <c r="E4578" t="s">
        <v>21</v>
      </c>
      <c r="F4578">
        <f t="shared" ca="1" si="144"/>
        <v>2.7472222222222222</v>
      </c>
      <c r="G4578">
        <f t="shared" ca="1" si="145"/>
        <v>0</v>
      </c>
    </row>
    <row r="4579" spans="1:7">
      <c r="A4579">
        <v>5165</v>
      </c>
      <c r="B4579" t="s">
        <v>21</v>
      </c>
      <c r="C4579" t="s">
        <v>127</v>
      </c>
      <c r="D4579" s="9">
        <v>41029.651365740741</v>
      </c>
      <c r="E4579" t="s">
        <v>32</v>
      </c>
      <c r="F4579">
        <f t="shared" ca="1" si="144"/>
        <v>2.7472222222222222</v>
      </c>
      <c r="G4579">
        <f t="shared" ca="1" si="145"/>
        <v>0</v>
      </c>
    </row>
    <row r="4580" spans="1:7">
      <c r="A4580">
        <v>5166</v>
      </c>
      <c r="B4580" t="s">
        <v>30</v>
      </c>
      <c r="C4580" t="s">
        <v>126</v>
      </c>
      <c r="D4580" s="9">
        <v>41493.819837962961</v>
      </c>
      <c r="E4580" t="s">
        <v>44</v>
      </c>
      <c r="F4580">
        <f t="shared" ca="1" si="144"/>
        <v>1.4777777777777779</v>
      </c>
      <c r="G4580">
        <f t="shared" ca="1" si="145"/>
        <v>0</v>
      </c>
    </row>
    <row r="4581" spans="1:7">
      <c r="A4581">
        <v>5167</v>
      </c>
      <c r="B4581" t="s">
        <v>19</v>
      </c>
      <c r="C4581" t="s">
        <v>123</v>
      </c>
      <c r="D4581" s="9">
        <v>41303.78197916667</v>
      </c>
      <c r="E4581" t="s">
        <v>38</v>
      </c>
      <c r="F4581">
        <f t="shared" ca="1" si="144"/>
        <v>2</v>
      </c>
      <c r="G4581">
        <f t="shared" ca="1" si="145"/>
        <v>0</v>
      </c>
    </row>
    <row r="4582" spans="1:7">
      <c r="A4582">
        <v>5170</v>
      </c>
      <c r="B4582" t="s">
        <v>11</v>
      </c>
      <c r="C4582" t="s">
        <v>126</v>
      </c>
      <c r="D4582" s="9">
        <v>41128.555902777778</v>
      </c>
      <c r="E4582" t="s">
        <v>8</v>
      </c>
      <c r="F4582">
        <f t="shared" ca="1" si="144"/>
        <v>2.4777777777777779</v>
      </c>
      <c r="G4582">
        <f t="shared" ca="1" si="145"/>
        <v>0</v>
      </c>
    </row>
    <row r="4583" spans="1:7">
      <c r="A4583">
        <v>5180</v>
      </c>
      <c r="B4583" t="s">
        <v>34</v>
      </c>
      <c r="C4583" t="s">
        <v>127</v>
      </c>
      <c r="D4583" s="9">
        <v>41033.703402777777</v>
      </c>
      <c r="E4583" t="s">
        <v>23</v>
      </c>
      <c r="F4583">
        <f t="shared" ca="1" si="144"/>
        <v>2.7361111111111112</v>
      </c>
      <c r="G4583">
        <f t="shared" ca="1" si="145"/>
        <v>0</v>
      </c>
    </row>
    <row r="4584" spans="1:7">
      <c r="A4584">
        <v>5181</v>
      </c>
      <c r="B4584" t="s">
        <v>8</v>
      </c>
      <c r="C4584" t="s">
        <v>127</v>
      </c>
      <c r="D4584" s="9">
        <v>41033.703414351854</v>
      </c>
      <c r="E4584" t="s">
        <v>27</v>
      </c>
      <c r="F4584">
        <f t="shared" ca="1" si="144"/>
        <v>2.7361111111111112</v>
      </c>
      <c r="G4584">
        <f t="shared" ca="1" si="145"/>
        <v>0</v>
      </c>
    </row>
    <row r="4585" spans="1:7">
      <c r="A4585">
        <v>5188</v>
      </c>
      <c r="B4585" t="s">
        <v>49</v>
      </c>
      <c r="C4585" t="s">
        <v>127</v>
      </c>
      <c r="D4585" s="9">
        <v>41033.703368055554</v>
      </c>
      <c r="E4585" t="s">
        <v>34</v>
      </c>
      <c r="F4585">
        <f t="shared" ca="1" si="144"/>
        <v>2.7361111111111112</v>
      </c>
      <c r="G4585">
        <f t="shared" ca="1" si="145"/>
        <v>0</v>
      </c>
    </row>
    <row r="4586" spans="1:7">
      <c r="A4586">
        <v>5189</v>
      </c>
      <c r="B4586" t="s">
        <v>32</v>
      </c>
      <c r="C4586" t="s">
        <v>126</v>
      </c>
      <c r="D4586" s="9">
        <v>41127.672858796293</v>
      </c>
      <c r="E4586" t="s">
        <v>19</v>
      </c>
      <c r="F4586">
        <f t="shared" ca="1" si="144"/>
        <v>2.4805555555555556</v>
      </c>
      <c r="G4586">
        <f t="shared" ca="1" si="145"/>
        <v>0</v>
      </c>
    </row>
    <row r="4587" spans="1:7">
      <c r="A4587">
        <v>5192</v>
      </c>
      <c r="B4587" t="s">
        <v>8</v>
      </c>
      <c r="C4587" t="s">
        <v>125</v>
      </c>
      <c r="D4587" s="9">
        <v>41211.534768518519</v>
      </c>
      <c r="E4587" t="s">
        <v>24</v>
      </c>
      <c r="F4587">
        <f t="shared" ca="1" si="144"/>
        <v>2.25</v>
      </c>
      <c r="G4587">
        <f t="shared" ca="1" si="145"/>
        <v>0</v>
      </c>
    </row>
    <row r="4588" spans="1:7">
      <c r="A4588">
        <v>5194</v>
      </c>
      <c r="B4588" t="s">
        <v>143</v>
      </c>
      <c r="C4588" t="s">
        <v>127</v>
      </c>
      <c r="D4588" s="9">
        <v>41033.703379629631</v>
      </c>
      <c r="E4588" t="s">
        <v>37</v>
      </c>
      <c r="F4588">
        <f t="shared" ca="1" si="144"/>
        <v>2.7361111111111112</v>
      </c>
      <c r="G4588">
        <f t="shared" ca="1" si="145"/>
        <v>0</v>
      </c>
    </row>
    <row r="4589" spans="1:7">
      <c r="A4589">
        <v>5199</v>
      </c>
      <c r="B4589" t="s">
        <v>111</v>
      </c>
      <c r="C4589" t="s">
        <v>126</v>
      </c>
      <c r="D4589" s="9">
        <v>41128.711550925924</v>
      </c>
      <c r="E4589" t="s">
        <v>43</v>
      </c>
      <c r="F4589">
        <f t="shared" ca="1" si="144"/>
        <v>2.4777777777777779</v>
      </c>
      <c r="G4589">
        <f t="shared" ca="1" si="145"/>
        <v>0</v>
      </c>
    </row>
    <row r="4590" spans="1:7">
      <c r="A4590">
        <v>5200</v>
      </c>
      <c r="B4590" t="s">
        <v>37</v>
      </c>
      <c r="C4590" t="s">
        <v>126</v>
      </c>
      <c r="D4590" s="9">
        <v>41129.935312499998</v>
      </c>
      <c r="E4590" t="s">
        <v>38</v>
      </c>
      <c r="F4590">
        <f t="shared" ca="1" si="144"/>
        <v>2.4750000000000001</v>
      </c>
      <c r="G4590">
        <f t="shared" ca="1" si="145"/>
        <v>0</v>
      </c>
    </row>
    <row r="4591" spans="1:7">
      <c r="A4591">
        <v>5201</v>
      </c>
      <c r="B4591" t="s">
        <v>19</v>
      </c>
      <c r="C4591" t="s">
        <v>127</v>
      </c>
      <c r="D4591" s="9">
        <v>41033.703506944446</v>
      </c>
      <c r="E4591" t="s">
        <v>27</v>
      </c>
      <c r="F4591">
        <f t="shared" ca="1" si="144"/>
        <v>2.7361111111111112</v>
      </c>
      <c r="G4591">
        <f t="shared" ca="1" si="145"/>
        <v>0</v>
      </c>
    </row>
    <row r="4592" spans="1:7">
      <c r="A4592">
        <v>5204</v>
      </c>
      <c r="B4592" t="s">
        <v>19</v>
      </c>
      <c r="C4592" t="s">
        <v>127</v>
      </c>
      <c r="D4592" s="9">
        <v>41033.703738425924</v>
      </c>
      <c r="E4592" t="s">
        <v>38</v>
      </c>
      <c r="F4592">
        <f t="shared" ca="1" si="144"/>
        <v>2.7361111111111112</v>
      </c>
      <c r="G4592">
        <f t="shared" ca="1" si="145"/>
        <v>0</v>
      </c>
    </row>
    <row r="4593" spans="1:7">
      <c r="A4593">
        <v>5205</v>
      </c>
      <c r="B4593" t="s">
        <v>34</v>
      </c>
      <c r="C4593" t="s">
        <v>167</v>
      </c>
      <c r="D4593" s="9">
        <v>41126.598622685182</v>
      </c>
      <c r="E4593" t="s">
        <v>23</v>
      </c>
      <c r="F4593">
        <f t="shared" ca="1" si="144"/>
        <v>2.4833333333333334</v>
      </c>
      <c r="G4593">
        <f t="shared" ca="1" si="145"/>
        <v>0</v>
      </c>
    </row>
    <row r="4594" spans="1:7">
      <c r="A4594">
        <v>5206</v>
      </c>
      <c r="B4594" t="s">
        <v>8</v>
      </c>
      <c r="C4594" t="s">
        <v>127</v>
      </c>
      <c r="D4594" s="9">
        <v>41033.703773148147</v>
      </c>
      <c r="E4594" t="s">
        <v>99</v>
      </c>
      <c r="F4594">
        <f t="shared" ca="1" si="144"/>
        <v>2.7361111111111112</v>
      </c>
      <c r="G4594">
        <f t="shared" ca="1" si="145"/>
        <v>0</v>
      </c>
    </row>
    <row r="4595" spans="1:7">
      <c r="A4595">
        <v>5207</v>
      </c>
      <c r="B4595" t="s">
        <v>37</v>
      </c>
      <c r="C4595" t="s">
        <v>126</v>
      </c>
      <c r="D4595" s="9">
        <v>41129.703935185185</v>
      </c>
      <c r="E4595" t="s">
        <v>51</v>
      </c>
      <c r="F4595">
        <f t="shared" ca="1" si="144"/>
        <v>2.4750000000000001</v>
      </c>
      <c r="G4595">
        <f t="shared" ca="1" si="145"/>
        <v>0</v>
      </c>
    </row>
    <row r="4596" spans="1:7">
      <c r="A4596">
        <v>5212</v>
      </c>
      <c r="B4596" t="s">
        <v>37</v>
      </c>
      <c r="C4596" t="s">
        <v>125</v>
      </c>
      <c r="D4596" s="9">
        <v>41211.660543981481</v>
      </c>
      <c r="E4596" t="s">
        <v>112</v>
      </c>
      <c r="F4596">
        <f t="shared" ca="1" si="144"/>
        <v>2.25</v>
      </c>
      <c r="G4596">
        <f t="shared" ca="1" si="145"/>
        <v>0</v>
      </c>
    </row>
    <row r="4597" spans="1:7">
      <c r="A4597">
        <v>5214</v>
      </c>
      <c r="B4597" t="s">
        <v>23</v>
      </c>
      <c r="C4597" t="s">
        <v>127</v>
      </c>
      <c r="D4597" s="9">
        <v>41033.703912037039</v>
      </c>
      <c r="E4597" t="s">
        <v>36</v>
      </c>
      <c r="F4597">
        <f t="shared" ca="1" si="144"/>
        <v>2.7361111111111112</v>
      </c>
      <c r="G4597">
        <f t="shared" ca="1" si="145"/>
        <v>0</v>
      </c>
    </row>
    <row r="4598" spans="1:7">
      <c r="A4598">
        <v>5225</v>
      </c>
      <c r="B4598" t="s">
        <v>30</v>
      </c>
      <c r="C4598" t="s">
        <v>121</v>
      </c>
      <c r="D4598" s="9">
        <v>41422.570625</v>
      </c>
      <c r="E4598" t="s">
        <v>44</v>
      </c>
      <c r="F4598">
        <f t="shared" ca="1" si="144"/>
        <v>1.6694444444444445</v>
      </c>
      <c r="G4598">
        <f t="shared" ca="1" si="145"/>
        <v>0</v>
      </c>
    </row>
    <row r="4599" spans="1:7">
      <c r="A4599">
        <v>5226</v>
      </c>
      <c r="B4599" t="s">
        <v>23</v>
      </c>
      <c r="C4599" t="s">
        <v>120</v>
      </c>
      <c r="D4599" s="9">
        <v>41544.622476851851</v>
      </c>
      <c r="E4599" t="s">
        <v>14</v>
      </c>
      <c r="F4599">
        <f t="shared" ca="1" si="144"/>
        <v>1.3388888888888888</v>
      </c>
      <c r="G4599">
        <f t="shared" ca="1" si="145"/>
        <v>0</v>
      </c>
    </row>
    <row r="4600" spans="1:7">
      <c r="A4600">
        <v>5232</v>
      </c>
      <c r="B4600" t="s">
        <v>19</v>
      </c>
      <c r="C4600" t="s">
        <v>127</v>
      </c>
      <c r="D4600" s="9">
        <v>41033.70380787037</v>
      </c>
      <c r="E4600" t="s">
        <v>11</v>
      </c>
      <c r="F4600">
        <f t="shared" ca="1" si="144"/>
        <v>2.7361111111111112</v>
      </c>
      <c r="G4600">
        <f t="shared" ca="1" si="145"/>
        <v>0</v>
      </c>
    </row>
    <row r="4601" spans="1:7">
      <c r="A4601">
        <v>5235</v>
      </c>
      <c r="B4601" t="s">
        <v>99</v>
      </c>
      <c r="C4601" t="s">
        <v>126</v>
      </c>
      <c r="D4601" s="9">
        <v>41127.921956018516</v>
      </c>
      <c r="E4601" t="s">
        <v>11</v>
      </c>
      <c r="F4601">
        <f t="shared" ca="1" si="144"/>
        <v>2.4805555555555556</v>
      </c>
      <c r="G4601">
        <f t="shared" ca="1" si="145"/>
        <v>0</v>
      </c>
    </row>
    <row r="4602" spans="1:7">
      <c r="A4602">
        <v>5237</v>
      </c>
      <c r="B4602" t="s">
        <v>27</v>
      </c>
      <c r="C4602" t="s">
        <v>126</v>
      </c>
      <c r="D4602" s="9">
        <v>41128.710300925923</v>
      </c>
      <c r="E4602" t="s">
        <v>43</v>
      </c>
      <c r="F4602">
        <f t="shared" ca="1" si="144"/>
        <v>2.4777777777777779</v>
      </c>
      <c r="G4602">
        <f t="shared" ca="1" si="145"/>
        <v>0</v>
      </c>
    </row>
    <row r="4603" spans="1:7">
      <c r="A4603">
        <v>5238</v>
      </c>
      <c r="B4603" t="s">
        <v>27</v>
      </c>
      <c r="C4603" t="s">
        <v>126</v>
      </c>
      <c r="D4603" s="9">
        <v>41128.538171296299</v>
      </c>
      <c r="E4603" t="s">
        <v>19</v>
      </c>
      <c r="F4603">
        <f t="shared" ca="1" si="144"/>
        <v>2.4777777777777779</v>
      </c>
      <c r="G4603">
        <f t="shared" ca="1" si="145"/>
        <v>0</v>
      </c>
    </row>
    <row r="4604" spans="1:7">
      <c r="A4604">
        <v>5242</v>
      </c>
      <c r="B4604" t="s">
        <v>37</v>
      </c>
      <c r="C4604" t="s">
        <v>127</v>
      </c>
      <c r="D4604" s="9">
        <v>41033.703877314816</v>
      </c>
      <c r="E4604" t="s">
        <v>8</v>
      </c>
      <c r="F4604">
        <f t="shared" ca="1" si="144"/>
        <v>2.7361111111111112</v>
      </c>
      <c r="G4604">
        <f t="shared" ca="1" si="145"/>
        <v>0</v>
      </c>
    </row>
    <row r="4605" spans="1:7">
      <c r="A4605">
        <v>5244</v>
      </c>
      <c r="B4605" t="s">
        <v>23</v>
      </c>
      <c r="C4605" t="s">
        <v>126</v>
      </c>
      <c r="D4605" s="9">
        <v>41130.425023148149</v>
      </c>
      <c r="E4605" t="s">
        <v>8</v>
      </c>
      <c r="F4605">
        <f t="shared" ca="1" si="144"/>
        <v>2.4722222222222223</v>
      </c>
      <c r="G4605">
        <f t="shared" ca="1" si="145"/>
        <v>0</v>
      </c>
    </row>
    <row r="4606" spans="1:7">
      <c r="A4606">
        <v>5245</v>
      </c>
      <c r="B4606" t="s">
        <v>36</v>
      </c>
      <c r="C4606" t="s">
        <v>126</v>
      </c>
      <c r="D4606" s="9">
        <v>41127.785682870373</v>
      </c>
      <c r="E4606" t="s">
        <v>21</v>
      </c>
      <c r="F4606">
        <f t="shared" ca="1" si="144"/>
        <v>2.4805555555555556</v>
      </c>
      <c r="G4606">
        <f t="shared" ca="1" si="145"/>
        <v>0</v>
      </c>
    </row>
    <row r="4607" spans="1:7">
      <c r="A4607">
        <v>5247</v>
      </c>
      <c r="B4607" t="s">
        <v>111</v>
      </c>
      <c r="C4607" t="s">
        <v>126</v>
      </c>
      <c r="D4607" s="9">
        <v>41127.938020833331</v>
      </c>
      <c r="E4607" t="s">
        <v>11</v>
      </c>
      <c r="F4607">
        <f t="shared" ca="1" si="144"/>
        <v>2.4805555555555556</v>
      </c>
      <c r="G4607">
        <f t="shared" ca="1" si="145"/>
        <v>0</v>
      </c>
    </row>
    <row r="4608" spans="1:7">
      <c r="A4608">
        <v>5248</v>
      </c>
      <c r="B4608" t="s">
        <v>111</v>
      </c>
      <c r="C4608" t="s">
        <v>125</v>
      </c>
      <c r="D4608" s="9">
        <v>41213.775312500002</v>
      </c>
      <c r="E4608" t="s">
        <v>36</v>
      </c>
      <c r="F4608">
        <f t="shared" ca="1" si="144"/>
        <v>2.2472222222222222</v>
      </c>
      <c r="G4608">
        <f t="shared" ca="1" si="145"/>
        <v>0</v>
      </c>
    </row>
    <row r="4609" spans="1:7">
      <c r="A4609">
        <v>5249</v>
      </c>
      <c r="B4609" t="s">
        <v>11</v>
      </c>
      <c r="C4609" t="s">
        <v>126</v>
      </c>
      <c r="D4609" s="9">
        <v>41127.853043981479</v>
      </c>
      <c r="E4609" t="s">
        <v>27</v>
      </c>
      <c r="F4609">
        <f t="shared" ca="1" si="144"/>
        <v>2.4805555555555556</v>
      </c>
      <c r="G4609">
        <f t="shared" ca="1" si="145"/>
        <v>0</v>
      </c>
    </row>
    <row r="4610" spans="1:7">
      <c r="A4610">
        <v>5250</v>
      </c>
      <c r="B4610" t="s">
        <v>36</v>
      </c>
      <c r="C4610" t="s">
        <v>126</v>
      </c>
      <c r="D4610" s="9">
        <v>41127.829560185186</v>
      </c>
      <c r="E4610" t="s">
        <v>38</v>
      </c>
      <c r="F4610">
        <f t="shared" ca="1" si="144"/>
        <v>2.4805555555555556</v>
      </c>
      <c r="G4610">
        <f t="shared" ca="1" si="145"/>
        <v>0</v>
      </c>
    </row>
    <row r="4611" spans="1:7">
      <c r="A4611">
        <v>5251</v>
      </c>
      <c r="B4611" t="s">
        <v>112</v>
      </c>
      <c r="C4611" t="s">
        <v>126</v>
      </c>
      <c r="D4611" s="9">
        <v>41135.822557870371</v>
      </c>
      <c r="E4611" t="s">
        <v>36</v>
      </c>
      <c r="F4611">
        <f t="shared" ca="1" si="144"/>
        <v>2.4583333333333335</v>
      </c>
      <c r="G4611">
        <f t="shared" ca="1" si="145"/>
        <v>0</v>
      </c>
    </row>
    <row r="4612" spans="1:7">
      <c r="A4612">
        <v>5255</v>
      </c>
      <c r="B4612" t="s">
        <v>32</v>
      </c>
      <c r="C4612" t="s">
        <v>126</v>
      </c>
      <c r="D4612" s="9">
        <v>41128.584560185183</v>
      </c>
      <c r="E4612" t="s">
        <v>52</v>
      </c>
      <c r="F4612">
        <f t="shared" ca="1" si="144"/>
        <v>2.4777777777777779</v>
      </c>
      <c r="G4612">
        <f t="shared" ca="1" si="145"/>
        <v>0</v>
      </c>
    </row>
    <row r="4613" spans="1:7">
      <c r="A4613">
        <v>5256</v>
      </c>
      <c r="B4613" t="s">
        <v>36</v>
      </c>
      <c r="C4613" t="s">
        <v>126</v>
      </c>
      <c r="D4613" s="9">
        <v>41127.773252314815</v>
      </c>
      <c r="E4613" t="s">
        <v>52</v>
      </c>
      <c r="F4613">
        <f t="shared" ca="1" si="144"/>
        <v>2.4805555555555556</v>
      </c>
      <c r="G4613">
        <f t="shared" ca="1" si="145"/>
        <v>0</v>
      </c>
    </row>
    <row r="4614" spans="1:7">
      <c r="A4614">
        <v>5257</v>
      </c>
      <c r="B4614" t="s">
        <v>8</v>
      </c>
      <c r="C4614" t="s">
        <v>126</v>
      </c>
      <c r="D4614" s="9">
        <v>41129.793182870373</v>
      </c>
      <c r="E4614" t="s">
        <v>11</v>
      </c>
      <c r="F4614">
        <f t="shared" ca="1" si="144"/>
        <v>2.4750000000000001</v>
      </c>
      <c r="G4614">
        <f t="shared" ca="1" si="145"/>
        <v>0</v>
      </c>
    </row>
    <row r="4615" spans="1:7">
      <c r="A4615">
        <v>5258</v>
      </c>
      <c r="B4615" t="s">
        <v>19</v>
      </c>
      <c r="C4615" t="s">
        <v>126</v>
      </c>
      <c r="D4615" s="9">
        <v>41128.699837962966</v>
      </c>
      <c r="E4615" t="s">
        <v>51</v>
      </c>
      <c r="F4615">
        <f t="shared" ref="F4615:F4678" ca="1" si="146">YEARFRAC(TODAY(),$D4615)</f>
        <v>2.4777777777777779</v>
      </c>
      <c r="G4615">
        <f t="shared" ref="G4615:G4678" ca="1" si="147">IF($F4615&lt;1,1,0)</f>
        <v>0</v>
      </c>
    </row>
    <row r="4616" spans="1:7">
      <c r="A4616">
        <v>5259</v>
      </c>
      <c r="B4616" t="s">
        <v>19</v>
      </c>
      <c r="C4616" t="s">
        <v>126</v>
      </c>
      <c r="D4616" s="9">
        <v>41127.876111111109</v>
      </c>
      <c r="E4616" t="s">
        <v>27</v>
      </c>
      <c r="F4616">
        <f t="shared" ca="1" si="146"/>
        <v>2.4805555555555556</v>
      </c>
      <c r="G4616">
        <f t="shared" ca="1" si="147"/>
        <v>0</v>
      </c>
    </row>
    <row r="4617" spans="1:7">
      <c r="A4617">
        <v>5261</v>
      </c>
      <c r="B4617" t="s">
        <v>34</v>
      </c>
      <c r="C4617" t="s">
        <v>127</v>
      </c>
      <c r="D4617" s="9">
        <v>41033.704004629632</v>
      </c>
      <c r="E4617" t="s">
        <v>23</v>
      </c>
      <c r="F4617">
        <f t="shared" ca="1" si="146"/>
        <v>2.7361111111111112</v>
      </c>
      <c r="G4617">
        <f t="shared" ca="1" si="147"/>
        <v>0</v>
      </c>
    </row>
    <row r="4618" spans="1:7">
      <c r="A4618">
        <v>5263</v>
      </c>
      <c r="B4618" t="s">
        <v>8</v>
      </c>
      <c r="C4618" t="s">
        <v>125</v>
      </c>
      <c r="D4618" s="9">
        <v>41208.79488425926</v>
      </c>
      <c r="E4618" t="s">
        <v>36</v>
      </c>
      <c r="F4618">
        <f t="shared" ca="1" si="146"/>
        <v>2.2583333333333333</v>
      </c>
      <c r="G4618">
        <f t="shared" ca="1" si="147"/>
        <v>0</v>
      </c>
    </row>
    <row r="4619" spans="1:7">
      <c r="A4619">
        <v>5266</v>
      </c>
      <c r="B4619" t="s">
        <v>8</v>
      </c>
      <c r="C4619" t="s">
        <v>125</v>
      </c>
      <c r="D4619" s="9">
        <v>41211.5156712963</v>
      </c>
      <c r="E4619" t="s">
        <v>19</v>
      </c>
      <c r="F4619">
        <f t="shared" ca="1" si="146"/>
        <v>2.25</v>
      </c>
      <c r="G4619">
        <f t="shared" ca="1" si="147"/>
        <v>0</v>
      </c>
    </row>
    <row r="4620" spans="1:7">
      <c r="A4620">
        <v>5270</v>
      </c>
      <c r="B4620" t="s">
        <v>143</v>
      </c>
      <c r="C4620" t="s">
        <v>126</v>
      </c>
      <c r="D4620" s="9">
        <v>41127.569618055553</v>
      </c>
      <c r="E4620" t="s">
        <v>37</v>
      </c>
      <c r="F4620">
        <f t="shared" ca="1" si="146"/>
        <v>2.4805555555555556</v>
      </c>
      <c r="G4620">
        <f t="shared" ca="1" si="147"/>
        <v>0</v>
      </c>
    </row>
    <row r="4621" spans="1:7">
      <c r="A4621">
        <v>5274</v>
      </c>
      <c r="B4621" t="s">
        <v>111</v>
      </c>
      <c r="C4621" t="s">
        <v>126</v>
      </c>
      <c r="D4621" s="9">
        <v>41127.842800925922</v>
      </c>
      <c r="E4621" t="s">
        <v>27</v>
      </c>
      <c r="F4621">
        <f t="shared" ca="1" si="146"/>
        <v>2.4805555555555556</v>
      </c>
      <c r="G4621">
        <f t="shared" ca="1" si="147"/>
        <v>0</v>
      </c>
    </row>
    <row r="4622" spans="1:7">
      <c r="A4622">
        <v>5278</v>
      </c>
      <c r="B4622" t="s">
        <v>19</v>
      </c>
      <c r="C4622" t="s">
        <v>126</v>
      </c>
      <c r="D4622" s="9">
        <v>41127.702881944446</v>
      </c>
      <c r="E4622" t="s">
        <v>36</v>
      </c>
      <c r="F4622">
        <f t="shared" ca="1" si="146"/>
        <v>2.4805555555555556</v>
      </c>
      <c r="G4622">
        <f t="shared" ca="1" si="147"/>
        <v>0</v>
      </c>
    </row>
    <row r="4623" spans="1:7">
      <c r="A4623">
        <v>5279</v>
      </c>
      <c r="B4623" t="s">
        <v>19</v>
      </c>
      <c r="C4623" t="s">
        <v>126</v>
      </c>
      <c r="D4623" s="9">
        <v>41127.793900462966</v>
      </c>
      <c r="E4623" t="s">
        <v>27</v>
      </c>
      <c r="F4623">
        <f t="shared" ca="1" si="146"/>
        <v>2.4805555555555556</v>
      </c>
      <c r="G4623">
        <f t="shared" ca="1" si="147"/>
        <v>0</v>
      </c>
    </row>
    <row r="4624" spans="1:7">
      <c r="A4624">
        <v>5285</v>
      </c>
      <c r="B4624" t="s">
        <v>99</v>
      </c>
      <c r="C4624" t="s">
        <v>126</v>
      </c>
      <c r="D4624" s="9">
        <v>41127.725219907406</v>
      </c>
      <c r="E4624" t="s">
        <v>32</v>
      </c>
      <c r="F4624">
        <f t="shared" ca="1" si="146"/>
        <v>2.4805555555555556</v>
      </c>
      <c r="G4624">
        <f t="shared" ca="1" si="147"/>
        <v>0</v>
      </c>
    </row>
    <row r="4625" spans="1:7">
      <c r="A4625">
        <v>5286</v>
      </c>
      <c r="B4625" t="s">
        <v>21</v>
      </c>
      <c r="C4625" t="s">
        <v>126</v>
      </c>
      <c r="D4625" s="9">
        <v>41128.681886574072</v>
      </c>
      <c r="E4625" t="s">
        <v>32</v>
      </c>
      <c r="F4625">
        <f t="shared" ca="1" si="146"/>
        <v>2.4777777777777779</v>
      </c>
      <c r="G4625">
        <f t="shared" ca="1" si="147"/>
        <v>0</v>
      </c>
    </row>
    <row r="4626" spans="1:7">
      <c r="A4626">
        <v>5287</v>
      </c>
      <c r="B4626" t="s">
        <v>11</v>
      </c>
      <c r="C4626" t="s">
        <v>126</v>
      </c>
      <c r="D4626" s="9">
        <v>41215.695960648147</v>
      </c>
      <c r="E4626" t="s">
        <v>8</v>
      </c>
      <c r="F4626">
        <f t="shared" ca="1" si="146"/>
        <v>2.2416666666666667</v>
      </c>
      <c r="G4626">
        <f t="shared" ca="1" si="147"/>
        <v>0</v>
      </c>
    </row>
    <row r="4627" spans="1:7">
      <c r="A4627">
        <v>5292</v>
      </c>
      <c r="B4627" t="s">
        <v>27</v>
      </c>
      <c r="C4627" t="s">
        <v>126</v>
      </c>
      <c r="D4627" s="9">
        <v>41128.646284722221</v>
      </c>
      <c r="E4627" t="s">
        <v>19</v>
      </c>
      <c r="F4627">
        <f t="shared" ca="1" si="146"/>
        <v>2.4777777777777779</v>
      </c>
      <c r="G4627">
        <f t="shared" ca="1" si="147"/>
        <v>0</v>
      </c>
    </row>
    <row r="4628" spans="1:7">
      <c r="A4628">
        <v>5293</v>
      </c>
      <c r="B4628" t="s">
        <v>37</v>
      </c>
      <c r="C4628" t="s">
        <v>126</v>
      </c>
      <c r="D4628" s="9">
        <v>41128.610706018517</v>
      </c>
      <c r="E4628" t="s">
        <v>51</v>
      </c>
      <c r="F4628">
        <f t="shared" ca="1" si="146"/>
        <v>2.4777777777777779</v>
      </c>
      <c r="G4628">
        <f t="shared" ca="1" si="147"/>
        <v>0</v>
      </c>
    </row>
    <row r="4629" spans="1:7">
      <c r="A4629">
        <v>5299</v>
      </c>
      <c r="B4629" t="s">
        <v>34</v>
      </c>
      <c r="C4629" t="s">
        <v>167</v>
      </c>
      <c r="D4629" s="9">
        <v>41060.501921296294</v>
      </c>
      <c r="E4629" t="s">
        <v>44</v>
      </c>
      <c r="F4629">
        <f t="shared" ca="1" si="146"/>
        <v>2.6638888888888888</v>
      </c>
      <c r="G4629">
        <f t="shared" ca="1" si="147"/>
        <v>0</v>
      </c>
    </row>
    <row r="4630" spans="1:7">
      <c r="A4630">
        <v>5300</v>
      </c>
      <c r="B4630" t="s">
        <v>14</v>
      </c>
      <c r="C4630" t="s">
        <v>118</v>
      </c>
      <c r="D4630" s="9">
        <v>41710.450439814813</v>
      </c>
      <c r="E4630" t="s">
        <v>17</v>
      </c>
      <c r="F4630">
        <f t="shared" ca="1" si="146"/>
        <v>0.88055555555555554</v>
      </c>
      <c r="G4630">
        <f t="shared" ca="1" si="147"/>
        <v>1</v>
      </c>
    </row>
    <row r="4631" spans="1:7">
      <c r="A4631">
        <v>5301</v>
      </c>
      <c r="B4631" t="s">
        <v>8</v>
      </c>
      <c r="C4631" t="s">
        <v>167</v>
      </c>
      <c r="D4631" s="9">
        <v>41059.690300925926</v>
      </c>
      <c r="E4631" t="s">
        <v>34</v>
      </c>
      <c r="F4631">
        <f t="shared" ca="1" si="146"/>
        <v>2.6638888888888888</v>
      </c>
      <c r="G4631">
        <f t="shared" ca="1" si="147"/>
        <v>0</v>
      </c>
    </row>
    <row r="4632" spans="1:7">
      <c r="A4632">
        <v>5303</v>
      </c>
      <c r="B4632" t="s">
        <v>37</v>
      </c>
      <c r="C4632" t="s">
        <v>126</v>
      </c>
      <c r="D4632" s="9">
        <v>41127.953506944446</v>
      </c>
      <c r="E4632" t="s">
        <v>21</v>
      </c>
      <c r="F4632">
        <f t="shared" ca="1" si="146"/>
        <v>2.4805555555555556</v>
      </c>
      <c r="G4632">
        <f t="shared" ca="1" si="147"/>
        <v>0</v>
      </c>
    </row>
    <row r="4633" spans="1:7">
      <c r="A4633">
        <v>5304</v>
      </c>
      <c r="B4633" t="s">
        <v>21</v>
      </c>
      <c r="C4633" t="s">
        <v>126</v>
      </c>
      <c r="D4633" s="9">
        <v>41129.543136574073</v>
      </c>
      <c r="E4633" t="s">
        <v>32</v>
      </c>
      <c r="F4633">
        <f t="shared" ca="1" si="146"/>
        <v>2.4750000000000001</v>
      </c>
      <c r="G4633">
        <f t="shared" ca="1" si="147"/>
        <v>0</v>
      </c>
    </row>
    <row r="4634" spans="1:7">
      <c r="A4634">
        <v>5306</v>
      </c>
      <c r="B4634" t="s">
        <v>21</v>
      </c>
      <c r="C4634" t="s">
        <v>125</v>
      </c>
      <c r="D4634" s="9">
        <v>41215.558888888889</v>
      </c>
      <c r="E4634" t="s">
        <v>23</v>
      </c>
      <c r="F4634">
        <f t="shared" ca="1" si="146"/>
        <v>2.2416666666666667</v>
      </c>
      <c r="G4634">
        <f t="shared" ca="1" si="147"/>
        <v>0</v>
      </c>
    </row>
    <row r="4635" spans="1:7">
      <c r="A4635">
        <v>5307</v>
      </c>
      <c r="B4635" t="s">
        <v>34</v>
      </c>
      <c r="C4635" t="s">
        <v>126</v>
      </c>
      <c r="D4635" s="9">
        <v>41129.959085648145</v>
      </c>
      <c r="E4635" t="s">
        <v>43</v>
      </c>
      <c r="F4635">
        <f t="shared" ca="1" si="146"/>
        <v>2.4750000000000001</v>
      </c>
      <c r="G4635">
        <f t="shared" ca="1" si="147"/>
        <v>0</v>
      </c>
    </row>
    <row r="4636" spans="1:7">
      <c r="A4636">
        <v>5308</v>
      </c>
      <c r="B4636" t="s">
        <v>37</v>
      </c>
      <c r="C4636" t="s">
        <v>126</v>
      </c>
      <c r="D4636" s="9">
        <v>41129.550613425927</v>
      </c>
      <c r="E4636" t="s">
        <v>19</v>
      </c>
      <c r="F4636">
        <f t="shared" ca="1" si="146"/>
        <v>2.4750000000000001</v>
      </c>
      <c r="G4636">
        <f t="shared" ca="1" si="147"/>
        <v>0</v>
      </c>
    </row>
    <row r="4637" spans="1:7">
      <c r="A4637">
        <v>5310</v>
      </c>
      <c r="B4637" t="s">
        <v>8</v>
      </c>
      <c r="C4637" t="s">
        <v>167</v>
      </c>
      <c r="D4637" s="9">
        <v>41060.604074074072</v>
      </c>
      <c r="E4637" t="s">
        <v>44</v>
      </c>
      <c r="F4637">
        <f t="shared" ca="1" si="146"/>
        <v>2.6638888888888888</v>
      </c>
      <c r="G4637">
        <f t="shared" ca="1" si="147"/>
        <v>0</v>
      </c>
    </row>
    <row r="4638" spans="1:7">
      <c r="A4638">
        <v>5316</v>
      </c>
      <c r="B4638" t="s">
        <v>32</v>
      </c>
      <c r="C4638" t="s">
        <v>126</v>
      </c>
      <c r="D4638" s="9">
        <v>41129.807638888888</v>
      </c>
      <c r="E4638" t="s">
        <v>11</v>
      </c>
      <c r="F4638">
        <f t="shared" ca="1" si="146"/>
        <v>2.4750000000000001</v>
      </c>
      <c r="G4638">
        <f t="shared" ca="1" si="147"/>
        <v>0</v>
      </c>
    </row>
    <row r="4639" spans="1:7">
      <c r="A4639">
        <v>5319</v>
      </c>
      <c r="B4639" t="s">
        <v>99</v>
      </c>
      <c r="C4639" t="s">
        <v>126</v>
      </c>
      <c r="D4639" s="9">
        <v>41127.600613425922</v>
      </c>
      <c r="E4639" t="s">
        <v>32</v>
      </c>
      <c r="F4639">
        <f t="shared" ca="1" si="146"/>
        <v>2.4805555555555556</v>
      </c>
      <c r="G4639">
        <f t="shared" ca="1" si="147"/>
        <v>0</v>
      </c>
    </row>
    <row r="4640" spans="1:7">
      <c r="A4640">
        <v>5320</v>
      </c>
      <c r="B4640" t="s">
        <v>99</v>
      </c>
      <c r="C4640" t="s">
        <v>126</v>
      </c>
      <c r="D4640" s="9">
        <v>41127.602187500001</v>
      </c>
      <c r="E4640" t="s">
        <v>32</v>
      </c>
      <c r="F4640">
        <f t="shared" ca="1" si="146"/>
        <v>2.4805555555555556</v>
      </c>
      <c r="G4640">
        <f t="shared" ca="1" si="147"/>
        <v>0</v>
      </c>
    </row>
    <row r="4641" spans="1:7">
      <c r="A4641">
        <v>5321</v>
      </c>
      <c r="B4641" t="s">
        <v>20</v>
      </c>
      <c r="C4641" t="s">
        <v>121</v>
      </c>
      <c r="D4641" s="9">
        <v>41479.411898148152</v>
      </c>
      <c r="E4641" t="s">
        <v>27</v>
      </c>
      <c r="F4641">
        <f t="shared" ca="1" si="146"/>
        <v>1.5138888888888888</v>
      </c>
      <c r="G4641">
        <f t="shared" ca="1" si="147"/>
        <v>0</v>
      </c>
    </row>
    <row r="4642" spans="1:7">
      <c r="A4642">
        <v>5322</v>
      </c>
      <c r="B4642" t="s">
        <v>8</v>
      </c>
      <c r="C4642" t="s">
        <v>126</v>
      </c>
      <c r="D4642" s="9">
        <v>41127.889837962961</v>
      </c>
      <c r="E4642" t="s">
        <v>21</v>
      </c>
      <c r="F4642">
        <f t="shared" ca="1" si="146"/>
        <v>2.4805555555555556</v>
      </c>
      <c r="G4642">
        <f t="shared" ca="1" si="147"/>
        <v>0</v>
      </c>
    </row>
    <row r="4643" spans="1:7">
      <c r="A4643">
        <v>5323</v>
      </c>
      <c r="B4643" t="s">
        <v>34</v>
      </c>
      <c r="C4643" t="s">
        <v>126</v>
      </c>
      <c r="D4643" s="9">
        <v>41067.646516203706</v>
      </c>
      <c r="E4643" t="s">
        <v>37</v>
      </c>
      <c r="F4643">
        <f t="shared" ca="1" si="146"/>
        <v>2.6444444444444444</v>
      </c>
      <c r="G4643">
        <f t="shared" ca="1" si="147"/>
        <v>0</v>
      </c>
    </row>
    <row r="4644" spans="1:7">
      <c r="A4644">
        <v>5324</v>
      </c>
      <c r="B4644" t="s">
        <v>8</v>
      </c>
      <c r="C4644" t="s">
        <v>125</v>
      </c>
      <c r="D4644" s="9">
        <v>41211.700173611112</v>
      </c>
      <c r="E4644" t="s">
        <v>24</v>
      </c>
      <c r="F4644">
        <f t="shared" ca="1" si="146"/>
        <v>2.25</v>
      </c>
      <c r="G4644">
        <f t="shared" ca="1" si="147"/>
        <v>0</v>
      </c>
    </row>
    <row r="4645" spans="1:7">
      <c r="A4645">
        <v>5331</v>
      </c>
      <c r="B4645" t="s">
        <v>34</v>
      </c>
      <c r="C4645" t="s">
        <v>126</v>
      </c>
      <c r="D4645" s="9">
        <v>41129.71365740741</v>
      </c>
      <c r="E4645" t="s">
        <v>19</v>
      </c>
      <c r="F4645">
        <f t="shared" ca="1" si="146"/>
        <v>2.4750000000000001</v>
      </c>
      <c r="G4645">
        <f t="shared" ca="1" si="147"/>
        <v>0</v>
      </c>
    </row>
    <row r="4646" spans="1:7">
      <c r="A4646">
        <v>5336</v>
      </c>
      <c r="B4646" t="s">
        <v>23</v>
      </c>
      <c r="C4646" t="s">
        <v>126</v>
      </c>
      <c r="D4646" s="9">
        <v>41129.709305555552</v>
      </c>
      <c r="E4646" t="s">
        <v>8</v>
      </c>
      <c r="F4646">
        <f t="shared" ca="1" si="146"/>
        <v>2.4750000000000001</v>
      </c>
      <c r="G4646">
        <f t="shared" ca="1" si="147"/>
        <v>0</v>
      </c>
    </row>
    <row r="4647" spans="1:7">
      <c r="A4647">
        <v>5337</v>
      </c>
      <c r="B4647" t="s">
        <v>8</v>
      </c>
      <c r="C4647" t="s">
        <v>126</v>
      </c>
      <c r="D4647" s="9">
        <v>41127.60732638889</v>
      </c>
      <c r="E4647" t="s">
        <v>19</v>
      </c>
      <c r="F4647">
        <f t="shared" ca="1" si="146"/>
        <v>2.4805555555555556</v>
      </c>
      <c r="G4647">
        <f t="shared" ca="1" si="147"/>
        <v>0</v>
      </c>
    </row>
    <row r="4648" spans="1:7">
      <c r="A4648">
        <v>5339</v>
      </c>
      <c r="B4648" t="s">
        <v>11</v>
      </c>
      <c r="C4648" t="s">
        <v>126</v>
      </c>
      <c r="D4648" s="9">
        <v>41130.352314814816</v>
      </c>
      <c r="E4648" t="s">
        <v>8</v>
      </c>
      <c r="F4648">
        <f t="shared" ca="1" si="146"/>
        <v>2.4722222222222223</v>
      </c>
      <c r="G4648">
        <f t="shared" ca="1" si="147"/>
        <v>0</v>
      </c>
    </row>
    <row r="4649" spans="1:7">
      <c r="A4649">
        <v>5340</v>
      </c>
      <c r="B4649" t="s">
        <v>32</v>
      </c>
      <c r="C4649" t="s">
        <v>126</v>
      </c>
      <c r="D4649" s="9">
        <v>41131.699560185189</v>
      </c>
      <c r="E4649" t="s">
        <v>11</v>
      </c>
      <c r="F4649">
        <f t="shared" ca="1" si="146"/>
        <v>2.4694444444444446</v>
      </c>
      <c r="G4649">
        <f t="shared" ca="1" si="147"/>
        <v>0</v>
      </c>
    </row>
    <row r="4650" spans="1:7">
      <c r="A4650">
        <v>5345</v>
      </c>
      <c r="B4650" t="s">
        <v>19</v>
      </c>
      <c r="C4650" t="s">
        <v>126</v>
      </c>
      <c r="D4650" s="9">
        <v>41127.850023148145</v>
      </c>
      <c r="E4650" t="s">
        <v>11</v>
      </c>
      <c r="F4650">
        <f t="shared" ca="1" si="146"/>
        <v>2.4805555555555556</v>
      </c>
      <c r="G4650">
        <f t="shared" ca="1" si="147"/>
        <v>0</v>
      </c>
    </row>
    <row r="4651" spans="1:7">
      <c r="A4651">
        <v>5347</v>
      </c>
      <c r="B4651" t="s">
        <v>111</v>
      </c>
      <c r="C4651" t="s">
        <v>126</v>
      </c>
      <c r="D4651" s="9">
        <v>41127.928703703707</v>
      </c>
      <c r="E4651" t="s">
        <v>11</v>
      </c>
      <c r="F4651">
        <f t="shared" ca="1" si="146"/>
        <v>2.4805555555555556</v>
      </c>
      <c r="G4651">
        <f t="shared" ca="1" si="147"/>
        <v>0</v>
      </c>
    </row>
    <row r="4652" spans="1:7">
      <c r="A4652">
        <v>5349</v>
      </c>
      <c r="B4652" t="s">
        <v>111</v>
      </c>
      <c r="C4652" t="s">
        <v>121</v>
      </c>
      <c r="D4652" s="9">
        <v>41480.462141203701</v>
      </c>
      <c r="E4652" t="s">
        <v>27</v>
      </c>
      <c r="F4652">
        <f t="shared" ca="1" si="146"/>
        <v>1.5111111111111111</v>
      </c>
      <c r="G4652">
        <f t="shared" ca="1" si="147"/>
        <v>0</v>
      </c>
    </row>
    <row r="4653" spans="1:7">
      <c r="A4653">
        <v>5350</v>
      </c>
      <c r="B4653" t="s">
        <v>43</v>
      </c>
      <c r="C4653" t="s">
        <v>123</v>
      </c>
      <c r="D4653" s="9">
        <v>41302.715578703705</v>
      </c>
      <c r="E4653" t="s">
        <v>38</v>
      </c>
      <c r="F4653">
        <f t="shared" ca="1" si="146"/>
        <v>2.0027777777777778</v>
      </c>
      <c r="G4653">
        <f t="shared" ca="1" si="147"/>
        <v>0</v>
      </c>
    </row>
    <row r="4654" spans="1:7">
      <c r="A4654">
        <v>5354</v>
      </c>
      <c r="B4654" t="s">
        <v>220</v>
      </c>
      <c r="C4654" t="s">
        <v>209</v>
      </c>
      <c r="D4654" s="9">
        <v>41936.394444444442</v>
      </c>
      <c r="E4654" t="s">
        <v>211</v>
      </c>
      <c r="F4654">
        <f t="shared" ca="1" si="146"/>
        <v>0.2638888888888889</v>
      </c>
      <c r="G4654">
        <f t="shared" ca="1" si="147"/>
        <v>1</v>
      </c>
    </row>
    <row r="4655" spans="1:7">
      <c r="A4655">
        <v>5355</v>
      </c>
      <c r="B4655" t="s">
        <v>32</v>
      </c>
      <c r="C4655" t="s">
        <v>126</v>
      </c>
      <c r="D4655" s="9">
        <v>41127.907187500001</v>
      </c>
      <c r="E4655" t="s">
        <v>27</v>
      </c>
      <c r="F4655">
        <f t="shared" ca="1" si="146"/>
        <v>2.4805555555555556</v>
      </c>
      <c r="G4655">
        <f t="shared" ca="1" si="147"/>
        <v>0</v>
      </c>
    </row>
    <row r="4656" spans="1:7">
      <c r="A4656">
        <v>5357</v>
      </c>
      <c r="B4656" t="s">
        <v>32</v>
      </c>
      <c r="C4656" t="s">
        <v>126</v>
      </c>
      <c r="D4656" s="9">
        <v>41127.791284722225</v>
      </c>
      <c r="E4656" t="s">
        <v>21</v>
      </c>
      <c r="F4656">
        <f t="shared" ca="1" si="146"/>
        <v>2.4805555555555556</v>
      </c>
      <c r="G4656">
        <f t="shared" ca="1" si="147"/>
        <v>0</v>
      </c>
    </row>
    <row r="4657" spans="1:7">
      <c r="A4657">
        <v>5358</v>
      </c>
      <c r="B4657" t="s">
        <v>19</v>
      </c>
      <c r="C4657" t="s">
        <v>126</v>
      </c>
      <c r="D4657" s="9">
        <v>41127.83829861111</v>
      </c>
      <c r="E4657" t="s">
        <v>27</v>
      </c>
      <c r="F4657">
        <f t="shared" ca="1" si="146"/>
        <v>2.4805555555555556</v>
      </c>
      <c r="G4657">
        <f t="shared" ca="1" si="147"/>
        <v>0</v>
      </c>
    </row>
    <row r="4658" spans="1:7">
      <c r="A4658">
        <v>5359</v>
      </c>
      <c r="B4658" t="s">
        <v>19</v>
      </c>
      <c r="C4658" t="s">
        <v>125</v>
      </c>
      <c r="D4658" s="9">
        <v>41211.673067129632</v>
      </c>
      <c r="E4658" t="s">
        <v>34</v>
      </c>
      <c r="F4658">
        <f t="shared" ca="1" si="146"/>
        <v>2.25</v>
      </c>
      <c r="G4658">
        <f t="shared" ca="1" si="147"/>
        <v>0</v>
      </c>
    </row>
    <row r="4659" spans="1:7">
      <c r="A4659">
        <v>5362</v>
      </c>
      <c r="B4659" t="s">
        <v>99</v>
      </c>
      <c r="C4659" t="s">
        <v>126</v>
      </c>
      <c r="D4659" s="9">
        <v>41127.586331018516</v>
      </c>
      <c r="E4659" t="s">
        <v>32</v>
      </c>
      <c r="F4659">
        <f t="shared" ca="1" si="146"/>
        <v>2.4805555555555556</v>
      </c>
      <c r="G4659">
        <f t="shared" ca="1" si="147"/>
        <v>0</v>
      </c>
    </row>
    <row r="4660" spans="1:7">
      <c r="A4660">
        <v>5367</v>
      </c>
      <c r="B4660" t="s">
        <v>45</v>
      </c>
      <c r="C4660" t="s">
        <v>125</v>
      </c>
      <c r="D4660" s="9">
        <v>41135.822881944441</v>
      </c>
      <c r="E4660" t="s">
        <v>38</v>
      </c>
      <c r="F4660">
        <f t="shared" ca="1" si="146"/>
        <v>2.4583333333333335</v>
      </c>
      <c r="G4660">
        <f t="shared" ca="1" si="147"/>
        <v>0</v>
      </c>
    </row>
    <row r="4661" spans="1:7">
      <c r="A4661">
        <v>5370</v>
      </c>
      <c r="B4661" t="s">
        <v>44</v>
      </c>
      <c r="C4661" t="s">
        <v>125</v>
      </c>
      <c r="D4661" s="9">
        <v>41212.572858796295</v>
      </c>
      <c r="E4661" t="s">
        <v>24</v>
      </c>
      <c r="F4661">
        <f t="shared" ca="1" si="146"/>
        <v>2.2472222222222222</v>
      </c>
      <c r="G4661">
        <f t="shared" ca="1" si="147"/>
        <v>0</v>
      </c>
    </row>
    <row r="4662" spans="1:7">
      <c r="A4662">
        <v>5371</v>
      </c>
      <c r="B4662" t="s">
        <v>43</v>
      </c>
      <c r="C4662" t="s">
        <v>126</v>
      </c>
      <c r="D4662" s="9">
        <v>41135.82304398148</v>
      </c>
      <c r="E4662" t="s">
        <v>11</v>
      </c>
      <c r="F4662">
        <f t="shared" ca="1" si="146"/>
        <v>2.4583333333333335</v>
      </c>
      <c r="G4662">
        <f t="shared" ca="1" si="147"/>
        <v>0</v>
      </c>
    </row>
    <row r="4663" spans="1:7">
      <c r="A4663">
        <v>5372</v>
      </c>
      <c r="B4663" t="s">
        <v>44</v>
      </c>
      <c r="C4663" t="s">
        <v>126</v>
      </c>
      <c r="D4663" s="9">
        <v>41128.706250000003</v>
      </c>
      <c r="E4663" t="s">
        <v>27</v>
      </c>
      <c r="F4663">
        <f t="shared" ca="1" si="146"/>
        <v>2.4777777777777779</v>
      </c>
      <c r="G4663">
        <f t="shared" ca="1" si="147"/>
        <v>0</v>
      </c>
    </row>
    <row r="4664" spans="1:7">
      <c r="A4664">
        <v>5378</v>
      </c>
      <c r="B4664" t="s">
        <v>34</v>
      </c>
      <c r="C4664" t="s">
        <v>126</v>
      </c>
      <c r="D4664" s="9">
        <v>41129.764814814815</v>
      </c>
      <c r="E4664" t="s">
        <v>43</v>
      </c>
      <c r="F4664">
        <f t="shared" ca="1" si="146"/>
        <v>2.4750000000000001</v>
      </c>
      <c r="G4664">
        <f t="shared" ca="1" si="147"/>
        <v>0</v>
      </c>
    </row>
    <row r="4665" spans="1:7">
      <c r="A4665">
        <v>5382</v>
      </c>
      <c r="B4665" t="s">
        <v>8</v>
      </c>
      <c r="C4665" t="s">
        <v>126</v>
      </c>
      <c r="D4665" s="9">
        <v>41127.799328703702</v>
      </c>
      <c r="E4665" t="s">
        <v>36</v>
      </c>
      <c r="F4665">
        <f t="shared" ca="1" si="146"/>
        <v>2.4805555555555556</v>
      </c>
      <c r="G4665">
        <f t="shared" ca="1" si="147"/>
        <v>0</v>
      </c>
    </row>
    <row r="4666" spans="1:7">
      <c r="A4666">
        <v>5383</v>
      </c>
      <c r="B4666" t="s">
        <v>43</v>
      </c>
      <c r="C4666" t="s">
        <v>126</v>
      </c>
      <c r="D4666" s="9">
        <v>41127.839768518519</v>
      </c>
      <c r="E4666" t="s">
        <v>21</v>
      </c>
      <c r="F4666">
        <f t="shared" ca="1" si="146"/>
        <v>2.4805555555555556</v>
      </c>
      <c r="G4666">
        <f t="shared" ca="1" si="147"/>
        <v>0</v>
      </c>
    </row>
    <row r="4667" spans="1:7">
      <c r="A4667">
        <v>5384</v>
      </c>
      <c r="B4667" t="s">
        <v>8</v>
      </c>
      <c r="C4667" t="s">
        <v>125</v>
      </c>
      <c r="D4667" s="9">
        <v>41211.642013888886</v>
      </c>
      <c r="E4667" t="s">
        <v>30</v>
      </c>
      <c r="F4667">
        <f t="shared" ca="1" si="146"/>
        <v>2.25</v>
      </c>
      <c r="G4667">
        <f t="shared" ca="1" si="147"/>
        <v>0</v>
      </c>
    </row>
    <row r="4668" spans="1:7">
      <c r="A4668">
        <v>5385</v>
      </c>
      <c r="B4668" t="s">
        <v>43</v>
      </c>
      <c r="C4668" t="s">
        <v>126</v>
      </c>
      <c r="D4668" s="9">
        <v>41130.131018518521</v>
      </c>
      <c r="E4668" t="s">
        <v>11</v>
      </c>
      <c r="F4668">
        <f t="shared" ca="1" si="146"/>
        <v>2.4722222222222223</v>
      </c>
      <c r="G4668">
        <f t="shared" ca="1" si="147"/>
        <v>0</v>
      </c>
    </row>
    <row r="4669" spans="1:7">
      <c r="A4669">
        <v>5386</v>
      </c>
      <c r="B4669" t="s">
        <v>143</v>
      </c>
      <c r="C4669" t="s">
        <v>126</v>
      </c>
      <c r="D4669" s="9">
        <v>41128.457187499997</v>
      </c>
      <c r="E4669" t="s">
        <v>51</v>
      </c>
      <c r="F4669">
        <f t="shared" ca="1" si="146"/>
        <v>2.4777777777777779</v>
      </c>
      <c r="G4669">
        <f t="shared" ca="1" si="147"/>
        <v>0</v>
      </c>
    </row>
    <row r="4670" spans="1:7">
      <c r="A4670">
        <v>5388</v>
      </c>
      <c r="B4670" t="s">
        <v>19</v>
      </c>
      <c r="C4670" t="s">
        <v>126</v>
      </c>
      <c r="D4670" s="9">
        <v>41127.792094907411</v>
      </c>
      <c r="E4670" t="s">
        <v>27</v>
      </c>
      <c r="F4670">
        <f t="shared" ca="1" si="146"/>
        <v>2.4805555555555556</v>
      </c>
      <c r="G4670">
        <f t="shared" ca="1" si="147"/>
        <v>0</v>
      </c>
    </row>
    <row r="4671" spans="1:7">
      <c r="A4671">
        <v>5395</v>
      </c>
      <c r="B4671" t="s">
        <v>8</v>
      </c>
      <c r="C4671" t="s">
        <v>167</v>
      </c>
      <c r="D4671" s="9">
        <v>41059.7578587963</v>
      </c>
      <c r="E4671" t="s">
        <v>20</v>
      </c>
      <c r="F4671">
        <f t="shared" ca="1" si="146"/>
        <v>2.6638888888888888</v>
      </c>
      <c r="G4671">
        <f t="shared" ca="1" si="147"/>
        <v>0</v>
      </c>
    </row>
    <row r="4672" spans="1:7">
      <c r="A4672">
        <v>5401</v>
      </c>
      <c r="B4672" t="s">
        <v>38</v>
      </c>
      <c r="C4672" t="s">
        <v>123</v>
      </c>
      <c r="D4672" s="9">
        <v>41304.391689814816</v>
      </c>
      <c r="E4672" t="s">
        <v>8</v>
      </c>
      <c r="F4672">
        <f t="shared" ca="1" si="146"/>
        <v>1.9972222222222222</v>
      </c>
      <c r="G4672">
        <f t="shared" ca="1" si="147"/>
        <v>0</v>
      </c>
    </row>
    <row r="4673" spans="1:7">
      <c r="A4673">
        <v>5409</v>
      </c>
      <c r="B4673" t="s">
        <v>23</v>
      </c>
      <c r="C4673" t="s">
        <v>126</v>
      </c>
      <c r="D4673" s="9">
        <v>41128.604409722226</v>
      </c>
      <c r="E4673" t="s">
        <v>37</v>
      </c>
      <c r="F4673">
        <f t="shared" ca="1" si="146"/>
        <v>2.4777777777777779</v>
      </c>
      <c r="G4673">
        <f t="shared" ca="1" si="147"/>
        <v>0</v>
      </c>
    </row>
    <row r="4674" spans="1:7">
      <c r="A4674">
        <v>5410</v>
      </c>
      <c r="B4674" t="s">
        <v>143</v>
      </c>
      <c r="C4674" t="s">
        <v>126</v>
      </c>
      <c r="D4674" s="9">
        <v>41128.667118055557</v>
      </c>
      <c r="E4674" t="s">
        <v>37</v>
      </c>
      <c r="F4674">
        <f t="shared" ca="1" si="146"/>
        <v>2.4777777777777779</v>
      </c>
      <c r="G4674">
        <f t="shared" ca="1" si="147"/>
        <v>0</v>
      </c>
    </row>
    <row r="4675" spans="1:7">
      <c r="A4675">
        <v>5413</v>
      </c>
      <c r="B4675" t="s">
        <v>34</v>
      </c>
      <c r="C4675" t="s">
        <v>126</v>
      </c>
      <c r="D4675" s="9">
        <v>41129.627592592595</v>
      </c>
      <c r="E4675" t="s">
        <v>19</v>
      </c>
      <c r="F4675">
        <f t="shared" ca="1" si="146"/>
        <v>2.4750000000000001</v>
      </c>
      <c r="G4675">
        <f t="shared" ca="1" si="147"/>
        <v>0</v>
      </c>
    </row>
    <row r="4676" spans="1:7">
      <c r="A4676">
        <v>5414</v>
      </c>
      <c r="B4676" t="s">
        <v>30</v>
      </c>
      <c r="C4676" t="s">
        <v>125</v>
      </c>
      <c r="D4676" s="9">
        <v>41249.8825462963</v>
      </c>
      <c r="E4676" t="s">
        <v>44</v>
      </c>
      <c r="F4676">
        <f t="shared" ca="1" si="146"/>
        <v>2.1472222222222221</v>
      </c>
      <c r="G4676">
        <f t="shared" ca="1" si="147"/>
        <v>0</v>
      </c>
    </row>
    <row r="4677" spans="1:7">
      <c r="A4677">
        <v>5418</v>
      </c>
      <c r="B4677" t="s">
        <v>8</v>
      </c>
      <c r="C4677" t="s">
        <v>125</v>
      </c>
      <c r="D4677" s="9">
        <v>41211.405532407407</v>
      </c>
      <c r="E4677" t="s">
        <v>19</v>
      </c>
      <c r="F4677">
        <f t="shared" ca="1" si="146"/>
        <v>2.25</v>
      </c>
      <c r="G4677">
        <f t="shared" ca="1" si="147"/>
        <v>0</v>
      </c>
    </row>
    <row r="4678" spans="1:7">
      <c r="A4678">
        <v>5419</v>
      </c>
      <c r="B4678" t="s">
        <v>32</v>
      </c>
      <c r="C4678" t="s">
        <v>126</v>
      </c>
      <c r="D4678" s="9">
        <v>41129.828888888886</v>
      </c>
      <c r="E4678" t="s">
        <v>21</v>
      </c>
      <c r="F4678">
        <f t="shared" ca="1" si="146"/>
        <v>2.4750000000000001</v>
      </c>
      <c r="G4678">
        <f t="shared" ca="1" si="147"/>
        <v>0</v>
      </c>
    </row>
    <row r="4679" spans="1:7">
      <c r="A4679">
        <v>5421</v>
      </c>
      <c r="B4679" t="s">
        <v>14</v>
      </c>
      <c r="C4679" t="s">
        <v>120</v>
      </c>
      <c r="D4679" s="9">
        <v>41575.436493055553</v>
      </c>
      <c r="E4679" t="s">
        <v>37</v>
      </c>
      <c r="F4679">
        <f t="shared" ref="F4679:F4742" ca="1" si="148">YEARFRAC(TODAY(),$D4679)</f>
        <v>1.2527777777777778</v>
      </c>
      <c r="G4679">
        <f t="shared" ref="G4679:G4742" ca="1" si="149">IF($F4679&lt;1,1,0)</f>
        <v>0</v>
      </c>
    </row>
    <row r="4680" spans="1:7">
      <c r="A4680">
        <v>5422</v>
      </c>
      <c r="B4680" t="s">
        <v>14</v>
      </c>
      <c r="C4680" t="s">
        <v>120</v>
      </c>
      <c r="D4680" s="9">
        <v>41562.648599537039</v>
      </c>
      <c r="E4680" t="s">
        <v>8</v>
      </c>
      <c r="F4680">
        <f t="shared" ca="1" si="148"/>
        <v>1.288888888888889</v>
      </c>
      <c r="G4680">
        <f t="shared" ca="1" si="149"/>
        <v>0</v>
      </c>
    </row>
    <row r="4681" spans="1:7">
      <c r="A4681">
        <v>5425</v>
      </c>
      <c r="B4681" t="s">
        <v>32</v>
      </c>
      <c r="C4681" t="s">
        <v>167</v>
      </c>
      <c r="D4681" s="9">
        <v>41073.754236111112</v>
      </c>
      <c r="E4681" t="s">
        <v>20</v>
      </c>
      <c r="F4681">
        <f t="shared" ca="1" si="148"/>
        <v>2.6277777777777778</v>
      </c>
      <c r="G4681">
        <f t="shared" ca="1" si="149"/>
        <v>0</v>
      </c>
    </row>
    <row r="4682" spans="1:7">
      <c r="A4682">
        <v>5426</v>
      </c>
      <c r="B4682" t="s">
        <v>11</v>
      </c>
      <c r="C4682" t="s">
        <v>126</v>
      </c>
      <c r="D4682" s="9">
        <v>41128.815601851849</v>
      </c>
      <c r="E4682" t="s">
        <v>36</v>
      </c>
      <c r="F4682">
        <f t="shared" ca="1" si="148"/>
        <v>2.4777777777777779</v>
      </c>
      <c r="G4682">
        <f t="shared" ca="1" si="149"/>
        <v>0</v>
      </c>
    </row>
    <row r="4683" spans="1:7">
      <c r="A4683">
        <v>5427</v>
      </c>
      <c r="B4683" t="s">
        <v>43</v>
      </c>
      <c r="C4683" t="s">
        <v>123</v>
      </c>
      <c r="D4683" s="9">
        <v>41304.619189814817</v>
      </c>
      <c r="E4683" t="s">
        <v>34</v>
      </c>
      <c r="F4683">
        <f t="shared" ca="1" si="148"/>
        <v>1.9972222222222222</v>
      </c>
      <c r="G4683">
        <f t="shared" ca="1" si="149"/>
        <v>0</v>
      </c>
    </row>
    <row r="4684" spans="1:7">
      <c r="A4684">
        <v>5428</v>
      </c>
      <c r="B4684" t="s">
        <v>43</v>
      </c>
      <c r="C4684" t="s">
        <v>123</v>
      </c>
      <c r="D4684" s="9">
        <v>41309.464143518519</v>
      </c>
      <c r="E4684" t="s">
        <v>36</v>
      </c>
      <c r="F4684">
        <f t="shared" ca="1" si="148"/>
        <v>1.9861111111111112</v>
      </c>
      <c r="G4684">
        <f t="shared" ca="1" si="149"/>
        <v>0</v>
      </c>
    </row>
    <row r="4685" spans="1:7">
      <c r="A4685">
        <v>5429</v>
      </c>
      <c r="B4685" t="s">
        <v>111</v>
      </c>
      <c r="C4685" t="s">
        <v>125</v>
      </c>
      <c r="D4685" s="9">
        <v>41215.697800925926</v>
      </c>
      <c r="E4685" t="s">
        <v>11</v>
      </c>
      <c r="F4685">
        <f t="shared" ca="1" si="148"/>
        <v>2.2416666666666667</v>
      </c>
      <c r="G4685">
        <f t="shared" ca="1" si="149"/>
        <v>0</v>
      </c>
    </row>
    <row r="4686" spans="1:7">
      <c r="A4686">
        <v>5430</v>
      </c>
      <c r="B4686" t="s">
        <v>36</v>
      </c>
      <c r="C4686" t="s">
        <v>126</v>
      </c>
      <c r="D4686" s="9">
        <v>41127.65247685185</v>
      </c>
      <c r="E4686" t="s">
        <v>32</v>
      </c>
      <c r="F4686">
        <f t="shared" ca="1" si="148"/>
        <v>2.4805555555555556</v>
      </c>
      <c r="G4686">
        <f t="shared" ca="1" si="149"/>
        <v>0</v>
      </c>
    </row>
    <row r="4687" spans="1:7">
      <c r="A4687">
        <v>5431</v>
      </c>
      <c r="B4687" t="s">
        <v>43</v>
      </c>
      <c r="C4687" t="s">
        <v>123</v>
      </c>
      <c r="D4687" s="9">
        <v>41302.763773148145</v>
      </c>
      <c r="E4687" t="s">
        <v>38</v>
      </c>
      <c r="F4687">
        <f t="shared" ca="1" si="148"/>
        <v>2.0027777777777778</v>
      </c>
      <c r="G4687">
        <f t="shared" ca="1" si="149"/>
        <v>0</v>
      </c>
    </row>
    <row r="4688" spans="1:7">
      <c r="A4688">
        <v>5432</v>
      </c>
      <c r="B4688" t="s">
        <v>37</v>
      </c>
      <c r="C4688" t="s">
        <v>126</v>
      </c>
      <c r="D4688" s="9">
        <v>41135.823194444441</v>
      </c>
      <c r="E4688" t="s">
        <v>44</v>
      </c>
      <c r="F4688">
        <f t="shared" ca="1" si="148"/>
        <v>2.4583333333333335</v>
      </c>
      <c r="G4688">
        <f t="shared" ca="1" si="149"/>
        <v>0</v>
      </c>
    </row>
    <row r="4689" spans="1:7">
      <c r="A4689">
        <v>5437</v>
      </c>
      <c r="B4689" t="s">
        <v>32</v>
      </c>
      <c r="C4689" t="s">
        <v>126</v>
      </c>
      <c r="D4689" s="9">
        <v>41130.68854166667</v>
      </c>
      <c r="E4689" t="s">
        <v>11</v>
      </c>
      <c r="F4689">
        <f t="shared" ca="1" si="148"/>
        <v>2.4722222222222223</v>
      </c>
      <c r="G4689">
        <f t="shared" ca="1" si="149"/>
        <v>0</v>
      </c>
    </row>
    <row r="4690" spans="1:7">
      <c r="A4690">
        <v>5441</v>
      </c>
      <c r="B4690" t="s">
        <v>37</v>
      </c>
      <c r="C4690" t="s">
        <v>126</v>
      </c>
      <c r="D4690" s="9">
        <v>41130.427106481482</v>
      </c>
      <c r="E4690" t="s">
        <v>44</v>
      </c>
      <c r="F4690">
        <f t="shared" ca="1" si="148"/>
        <v>2.4722222222222223</v>
      </c>
      <c r="G4690">
        <f t="shared" ca="1" si="149"/>
        <v>0</v>
      </c>
    </row>
    <row r="4691" spans="1:7">
      <c r="A4691">
        <v>5442</v>
      </c>
      <c r="B4691" t="s">
        <v>143</v>
      </c>
      <c r="C4691" t="s">
        <v>126</v>
      </c>
      <c r="D4691" s="9">
        <v>41127.673645833333</v>
      </c>
      <c r="E4691" t="s">
        <v>37</v>
      </c>
      <c r="F4691">
        <f t="shared" ca="1" si="148"/>
        <v>2.4805555555555556</v>
      </c>
      <c r="G4691">
        <f t="shared" ca="1" si="149"/>
        <v>0</v>
      </c>
    </row>
    <row r="4692" spans="1:7">
      <c r="A4692">
        <v>5444</v>
      </c>
      <c r="B4692" t="s">
        <v>11</v>
      </c>
      <c r="C4692" t="s">
        <v>126</v>
      </c>
      <c r="D4692" s="9">
        <v>41127.606238425928</v>
      </c>
      <c r="E4692" t="s">
        <v>8</v>
      </c>
      <c r="F4692">
        <f t="shared" ca="1" si="148"/>
        <v>2.4805555555555556</v>
      </c>
      <c r="G4692">
        <f t="shared" ca="1" si="149"/>
        <v>0</v>
      </c>
    </row>
    <row r="4693" spans="1:7">
      <c r="A4693">
        <v>5445</v>
      </c>
      <c r="B4693" t="s">
        <v>111</v>
      </c>
      <c r="C4693" t="s">
        <v>126</v>
      </c>
      <c r="D4693" s="9">
        <v>41128.862754629627</v>
      </c>
      <c r="E4693" t="s">
        <v>27</v>
      </c>
      <c r="F4693">
        <f t="shared" ca="1" si="148"/>
        <v>2.4777777777777779</v>
      </c>
      <c r="G4693">
        <f t="shared" ca="1" si="149"/>
        <v>0</v>
      </c>
    </row>
    <row r="4694" spans="1:7">
      <c r="A4694">
        <v>5446</v>
      </c>
      <c r="B4694" t="s">
        <v>32</v>
      </c>
      <c r="C4694" t="s">
        <v>126</v>
      </c>
      <c r="D4694" s="9">
        <v>41128.636759259258</v>
      </c>
      <c r="E4694" t="s">
        <v>21</v>
      </c>
      <c r="F4694">
        <f t="shared" ca="1" si="148"/>
        <v>2.4777777777777779</v>
      </c>
      <c r="G4694">
        <f t="shared" ca="1" si="149"/>
        <v>0</v>
      </c>
    </row>
    <row r="4695" spans="1:7">
      <c r="A4695">
        <v>5448</v>
      </c>
      <c r="B4695" t="s">
        <v>52</v>
      </c>
      <c r="C4695" t="s">
        <v>125</v>
      </c>
      <c r="D4695" s="9">
        <v>41212.873553240737</v>
      </c>
      <c r="E4695" t="s">
        <v>27</v>
      </c>
      <c r="F4695">
        <f t="shared" ca="1" si="148"/>
        <v>2.2472222222222222</v>
      </c>
      <c r="G4695">
        <f t="shared" ca="1" si="149"/>
        <v>0</v>
      </c>
    </row>
    <row r="4696" spans="1:7">
      <c r="A4696">
        <v>5451</v>
      </c>
      <c r="B4696" t="s">
        <v>52</v>
      </c>
      <c r="C4696" t="s">
        <v>120</v>
      </c>
      <c r="D4696" s="9">
        <v>41571.923344907409</v>
      </c>
      <c r="E4696" t="s">
        <v>27</v>
      </c>
      <c r="F4696">
        <f t="shared" ca="1" si="148"/>
        <v>1.2638888888888888</v>
      </c>
      <c r="G4696">
        <f t="shared" ca="1" si="149"/>
        <v>0</v>
      </c>
    </row>
    <row r="4697" spans="1:7">
      <c r="A4697">
        <v>5452</v>
      </c>
      <c r="B4697" t="s">
        <v>19</v>
      </c>
      <c r="C4697" t="s">
        <v>126</v>
      </c>
      <c r="D4697" s="9">
        <v>41130.371006944442</v>
      </c>
      <c r="E4697" t="s">
        <v>44</v>
      </c>
      <c r="F4697">
        <f t="shared" ca="1" si="148"/>
        <v>2.4722222222222223</v>
      </c>
      <c r="G4697">
        <f t="shared" ca="1" si="149"/>
        <v>0</v>
      </c>
    </row>
    <row r="4698" spans="1:7">
      <c r="A4698">
        <v>5453</v>
      </c>
      <c r="B4698" t="s">
        <v>27</v>
      </c>
      <c r="C4698" t="s">
        <v>125</v>
      </c>
      <c r="D4698" s="9">
        <v>41215.698310185187</v>
      </c>
      <c r="E4698" t="s">
        <v>36</v>
      </c>
      <c r="F4698">
        <f t="shared" ca="1" si="148"/>
        <v>2.2416666666666667</v>
      </c>
      <c r="G4698">
        <f t="shared" ca="1" si="149"/>
        <v>0</v>
      </c>
    </row>
    <row r="4699" spans="1:7">
      <c r="A4699">
        <v>5454</v>
      </c>
      <c r="B4699" t="s">
        <v>27</v>
      </c>
      <c r="C4699" t="s">
        <v>125</v>
      </c>
      <c r="D4699" s="9">
        <v>41215.698206018518</v>
      </c>
      <c r="E4699" t="s">
        <v>36</v>
      </c>
      <c r="F4699">
        <f t="shared" ca="1" si="148"/>
        <v>2.2416666666666667</v>
      </c>
      <c r="G4699">
        <f t="shared" ca="1" si="149"/>
        <v>0</v>
      </c>
    </row>
    <row r="4700" spans="1:7">
      <c r="A4700">
        <v>5457</v>
      </c>
      <c r="B4700" t="s">
        <v>19</v>
      </c>
      <c r="C4700" t="s">
        <v>126</v>
      </c>
      <c r="D4700" s="9">
        <v>41128.841932870368</v>
      </c>
      <c r="E4700" t="s">
        <v>27</v>
      </c>
      <c r="F4700">
        <f t="shared" ca="1" si="148"/>
        <v>2.4777777777777779</v>
      </c>
      <c r="G4700">
        <f t="shared" ca="1" si="149"/>
        <v>0</v>
      </c>
    </row>
    <row r="4701" spans="1:7">
      <c r="A4701">
        <v>5460</v>
      </c>
      <c r="B4701" t="s">
        <v>32</v>
      </c>
      <c r="C4701" t="s">
        <v>126</v>
      </c>
      <c r="D4701" s="9">
        <v>41128.614571759259</v>
      </c>
      <c r="E4701" t="s">
        <v>37</v>
      </c>
      <c r="F4701">
        <f t="shared" ca="1" si="148"/>
        <v>2.4777777777777779</v>
      </c>
      <c r="G4701">
        <f t="shared" ca="1" si="149"/>
        <v>0</v>
      </c>
    </row>
    <row r="4702" spans="1:7">
      <c r="A4702">
        <v>5461</v>
      </c>
      <c r="B4702" t="s">
        <v>8</v>
      </c>
      <c r="C4702" t="s">
        <v>126</v>
      </c>
      <c r="D4702" s="9">
        <v>41127.830590277779</v>
      </c>
      <c r="E4702" t="s">
        <v>38</v>
      </c>
      <c r="F4702">
        <f t="shared" ca="1" si="148"/>
        <v>2.4805555555555556</v>
      </c>
      <c r="G4702">
        <f t="shared" ca="1" si="149"/>
        <v>0</v>
      </c>
    </row>
    <row r="4703" spans="1:7">
      <c r="A4703">
        <v>5462</v>
      </c>
      <c r="B4703" t="s">
        <v>11</v>
      </c>
      <c r="C4703" t="s">
        <v>126</v>
      </c>
      <c r="D4703" s="9">
        <v>41128.51898148148</v>
      </c>
      <c r="E4703" t="s">
        <v>8</v>
      </c>
      <c r="F4703">
        <f t="shared" ca="1" si="148"/>
        <v>2.4777777777777779</v>
      </c>
      <c r="G4703">
        <f t="shared" ca="1" si="149"/>
        <v>0</v>
      </c>
    </row>
    <row r="4704" spans="1:7">
      <c r="A4704">
        <v>5463</v>
      </c>
      <c r="B4704" t="s">
        <v>8</v>
      </c>
      <c r="C4704" t="s">
        <v>126</v>
      </c>
      <c r="D4704" s="9">
        <v>41127.826435185183</v>
      </c>
      <c r="E4704" t="s">
        <v>52</v>
      </c>
      <c r="F4704">
        <f t="shared" ca="1" si="148"/>
        <v>2.4805555555555556</v>
      </c>
      <c r="G4704">
        <f t="shared" ca="1" si="149"/>
        <v>0</v>
      </c>
    </row>
    <row r="4705" spans="1:7">
      <c r="A4705">
        <v>5465</v>
      </c>
      <c r="B4705" t="s">
        <v>52</v>
      </c>
      <c r="C4705" t="s">
        <v>125</v>
      </c>
      <c r="D4705" s="9">
        <v>41213.534768518519</v>
      </c>
      <c r="E4705" t="s">
        <v>27</v>
      </c>
      <c r="F4705">
        <f t="shared" ca="1" si="148"/>
        <v>2.2472222222222222</v>
      </c>
      <c r="G4705">
        <f t="shared" ca="1" si="149"/>
        <v>0</v>
      </c>
    </row>
    <row r="4706" spans="1:7">
      <c r="A4706">
        <v>5466</v>
      </c>
      <c r="B4706" t="s">
        <v>11</v>
      </c>
      <c r="C4706" t="s">
        <v>126</v>
      </c>
      <c r="D4706" s="9">
        <v>41127.916087962964</v>
      </c>
      <c r="E4706" t="s">
        <v>21</v>
      </c>
      <c r="F4706">
        <f t="shared" ca="1" si="148"/>
        <v>2.4805555555555556</v>
      </c>
      <c r="G4706">
        <f t="shared" ca="1" si="149"/>
        <v>0</v>
      </c>
    </row>
    <row r="4707" spans="1:7">
      <c r="A4707">
        <v>5467</v>
      </c>
      <c r="B4707" t="s">
        <v>19</v>
      </c>
      <c r="C4707" t="s">
        <v>126</v>
      </c>
      <c r="D4707" s="9">
        <v>41130.413321759261</v>
      </c>
      <c r="E4707" t="s">
        <v>44</v>
      </c>
      <c r="F4707">
        <f t="shared" ca="1" si="148"/>
        <v>2.4722222222222223</v>
      </c>
      <c r="G4707">
        <f t="shared" ca="1" si="149"/>
        <v>0</v>
      </c>
    </row>
    <row r="4708" spans="1:7">
      <c r="A4708">
        <v>5468</v>
      </c>
      <c r="B4708" t="s">
        <v>8</v>
      </c>
      <c r="C4708" t="s">
        <v>126</v>
      </c>
      <c r="D4708" s="9">
        <v>41127.877465277779</v>
      </c>
      <c r="E4708" t="s">
        <v>11</v>
      </c>
      <c r="F4708">
        <f t="shared" ca="1" si="148"/>
        <v>2.4805555555555556</v>
      </c>
      <c r="G4708">
        <f t="shared" ca="1" si="149"/>
        <v>0</v>
      </c>
    </row>
    <row r="4709" spans="1:7">
      <c r="A4709">
        <v>5471</v>
      </c>
      <c r="B4709" t="s">
        <v>52</v>
      </c>
      <c r="C4709" t="s">
        <v>125</v>
      </c>
      <c r="D4709" s="9">
        <v>41212.803414351853</v>
      </c>
      <c r="E4709" t="s">
        <v>27</v>
      </c>
      <c r="F4709">
        <f t="shared" ca="1" si="148"/>
        <v>2.2472222222222222</v>
      </c>
      <c r="G4709">
        <f t="shared" ca="1" si="149"/>
        <v>0</v>
      </c>
    </row>
    <row r="4710" spans="1:7">
      <c r="A4710">
        <v>5475</v>
      </c>
      <c r="B4710" t="s">
        <v>111</v>
      </c>
      <c r="C4710" t="s">
        <v>125</v>
      </c>
      <c r="D4710" s="9">
        <v>41215.696863425925</v>
      </c>
      <c r="E4710" t="s">
        <v>8</v>
      </c>
      <c r="F4710">
        <f t="shared" ca="1" si="148"/>
        <v>2.2416666666666667</v>
      </c>
      <c r="G4710">
        <f t="shared" ca="1" si="149"/>
        <v>0</v>
      </c>
    </row>
    <row r="4711" spans="1:7">
      <c r="A4711">
        <v>5476</v>
      </c>
      <c r="B4711" t="s">
        <v>43</v>
      </c>
      <c r="C4711" t="s">
        <v>126</v>
      </c>
      <c r="D4711" s="9">
        <v>41128.1484375</v>
      </c>
      <c r="E4711" t="s">
        <v>21</v>
      </c>
      <c r="F4711">
        <f t="shared" ca="1" si="148"/>
        <v>2.4777777777777779</v>
      </c>
      <c r="G4711">
        <f t="shared" ca="1" si="149"/>
        <v>0</v>
      </c>
    </row>
    <row r="4712" spans="1:7">
      <c r="A4712">
        <v>5478</v>
      </c>
      <c r="B4712" t="s">
        <v>8</v>
      </c>
      <c r="C4712" t="s">
        <v>126</v>
      </c>
      <c r="D4712" s="9">
        <v>41127.709722222222</v>
      </c>
      <c r="E4712" t="s">
        <v>36</v>
      </c>
      <c r="F4712">
        <f t="shared" ca="1" si="148"/>
        <v>2.4805555555555556</v>
      </c>
      <c r="G4712">
        <f t="shared" ca="1" si="149"/>
        <v>0</v>
      </c>
    </row>
    <row r="4713" spans="1:7">
      <c r="A4713">
        <v>5481</v>
      </c>
      <c r="B4713" t="s">
        <v>43</v>
      </c>
      <c r="C4713" t="s">
        <v>126</v>
      </c>
      <c r="D4713" s="9">
        <v>41127.860162037039</v>
      </c>
      <c r="E4713" t="s">
        <v>36</v>
      </c>
      <c r="F4713">
        <f t="shared" ca="1" si="148"/>
        <v>2.4805555555555556</v>
      </c>
      <c r="G4713">
        <f t="shared" ca="1" si="149"/>
        <v>0</v>
      </c>
    </row>
    <row r="4714" spans="1:7">
      <c r="A4714">
        <v>5483</v>
      </c>
      <c r="B4714" t="s">
        <v>37</v>
      </c>
      <c r="C4714" t="s">
        <v>126</v>
      </c>
      <c r="D4714" s="9">
        <v>41135.822997685187</v>
      </c>
      <c r="E4714" t="s">
        <v>51</v>
      </c>
      <c r="F4714">
        <f t="shared" ca="1" si="148"/>
        <v>2.4583333333333335</v>
      </c>
      <c r="G4714">
        <f t="shared" ca="1" si="149"/>
        <v>0</v>
      </c>
    </row>
    <row r="4715" spans="1:7">
      <c r="A4715">
        <v>5484</v>
      </c>
      <c r="B4715" t="s">
        <v>19</v>
      </c>
      <c r="C4715" t="s">
        <v>126</v>
      </c>
      <c r="D4715" s="9">
        <v>41129.577060185184</v>
      </c>
      <c r="E4715" t="s">
        <v>27</v>
      </c>
      <c r="F4715">
        <f t="shared" ca="1" si="148"/>
        <v>2.4750000000000001</v>
      </c>
      <c r="G4715">
        <f t="shared" ca="1" si="149"/>
        <v>0</v>
      </c>
    </row>
    <row r="4716" spans="1:7">
      <c r="A4716">
        <v>5485</v>
      </c>
      <c r="B4716" t="s">
        <v>19</v>
      </c>
      <c r="C4716" t="s">
        <v>126</v>
      </c>
      <c r="D4716" s="9">
        <v>41129.687939814816</v>
      </c>
      <c r="E4716" t="s">
        <v>34</v>
      </c>
      <c r="F4716">
        <f t="shared" ca="1" si="148"/>
        <v>2.4750000000000001</v>
      </c>
      <c r="G4716">
        <f t="shared" ca="1" si="149"/>
        <v>0</v>
      </c>
    </row>
    <row r="4717" spans="1:7">
      <c r="A4717">
        <v>5487</v>
      </c>
      <c r="B4717" t="s">
        <v>54</v>
      </c>
      <c r="C4717" t="s">
        <v>125</v>
      </c>
      <c r="D4717" s="9">
        <v>41213.858124999999</v>
      </c>
      <c r="E4717" t="s">
        <v>49</v>
      </c>
      <c r="F4717">
        <f t="shared" ca="1" si="148"/>
        <v>2.2472222222222222</v>
      </c>
      <c r="G4717">
        <f t="shared" ca="1" si="149"/>
        <v>0</v>
      </c>
    </row>
    <row r="4718" spans="1:7">
      <c r="A4718">
        <v>5488</v>
      </c>
      <c r="B4718" t="s">
        <v>8</v>
      </c>
      <c r="C4718" t="s">
        <v>126</v>
      </c>
      <c r="D4718" s="9">
        <v>41127.651284722226</v>
      </c>
      <c r="E4718" t="s">
        <v>19</v>
      </c>
      <c r="F4718">
        <f t="shared" ca="1" si="148"/>
        <v>2.4805555555555556</v>
      </c>
      <c r="G4718">
        <f t="shared" ca="1" si="149"/>
        <v>0</v>
      </c>
    </row>
    <row r="4719" spans="1:7">
      <c r="A4719">
        <v>5489</v>
      </c>
      <c r="B4719" t="s">
        <v>19</v>
      </c>
      <c r="C4719" t="s">
        <v>126</v>
      </c>
      <c r="D4719" s="9">
        <v>41135.823067129626</v>
      </c>
      <c r="E4719" t="s">
        <v>27</v>
      </c>
      <c r="F4719">
        <f t="shared" ca="1" si="148"/>
        <v>2.4583333333333335</v>
      </c>
      <c r="G4719">
        <f t="shared" ca="1" si="149"/>
        <v>0</v>
      </c>
    </row>
    <row r="4720" spans="1:7">
      <c r="A4720">
        <v>5490</v>
      </c>
      <c r="B4720" t="s">
        <v>32</v>
      </c>
      <c r="C4720" t="s">
        <v>126</v>
      </c>
      <c r="D4720" s="9">
        <v>41128.751631944448</v>
      </c>
      <c r="E4720" t="s">
        <v>49</v>
      </c>
      <c r="F4720">
        <f t="shared" ca="1" si="148"/>
        <v>2.4777777777777779</v>
      </c>
      <c r="G4720">
        <f t="shared" ca="1" si="149"/>
        <v>0</v>
      </c>
    </row>
    <row r="4721" spans="1:7">
      <c r="A4721">
        <v>5491</v>
      </c>
      <c r="B4721" t="s">
        <v>32</v>
      </c>
      <c r="C4721" t="s">
        <v>126</v>
      </c>
      <c r="D4721" s="9">
        <v>41128.775787037041</v>
      </c>
      <c r="E4721" t="s">
        <v>49</v>
      </c>
      <c r="F4721">
        <f t="shared" ca="1" si="148"/>
        <v>2.4777777777777779</v>
      </c>
      <c r="G4721">
        <f t="shared" ca="1" si="149"/>
        <v>0</v>
      </c>
    </row>
    <row r="4722" spans="1:7">
      <c r="A4722">
        <v>5493</v>
      </c>
      <c r="B4722" t="s">
        <v>19</v>
      </c>
      <c r="C4722" t="s">
        <v>126</v>
      </c>
      <c r="D4722" s="9">
        <v>41128.628182870372</v>
      </c>
      <c r="E4722" t="s">
        <v>27</v>
      </c>
      <c r="F4722">
        <f t="shared" ca="1" si="148"/>
        <v>2.4777777777777779</v>
      </c>
      <c r="G4722">
        <f t="shared" ca="1" si="149"/>
        <v>0</v>
      </c>
    </row>
    <row r="4723" spans="1:7">
      <c r="A4723">
        <v>5494</v>
      </c>
      <c r="B4723" t="s">
        <v>19</v>
      </c>
      <c r="C4723" t="s">
        <v>126</v>
      </c>
      <c r="D4723" s="9">
        <v>41127.937708333331</v>
      </c>
      <c r="E4723" t="s">
        <v>27</v>
      </c>
      <c r="F4723">
        <f t="shared" ca="1" si="148"/>
        <v>2.4805555555555556</v>
      </c>
      <c r="G4723">
        <f t="shared" ca="1" si="149"/>
        <v>0</v>
      </c>
    </row>
    <row r="4724" spans="1:7">
      <c r="A4724">
        <v>5511</v>
      </c>
      <c r="B4724" t="s">
        <v>8</v>
      </c>
      <c r="C4724" t="s">
        <v>126</v>
      </c>
      <c r="D4724" s="9">
        <v>41127.817881944444</v>
      </c>
      <c r="E4724" t="s">
        <v>11</v>
      </c>
      <c r="F4724">
        <f t="shared" ca="1" si="148"/>
        <v>2.4805555555555556</v>
      </c>
      <c r="G4724">
        <f t="shared" ca="1" si="149"/>
        <v>0</v>
      </c>
    </row>
    <row r="4725" spans="1:7">
      <c r="A4725">
        <v>5534</v>
      </c>
      <c r="B4725" t="s">
        <v>43</v>
      </c>
      <c r="C4725" t="s">
        <v>123</v>
      </c>
      <c r="D4725" s="9">
        <v>41304.766516203701</v>
      </c>
      <c r="E4725" t="s">
        <v>36</v>
      </c>
      <c r="F4725">
        <f t="shared" ca="1" si="148"/>
        <v>1.9972222222222222</v>
      </c>
      <c r="G4725">
        <f t="shared" ca="1" si="149"/>
        <v>0</v>
      </c>
    </row>
    <row r="4726" spans="1:7">
      <c r="A4726">
        <v>5535</v>
      </c>
      <c r="B4726" t="s">
        <v>32</v>
      </c>
      <c r="C4726" t="s">
        <v>126</v>
      </c>
      <c r="D4726" s="9">
        <v>41128.898287037038</v>
      </c>
      <c r="E4726" t="s">
        <v>11</v>
      </c>
      <c r="F4726">
        <f t="shared" ca="1" si="148"/>
        <v>2.4777777777777779</v>
      </c>
      <c r="G4726">
        <f t="shared" ca="1" si="149"/>
        <v>0</v>
      </c>
    </row>
    <row r="4727" spans="1:7">
      <c r="A4727">
        <v>5537</v>
      </c>
      <c r="B4727" t="s">
        <v>23</v>
      </c>
      <c r="C4727" t="s">
        <v>126</v>
      </c>
      <c r="D4727" s="9">
        <v>41333.34915509259</v>
      </c>
      <c r="E4727" t="s">
        <v>51</v>
      </c>
      <c r="F4727">
        <f t="shared" ca="1" si="148"/>
        <v>1.913888888888889</v>
      </c>
      <c r="G4727">
        <f t="shared" ca="1" si="149"/>
        <v>0</v>
      </c>
    </row>
    <row r="4728" spans="1:7">
      <c r="A4728">
        <v>5538</v>
      </c>
      <c r="B4728" t="s">
        <v>43</v>
      </c>
      <c r="C4728" t="s">
        <v>126</v>
      </c>
      <c r="D4728" s="9">
        <v>41127.647662037038</v>
      </c>
      <c r="E4728" t="s">
        <v>19</v>
      </c>
      <c r="F4728">
        <f t="shared" ca="1" si="148"/>
        <v>2.4805555555555556</v>
      </c>
      <c r="G4728">
        <f t="shared" ca="1" si="149"/>
        <v>0</v>
      </c>
    </row>
    <row r="4729" spans="1:7">
      <c r="A4729">
        <v>5539</v>
      </c>
      <c r="B4729" t="s">
        <v>52</v>
      </c>
      <c r="C4729" t="s">
        <v>125</v>
      </c>
      <c r="D4729" s="9">
        <v>41211.812094907407</v>
      </c>
      <c r="E4729" t="s">
        <v>27</v>
      </c>
      <c r="F4729">
        <f t="shared" ca="1" si="148"/>
        <v>2.25</v>
      </c>
      <c r="G4729">
        <f t="shared" ca="1" si="149"/>
        <v>0</v>
      </c>
    </row>
    <row r="4730" spans="1:7">
      <c r="A4730">
        <v>5540</v>
      </c>
      <c r="B4730" t="s">
        <v>21</v>
      </c>
      <c r="C4730" t="s">
        <v>126</v>
      </c>
      <c r="D4730" s="9">
        <v>41135.822592592594</v>
      </c>
      <c r="E4730" t="s">
        <v>52</v>
      </c>
      <c r="F4730">
        <f t="shared" ca="1" si="148"/>
        <v>2.4583333333333335</v>
      </c>
      <c r="G4730">
        <f t="shared" ca="1" si="149"/>
        <v>0</v>
      </c>
    </row>
    <row r="4731" spans="1:7">
      <c r="A4731">
        <v>5541</v>
      </c>
      <c r="B4731" t="s">
        <v>19</v>
      </c>
      <c r="C4731" t="s">
        <v>126</v>
      </c>
      <c r="D4731" s="9">
        <v>41127.915567129632</v>
      </c>
      <c r="E4731" t="s">
        <v>27</v>
      </c>
      <c r="F4731">
        <f t="shared" ca="1" si="148"/>
        <v>2.4805555555555556</v>
      </c>
      <c r="G4731">
        <f t="shared" ca="1" si="149"/>
        <v>0</v>
      </c>
    </row>
    <row r="4732" spans="1:7">
      <c r="A4732">
        <v>5542</v>
      </c>
      <c r="B4732" t="s">
        <v>30</v>
      </c>
      <c r="C4732" t="s">
        <v>126</v>
      </c>
      <c r="D4732" s="9">
        <v>41130.579224537039</v>
      </c>
      <c r="E4732" t="s">
        <v>44</v>
      </c>
      <c r="F4732">
        <f t="shared" ca="1" si="148"/>
        <v>2.4722222222222223</v>
      </c>
      <c r="G4732">
        <f t="shared" ca="1" si="149"/>
        <v>0</v>
      </c>
    </row>
    <row r="4733" spans="1:7">
      <c r="A4733">
        <v>5544</v>
      </c>
      <c r="B4733" t="s">
        <v>18</v>
      </c>
      <c r="C4733" t="s">
        <v>118</v>
      </c>
      <c r="D4733" s="9">
        <v>41698.625648148147</v>
      </c>
      <c r="E4733" t="s">
        <v>112</v>
      </c>
      <c r="F4733">
        <f t="shared" ca="1" si="148"/>
        <v>0.91388888888888886</v>
      </c>
      <c r="G4733">
        <f t="shared" ca="1" si="149"/>
        <v>1</v>
      </c>
    </row>
    <row r="4734" spans="1:7">
      <c r="A4734">
        <v>5547</v>
      </c>
      <c r="B4734" t="s">
        <v>214</v>
      </c>
      <c r="C4734" t="s">
        <v>209</v>
      </c>
      <c r="D4734" s="9">
        <v>41852.669814814813</v>
      </c>
      <c r="E4734" t="s">
        <v>112</v>
      </c>
      <c r="F4734">
        <f t="shared" ca="1" si="148"/>
        <v>0.49444444444444446</v>
      </c>
      <c r="G4734">
        <f t="shared" ca="1" si="149"/>
        <v>1</v>
      </c>
    </row>
    <row r="4735" spans="1:7">
      <c r="A4735">
        <v>5549</v>
      </c>
      <c r="B4735" t="s">
        <v>32</v>
      </c>
      <c r="C4735" t="s">
        <v>126</v>
      </c>
      <c r="D4735" s="9">
        <v>41135.823182870372</v>
      </c>
      <c r="E4735" t="s">
        <v>27</v>
      </c>
      <c r="F4735">
        <f t="shared" ca="1" si="148"/>
        <v>2.4583333333333335</v>
      </c>
      <c r="G4735">
        <f t="shared" ca="1" si="149"/>
        <v>0</v>
      </c>
    </row>
    <row r="4736" spans="1:7">
      <c r="A4736">
        <v>5551</v>
      </c>
      <c r="B4736" t="s">
        <v>52</v>
      </c>
      <c r="C4736" t="s">
        <v>125</v>
      </c>
      <c r="D4736" s="9">
        <v>41213.644236111111</v>
      </c>
      <c r="E4736" t="s">
        <v>27</v>
      </c>
      <c r="F4736">
        <f t="shared" ca="1" si="148"/>
        <v>2.2472222222222222</v>
      </c>
      <c r="G4736">
        <f t="shared" ca="1" si="149"/>
        <v>0</v>
      </c>
    </row>
    <row r="4737" spans="1:7">
      <c r="A4737">
        <v>5553</v>
      </c>
      <c r="B4737" t="s">
        <v>23</v>
      </c>
      <c r="C4737" t="s">
        <v>125</v>
      </c>
      <c r="D4737" s="9">
        <v>41212.68577546296</v>
      </c>
      <c r="E4737" t="s">
        <v>112</v>
      </c>
      <c r="F4737">
        <f t="shared" ca="1" si="148"/>
        <v>2.2472222222222222</v>
      </c>
      <c r="G4737">
        <f t="shared" ca="1" si="149"/>
        <v>0</v>
      </c>
    </row>
    <row r="4738" spans="1:7">
      <c r="A4738">
        <v>5554</v>
      </c>
      <c r="B4738" t="s">
        <v>23</v>
      </c>
      <c r="C4738" t="s">
        <v>125</v>
      </c>
      <c r="D4738" s="9">
        <v>41213.600601851853</v>
      </c>
      <c r="E4738" t="s">
        <v>34</v>
      </c>
      <c r="F4738">
        <f t="shared" ca="1" si="148"/>
        <v>2.2472222222222222</v>
      </c>
      <c r="G4738">
        <f t="shared" ca="1" si="149"/>
        <v>0</v>
      </c>
    </row>
    <row r="4739" spans="1:7">
      <c r="A4739">
        <v>5555</v>
      </c>
      <c r="B4739" t="s">
        <v>34</v>
      </c>
      <c r="C4739" t="s">
        <v>126</v>
      </c>
      <c r="D4739" s="9">
        <v>41128.516875000001</v>
      </c>
      <c r="E4739" t="s">
        <v>8</v>
      </c>
      <c r="F4739">
        <f t="shared" ca="1" si="148"/>
        <v>2.4777777777777779</v>
      </c>
      <c r="G4739">
        <f t="shared" ca="1" si="149"/>
        <v>0</v>
      </c>
    </row>
    <row r="4740" spans="1:7">
      <c r="A4740">
        <v>5556</v>
      </c>
      <c r="B4740" t="s">
        <v>11</v>
      </c>
      <c r="C4740" t="s">
        <v>126</v>
      </c>
      <c r="D4740" s="9">
        <v>41129.817175925928</v>
      </c>
      <c r="E4740" t="s">
        <v>27</v>
      </c>
      <c r="F4740">
        <f t="shared" ca="1" si="148"/>
        <v>2.4750000000000001</v>
      </c>
      <c r="G4740">
        <f t="shared" ca="1" si="149"/>
        <v>0</v>
      </c>
    </row>
    <row r="4741" spans="1:7">
      <c r="A4741">
        <v>5558</v>
      </c>
      <c r="B4741" t="s">
        <v>52</v>
      </c>
      <c r="C4741" t="s">
        <v>125</v>
      </c>
      <c r="D4741" s="9">
        <v>41283.667743055557</v>
      </c>
      <c r="E4741" t="s">
        <v>27</v>
      </c>
      <c r="F4741">
        <f t="shared" ca="1" si="148"/>
        <v>2.0555555555555554</v>
      </c>
      <c r="G4741">
        <f t="shared" ca="1" si="149"/>
        <v>0</v>
      </c>
    </row>
    <row r="4742" spans="1:7">
      <c r="A4742">
        <v>5559</v>
      </c>
      <c r="B4742" t="s">
        <v>23</v>
      </c>
      <c r="C4742" t="s">
        <v>126</v>
      </c>
      <c r="D4742" s="9">
        <v>41129.404652777775</v>
      </c>
      <c r="E4742" t="s">
        <v>8</v>
      </c>
      <c r="F4742">
        <f t="shared" ca="1" si="148"/>
        <v>2.4750000000000001</v>
      </c>
      <c r="G4742">
        <f t="shared" ca="1" si="149"/>
        <v>0</v>
      </c>
    </row>
    <row r="4743" spans="1:7">
      <c r="A4743">
        <v>5560</v>
      </c>
      <c r="B4743" t="s">
        <v>8</v>
      </c>
      <c r="C4743" t="s">
        <v>126</v>
      </c>
      <c r="D4743" s="9">
        <v>41130.672546296293</v>
      </c>
      <c r="E4743" t="s">
        <v>21</v>
      </c>
      <c r="F4743">
        <f t="shared" ref="F4743:F4806" ca="1" si="150">YEARFRAC(TODAY(),$D4743)</f>
        <v>2.4722222222222223</v>
      </c>
      <c r="G4743">
        <f t="shared" ref="G4743:G4806" ca="1" si="151">IF($F4743&lt;1,1,0)</f>
        <v>0</v>
      </c>
    </row>
    <row r="4744" spans="1:7">
      <c r="A4744">
        <v>5562</v>
      </c>
      <c r="B4744" t="s">
        <v>8</v>
      </c>
      <c r="C4744" t="s">
        <v>126</v>
      </c>
      <c r="D4744" s="9">
        <v>41127.658379629633</v>
      </c>
      <c r="E4744" t="s">
        <v>19</v>
      </c>
      <c r="F4744">
        <f t="shared" ca="1" si="150"/>
        <v>2.4805555555555556</v>
      </c>
      <c r="G4744">
        <f t="shared" ca="1" si="151"/>
        <v>0</v>
      </c>
    </row>
    <row r="4745" spans="1:7">
      <c r="A4745">
        <v>5563</v>
      </c>
      <c r="B4745" t="s">
        <v>37</v>
      </c>
      <c r="C4745" t="s">
        <v>126</v>
      </c>
      <c r="D4745" s="9">
        <v>41135.822997685187</v>
      </c>
      <c r="E4745" t="s">
        <v>38</v>
      </c>
      <c r="F4745">
        <f t="shared" ca="1" si="150"/>
        <v>2.4583333333333335</v>
      </c>
      <c r="G4745">
        <f t="shared" ca="1" si="151"/>
        <v>0</v>
      </c>
    </row>
    <row r="4746" spans="1:7">
      <c r="A4746">
        <v>5564</v>
      </c>
      <c r="B4746" t="s">
        <v>111</v>
      </c>
      <c r="C4746" t="s">
        <v>126</v>
      </c>
      <c r="D4746" s="9">
        <v>41127.784687500003</v>
      </c>
      <c r="E4746" t="s">
        <v>52</v>
      </c>
      <c r="F4746">
        <f t="shared" ca="1" si="150"/>
        <v>2.4805555555555556</v>
      </c>
      <c r="G4746">
        <f t="shared" ca="1" si="151"/>
        <v>0</v>
      </c>
    </row>
    <row r="4747" spans="1:7">
      <c r="A4747">
        <v>5567</v>
      </c>
      <c r="B4747" t="s">
        <v>23</v>
      </c>
      <c r="C4747" t="s">
        <v>120</v>
      </c>
      <c r="D4747" s="9">
        <v>41570.488645833335</v>
      </c>
      <c r="E4747" t="s">
        <v>8</v>
      </c>
      <c r="F4747">
        <f t="shared" ca="1" si="150"/>
        <v>1.2666666666666666</v>
      </c>
      <c r="G4747">
        <f t="shared" ca="1" si="151"/>
        <v>0</v>
      </c>
    </row>
    <row r="4748" spans="1:7">
      <c r="A4748">
        <v>5578</v>
      </c>
      <c r="B4748" t="s">
        <v>21</v>
      </c>
      <c r="C4748" t="s">
        <v>126</v>
      </c>
      <c r="D4748" s="9">
        <v>41128.70925925926</v>
      </c>
      <c r="E4748" t="s">
        <v>43</v>
      </c>
      <c r="F4748">
        <f t="shared" ca="1" si="150"/>
        <v>2.4777777777777779</v>
      </c>
      <c r="G4748">
        <f t="shared" ca="1" si="151"/>
        <v>0</v>
      </c>
    </row>
    <row r="4749" spans="1:7">
      <c r="A4749">
        <v>5580</v>
      </c>
      <c r="B4749" t="s">
        <v>21</v>
      </c>
      <c r="C4749" t="s">
        <v>126</v>
      </c>
      <c r="D4749" s="9">
        <v>41135.822858796295</v>
      </c>
      <c r="E4749" t="s">
        <v>43</v>
      </c>
      <c r="F4749">
        <f t="shared" ca="1" si="150"/>
        <v>2.4583333333333335</v>
      </c>
      <c r="G4749">
        <f t="shared" ca="1" si="151"/>
        <v>0</v>
      </c>
    </row>
    <row r="4750" spans="1:7">
      <c r="A4750">
        <v>5581</v>
      </c>
      <c r="B4750" t="s">
        <v>20</v>
      </c>
      <c r="C4750" t="s">
        <v>126</v>
      </c>
      <c r="D4750" s="9">
        <v>41127.624826388892</v>
      </c>
      <c r="E4750" t="s">
        <v>32</v>
      </c>
      <c r="F4750">
        <f t="shared" ca="1" si="150"/>
        <v>2.4805555555555556</v>
      </c>
      <c r="G4750">
        <f t="shared" ca="1" si="151"/>
        <v>0</v>
      </c>
    </row>
    <row r="4751" spans="1:7">
      <c r="A4751">
        <v>5582</v>
      </c>
      <c r="B4751" t="s">
        <v>111</v>
      </c>
      <c r="C4751" t="s">
        <v>126</v>
      </c>
      <c r="D4751" s="9">
        <v>41128.688472222224</v>
      </c>
      <c r="E4751" t="s">
        <v>27</v>
      </c>
      <c r="F4751">
        <f t="shared" ca="1" si="150"/>
        <v>2.4777777777777779</v>
      </c>
      <c r="G4751">
        <f t="shared" ca="1" si="151"/>
        <v>0</v>
      </c>
    </row>
    <row r="4752" spans="1:7">
      <c r="A4752">
        <v>5583</v>
      </c>
      <c r="B4752" t="s">
        <v>111</v>
      </c>
      <c r="C4752" t="s">
        <v>126</v>
      </c>
      <c r="D4752" s="9">
        <v>41128.702581018515</v>
      </c>
      <c r="E4752" t="s">
        <v>27</v>
      </c>
      <c r="F4752">
        <f t="shared" ca="1" si="150"/>
        <v>2.4777777777777779</v>
      </c>
      <c r="G4752">
        <f t="shared" ca="1" si="151"/>
        <v>0</v>
      </c>
    </row>
    <row r="4753" spans="1:7">
      <c r="A4753">
        <v>5584</v>
      </c>
      <c r="B4753" t="s">
        <v>8</v>
      </c>
      <c r="C4753" t="s">
        <v>126</v>
      </c>
      <c r="D4753" s="9">
        <v>41135.823182870372</v>
      </c>
      <c r="E4753" t="s">
        <v>11</v>
      </c>
      <c r="F4753">
        <f t="shared" ca="1" si="150"/>
        <v>2.4583333333333335</v>
      </c>
      <c r="G4753">
        <f t="shared" ca="1" si="151"/>
        <v>0</v>
      </c>
    </row>
    <row r="4754" spans="1:7">
      <c r="A4754">
        <v>5585</v>
      </c>
      <c r="B4754" t="s">
        <v>49</v>
      </c>
      <c r="C4754" t="s">
        <v>126</v>
      </c>
      <c r="D4754" s="9">
        <v>41127.78297453704</v>
      </c>
      <c r="E4754" t="s">
        <v>32</v>
      </c>
      <c r="F4754">
        <f t="shared" ca="1" si="150"/>
        <v>2.4805555555555556</v>
      </c>
      <c r="G4754">
        <f t="shared" ca="1" si="151"/>
        <v>0</v>
      </c>
    </row>
    <row r="4755" spans="1:7">
      <c r="A4755">
        <v>5586</v>
      </c>
      <c r="B4755" t="s">
        <v>20</v>
      </c>
      <c r="C4755" t="s">
        <v>125</v>
      </c>
      <c r="D4755" s="9">
        <v>41213.553460648145</v>
      </c>
      <c r="E4755" t="s">
        <v>38</v>
      </c>
      <c r="F4755">
        <f t="shared" ca="1" si="150"/>
        <v>2.2472222222222222</v>
      </c>
      <c r="G4755">
        <f t="shared" ca="1" si="151"/>
        <v>0</v>
      </c>
    </row>
    <row r="4756" spans="1:7">
      <c r="A4756">
        <v>5587</v>
      </c>
      <c r="B4756" t="s">
        <v>49</v>
      </c>
      <c r="C4756" t="s">
        <v>126</v>
      </c>
      <c r="D4756" s="9">
        <v>41129.615752314814</v>
      </c>
      <c r="E4756" t="s">
        <v>32</v>
      </c>
      <c r="F4756">
        <f t="shared" ca="1" si="150"/>
        <v>2.4750000000000001</v>
      </c>
      <c r="G4756">
        <f t="shared" ca="1" si="151"/>
        <v>0</v>
      </c>
    </row>
    <row r="4757" spans="1:7">
      <c r="A4757">
        <v>5588</v>
      </c>
      <c r="B4757" t="s">
        <v>111</v>
      </c>
      <c r="C4757" t="s">
        <v>126</v>
      </c>
      <c r="D4757" s="9">
        <v>41130.698125000003</v>
      </c>
      <c r="E4757" t="s">
        <v>11</v>
      </c>
      <c r="F4757">
        <f t="shared" ca="1" si="150"/>
        <v>2.4722222222222223</v>
      </c>
      <c r="G4757">
        <f t="shared" ca="1" si="151"/>
        <v>0</v>
      </c>
    </row>
    <row r="4758" spans="1:7">
      <c r="A4758">
        <v>5590</v>
      </c>
      <c r="B4758" t="s">
        <v>14</v>
      </c>
      <c r="C4758" t="s">
        <v>121</v>
      </c>
      <c r="D4758" s="9">
        <v>41487.745046296295</v>
      </c>
      <c r="E4758" t="s">
        <v>8</v>
      </c>
      <c r="F4758">
        <f t="shared" ca="1" si="150"/>
        <v>1.4944444444444445</v>
      </c>
      <c r="G4758">
        <f t="shared" ca="1" si="151"/>
        <v>0</v>
      </c>
    </row>
    <row r="4759" spans="1:7">
      <c r="A4759">
        <v>5591</v>
      </c>
      <c r="B4759" t="s">
        <v>14</v>
      </c>
      <c r="C4759" t="s">
        <v>121</v>
      </c>
      <c r="D4759" s="9">
        <v>41484.69290509259</v>
      </c>
      <c r="E4759" t="s">
        <v>19</v>
      </c>
      <c r="F4759">
        <f t="shared" ca="1" si="150"/>
        <v>1.5</v>
      </c>
      <c r="G4759">
        <f t="shared" ca="1" si="151"/>
        <v>0</v>
      </c>
    </row>
    <row r="4760" spans="1:7">
      <c r="A4760">
        <v>5592</v>
      </c>
      <c r="B4760" t="s">
        <v>19</v>
      </c>
      <c r="C4760" t="s">
        <v>126</v>
      </c>
      <c r="D4760" s="9">
        <v>41127.646458333336</v>
      </c>
      <c r="E4760" t="s">
        <v>37</v>
      </c>
      <c r="F4760">
        <f t="shared" ca="1" si="150"/>
        <v>2.4805555555555556</v>
      </c>
      <c r="G4760">
        <f t="shared" ca="1" si="151"/>
        <v>0</v>
      </c>
    </row>
    <row r="4761" spans="1:7">
      <c r="A4761">
        <v>5594</v>
      </c>
      <c r="B4761" t="s">
        <v>54</v>
      </c>
      <c r="C4761" t="s">
        <v>125</v>
      </c>
      <c r="D4761" s="9">
        <v>41213.805810185186</v>
      </c>
      <c r="E4761" t="s">
        <v>49</v>
      </c>
      <c r="F4761">
        <f t="shared" ca="1" si="150"/>
        <v>2.2472222222222222</v>
      </c>
      <c r="G4761">
        <f t="shared" ca="1" si="151"/>
        <v>0</v>
      </c>
    </row>
    <row r="4762" spans="1:7">
      <c r="A4762">
        <v>5596</v>
      </c>
      <c r="B4762" t="s">
        <v>19</v>
      </c>
      <c r="C4762" t="s">
        <v>126</v>
      </c>
      <c r="D4762" s="9">
        <v>41127.710347222222</v>
      </c>
      <c r="E4762" t="s">
        <v>27</v>
      </c>
      <c r="F4762">
        <f t="shared" ca="1" si="150"/>
        <v>2.4805555555555556</v>
      </c>
      <c r="G4762">
        <f t="shared" ca="1" si="151"/>
        <v>0</v>
      </c>
    </row>
    <row r="4763" spans="1:7">
      <c r="A4763">
        <v>5599</v>
      </c>
      <c r="B4763" t="s">
        <v>11</v>
      </c>
      <c r="C4763" t="s">
        <v>126</v>
      </c>
      <c r="D4763" s="9">
        <v>41127.690949074073</v>
      </c>
      <c r="E4763" t="s">
        <v>19</v>
      </c>
      <c r="F4763">
        <f t="shared" ca="1" si="150"/>
        <v>2.4805555555555556</v>
      </c>
      <c r="G4763">
        <f t="shared" ca="1" si="151"/>
        <v>0</v>
      </c>
    </row>
    <row r="4764" spans="1:7">
      <c r="A4764">
        <v>5602</v>
      </c>
      <c r="B4764" t="s">
        <v>49</v>
      </c>
      <c r="C4764" t="s">
        <v>126</v>
      </c>
      <c r="D4764" s="9">
        <v>41127.81045138889</v>
      </c>
      <c r="E4764" t="s">
        <v>32</v>
      </c>
      <c r="F4764">
        <f t="shared" ca="1" si="150"/>
        <v>2.4805555555555556</v>
      </c>
      <c r="G4764">
        <f t="shared" ca="1" si="151"/>
        <v>0</v>
      </c>
    </row>
    <row r="4765" spans="1:7">
      <c r="A4765">
        <v>5603</v>
      </c>
      <c r="B4765" t="s">
        <v>43</v>
      </c>
      <c r="C4765" t="s">
        <v>125</v>
      </c>
      <c r="D4765" s="9">
        <v>41215.69740740741</v>
      </c>
      <c r="E4765" t="s">
        <v>34</v>
      </c>
      <c r="F4765">
        <f t="shared" ca="1" si="150"/>
        <v>2.2416666666666667</v>
      </c>
      <c r="G4765">
        <f t="shared" ca="1" si="151"/>
        <v>0</v>
      </c>
    </row>
    <row r="4766" spans="1:7">
      <c r="A4766">
        <v>5605</v>
      </c>
      <c r="B4766" t="s">
        <v>27</v>
      </c>
      <c r="C4766" t="s">
        <v>125</v>
      </c>
      <c r="D4766" s="9">
        <v>41215.698333333334</v>
      </c>
      <c r="E4766" t="s">
        <v>36</v>
      </c>
      <c r="F4766">
        <f t="shared" ca="1" si="150"/>
        <v>2.2416666666666667</v>
      </c>
      <c r="G4766">
        <f t="shared" ca="1" si="151"/>
        <v>0</v>
      </c>
    </row>
    <row r="4767" spans="1:7">
      <c r="A4767">
        <v>5608</v>
      </c>
      <c r="B4767" t="s">
        <v>34</v>
      </c>
      <c r="C4767" t="s">
        <v>126</v>
      </c>
      <c r="D4767" s="9">
        <v>41135.822500000002</v>
      </c>
      <c r="E4767" t="s">
        <v>43</v>
      </c>
      <c r="F4767">
        <f t="shared" ca="1" si="150"/>
        <v>2.4583333333333335</v>
      </c>
      <c r="G4767">
        <f t="shared" ca="1" si="151"/>
        <v>0</v>
      </c>
    </row>
    <row r="4768" spans="1:7">
      <c r="A4768">
        <v>5609</v>
      </c>
      <c r="B4768" t="s">
        <v>143</v>
      </c>
      <c r="C4768" t="s">
        <v>126</v>
      </c>
      <c r="D4768" s="9">
        <v>41127.688981481479</v>
      </c>
      <c r="E4768" t="s">
        <v>37</v>
      </c>
      <c r="F4768">
        <f t="shared" ca="1" si="150"/>
        <v>2.4805555555555556</v>
      </c>
      <c r="G4768">
        <f t="shared" ca="1" si="151"/>
        <v>0</v>
      </c>
    </row>
    <row r="4769" spans="1:7">
      <c r="A4769">
        <v>5610</v>
      </c>
      <c r="B4769" t="s">
        <v>8</v>
      </c>
      <c r="C4769" t="s">
        <v>126</v>
      </c>
      <c r="D4769" s="9">
        <v>41128.650995370372</v>
      </c>
      <c r="E4769" t="s">
        <v>36</v>
      </c>
      <c r="F4769">
        <f t="shared" ca="1" si="150"/>
        <v>2.4777777777777779</v>
      </c>
      <c r="G4769">
        <f t="shared" ca="1" si="151"/>
        <v>0</v>
      </c>
    </row>
    <row r="4770" spans="1:7">
      <c r="A4770">
        <v>5612</v>
      </c>
      <c r="B4770" t="s">
        <v>37</v>
      </c>
      <c r="C4770" t="s">
        <v>126</v>
      </c>
      <c r="D4770" s="9">
        <v>41127.861041666663</v>
      </c>
      <c r="E4770" t="s">
        <v>36</v>
      </c>
      <c r="F4770">
        <f t="shared" ca="1" si="150"/>
        <v>2.4805555555555556</v>
      </c>
      <c r="G4770">
        <f t="shared" ca="1" si="151"/>
        <v>0</v>
      </c>
    </row>
    <row r="4771" spans="1:7">
      <c r="A4771">
        <v>5613</v>
      </c>
      <c r="B4771" t="s">
        <v>32</v>
      </c>
      <c r="C4771" t="s">
        <v>126</v>
      </c>
      <c r="D4771" s="9">
        <v>41135.823159722226</v>
      </c>
      <c r="E4771" t="s">
        <v>19</v>
      </c>
      <c r="F4771">
        <f t="shared" ca="1" si="150"/>
        <v>2.4583333333333335</v>
      </c>
      <c r="G4771">
        <f t="shared" ca="1" si="151"/>
        <v>0</v>
      </c>
    </row>
    <row r="4772" spans="1:7">
      <c r="A4772">
        <v>5614</v>
      </c>
      <c r="B4772" t="s">
        <v>8</v>
      </c>
      <c r="C4772" t="s">
        <v>126</v>
      </c>
      <c r="D4772" s="9">
        <v>41128.571956018517</v>
      </c>
      <c r="E4772" t="s">
        <v>19</v>
      </c>
      <c r="F4772">
        <f t="shared" ca="1" si="150"/>
        <v>2.4777777777777779</v>
      </c>
      <c r="G4772">
        <f t="shared" ca="1" si="151"/>
        <v>0</v>
      </c>
    </row>
    <row r="4773" spans="1:7">
      <c r="A4773">
        <v>5615</v>
      </c>
      <c r="B4773" t="s">
        <v>8</v>
      </c>
      <c r="C4773" t="s">
        <v>126</v>
      </c>
      <c r="D4773" s="9">
        <v>41127.915578703702</v>
      </c>
      <c r="E4773" t="s">
        <v>52</v>
      </c>
      <c r="F4773">
        <f t="shared" ca="1" si="150"/>
        <v>2.4805555555555556</v>
      </c>
      <c r="G4773">
        <f t="shared" ca="1" si="151"/>
        <v>0</v>
      </c>
    </row>
    <row r="4774" spans="1:7">
      <c r="A4774">
        <v>5619</v>
      </c>
      <c r="B4774" t="s">
        <v>34</v>
      </c>
      <c r="C4774" t="s">
        <v>126</v>
      </c>
      <c r="D4774" s="9">
        <v>41127.899097222224</v>
      </c>
      <c r="E4774" t="s">
        <v>21</v>
      </c>
      <c r="F4774">
        <f t="shared" ca="1" si="150"/>
        <v>2.4805555555555556</v>
      </c>
      <c r="G4774">
        <f t="shared" ca="1" si="151"/>
        <v>0</v>
      </c>
    </row>
    <row r="4775" spans="1:7">
      <c r="A4775">
        <v>5621</v>
      </c>
      <c r="B4775" t="s">
        <v>111</v>
      </c>
      <c r="C4775" t="s">
        <v>125</v>
      </c>
      <c r="D4775" s="9">
        <v>41214.496712962966</v>
      </c>
      <c r="E4775" t="s">
        <v>8</v>
      </c>
      <c r="F4775">
        <f t="shared" ca="1" si="150"/>
        <v>2.2444444444444445</v>
      </c>
      <c r="G4775">
        <f t="shared" ca="1" si="151"/>
        <v>0</v>
      </c>
    </row>
    <row r="4776" spans="1:7">
      <c r="A4776">
        <v>5622</v>
      </c>
      <c r="B4776" t="s">
        <v>36</v>
      </c>
      <c r="C4776" t="s">
        <v>126</v>
      </c>
      <c r="D4776" s="9">
        <v>41128.693437499998</v>
      </c>
      <c r="E4776" t="s">
        <v>21</v>
      </c>
      <c r="F4776">
        <f t="shared" ca="1" si="150"/>
        <v>2.4777777777777779</v>
      </c>
      <c r="G4776">
        <f t="shared" ca="1" si="151"/>
        <v>0</v>
      </c>
    </row>
    <row r="4777" spans="1:7">
      <c r="A4777">
        <v>5623</v>
      </c>
      <c r="B4777" t="s">
        <v>27</v>
      </c>
      <c r="C4777" t="s">
        <v>125</v>
      </c>
      <c r="D4777" s="9">
        <v>41215.697488425925</v>
      </c>
      <c r="E4777" t="s">
        <v>36</v>
      </c>
      <c r="F4777">
        <f t="shared" ca="1" si="150"/>
        <v>2.2416666666666667</v>
      </c>
      <c r="G4777">
        <f t="shared" ca="1" si="151"/>
        <v>0</v>
      </c>
    </row>
    <row r="4778" spans="1:7">
      <c r="A4778">
        <v>5624</v>
      </c>
      <c r="B4778" t="s">
        <v>8</v>
      </c>
      <c r="C4778" t="s">
        <v>126</v>
      </c>
      <c r="D4778" s="9">
        <v>41128.641076388885</v>
      </c>
      <c r="E4778" t="s">
        <v>21</v>
      </c>
      <c r="F4778">
        <f t="shared" ca="1" si="150"/>
        <v>2.4777777777777779</v>
      </c>
      <c r="G4778">
        <f t="shared" ca="1" si="151"/>
        <v>0</v>
      </c>
    </row>
    <row r="4779" spans="1:7">
      <c r="A4779">
        <v>5625</v>
      </c>
      <c r="B4779" t="s">
        <v>34</v>
      </c>
      <c r="C4779" t="s">
        <v>126</v>
      </c>
      <c r="D4779" s="9">
        <v>41127.777442129627</v>
      </c>
      <c r="E4779" t="s">
        <v>32</v>
      </c>
      <c r="F4779">
        <f t="shared" ca="1" si="150"/>
        <v>2.4805555555555556</v>
      </c>
      <c r="G4779">
        <f t="shared" ca="1" si="151"/>
        <v>0</v>
      </c>
    </row>
    <row r="4780" spans="1:7">
      <c r="A4780">
        <v>5626</v>
      </c>
      <c r="B4780" t="s">
        <v>19</v>
      </c>
      <c r="C4780" t="s">
        <v>126</v>
      </c>
      <c r="D4780" s="9">
        <v>41127.85769675926</v>
      </c>
      <c r="E4780" t="s">
        <v>52</v>
      </c>
      <c r="F4780">
        <f t="shared" ca="1" si="150"/>
        <v>2.4805555555555556</v>
      </c>
      <c r="G4780">
        <f t="shared" ca="1" si="151"/>
        <v>0</v>
      </c>
    </row>
    <row r="4781" spans="1:7">
      <c r="A4781">
        <v>5627</v>
      </c>
      <c r="B4781" t="s">
        <v>11</v>
      </c>
      <c r="C4781" t="s">
        <v>122</v>
      </c>
      <c r="D4781" s="9">
        <v>41383.670219907406</v>
      </c>
      <c r="E4781" t="s">
        <v>8</v>
      </c>
      <c r="F4781">
        <f t="shared" ca="1" si="150"/>
        <v>1.7777777777777777</v>
      </c>
      <c r="G4781">
        <f t="shared" ca="1" si="151"/>
        <v>0</v>
      </c>
    </row>
    <row r="4782" spans="1:7">
      <c r="A4782">
        <v>5631</v>
      </c>
      <c r="B4782" t="s">
        <v>32</v>
      </c>
      <c r="C4782" t="s">
        <v>126</v>
      </c>
      <c r="D4782" s="9">
        <v>41127.705972222226</v>
      </c>
      <c r="E4782" t="s">
        <v>38</v>
      </c>
      <c r="F4782">
        <f t="shared" ca="1" si="150"/>
        <v>2.4805555555555556</v>
      </c>
      <c r="G4782">
        <f t="shared" ca="1" si="151"/>
        <v>0</v>
      </c>
    </row>
    <row r="4783" spans="1:7">
      <c r="A4783">
        <v>5633</v>
      </c>
      <c r="B4783" t="s">
        <v>19</v>
      </c>
      <c r="C4783" t="s">
        <v>126</v>
      </c>
      <c r="D4783" s="9">
        <v>41127.833449074074</v>
      </c>
      <c r="E4783" t="s">
        <v>27</v>
      </c>
      <c r="F4783">
        <f t="shared" ca="1" si="150"/>
        <v>2.4805555555555556</v>
      </c>
      <c r="G4783">
        <f t="shared" ca="1" si="151"/>
        <v>0</v>
      </c>
    </row>
    <row r="4784" spans="1:7">
      <c r="A4784">
        <v>5634</v>
      </c>
      <c r="B4784" t="s">
        <v>19</v>
      </c>
      <c r="C4784" t="s">
        <v>126</v>
      </c>
      <c r="D4784" s="9">
        <v>41129.654421296298</v>
      </c>
      <c r="E4784" t="s">
        <v>43</v>
      </c>
      <c r="F4784">
        <f t="shared" ca="1" si="150"/>
        <v>2.4750000000000001</v>
      </c>
      <c r="G4784">
        <f t="shared" ca="1" si="151"/>
        <v>0</v>
      </c>
    </row>
    <row r="4785" spans="1:7">
      <c r="A4785">
        <v>5635</v>
      </c>
      <c r="B4785" t="s">
        <v>30</v>
      </c>
      <c r="C4785" t="s">
        <v>123</v>
      </c>
      <c r="D4785" s="9">
        <v>41303.598900462966</v>
      </c>
      <c r="E4785" t="s">
        <v>112</v>
      </c>
      <c r="F4785">
        <f t="shared" ca="1" si="150"/>
        <v>2</v>
      </c>
      <c r="G4785">
        <f t="shared" ca="1" si="151"/>
        <v>0</v>
      </c>
    </row>
    <row r="4786" spans="1:7">
      <c r="A4786">
        <v>5636</v>
      </c>
      <c r="B4786" t="s">
        <v>34</v>
      </c>
      <c r="C4786" t="s">
        <v>126</v>
      </c>
      <c r="D4786" s="9">
        <v>41129.653124999997</v>
      </c>
      <c r="E4786" t="s">
        <v>43</v>
      </c>
      <c r="F4786">
        <f t="shared" ca="1" si="150"/>
        <v>2.4750000000000001</v>
      </c>
      <c r="G4786">
        <f t="shared" ca="1" si="151"/>
        <v>0</v>
      </c>
    </row>
    <row r="4787" spans="1:7">
      <c r="A4787">
        <v>5644</v>
      </c>
      <c r="B4787" t="s">
        <v>8</v>
      </c>
      <c r="C4787" t="s">
        <v>126</v>
      </c>
      <c r="D4787" s="9">
        <v>41128.663831018515</v>
      </c>
      <c r="E4787" t="s">
        <v>36</v>
      </c>
      <c r="F4787">
        <f t="shared" ca="1" si="150"/>
        <v>2.4777777777777779</v>
      </c>
      <c r="G4787">
        <f t="shared" ca="1" si="151"/>
        <v>0</v>
      </c>
    </row>
    <row r="4788" spans="1:7">
      <c r="A4788">
        <v>5648</v>
      </c>
      <c r="B4788" t="s">
        <v>112</v>
      </c>
      <c r="C4788" t="s">
        <v>126</v>
      </c>
      <c r="D4788" s="9">
        <v>41129.651041666664</v>
      </c>
      <c r="E4788" t="s">
        <v>43</v>
      </c>
      <c r="F4788">
        <f t="shared" ca="1" si="150"/>
        <v>2.4750000000000001</v>
      </c>
      <c r="G4788">
        <f t="shared" ca="1" si="151"/>
        <v>0</v>
      </c>
    </row>
    <row r="4789" spans="1:7">
      <c r="A4789">
        <v>5649</v>
      </c>
      <c r="B4789" t="s">
        <v>34</v>
      </c>
      <c r="C4789" t="s">
        <v>125</v>
      </c>
      <c r="D4789" s="9">
        <v>41212.592407407406</v>
      </c>
      <c r="E4789" t="s">
        <v>43</v>
      </c>
      <c r="F4789">
        <f t="shared" ca="1" si="150"/>
        <v>2.2472222222222222</v>
      </c>
      <c r="G4789">
        <f t="shared" ca="1" si="151"/>
        <v>0</v>
      </c>
    </row>
    <row r="4790" spans="1:7">
      <c r="A4790">
        <v>5650</v>
      </c>
      <c r="B4790" t="s">
        <v>8</v>
      </c>
      <c r="C4790" t="s">
        <v>126</v>
      </c>
      <c r="D4790" s="9">
        <v>41128.658113425925</v>
      </c>
      <c r="E4790" t="s">
        <v>36</v>
      </c>
      <c r="F4790">
        <f t="shared" ca="1" si="150"/>
        <v>2.4777777777777779</v>
      </c>
      <c r="G4790">
        <f t="shared" ca="1" si="151"/>
        <v>0</v>
      </c>
    </row>
    <row r="4791" spans="1:7">
      <c r="A4791">
        <v>5651</v>
      </c>
      <c r="B4791" t="s">
        <v>21</v>
      </c>
      <c r="C4791" t="s">
        <v>126</v>
      </c>
      <c r="D4791" s="9">
        <v>41129.64916666667</v>
      </c>
      <c r="E4791" t="s">
        <v>43</v>
      </c>
      <c r="F4791">
        <f t="shared" ca="1" si="150"/>
        <v>2.4750000000000001</v>
      </c>
      <c r="G4791">
        <f t="shared" ca="1" si="151"/>
        <v>0</v>
      </c>
    </row>
    <row r="4792" spans="1:7">
      <c r="A4792">
        <v>5652</v>
      </c>
      <c r="B4792" t="s">
        <v>21</v>
      </c>
      <c r="C4792" t="s">
        <v>126</v>
      </c>
      <c r="D4792" s="9">
        <v>41135.822534722225</v>
      </c>
      <c r="E4792" t="s">
        <v>43</v>
      </c>
      <c r="F4792">
        <f t="shared" ca="1" si="150"/>
        <v>2.4583333333333335</v>
      </c>
      <c r="G4792">
        <f t="shared" ca="1" si="151"/>
        <v>0</v>
      </c>
    </row>
    <row r="4793" spans="1:7">
      <c r="A4793">
        <v>5653</v>
      </c>
      <c r="B4793" t="s">
        <v>11</v>
      </c>
      <c r="C4793" t="s">
        <v>126</v>
      </c>
      <c r="D4793" s="9">
        <v>41127.952604166669</v>
      </c>
      <c r="E4793" t="s">
        <v>36</v>
      </c>
      <c r="F4793">
        <f t="shared" ca="1" si="150"/>
        <v>2.4805555555555556</v>
      </c>
      <c r="G4793">
        <f t="shared" ca="1" si="151"/>
        <v>0</v>
      </c>
    </row>
    <row r="4794" spans="1:7">
      <c r="A4794">
        <v>5655</v>
      </c>
      <c r="B4794" t="s">
        <v>27</v>
      </c>
      <c r="C4794" t="s">
        <v>125</v>
      </c>
      <c r="D4794" s="9">
        <v>41215.697650462964</v>
      </c>
      <c r="E4794" t="s">
        <v>36</v>
      </c>
      <c r="F4794">
        <f t="shared" ca="1" si="150"/>
        <v>2.2416666666666667</v>
      </c>
      <c r="G4794">
        <f t="shared" ca="1" si="151"/>
        <v>0</v>
      </c>
    </row>
    <row r="4795" spans="1:7">
      <c r="A4795">
        <v>5657</v>
      </c>
      <c r="B4795" t="s">
        <v>19</v>
      </c>
      <c r="C4795" t="s">
        <v>126</v>
      </c>
      <c r="D4795" s="9">
        <v>41129.377164351848</v>
      </c>
      <c r="E4795" t="s">
        <v>8</v>
      </c>
      <c r="F4795">
        <f t="shared" ca="1" si="150"/>
        <v>2.4750000000000001</v>
      </c>
      <c r="G4795">
        <f t="shared" ca="1" si="151"/>
        <v>0</v>
      </c>
    </row>
    <row r="4796" spans="1:7">
      <c r="A4796">
        <v>5659</v>
      </c>
      <c r="B4796" t="s">
        <v>30</v>
      </c>
      <c r="C4796" t="s">
        <v>125</v>
      </c>
      <c r="D4796" s="9">
        <v>41215.697256944448</v>
      </c>
      <c r="E4796" t="s">
        <v>24</v>
      </c>
      <c r="F4796">
        <f t="shared" ca="1" si="150"/>
        <v>2.2416666666666667</v>
      </c>
      <c r="G4796">
        <f t="shared" ca="1" si="151"/>
        <v>0</v>
      </c>
    </row>
    <row r="4797" spans="1:7">
      <c r="A4797">
        <v>5661</v>
      </c>
      <c r="B4797" t="s">
        <v>32</v>
      </c>
      <c r="C4797" t="s">
        <v>126</v>
      </c>
      <c r="D4797" s="9">
        <v>41135.82267361111</v>
      </c>
      <c r="E4797" t="s">
        <v>27</v>
      </c>
      <c r="F4797">
        <f t="shared" ca="1" si="150"/>
        <v>2.4583333333333335</v>
      </c>
      <c r="G4797">
        <f t="shared" ca="1" si="151"/>
        <v>0</v>
      </c>
    </row>
    <row r="4798" spans="1:7">
      <c r="A4798">
        <v>5668</v>
      </c>
      <c r="B4798" t="s">
        <v>112</v>
      </c>
      <c r="C4798" t="s">
        <v>126</v>
      </c>
      <c r="D4798" s="9">
        <v>41135.822615740741</v>
      </c>
      <c r="E4798" t="s">
        <v>52</v>
      </c>
      <c r="F4798">
        <f t="shared" ca="1" si="150"/>
        <v>2.4583333333333335</v>
      </c>
      <c r="G4798">
        <f t="shared" ca="1" si="151"/>
        <v>0</v>
      </c>
    </row>
    <row r="4799" spans="1:7">
      <c r="A4799">
        <v>5671</v>
      </c>
      <c r="B4799" t="s">
        <v>19</v>
      </c>
      <c r="C4799" t="s">
        <v>125</v>
      </c>
      <c r="D4799" s="9">
        <v>41212.468622685185</v>
      </c>
      <c r="E4799" t="s">
        <v>30</v>
      </c>
      <c r="F4799">
        <f t="shared" ca="1" si="150"/>
        <v>2.2472222222222222</v>
      </c>
      <c r="G4799">
        <f t="shared" ca="1" si="151"/>
        <v>0</v>
      </c>
    </row>
    <row r="4800" spans="1:7">
      <c r="A4800">
        <v>5672</v>
      </c>
      <c r="B4800" t="s">
        <v>49</v>
      </c>
      <c r="C4800" t="s">
        <v>126</v>
      </c>
      <c r="D4800" s="9">
        <v>41135.822731481479</v>
      </c>
      <c r="E4800" t="s">
        <v>43</v>
      </c>
      <c r="F4800">
        <f t="shared" ca="1" si="150"/>
        <v>2.4583333333333335</v>
      </c>
      <c r="G4800">
        <f t="shared" ca="1" si="151"/>
        <v>0</v>
      </c>
    </row>
    <row r="4801" spans="1:7">
      <c r="A4801">
        <v>5674</v>
      </c>
      <c r="B4801" t="s">
        <v>27</v>
      </c>
      <c r="C4801" t="s">
        <v>125</v>
      </c>
      <c r="D4801" s="9">
        <v>41215.697488425925</v>
      </c>
      <c r="E4801" t="s">
        <v>36</v>
      </c>
      <c r="F4801">
        <f t="shared" ca="1" si="150"/>
        <v>2.2416666666666667</v>
      </c>
      <c r="G4801">
        <f t="shared" ca="1" si="151"/>
        <v>0</v>
      </c>
    </row>
    <row r="4802" spans="1:7">
      <c r="A4802">
        <v>5675</v>
      </c>
      <c r="B4802" t="s">
        <v>213</v>
      </c>
      <c r="C4802" t="s">
        <v>209</v>
      </c>
      <c r="D4802" s="9">
        <v>41925.700914351852</v>
      </c>
      <c r="E4802" t="s">
        <v>36</v>
      </c>
      <c r="F4802">
        <f t="shared" ca="1" si="150"/>
        <v>0.29444444444444445</v>
      </c>
      <c r="G4802">
        <f t="shared" ca="1" si="151"/>
        <v>1</v>
      </c>
    </row>
    <row r="4803" spans="1:7">
      <c r="A4803">
        <v>5678</v>
      </c>
      <c r="B4803" t="s">
        <v>27</v>
      </c>
      <c r="C4803" t="s">
        <v>125</v>
      </c>
      <c r="D4803" s="9">
        <v>41215.698194444441</v>
      </c>
      <c r="E4803" t="s">
        <v>36</v>
      </c>
      <c r="F4803">
        <f t="shared" ca="1" si="150"/>
        <v>2.2416666666666667</v>
      </c>
      <c r="G4803">
        <f t="shared" ca="1" si="151"/>
        <v>0</v>
      </c>
    </row>
    <row r="4804" spans="1:7">
      <c r="A4804">
        <v>5682</v>
      </c>
      <c r="B4804" t="s">
        <v>23</v>
      </c>
      <c r="C4804" t="s">
        <v>126</v>
      </c>
      <c r="D4804" s="9">
        <v>41135.822939814818</v>
      </c>
      <c r="E4804" t="s">
        <v>8</v>
      </c>
      <c r="F4804">
        <f t="shared" ca="1" si="150"/>
        <v>2.4583333333333335</v>
      </c>
      <c r="G4804">
        <f t="shared" ca="1" si="151"/>
        <v>0</v>
      </c>
    </row>
    <row r="4805" spans="1:7">
      <c r="A4805">
        <v>5683</v>
      </c>
      <c r="B4805" t="s">
        <v>8</v>
      </c>
      <c r="C4805" t="s">
        <v>126</v>
      </c>
      <c r="D4805" s="9">
        <v>41135.822800925926</v>
      </c>
      <c r="E4805" t="s">
        <v>19</v>
      </c>
      <c r="F4805">
        <f t="shared" ca="1" si="150"/>
        <v>2.4583333333333335</v>
      </c>
      <c r="G4805">
        <f t="shared" ca="1" si="151"/>
        <v>0</v>
      </c>
    </row>
    <row r="4806" spans="1:7">
      <c r="A4806">
        <v>5684</v>
      </c>
      <c r="B4806" t="s">
        <v>19</v>
      </c>
      <c r="C4806" t="s">
        <v>126</v>
      </c>
      <c r="D4806" s="9">
        <v>41135.822777777779</v>
      </c>
      <c r="E4806" t="s">
        <v>27</v>
      </c>
      <c r="F4806">
        <f t="shared" ca="1" si="150"/>
        <v>2.4583333333333335</v>
      </c>
      <c r="G4806">
        <f t="shared" ca="1" si="151"/>
        <v>0</v>
      </c>
    </row>
    <row r="4807" spans="1:7">
      <c r="A4807">
        <v>5687</v>
      </c>
      <c r="B4807" t="s">
        <v>23</v>
      </c>
      <c r="C4807" t="s">
        <v>126</v>
      </c>
      <c r="D4807" s="9">
        <v>41135.822962962964</v>
      </c>
      <c r="E4807" t="s">
        <v>43</v>
      </c>
      <c r="F4807">
        <f t="shared" ref="F4807:F4870" ca="1" si="152">YEARFRAC(TODAY(),$D4807)</f>
        <v>2.4583333333333335</v>
      </c>
      <c r="G4807">
        <f t="shared" ref="G4807:G4870" ca="1" si="153">IF($F4807&lt;1,1,0)</f>
        <v>0</v>
      </c>
    </row>
    <row r="4808" spans="1:7">
      <c r="A4808">
        <v>5690</v>
      </c>
      <c r="B4808" t="s">
        <v>45</v>
      </c>
      <c r="C4808" t="s">
        <v>125</v>
      </c>
      <c r="D4808" s="9">
        <v>41212.648136574076</v>
      </c>
      <c r="E4808" t="s">
        <v>38</v>
      </c>
      <c r="F4808">
        <f t="shared" ca="1" si="152"/>
        <v>2.2472222222222222</v>
      </c>
      <c r="G4808">
        <f t="shared" ca="1" si="153"/>
        <v>0</v>
      </c>
    </row>
    <row r="4809" spans="1:7">
      <c r="A4809">
        <v>5691</v>
      </c>
      <c r="B4809" t="s">
        <v>19</v>
      </c>
      <c r="C4809" t="s">
        <v>125</v>
      </c>
      <c r="D4809" s="9">
        <v>41215.698159722226</v>
      </c>
      <c r="E4809" t="s">
        <v>34</v>
      </c>
      <c r="F4809">
        <f t="shared" ca="1" si="152"/>
        <v>2.2416666666666667</v>
      </c>
      <c r="G4809">
        <f t="shared" ca="1" si="153"/>
        <v>0</v>
      </c>
    </row>
    <row r="4810" spans="1:7">
      <c r="A4810">
        <v>5696</v>
      </c>
      <c r="B4810" t="s">
        <v>34</v>
      </c>
      <c r="C4810" t="s">
        <v>126</v>
      </c>
      <c r="D4810" s="9">
        <v>41135.823217592595</v>
      </c>
      <c r="E4810" t="s">
        <v>36</v>
      </c>
      <c r="F4810">
        <f t="shared" ca="1" si="152"/>
        <v>2.4583333333333335</v>
      </c>
      <c r="G4810">
        <f t="shared" ca="1" si="153"/>
        <v>0</v>
      </c>
    </row>
    <row r="4811" spans="1:7">
      <c r="A4811">
        <v>5697</v>
      </c>
      <c r="B4811" t="s">
        <v>23</v>
      </c>
      <c r="C4811" t="s">
        <v>123</v>
      </c>
      <c r="D4811" s="9">
        <v>41304.402326388888</v>
      </c>
      <c r="E4811" t="s">
        <v>8</v>
      </c>
      <c r="F4811">
        <f t="shared" ca="1" si="152"/>
        <v>1.9972222222222222</v>
      </c>
      <c r="G4811">
        <f t="shared" ca="1" si="153"/>
        <v>0</v>
      </c>
    </row>
    <row r="4812" spans="1:7">
      <c r="A4812">
        <v>5701</v>
      </c>
      <c r="B4812" t="s">
        <v>8</v>
      </c>
      <c r="C4812" t="s">
        <v>126</v>
      </c>
      <c r="D4812" s="9">
        <v>41135.823148148149</v>
      </c>
      <c r="E4812" t="s">
        <v>19</v>
      </c>
      <c r="F4812">
        <f t="shared" ca="1" si="152"/>
        <v>2.4583333333333335</v>
      </c>
      <c r="G4812">
        <f t="shared" ca="1" si="153"/>
        <v>0</v>
      </c>
    </row>
    <row r="4813" spans="1:7">
      <c r="A4813">
        <v>5703</v>
      </c>
      <c r="B4813" t="s">
        <v>32</v>
      </c>
      <c r="C4813" t="s">
        <v>126</v>
      </c>
      <c r="D4813" s="9">
        <v>41135.823171296295</v>
      </c>
      <c r="E4813" t="s">
        <v>27</v>
      </c>
      <c r="F4813">
        <f t="shared" ca="1" si="152"/>
        <v>2.4583333333333335</v>
      </c>
      <c r="G4813">
        <f t="shared" ca="1" si="153"/>
        <v>0</v>
      </c>
    </row>
    <row r="4814" spans="1:7">
      <c r="A4814">
        <v>5704</v>
      </c>
      <c r="B4814" t="s">
        <v>11</v>
      </c>
      <c r="C4814" t="s">
        <v>126</v>
      </c>
      <c r="D4814" s="9">
        <v>41135.823171296295</v>
      </c>
      <c r="E4814" t="s">
        <v>32</v>
      </c>
      <c r="F4814">
        <f t="shared" ca="1" si="152"/>
        <v>2.4583333333333335</v>
      </c>
      <c r="G4814">
        <f t="shared" ca="1" si="153"/>
        <v>0</v>
      </c>
    </row>
    <row r="4815" spans="1:7">
      <c r="A4815">
        <v>5705</v>
      </c>
      <c r="B4815" t="s">
        <v>14</v>
      </c>
      <c r="C4815" t="s">
        <v>120</v>
      </c>
      <c r="D4815" s="9">
        <v>41575.573009259257</v>
      </c>
      <c r="E4815" t="s">
        <v>112</v>
      </c>
      <c r="F4815">
        <f t="shared" ca="1" si="152"/>
        <v>1.2527777777777778</v>
      </c>
      <c r="G4815">
        <f t="shared" ca="1" si="153"/>
        <v>0</v>
      </c>
    </row>
    <row r="4816" spans="1:7">
      <c r="A4816">
        <v>5706</v>
      </c>
      <c r="B4816" t="s">
        <v>32</v>
      </c>
      <c r="C4816" t="s">
        <v>125</v>
      </c>
      <c r="D4816" s="9">
        <v>41215.697974537034</v>
      </c>
      <c r="E4816" t="s">
        <v>21</v>
      </c>
      <c r="F4816">
        <f t="shared" ca="1" si="152"/>
        <v>2.2416666666666667</v>
      </c>
      <c r="G4816">
        <f t="shared" ca="1" si="153"/>
        <v>0</v>
      </c>
    </row>
    <row r="4817" spans="1:7">
      <c r="A4817">
        <v>5708</v>
      </c>
      <c r="B4817" t="s">
        <v>43</v>
      </c>
      <c r="C4817" t="s">
        <v>123</v>
      </c>
      <c r="D4817" s="9">
        <v>41302.940740740742</v>
      </c>
      <c r="E4817" t="s">
        <v>21</v>
      </c>
      <c r="F4817">
        <f t="shared" ca="1" si="152"/>
        <v>2.0027777777777778</v>
      </c>
      <c r="G4817">
        <f t="shared" ca="1" si="153"/>
        <v>0</v>
      </c>
    </row>
    <row r="4818" spans="1:7">
      <c r="A4818">
        <v>5710</v>
      </c>
      <c r="B4818" t="s">
        <v>23</v>
      </c>
      <c r="C4818" t="s">
        <v>125</v>
      </c>
      <c r="D4818" s="9">
        <v>41213.647060185183</v>
      </c>
      <c r="E4818" t="s">
        <v>34</v>
      </c>
      <c r="F4818">
        <f t="shared" ca="1" si="152"/>
        <v>2.2472222222222222</v>
      </c>
      <c r="G4818">
        <f t="shared" ca="1" si="153"/>
        <v>0</v>
      </c>
    </row>
    <row r="4819" spans="1:7">
      <c r="A4819">
        <v>5711</v>
      </c>
      <c r="B4819" t="s">
        <v>8</v>
      </c>
      <c r="C4819" t="s">
        <v>123</v>
      </c>
      <c r="D4819" s="9">
        <v>41302.931504629632</v>
      </c>
      <c r="E4819" t="s">
        <v>21</v>
      </c>
      <c r="F4819">
        <f t="shared" ca="1" si="152"/>
        <v>2.0027777777777778</v>
      </c>
      <c r="G4819">
        <f t="shared" ca="1" si="153"/>
        <v>0</v>
      </c>
    </row>
    <row r="4820" spans="1:7">
      <c r="A4820">
        <v>5713</v>
      </c>
      <c r="B4820" t="s">
        <v>34</v>
      </c>
      <c r="C4820" t="s">
        <v>126</v>
      </c>
      <c r="D4820" s="9">
        <v>41135.823217592595</v>
      </c>
      <c r="E4820" t="s">
        <v>27</v>
      </c>
      <c r="F4820">
        <f t="shared" ca="1" si="152"/>
        <v>2.4583333333333335</v>
      </c>
      <c r="G4820">
        <f t="shared" ca="1" si="153"/>
        <v>0</v>
      </c>
    </row>
    <row r="4821" spans="1:7">
      <c r="A4821">
        <v>5715</v>
      </c>
      <c r="B4821" t="s">
        <v>19</v>
      </c>
      <c r="C4821" t="s">
        <v>125</v>
      </c>
      <c r="D4821" s="9">
        <v>41211.78833333333</v>
      </c>
      <c r="E4821" t="s">
        <v>27</v>
      </c>
      <c r="F4821">
        <f t="shared" ca="1" si="152"/>
        <v>2.25</v>
      </c>
      <c r="G4821">
        <f t="shared" ca="1" si="153"/>
        <v>0</v>
      </c>
    </row>
    <row r="4822" spans="1:7">
      <c r="A4822">
        <v>5716</v>
      </c>
      <c r="B4822" t="s">
        <v>19</v>
      </c>
      <c r="C4822" t="s">
        <v>125</v>
      </c>
      <c r="D4822" s="9">
        <v>41212.439733796295</v>
      </c>
      <c r="E4822" t="s">
        <v>30</v>
      </c>
      <c r="F4822">
        <f t="shared" ca="1" si="152"/>
        <v>2.2472222222222222</v>
      </c>
      <c r="G4822">
        <f t="shared" ca="1" si="153"/>
        <v>0</v>
      </c>
    </row>
    <row r="4823" spans="1:7">
      <c r="A4823">
        <v>5717</v>
      </c>
      <c r="B4823" t="s">
        <v>19</v>
      </c>
      <c r="C4823" t="s">
        <v>125</v>
      </c>
      <c r="D4823" s="9">
        <v>41249.882569444446</v>
      </c>
      <c r="E4823" t="s">
        <v>44</v>
      </c>
      <c r="F4823">
        <f t="shared" ca="1" si="152"/>
        <v>2.1472222222222221</v>
      </c>
      <c r="G4823">
        <f t="shared" ca="1" si="153"/>
        <v>0</v>
      </c>
    </row>
    <row r="4824" spans="1:7">
      <c r="A4824">
        <v>5721</v>
      </c>
      <c r="B4824" t="s">
        <v>8</v>
      </c>
      <c r="C4824" t="s">
        <v>126</v>
      </c>
      <c r="D4824" s="9">
        <v>41135.823252314818</v>
      </c>
      <c r="E4824" t="s">
        <v>11</v>
      </c>
      <c r="F4824">
        <f t="shared" ca="1" si="152"/>
        <v>2.4583333333333335</v>
      </c>
      <c r="G4824">
        <f t="shared" ca="1" si="153"/>
        <v>0</v>
      </c>
    </row>
    <row r="4825" spans="1:7">
      <c r="A4825">
        <v>5722</v>
      </c>
      <c r="B4825" t="s">
        <v>19</v>
      </c>
      <c r="C4825" t="s">
        <v>125</v>
      </c>
      <c r="D4825" s="9">
        <v>41211.837824074071</v>
      </c>
      <c r="E4825" t="s">
        <v>27</v>
      </c>
      <c r="F4825">
        <f t="shared" ca="1" si="152"/>
        <v>2.25</v>
      </c>
      <c r="G4825">
        <f t="shared" ca="1" si="153"/>
        <v>0</v>
      </c>
    </row>
    <row r="4826" spans="1:7">
      <c r="A4826">
        <v>5723</v>
      </c>
      <c r="B4826" t="s">
        <v>37</v>
      </c>
      <c r="C4826" t="s">
        <v>125</v>
      </c>
      <c r="D4826" s="9">
        <v>41211.660590277781</v>
      </c>
      <c r="E4826" t="s">
        <v>34</v>
      </c>
      <c r="F4826">
        <f t="shared" ca="1" si="152"/>
        <v>2.25</v>
      </c>
      <c r="G4826">
        <f t="shared" ca="1" si="153"/>
        <v>0</v>
      </c>
    </row>
    <row r="4827" spans="1:7">
      <c r="A4827">
        <v>5724</v>
      </c>
      <c r="B4827" t="s">
        <v>8</v>
      </c>
      <c r="C4827" t="s">
        <v>126</v>
      </c>
      <c r="D4827" s="9">
        <v>41215.697442129633</v>
      </c>
      <c r="E4827" t="s">
        <v>27</v>
      </c>
      <c r="F4827">
        <f t="shared" ca="1" si="152"/>
        <v>2.2416666666666667</v>
      </c>
      <c r="G4827">
        <f t="shared" ca="1" si="153"/>
        <v>0</v>
      </c>
    </row>
    <row r="4828" spans="1:7">
      <c r="A4828">
        <v>5725</v>
      </c>
      <c r="B4828" t="s">
        <v>8</v>
      </c>
      <c r="C4828" t="s">
        <v>126</v>
      </c>
      <c r="D4828" s="9">
        <v>41135.823240740741</v>
      </c>
      <c r="E4828" t="s">
        <v>36</v>
      </c>
      <c r="F4828">
        <f t="shared" ca="1" si="152"/>
        <v>2.4583333333333335</v>
      </c>
      <c r="G4828">
        <f t="shared" ca="1" si="153"/>
        <v>0</v>
      </c>
    </row>
    <row r="4829" spans="1:7">
      <c r="A4829">
        <v>5732</v>
      </c>
      <c r="B4829" t="s">
        <v>34</v>
      </c>
      <c r="C4829" t="s">
        <v>126</v>
      </c>
      <c r="D4829" s="9">
        <v>41135.823263888888</v>
      </c>
      <c r="E4829" t="s">
        <v>36</v>
      </c>
      <c r="F4829">
        <f t="shared" ca="1" si="152"/>
        <v>2.4583333333333335</v>
      </c>
      <c r="G4829">
        <f t="shared" ca="1" si="153"/>
        <v>0</v>
      </c>
    </row>
    <row r="4830" spans="1:7">
      <c r="A4830">
        <v>5733</v>
      </c>
      <c r="B4830" t="s">
        <v>112</v>
      </c>
      <c r="C4830" t="s">
        <v>121</v>
      </c>
      <c r="D4830" s="9">
        <v>41484.580104166664</v>
      </c>
      <c r="E4830" t="s">
        <v>19</v>
      </c>
      <c r="F4830">
        <f t="shared" ca="1" si="152"/>
        <v>1.5</v>
      </c>
      <c r="G4830">
        <f t="shared" ca="1" si="153"/>
        <v>0</v>
      </c>
    </row>
    <row r="4831" spans="1:7">
      <c r="A4831">
        <v>5735</v>
      </c>
      <c r="B4831" t="s">
        <v>34</v>
      </c>
      <c r="C4831" t="s">
        <v>125</v>
      </c>
      <c r="D4831" s="9">
        <v>41211.862569444442</v>
      </c>
      <c r="E4831" t="s">
        <v>43</v>
      </c>
      <c r="F4831">
        <f t="shared" ca="1" si="152"/>
        <v>2.25</v>
      </c>
      <c r="G4831">
        <f t="shared" ca="1" si="153"/>
        <v>0</v>
      </c>
    </row>
    <row r="4832" spans="1:7">
      <c r="A4832">
        <v>5736</v>
      </c>
      <c r="B4832" t="s">
        <v>8</v>
      </c>
      <c r="C4832" t="s">
        <v>125</v>
      </c>
      <c r="D4832" s="9">
        <v>41211.914444444446</v>
      </c>
      <c r="E4832" t="s">
        <v>21</v>
      </c>
      <c r="F4832">
        <f t="shared" ca="1" si="152"/>
        <v>2.25</v>
      </c>
      <c r="G4832">
        <f t="shared" ca="1" si="153"/>
        <v>0</v>
      </c>
    </row>
    <row r="4833" spans="1:7">
      <c r="A4833">
        <v>5737</v>
      </c>
      <c r="B4833" t="s">
        <v>19</v>
      </c>
      <c r="C4833" t="s">
        <v>126</v>
      </c>
      <c r="D4833" s="9">
        <v>41135.823263888888</v>
      </c>
      <c r="E4833" t="s">
        <v>37</v>
      </c>
      <c r="F4833">
        <f t="shared" ca="1" si="152"/>
        <v>2.4583333333333335</v>
      </c>
      <c r="G4833">
        <f t="shared" ca="1" si="153"/>
        <v>0</v>
      </c>
    </row>
    <row r="4834" spans="1:7">
      <c r="A4834">
        <v>5739</v>
      </c>
      <c r="B4834" t="s">
        <v>11</v>
      </c>
      <c r="C4834" t="s">
        <v>126</v>
      </c>
      <c r="D4834" s="9">
        <v>41135.823298611111</v>
      </c>
      <c r="E4834" t="s">
        <v>32</v>
      </c>
      <c r="F4834">
        <f t="shared" ca="1" si="152"/>
        <v>2.4583333333333335</v>
      </c>
      <c r="G4834">
        <f t="shared" ca="1" si="153"/>
        <v>0</v>
      </c>
    </row>
    <row r="4835" spans="1:7">
      <c r="A4835">
        <v>5740</v>
      </c>
      <c r="B4835" t="s">
        <v>32</v>
      </c>
      <c r="C4835" t="s">
        <v>125</v>
      </c>
      <c r="D4835" s="9">
        <v>41215.69599537037</v>
      </c>
      <c r="E4835" t="s">
        <v>21</v>
      </c>
      <c r="F4835">
        <f t="shared" ca="1" si="152"/>
        <v>2.2416666666666667</v>
      </c>
      <c r="G4835">
        <f t="shared" ca="1" si="153"/>
        <v>0</v>
      </c>
    </row>
    <row r="4836" spans="1:7">
      <c r="A4836">
        <v>5741</v>
      </c>
      <c r="B4836" t="s">
        <v>34</v>
      </c>
      <c r="C4836" t="s">
        <v>126</v>
      </c>
      <c r="D4836" s="9">
        <v>41135.823310185187</v>
      </c>
      <c r="E4836" t="s">
        <v>19</v>
      </c>
      <c r="F4836">
        <f t="shared" ca="1" si="152"/>
        <v>2.4583333333333335</v>
      </c>
      <c r="G4836">
        <f t="shared" ca="1" si="153"/>
        <v>0</v>
      </c>
    </row>
    <row r="4837" spans="1:7">
      <c r="A4837">
        <v>5743</v>
      </c>
      <c r="B4837" t="s">
        <v>32</v>
      </c>
      <c r="C4837" t="s">
        <v>125</v>
      </c>
      <c r="D4837" s="9">
        <v>41215.697974537034</v>
      </c>
      <c r="E4837" t="s">
        <v>11</v>
      </c>
      <c r="F4837">
        <f t="shared" ca="1" si="152"/>
        <v>2.2416666666666667</v>
      </c>
      <c r="G4837">
        <f t="shared" ca="1" si="153"/>
        <v>0</v>
      </c>
    </row>
    <row r="4838" spans="1:7">
      <c r="A4838">
        <v>5744</v>
      </c>
      <c r="B4838" t="s">
        <v>19</v>
      </c>
      <c r="C4838" t="s">
        <v>125</v>
      </c>
      <c r="D4838" s="9">
        <v>41213.567939814813</v>
      </c>
      <c r="E4838" t="s">
        <v>34</v>
      </c>
      <c r="F4838">
        <f t="shared" ca="1" si="152"/>
        <v>2.2472222222222222</v>
      </c>
      <c r="G4838">
        <f t="shared" ca="1" si="153"/>
        <v>0</v>
      </c>
    </row>
    <row r="4839" spans="1:7">
      <c r="A4839">
        <v>5747</v>
      </c>
      <c r="B4839" t="s">
        <v>49</v>
      </c>
      <c r="C4839" t="s">
        <v>125</v>
      </c>
      <c r="D4839" s="9">
        <v>41215.697465277779</v>
      </c>
      <c r="E4839" t="s">
        <v>32</v>
      </c>
      <c r="F4839">
        <f t="shared" ca="1" si="152"/>
        <v>2.2416666666666667</v>
      </c>
      <c r="G4839">
        <f t="shared" ca="1" si="153"/>
        <v>0</v>
      </c>
    </row>
    <row r="4840" spans="1:7">
      <c r="A4840">
        <v>5748</v>
      </c>
      <c r="B4840" t="s">
        <v>49</v>
      </c>
      <c r="C4840" t="s">
        <v>125</v>
      </c>
      <c r="D4840" s="9">
        <v>41215.698344907411</v>
      </c>
      <c r="E4840" t="s">
        <v>36</v>
      </c>
      <c r="F4840">
        <f t="shared" ca="1" si="152"/>
        <v>2.2416666666666667</v>
      </c>
      <c r="G4840">
        <f t="shared" ca="1" si="153"/>
        <v>0</v>
      </c>
    </row>
    <row r="4841" spans="1:7">
      <c r="A4841">
        <v>5749</v>
      </c>
      <c r="B4841" t="s">
        <v>49</v>
      </c>
      <c r="C4841" t="s">
        <v>125</v>
      </c>
      <c r="D4841" s="9">
        <v>41213.414166666669</v>
      </c>
      <c r="E4841" t="s">
        <v>24</v>
      </c>
      <c r="F4841">
        <f t="shared" ca="1" si="152"/>
        <v>2.2472222222222222</v>
      </c>
      <c r="G4841">
        <f t="shared" ca="1" si="153"/>
        <v>0</v>
      </c>
    </row>
    <row r="4842" spans="1:7">
      <c r="A4842">
        <v>5750</v>
      </c>
      <c r="B4842" t="s">
        <v>111</v>
      </c>
      <c r="C4842" t="s">
        <v>123</v>
      </c>
      <c r="D4842" s="9">
        <v>41304.93949074074</v>
      </c>
      <c r="E4842" t="s">
        <v>38</v>
      </c>
      <c r="F4842">
        <f t="shared" ca="1" si="152"/>
        <v>1.9972222222222222</v>
      </c>
      <c r="G4842">
        <f t="shared" ca="1" si="153"/>
        <v>0</v>
      </c>
    </row>
    <row r="4843" spans="1:7">
      <c r="A4843">
        <v>5752</v>
      </c>
      <c r="B4843" t="s">
        <v>45</v>
      </c>
      <c r="C4843" t="s">
        <v>125</v>
      </c>
      <c r="D4843" s="9">
        <v>41212.645729166667</v>
      </c>
      <c r="E4843" t="s">
        <v>38</v>
      </c>
      <c r="F4843">
        <f t="shared" ca="1" si="152"/>
        <v>2.2472222222222222</v>
      </c>
      <c r="G4843">
        <f t="shared" ca="1" si="153"/>
        <v>0</v>
      </c>
    </row>
    <row r="4844" spans="1:7">
      <c r="A4844">
        <v>5753</v>
      </c>
      <c r="B4844" t="s">
        <v>8</v>
      </c>
      <c r="C4844" t="s">
        <v>125</v>
      </c>
      <c r="D4844" s="9">
        <v>41212.514803240738</v>
      </c>
      <c r="E4844" t="s">
        <v>112</v>
      </c>
      <c r="F4844">
        <f t="shared" ca="1" si="152"/>
        <v>2.2472222222222222</v>
      </c>
      <c r="G4844">
        <f t="shared" ca="1" si="153"/>
        <v>0</v>
      </c>
    </row>
    <row r="4845" spans="1:7">
      <c r="A4845">
        <v>5754</v>
      </c>
      <c r="B4845" t="s">
        <v>19</v>
      </c>
      <c r="C4845" t="s">
        <v>125</v>
      </c>
      <c r="D4845" s="9">
        <v>41211.635034722225</v>
      </c>
      <c r="E4845" t="s">
        <v>112</v>
      </c>
      <c r="F4845">
        <f t="shared" ca="1" si="152"/>
        <v>2.25</v>
      </c>
      <c r="G4845">
        <f t="shared" ca="1" si="153"/>
        <v>0</v>
      </c>
    </row>
    <row r="4846" spans="1:7">
      <c r="A4846">
        <v>5758</v>
      </c>
      <c r="B4846" t="s">
        <v>45</v>
      </c>
      <c r="C4846" t="s">
        <v>125</v>
      </c>
      <c r="D4846" s="9">
        <v>41212.647175925929</v>
      </c>
      <c r="E4846" t="s">
        <v>38</v>
      </c>
      <c r="F4846">
        <f t="shared" ca="1" si="152"/>
        <v>2.2472222222222222</v>
      </c>
      <c r="G4846">
        <f t="shared" ca="1" si="153"/>
        <v>0</v>
      </c>
    </row>
    <row r="4847" spans="1:7">
      <c r="A4847">
        <v>5759</v>
      </c>
      <c r="B4847" t="s">
        <v>8</v>
      </c>
      <c r="C4847" t="s">
        <v>125</v>
      </c>
      <c r="D4847" s="9">
        <v>41211.86209490741</v>
      </c>
      <c r="E4847" t="s">
        <v>27</v>
      </c>
      <c r="F4847">
        <f t="shared" ca="1" si="152"/>
        <v>2.25</v>
      </c>
      <c r="G4847">
        <f t="shared" ca="1" si="153"/>
        <v>0</v>
      </c>
    </row>
    <row r="4848" spans="1:7">
      <c r="A4848">
        <v>5761</v>
      </c>
      <c r="B4848" t="s">
        <v>38</v>
      </c>
      <c r="C4848" t="s">
        <v>125</v>
      </c>
      <c r="D4848" s="9">
        <v>41212.682083333333</v>
      </c>
      <c r="E4848" t="s">
        <v>36</v>
      </c>
      <c r="F4848">
        <f t="shared" ca="1" si="152"/>
        <v>2.2472222222222222</v>
      </c>
      <c r="G4848">
        <f t="shared" ca="1" si="153"/>
        <v>0</v>
      </c>
    </row>
    <row r="4849" spans="1:7">
      <c r="A4849">
        <v>5762</v>
      </c>
      <c r="B4849" t="s">
        <v>27</v>
      </c>
      <c r="C4849" t="s">
        <v>125</v>
      </c>
      <c r="D4849" s="9">
        <v>41211.733032407406</v>
      </c>
      <c r="E4849" t="s">
        <v>36</v>
      </c>
      <c r="F4849">
        <f t="shared" ca="1" si="152"/>
        <v>2.25</v>
      </c>
      <c r="G4849">
        <f t="shared" ca="1" si="153"/>
        <v>0</v>
      </c>
    </row>
    <row r="4850" spans="1:7">
      <c r="A4850">
        <v>5763</v>
      </c>
      <c r="B4850" t="s">
        <v>45</v>
      </c>
      <c r="C4850" t="s">
        <v>125</v>
      </c>
      <c r="D4850" s="9">
        <v>41212.648553240739</v>
      </c>
      <c r="E4850" t="s">
        <v>38</v>
      </c>
      <c r="F4850">
        <f t="shared" ca="1" si="152"/>
        <v>2.2472222222222222</v>
      </c>
      <c r="G4850">
        <f t="shared" ca="1" si="153"/>
        <v>0</v>
      </c>
    </row>
    <row r="4851" spans="1:7">
      <c r="A4851">
        <v>5766</v>
      </c>
      <c r="B4851" t="s">
        <v>8</v>
      </c>
      <c r="C4851" t="s">
        <v>125</v>
      </c>
      <c r="D4851" s="9">
        <v>41213.464108796295</v>
      </c>
      <c r="E4851" t="s">
        <v>44</v>
      </c>
      <c r="F4851">
        <f t="shared" ca="1" si="152"/>
        <v>2.2472222222222222</v>
      </c>
      <c r="G4851">
        <f t="shared" ca="1" si="153"/>
        <v>0</v>
      </c>
    </row>
    <row r="4852" spans="1:7">
      <c r="A4852">
        <v>5769</v>
      </c>
      <c r="B4852" t="s">
        <v>27</v>
      </c>
      <c r="C4852" t="s">
        <v>125</v>
      </c>
      <c r="D4852" s="9">
        <v>41211.727824074071</v>
      </c>
      <c r="E4852" t="s">
        <v>36</v>
      </c>
      <c r="F4852">
        <f t="shared" ca="1" si="152"/>
        <v>2.25</v>
      </c>
      <c r="G4852">
        <f t="shared" ca="1" si="153"/>
        <v>0</v>
      </c>
    </row>
    <row r="4853" spans="1:7">
      <c r="A4853">
        <v>5771</v>
      </c>
      <c r="B4853" t="s">
        <v>45</v>
      </c>
      <c r="C4853" t="s">
        <v>125</v>
      </c>
      <c r="D4853" s="9">
        <v>41212.647743055553</v>
      </c>
      <c r="E4853" t="s">
        <v>38</v>
      </c>
      <c r="F4853">
        <f t="shared" ca="1" si="152"/>
        <v>2.2472222222222222</v>
      </c>
      <c r="G4853">
        <f t="shared" ca="1" si="153"/>
        <v>0</v>
      </c>
    </row>
    <row r="4854" spans="1:7">
      <c r="A4854">
        <v>5773</v>
      </c>
      <c r="B4854" t="s">
        <v>38</v>
      </c>
      <c r="C4854" t="s">
        <v>122</v>
      </c>
      <c r="D4854" s="9">
        <v>41388.828159722223</v>
      </c>
      <c r="E4854" t="s">
        <v>27</v>
      </c>
      <c r="F4854">
        <f t="shared" ca="1" si="152"/>
        <v>1.7638888888888888</v>
      </c>
      <c r="G4854">
        <f t="shared" ca="1" si="153"/>
        <v>0</v>
      </c>
    </row>
    <row r="4855" spans="1:7">
      <c r="A4855">
        <v>5776</v>
      </c>
      <c r="B4855" t="s">
        <v>19</v>
      </c>
      <c r="C4855" t="s">
        <v>125</v>
      </c>
      <c r="D4855" s="9">
        <v>41213.698796296296</v>
      </c>
      <c r="E4855" t="s">
        <v>24</v>
      </c>
      <c r="F4855">
        <f t="shared" ca="1" si="152"/>
        <v>2.2472222222222222</v>
      </c>
      <c r="G4855">
        <f t="shared" ca="1" si="153"/>
        <v>0</v>
      </c>
    </row>
    <row r="4856" spans="1:7">
      <c r="A4856">
        <v>5777</v>
      </c>
      <c r="B4856" t="s">
        <v>8</v>
      </c>
      <c r="C4856" t="s">
        <v>125</v>
      </c>
      <c r="D4856" s="9">
        <v>41211.72320601852</v>
      </c>
      <c r="E4856" t="s">
        <v>36</v>
      </c>
      <c r="F4856">
        <f t="shared" ca="1" si="152"/>
        <v>2.25</v>
      </c>
      <c r="G4856">
        <f t="shared" ca="1" si="153"/>
        <v>0</v>
      </c>
    </row>
    <row r="4857" spans="1:7">
      <c r="A4857">
        <v>5778</v>
      </c>
      <c r="B4857" t="s">
        <v>36</v>
      </c>
      <c r="C4857" t="s">
        <v>125</v>
      </c>
      <c r="D4857" s="9">
        <v>41212.728344907409</v>
      </c>
      <c r="E4857" t="s">
        <v>27</v>
      </c>
      <c r="F4857">
        <f t="shared" ca="1" si="152"/>
        <v>2.2472222222222222</v>
      </c>
      <c r="G4857">
        <f t="shared" ca="1" si="153"/>
        <v>0</v>
      </c>
    </row>
    <row r="4858" spans="1:7">
      <c r="A4858">
        <v>5779</v>
      </c>
      <c r="B4858" t="s">
        <v>21</v>
      </c>
      <c r="C4858" t="s">
        <v>122</v>
      </c>
      <c r="D4858" s="9">
        <v>41348.641840277778</v>
      </c>
      <c r="E4858" t="s">
        <v>23</v>
      </c>
      <c r="F4858">
        <f t="shared" ca="1" si="152"/>
        <v>1.8722222222222222</v>
      </c>
      <c r="G4858">
        <f t="shared" ca="1" si="153"/>
        <v>0</v>
      </c>
    </row>
    <row r="4859" spans="1:7">
      <c r="A4859">
        <v>5781</v>
      </c>
      <c r="B4859" t="s">
        <v>23</v>
      </c>
      <c r="C4859" t="s">
        <v>125</v>
      </c>
      <c r="D4859" s="9">
        <v>41212.694606481484</v>
      </c>
      <c r="E4859" t="s">
        <v>112</v>
      </c>
      <c r="F4859">
        <f t="shared" ca="1" si="152"/>
        <v>2.2472222222222222</v>
      </c>
      <c r="G4859">
        <f t="shared" ca="1" si="153"/>
        <v>0</v>
      </c>
    </row>
    <row r="4860" spans="1:7">
      <c r="A4860">
        <v>5784</v>
      </c>
      <c r="B4860" t="s">
        <v>23</v>
      </c>
      <c r="C4860" t="s">
        <v>125</v>
      </c>
      <c r="D4860" s="9">
        <v>41214.414386574077</v>
      </c>
      <c r="E4860" t="s">
        <v>8</v>
      </c>
      <c r="F4860">
        <f t="shared" ca="1" si="152"/>
        <v>2.2444444444444445</v>
      </c>
      <c r="G4860">
        <f t="shared" ca="1" si="153"/>
        <v>0</v>
      </c>
    </row>
    <row r="4861" spans="1:7">
      <c r="A4861">
        <v>5787</v>
      </c>
      <c r="B4861" t="s">
        <v>8</v>
      </c>
      <c r="C4861" t="s">
        <v>125</v>
      </c>
      <c r="D4861" s="9">
        <v>41211.665023148147</v>
      </c>
      <c r="E4861" t="s">
        <v>112</v>
      </c>
      <c r="F4861">
        <f t="shared" ca="1" si="152"/>
        <v>2.25</v>
      </c>
      <c r="G4861">
        <f t="shared" ca="1" si="153"/>
        <v>0</v>
      </c>
    </row>
    <row r="4862" spans="1:7">
      <c r="A4862">
        <v>5790</v>
      </c>
      <c r="B4862" t="s">
        <v>111</v>
      </c>
      <c r="C4862" t="s">
        <v>123</v>
      </c>
      <c r="D4862" s="9">
        <v>41536.566400462965</v>
      </c>
      <c r="F4862">
        <f t="shared" ca="1" si="152"/>
        <v>1.3611111111111112</v>
      </c>
      <c r="G4862">
        <f t="shared" ca="1" si="153"/>
        <v>0</v>
      </c>
    </row>
    <row r="4863" spans="1:7">
      <c r="A4863">
        <v>5791</v>
      </c>
      <c r="B4863" t="s">
        <v>23</v>
      </c>
      <c r="C4863" t="s">
        <v>125</v>
      </c>
      <c r="D4863" s="9">
        <v>41214.474236111113</v>
      </c>
      <c r="E4863" t="s">
        <v>30</v>
      </c>
      <c r="F4863">
        <f t="shared" ca="1" si="152"/>
        <v>2.2444444444444445</v>
      </c>
      <c r="G4863">
        <f t="shared" ca="1" si="153"/>
        <v>0</v>
      </c>
    </row>
    <row r="4864" spans="1:7">
      <c r="A4864">
        <v>5792</v>
      </c>
      <c r="B4864" t="s">
        <v>8</v>
      </c>
      <c r="C4864" t="s">
        <v>125</v>
      </c>
      <c r="D4864" s="9">
        <v>41213.498738425929</v>
      </c>
      <c r="E4864" t="s">
        <v>23</v>
      </c>
      <c r="F4864">
        <f t="shared" ca="1" si="152"/>
        <v>2.2472222222222222</v>
      </c>
      <c r="G4864">
        <f t="shared" ca="1" si="153"/>
        <v>0</v>
      </c>
    </row>
    <row r="4865" spans="1:7">
      <c r="A4865">
        <v>5794</v>
      </c>
      <c r="B4865" t="s">
        <v>38</v>
      </c>
      <c r="C4865" t="s">
        <v>125</v>
      </c>
      <c r="D4865" s="9">
        <v>41212.776516203703</v>
      </c>
      <c r="E4865" t="s">
        <v>27</v>
      </c>
      <c r="F4865">
        <f t="shared" ca="1" si="152"/>
        <v>2.2472222222222222</v>
      </c>
      <c r="G4865">
        <f t="shared" ca="1" si="153"/>
        <v>0</v>
      </c>
    </row>
    <row r="4866" spans="1:7">
      <c r="A4866">
        <v>5796</v>
      </c>
      <c r="B4866" t="s">
        <v>21</v>
      </c>
      <c r="C4866" t="s">
        <v>125</v>
      </c>
      <c r="D4866" s="9">
        <v>41215.698298611111</v>
      </c>
      <c r="E4866" t="s">
        <v>36</v>
      </c>
      <c r="F4866">
        <f t="shared" ca="1" si="152"/>
        <v>2.2416666666666667</v>
      </c>
      <c r="G4866">
        <f t="shared" ca="1" si="153"/>
        <v>0</v>
      </c>
    </row>
    <row r="4867" spans="1:7">
      <c r="A4867">
        <v>5797</v>
      </c>
      <c r="B4867" t="s">
        <v>30</v>
      </c>
      <c r="C4867" t="s">
        <v>122</v>
      </c>
      <c r="D4867" s="9">
        <v>41410.944456018522</v>
      </c>
      <c r="E4867" t="s">
        <v>112</v>
      </c>
      <c r="F4867">
        <f t="shared" ca="1" si="152"/>
        <v>1.7027777777777777</v>
      </c>
      <c r="G4867">
        <f t="shared" ca="1" si="153"/>
        <v>0</v>
      </c>
    </row>
    <row r="4868" spans="1:7">
      <c r="A4868">
        <v>5798</v>
      </c>
      <c r="B4868" t="s">
        <v>8</v>
      </c>
      <c r="C4868" t="s">
        <v>125</v>
      </c>
      <c r="D4868" s="9">
        <v>41212.767453703702</v>
      </c>
      <c r="E4868" t="s">
        <v>11</v>
      </c>
      <c r="F4868">
        <f t="shared" ca="1" si="152"/>
        <v>2.2472222222222222</v>
      </c>
      <c r="G4868">
        <f t="shared" ca="1" si="153"/>
        <v>0</v>
      </c>
    </row>
    <row r="4869" spans="1:7">
      <c r="A4869">
        <v>5800</v>
      </c>
      <c r="B4869" t="s">
        <v>8</v>
      </c>
      <c r="C4869" t="s">
        <v>125</v>
      </c>
      <c r="D4869" s="9">
        <v>41213.504317129627</v>
      </c>
      <c r="E4869" t="s">
        <v>23</v>
      </c>
      <c r="F4869">
        <f t="shared" ca="1" si="152"/>
        <v>2.2472222222222222</v>
      </c>
      <c r="G4869">
        <f t="shared" ca="1" si="153"/>
        <v>0</v>
      </c>
    </row>
    <row r="4870" spans="1:7">
      <c r="A4870">
        <v>5801</v>
      </c>
      <c r="B4870" t="s">
        <v>111</v>
      </c>
      <c r="C4870" t="s">
        <v>123</v>
      </c>
      <c r="D4870" s="9">
        <v>41536.566400462965</v>
      </c>
      <c r="F4870">
        <f t="shared" ca="1" si="152"/>
        <v>1.3611111111111112</v>
      </c>
      <c r="G4870">
        <f t="shared" ca="1" si="153"/>
        <v>0</v>
      </c>
    </row>
    <row r="4871" spans="1:7">
      <c r="A4871">
        <v>5803</v>
      </c>
      <c r="B4871" t="s">
        <v>45</v>
      </c>
      <c r="C4871" t="s">
        <v>125</v>
      </c>
      <c r="D4871" s="9">
        <v>41215.695949074077</v>
      </c>
      <c r="E4871" t="s">
        <v>38</v>
      </c>
      <c r="F4871">
        <f t="shared" ref="F4871:F4934" ca="1" si="154">YEARFRAC(TODAY(),$D4871)</f>
        <v>2.2416666666666667</v>
      </c>
      <c r="G4871">
        <f t="shared" ref="G4871:G4934" ca="1" si="155">IF($F4871&lt;1,1,0)</f>
        <v>0</v>
      </c>
    </row>
    <row r="4872" spans="1:7">
      <c r="A4872">
        <v>5806</v>
      </c>
      <c r="B4872" t="s">
        <v>32</v>
      </c>
      <c r="C4872" t="s">
        <v>125</v>
      </c>
      <c r="D4872" s="9">
        <v>41211.851875</v>
      </c>
      <c r="E4872" t="s">
        <v>11</v>
      </c>
      <c r="F4872">
        <f t="shared" ca="1" si="154"/>
        <v>2.25</v>
      </c>
      <c r="G4872">
        <f t="shared" ca="1" si="155"/>
        <v>0</v>
      </c>
    </row>
    <row r="4873" spans="1:7">
      <c r="A4873">
        <v>5807</v>
      </c>
      <c r="B4873" t="s">
        <v>34</v>
      </c>
      <c r="C4873" t="s">
        <v>125</v>
      </c>
      <c r="D4873" s="9">
        <v>41211.630173611113</v>
      </c>
      <c r="E4873" t="s">
        <v>21</v>
      </c>
      <c r="F4873">
        <f t="shared" ca="1" si="154"/>
        <v>2.25</v>
      </c>
      <c r="G4873">
        <f t="shared" ca="1" si="155"/>
        <v>0</v>
      </c>
    </row>
    <row r="4874" spans="1:7">
      <c r="A4874">
        <v>5808</v>
      </c>
      <c r="B4874" t="s">
        <v>32</v>
      </c>
      <c r="C4874" t="s">
        <v>125</v>
      </c>
      <c r="D4874" s="9">
        <v>41211.772615740738</v>
      </c>
      <c r="E4874" t="s">
        <v>20</v>
      </c>
      <c r="F4874">
        <f t="shared" ca="1" si="154"/>
        <v>2.25</v>
      </c>
      <c r="G4874">
        <f t="shared" ca="1" si="155"/>
        <v>0</v>
      </c>
    </row>
    <row r="4875" spans="1:7">
      <c r="A4875">
        <v>5811</v>
      </c>
      <c r="B4875" t="s">
        <v>8</v>
      </c>
      <c r="C4875" t="s">
        <v>125</v>
      </c>
      <c r="D4875" s="9">
        <v>41213.514120370368</v>
      </c>
      <c r="E4875" t="s">
        <v>23</v>
      </c>
      <c r="F4875">
        <f t="shared" ca="1" si="154"/>
        <v>2.2472222222222222</v>
      </c>
      <c r="G4875">
        <f t="shared" ca="1" si="155"/>
        <v>0</v>
      </c>
    </row>
    <row r="4876" spans="1:7">
      <c r="A4876">
        <v>5812</v>
      </c>
      <c r="B4876" t="s">
        <v>27</v>
      </c>
      <c r="C4876" t="s">
        <v>125</v>
      </c>
      <c r="D4876" s="9">
        <v>41212.755983796298</v>
      </c>
      <c r="E4876" t="s">
        <v>36</v>
      </c>
      <c r="F4876">
        <f t="shared" ca="1" si="154"/>
        <v>2.2472222222222222</v>
      </c>
      <c r="G4876">
        <f t="shared" ca="1" si="155"/>
        <v>0</v>
      </c>
    </row>
    <row r="4877" spans="1:7">
      <c r="A4877">
        <v>5813</v>
      </c>
      <c r="B4877" t="s">
        <v>8</v>
      </c>
      <c r="C4877" t="s">
        <v>125</v>
      </c>
      <c r="D4877" s="9">
        <v>41211.899409722224</v>
      </c>
      <c r="E4877" t="s">
        <v>27</v>
      </c>
      <c r="F4877">
        <f t="shared" ca="1" si="154"/>
        <v>2.25</v>
      </c>
      <c r="G4877">
        <f t="shared" ca="1" si="155"/>
        <v>0</v>
      </c>
    </row>
    <row r="4878" spans="1:7">
      <c r="A4878">
        <v>5814</v>
      </c>
      <c r="B4878" t="s">
        <v>36</v>
      </c>
      <c r="C4878" t="s">
        <v>122</v>
      </c>
      <c r="D4878" s="9">
        <v>41390.81890046296</v>
      </c>
      <c r="E4878" t="s">
        <v>32</v>
      </c>
      <c r="F4878">
        <f t="shared" ca="1" si="154"/>
        <v>1.7583333333333333</v>
      </c>
      <c r="G4878">
        <f t="shared" ca="1" si="155"/>
        <v>0</v>
      </c>
    </row>
    <row r="4879" spans="1:7">
      <c r="A4879">
        <v>5817</v>
      </c>
      <c r="B4879" t="s">
        <v>19</v>
      </c>
      <c r="C4879" t="s">
        <v>125</v>
      </c>
      <c r="D4879" s="9">
        <v>41212.524131944447</v>
      </c>
      <c r="E4879" t="s">
        <v>112</v>
      </c>
      <c r="F4879">
        <f t="shared" ca="1" si="154"/>
        <v>2.2472222222222222</v>
      </c>
      <c r="G4879">
        <f t="shared" ca="1" si="155"/>
        <v>0</v>
      </c>
    </row>
    <row r="4880" spans="1:7">
      <c r="A4880">
        <v>5820</v>
      </c>
      <c r="B4880" t="s">
        <v>111</v>
      </c>
      <c r="C4880" t="s">
        <v>125</v>
      </c>
      <c r="D4880" s="9">
        <v>41214.409618055557</v>
      </c>
      <c r="E4880" t="s">
        <v>8</v>
      </c>
      <c r="F4880">
        <f t="shared" ca="1" si="154"/>
        <v>2.2444444444444445</v>
      </c>
      <c r="G4880">
        <f t="shared" ca="1" si="155"/>
        <v>0</v>
      </c>
    </row>
    <row r="4881" spans="1:7">
      <c r="A4881">
        <v>5821</v>
      </c>
      <c r="B4881" t="s">
        <v>19</v>
      </c>
      <c r="C4881" t="s">
        <v>125</v>
      </c>
      <c r="D4881" s="9">
        <v>41249.882534722223</v>
      </c>
      <c r="E4881" t="s">
        <v>30</v>
      </c>
      <c r="F4881">
        <f t="shared" ca="1" si="154"/>
        <v>2.1472222222222221</v>
      </c>
      <c r="G4881">
        <f t="shared" ca="1" si="155"/>
        <v>0</v>
      </c>
    </row>
    <row r="4882" spans="1:7">
      <c r="A4882">
        <v>5822</v>
      </c>
      <c r="B4882" t="s">
        <v>34</v>
      </c>
      <c r="C4882" t="s">
        <v>125</v>
      </c>
      <c r="D4882" s="9">
        <v>41211.766030092593</v>
      </c>
      <c r="E4882" t="s">
        <v>21</v>
      </c>
      <c r="F4882">
        <f t="shared" ca="1" si="154"/>
        <v>2.25</v>
      </c>
      <c r="G4882">
        <f t="shared" ca="1" si="155"/>
        <v>0</v>
      </c>
    </row>
    <row r="4883" spans="1:7">
      <c r="A4883">
        <v>5829</v>
      </c>
      <c r="B4883" t="s">
        <v>111</v>
      </c>
      <c r="C4883" t="s">
        <v>125</v>
      </c>
      <c r="D4883" s="9">
        <v>41214.627812500003</v>
      </c>
      <c r="E4883" t="s">
        <v>8</v>
      </c>
      <c r="F4883">
        <f t="shared" ca="1" si="154"/>
        <v>2.2444444444444445</v>
      </c>
      <c r="G4883">
        <f t="shared" ca="1" si="155"/>
        <v>0</v>
      </c>
    </row>
    <row r="4884" spans="1:7">
      <c r="A4884">
        <v>5830</v>
      </c>
      <c r="B4884" t="s">
        <v>34</v>
      </c>
      <c r="C4884" t="s">
        <v>125</v>
      </c>
      <c r="D4884" s="9">
        <v>41215.697638888887</v>
      </c>
      <c r="E4884" t="s">
        <v>21</v>
      </c>
      <c r="F4884">
        <f t="shared" ca="1" si="154"/>
        <v>2.2416666666666667</v>
      </c>
      <c r="G4884">
        <f t="shared" ca="1" si="155"/>
        <v>0</v>
      </c>
    </row>
    <row r="4885" spans="1:7">
      <c r="A4885">
        <v>5834</v>
      </c>
      <c r="B4885" t="s">
        <v>27</v>
      </c>
      <c r="C4885" t="s">
        <v>125</v>
      </c>
      <c r="D4885" s="9">
        <v>41211.943726851852</v>
      </c>
      <c r="E4885" t="s">
        <v>43</v>
      </c>
      <c r="F4885">
        <f t="shared" ca="1" si="154"/>
        <v>2.25</v>
      </c>
      <c r="G4885">
        <f t="shared" ca="1" si="155"/>
        <v>0</v>
      </c>
    </row>
    <row r="4886" spans="1:7">
      <c r="A4886">
        <v>5836</v>
      </c>
      <c r="B4886" t="s">
        <v>21</v>
      </c>
      <c r="C4886" t="s">
        <v>125</v>
      </c>
      <c r="D4886" s="9">
        <v>41249.882581018515</v>
      </c>
      <c r="E4886" t="s">
        <v>11</v>
      </c>
      <c r="F4886">
        <f t="shared" ca="1" si="154"/>
        <v>2.1472222222222221</v>
      </c>
      <c r="G4886">
        <f t="shared" ca="1" si="155"/>
        <v>0</v>
      </c>
    </row>
    <row r="4887" spans="1:7">
      <c r="A4887">
        <v>5838</v>
      </c>
      <c r="B4887" t="s">
        <v>34</v>
      </c>
      <c r="C4887" t="s">
        <v>125</v>
      </c>
      <c r="D4887" s="9">
        <v>41215.697916666664</v>
      </c>
      <c r="E4887" t="s">
        <v>112</v>
      </c>
      <c r="F4887">
        <f t="shared" ca="1" si="154"/>
        <v>2.2416666666666667</v>
      </c>
      <c r="G4887">
        <f t="shared" ca="1" si="155"/>
        <v>0</v>
      </c>
    </row>
    <row r="4888" spans="1:7">
      <c r="A4888">
        <v>5839</v>
      </c>
      <c r="B4888" t="s">
        <v>30</v>
      </c>
      <c r="C4888" t="s">
        <v>125</v>
      </c>
      <c r="D4888" s="9">
        <v>41211.757361111115</v>
      </c>
      <c r="E4888" t="s">
        <v>36</v>
      </c>
      <c r="F4888">
        <f t="shared" ca="1" si="154"/>
        <v>2.25</v>
      </c>
      <c r="G4888">
        <f t="shared" ca="1" si="155"/>
        <v>0</v>
      </c>
    </row>
    <row r="4889" spans="1:7">
      <c r="A4889">
        <v>5840</v>
      </c>
      <c r="B4889" t="s">
        <v>30</v>
      </c>
      <c r="C4889" t="s">
        <v>125</v>
      </c>
      <c r="D4889" s="9">
        <v>41213.481979166667</v>
      </c>
      <c r="E4889" t="s">
        <v>24</v>
      </c>
      <c r="F4889">
        <f t="shared" ca="1" si="154"/>
        <v>2.2472222222222222</v>
      </c>
      <c r="G4889">
        <f t="shared" ca="1" si="155"/>
        <v>0</v>
      </c>
    </row>
    <row r="4890" spans="1:7">
      <c r="A4890">
        <v>5841</v>
      </c>
      <c r="B4890" t="s">
        <v>11</v>
      </c>
      <c r="C4890" t="s">
        <v>125</v>
      </c>
      <c r="D4890" s="9">
        <v>41215.695949074077</v>
      </c>
      <c r="E4890" t="s">
        <v>27</v>
      </c>
      <c r="F4890">
        <f t="shared" ca="1" si="154"/>
        <v>2.2416666666666667</v>
      </c>
      <c r="G4890">
        <f t="shared" ca="1" si="155"/>
        <v>0</v>
      </c>
    </row>
    <row r="4891" spans="1:7">
      <c r="A4891">
        <v>5843</v>
      </c>
      <c r="B4891" t="s">
        <v>32</v>
      </c>
      <c r="C4891" t="s">
        <v>125</v>
      </c>
      <c r="D4891" s="9">
        <v>41249.882569444446</v>
      </c>
      <c r="E4891" t="s">
        <v>11</v>
      </c>
      <c r="F4891">
        <f t="shared" ca="1" si="154"/>
        <v>2.1472222222222221</v>
      </c>
      <c r="G4891">
        <f t="shared" ca="1" si="155"/>
        <v>0</v>
      </c>
    </row>
    <row r="4892" spans="1:7">
      <c r="A4892">
        <v>5845</v>
      </c>
      <c r="B4892" t="s">
        <v>11</v>
      </c>
      <c r="C4892" t="s">
        <v>125</v>
      </c>
      <c r="D4892" s="9">
        <v>41215.695972222224</v>
      </c>
      <c r="E4892" t="s">
        <v>44</v>
      </c>
      <c r="F4892">
        <f t="shared" ca="1" si="154"/>
        <v>2.2416666666666667</v>
      </c>
      <c r="G4892">
        <f t="shared" ca="1" si="155"/>
        <v>0</v>
      </c>
    </row>
    <row r="4893" spans="1:7">
      <c r="A4893">
        <v>5846</v>
      </c>
      <c r="B4893" t="s">
        <v>32</v>
      </c>
      <c r="C4893" t="s">
        <v>125</v>
      </c>
      <c r="D4893" s="9">
        <v>41212.543298611112</v>
      </c>
      <c r="E4893" t="s">
        <v>27</v>
      </c>
      <c r="F4893">
        <f t="shared" ca="1" si="154"/>
        <v>2.2472222222222222</v>
      </c>
      <c r="G4893">
        <f t="shared" ca="1" si="155"/>
        <v>0</v>
      </c>
    </row>
    <row r="4894" spans="1:7">
      <c r="A4894">
        <v>5848</v>
      </c>
      <c r="B4894" t="s">
        <v>34</v>
      </c>
      <c r="C4894" t="s">
        <v>125</v>
      </c>
      <c r="D4894" s="9">
        <v>41215.695983796293</v>
      </c>
      <c r="E4894" t="s">
        <v>43</v>
      </c>
      <c r="F4894">
        <f t="shared" ca="1" si="154"/>
        <v>2.2416666666666667</v>
      </c>
      <c r="G4894">
        <f t="shared" ca="1" si="155"/>
        <v>0</v>
      </c>
    </row>
    <row r="4895" spans="1:7">
      <c r="A4895">
        <v>5851</v>
      </c>
      <c r="B4895" t="s">
        <v>34</v>
      </c>
      <c r="C4895" t="s">
        <v>125</v>
      </c>
      <c r="D4895" s="9">
        <v>41215.696458333332</v>
      </c>
      <c r="E4895" t="s">
        <v>21</v>
      </c>
      <c r="F4895">
        <f t="shared" ca="1" si="154"/>
        <v>2.2416666666666667</v>
      </c>
      <c r="G4895">
        <f t="shared" ca="1" si="155"/>
        <v>0</v>
      </c>
    </row>
    <row r="4896" spans="1:7">
      <c r="A4896">
        <v>5854</v>
      </c>
      <c r="B4896" t="s">
        <v>23</v>
      </c>
      <c r="C4896" t="s">
        <v>123</v>
      </c>
      <c r="D4896" s="9">
        <v>41304.651562500003</v>
      </c>
      <c r="E4896" t="s">
        <v>30</v>
      </c>
      <c r="F4896">
        <f t="shared" ca="1" si="154"/>
        <v>1.9972222222222222</v>
      </c>
      <c r="G4896">
        <f t="shared" ca="1" si="155"/>
        <v>0</v>
      </c>
    </row>
    <row r="4897" spans="1:7">
      <c r="A4897">
        <v>5855</v>
      </c>
      <c r="B4897" t="s">
        <v>27</v>
      </c>
      <c r="C4897" t="s">
        <v>125</v>
      </c>
      <c r="D4897" s="9">
        <v>41215.696597222224</v>
      </c>
      <c r="E4897" t="s">
        <v>36</v>
      </c>
      <c r="F4897">
        <f t="shared" ca="1" si="154"/>
        <v>2.2416666666666667</v>
      </c>
      <c r="G4897">
        <f t="shared" ca="1" si="155"/>
        <v>0</v>
      </c>
    </row>
    <row r="4898" spans="1:7">
      <c r="A4898">
        <v>5857</v>
      </c>
      <c r="B4898" t="s">
        <v>45</v>
      </c>
      <c r="C4898" t="s">
        <v>125</v>
      </c>
      <c r="D4898" s="9">
        <v>41215.697164351855</v>
      </c>
      <c r="E4898" t="s">
        <v>38</v>
      </c>
      <c r="F4898">
        <f t="shared" ca="1" si="154"/>
        <v>2.2416666666666667</v>
      </c>
      <c r="G4898">
        <f t="shared" ca="1" si="155"/>
        <v>0</v>
      </c>
    </row>
    <row r="4899" spans="1:7">
      <c r="A4899">
        <v>5858</v>
      </c>
      <c r="B4899" t="s">
        <v>21</v>
      </c>
      <c r="C4899" t="s">
        <v>123</v>
      </c>
      <c r="D4899" s="9">
        <v>41303.669583333336</v>
      </c>
      <c r="E4899" t="s">
        <v>23</v>
      </c>
      <c r="F4899">
        <f t="shared" ca="1" si="154"/>
        <v>2</v>
      </c>
      <c r="G4899">
        <f t="shared" ca="1" si="155"/>
        <v>0</v>
      </c>
    </row>
    <row r="4900" spans="1:7">
      <c r="A4900">
        <v>5860</v>
      </c>
      <c r="B4900" t="s">
        <v>11</v>
      </c>
      <c r="C4900" t="s">
        <v>125</v>
      </c>
      <c r="D4900" s="9">
        <v>41215.696111111109</v>
      </c>
      <c r="E4900" t="s">
        <v>27</v>
      </c>
      <c r="F4900">
        <f t="shared" ca="1" si="154"/>
        <v>2.2416666666666667</v>
      </c>
      <c r="G4900">
        <f t="shared" ca="1" si="155"/>
        <v>0</v>
      </c>
    </row>
    <row r="4901" spans="1:7">
      <c r="A4901">
        <v>5861</v>
      </c>
      <c r="B4901" t="s">
        <v>20</v>
      </c>
      <c r="C4901" t="s">
        <v>125</v>
      </c>
      <c r="D4901" s="9">
        <v>41249.8825462963</v>
      </c>
      <c r="E4901" t="s">
        <v>32</v>
      </c>
      <c r="F4901">
        <f t="shared" ca="1" si="154"/>
        <v>2.1472222222222221</v>
      </c>
      <c r="G4901">
        <f t="shared" ca="1" si="155"/>
        <v>0</v>
      </c>
    </row>
    <row r="4902" spans="1:7">
      <c r="A4902">
        <v>5862</v>
      </c>
      <c r="B4902" t="s">
        <v>19</v>
      </c>
      <c r="C4902" t="s">
        <v>123</v>
      </c>
      <c r="D4902" s="9">
        <v>41302.945347222223</v>
      </c>
      <c r="E4902" t="s">
        <v>11</v>
      </c>
      <c r="F4902">
        <f t="shared" ca="1" si="154"/>
        <v>2.0027777777777778</v>
      </c>
      <c r="G4902">
        <f t="shared" ca="1" si="155"/>
        <v>0</v>
      </c>
    </row>
    <row r="4903" spans="1:7">
      <c r="A4903">
        <v>5865</v>
      </c>
      <c r="B4903" t="s">
        <v>27</v>
      </c>
      <c r="C4903" t="s">
        <v>125</v>
      </c>
      <c r="D4903" s="9">
        <v>41215.696261574078</v>
      </c>
      <c r="E4903" t="s">
        <v>36</v>
      </c>
      <c r="F4903">
        <f t="shared" ca="1" si="154"/>
        <v>2.2416666666666667</v>
      </c>
      <c r="G4903">
        <f t="shared" ca="1" si="155"/>
        <v>0</v>
      </c>
    </row>
    <row r="4904" spans="1:7">
      <c r="A4904">
        <v>5866</v>
      </c>
      <c r="B4904" t="s">
        <v>27</v>
      </c>
      <c r="C4904" t="s">
        <v>125</v>
      </c>
      <c r="D4904" s="9">
        <v>41215.696261574078</v>
      </c>
      <c r="E4904" t="s">
        <v>36</v>
      </c>
      <c r="F4904">
        <f t="shared" ca="1" si="154"/>
        <v>2.2416666666666667</v>
      </c>
      <c r="G4904">
        <f t="shared" ca="1" si="155"/>
        <v>0</v>
      </c>
    </row>
    <row r="4905" spans="1:7">
      <c r="A4905">
        <v>5867</v>
      </c>
      <c r="B4905" t="s">
        <v>36</v>
      </c>
      <c r="C4905" t="s">
        <v>125</v>
      </c>
      <c r="D4905" s="9">
        <v>41215.696886574071</v>
      </c>
      <c r="E4905" t="s">
        <v>27</v>
      </c>
      <c r="F4905">
        <f t="shared" ca="1" si="154"/>
        <v>2.2416666666666667</v>
      </c>
      <c r="G4905">
        <f t="shared" ca="1" si="155"/>
        <v>0</v>
      </c>
    </row>
    <row r="4906" spans="1:7">
      <c r="A4906">
        <v>5871</v>
      </c>
      <c r="B4906" t="s">
        <v>23</v>
      </c>
      <c r="C4906" t="s">
        <v>125</v>
      </c>
      <c r="D4906" s="9">
        <v>41215.697511574072</v>
      </c>
      <c r="E4906" t="s">
        <v>34</v>
      </c>
      <c r="F4906">
        <f t="shared" ca="1" si="154"/>
        <v>2.2416666666666667</v>
      </c>
      <c r="G4906">
        <f t="shared" ca="1" si="155"/>
        <v>0</v>
      </c>
    </row>
    <row r="4907" spans="1:7">
      <c r="A4907">
        <v>5872</v>
      </c>
      <c r="B4907" t="s">
        <v>23</v>
      </c>
      <c r="C4907" t="s">
        <v>120</v>
      </c>
      <c r="D4907" s="9">
        <v>41551.6090625</v>
      </c>
      <c r="E4907" t="s">
        <v>11</v>
      </c>
      <c r="F4907">
        <f t="shared" ca="1" si="154"/>
        <v>1.3194444444444444</v>
      </c>
      <c r="G4907">
        <f t="shared" ca="1" si="155"/>
        <v>0</v>
      </c>
    </row>
    <row r="4908" spans="1:7">
      <c r="A4908">
        <v>5873</v>
      </c>
      <c r="B4908" t="s">
        <v>23</v>
      </c>
      <c r="C4908" t="s">
        <v>125</v>
      </c>
      <c r="D4908" s="9">
        <v>41215.69771990741</v>
      </c>
      <c r="E4908" t="s">
        <v>34</v>
      </c>
      <c r="F4908">
        <f t="shared" ca="1" si="154"/>
        <v>2.2416666666666667</v>
      </c>
      <c r="G4908">
        <f t="shared" ca="1" si="155"/>
        <v>0</v>
      </c>
    </row>
    <row r="4909" spans="1:7">
      <c r="A4909">
        <v>5874</v>
      </c>
      <c r="B4909" t="s">
        <v>30</v>
      </c>
      <c r="C4909" t="s">
        <v>123</v>
      </c>
      <c r="D4909" s="9">
        <v>41302.693344907406</v>
      </c>
      <c r="E4909" t="s">
        <v>8</v>
      </c>
      <c r="F4909">
        <f t="shared" ca="1" si="154"/>
        <v>2.0027777777777778</v>
      </c>
      <c r="G4909">
        <f t="shared" ca="1" si="155"/>
        <v>0</v>
      </c>
    </row>
    <row r="4910" spans="1:7">
      <c r="A4910">
        <v>5875</v>
      </c>
      <c r="B4910" t="s">
        <v>36</v>
      </c>
      <c r="C4910" t="s">
        <v>121</v>
      </c>
      <c r="D4910" s="9">
        <v>41479.590428240743</v>
      </c>
      <c r="E4910" t="s">
        <v>23</v>
      </c>
      <c r="F4910">
        <f t="shared" ca="1" si="154"/>
        <v>1.5138888888888888</v>
      </c>
      <c r="G4910">
        <f t="shared" ca="1" si="155"/>
        <v>0</v>
      </c>
    </row>
    <row r="4911" spans="1:7">
      <c r="A4911">
        <v>5876</v>
      </c>
      <c r="B4911" t="s">
        <v>11</v>
      </c>
      <c r="C4911" t="s">
        <v>125</v>
      </c>
      <c r="D4911" s="9">
        <v>41215.698321759257</v>
      </c>
      <c r="E4911" t="s">
        <v>21</v>
      </c>
      <c r="F4911">
        <f t="shared" ca="1" si="154"/>
        <v>2.2416666666666667</v>
      </c>
      <c r="G4911">
        <f t="shared" ca="1" si="155"/>
        <v>0</v>
      </c>
    </row>
    <row r="4912" spans="1:7">
      <c r="A4912">
        <v>5877</v>
      </c>
      <c r="B4912" t="s">
        <v>52</v>
      </c>
      <c r="C4912" t="s">
        <v>125</v>
      </c>
      <c r="D4912" s="9">
        <v>41697.878680555557</v>
      </c>
      <c r="E4912" t="s">
        <v>11</v>
      </c>
      <c r="F4912">
        <f t="shared" ca="1" si="154"/>
        <v>0.92222222222222228</v>
      </c>
      <c r="G4912">
        <f t="shared" ca="1" si="155"/>
        <v>1</v>
      </c>
    </row>
    <row r="4913" spans="1:7">
      <c r="A4913">
        <v>5880</v>
      </c>
      <c r="B4913" t="s">
        <v>19</v>
      </c>
      <c r="C4913" t="s">
        <v>125</v>
      </c>
      <c r="D4913" s="9">
        <v>41215.696840277778</v>
      </c>
      <c r="E4913" t="s">
        <v>51</v>
      </c>
      <c r="F4913">
        <f t="shared" ca="1" si="154"/>
        <v>2.2416666666666667</v>
      </c>
      <c r="G4913">
        <f t="shared" ca="1" si="155"/>
        <v>0</v>
      </c>
    </row>
    <row r="4914" spans="1:7">
      <c r="A4914">
        <v>5881</v>
      </c>
      <c r="B4914" t="s">
        <v>23</v>
      </c>
      <c r="C4914" t="s">
        <v>125</v>
      </c>
      <c r="D4914" s="9">
        <v>41215.696851851855</v>
      </c>
      <c r="E4914" t="s">
        <v>36</v>
      </c>
      <c r="F4914">
        <f t="shared" ca="1" si="154"/>
        <v>2.2416666666666667</v>
      </c>
      <c r="G4914">
        <f t="shared" ca="1" si="155"/>
        <v>0</v>
      </c>
    </row>
    <row r="4915" spans="1:7">
      <c r="A4915">
        <v>5883</v>
      </c>
      <c r="B4915" t="s">
        <v>11</v>
      </c>
      <c r="C4915" t="s">
        <v>125</v>
      </c>
      <c r="D4915" s="9">
        <v>41215.697685185187</v>
      </c>
      <c r="E4915" t="s">
        <v>32</v>
      </c>
      <c r="F4915">
        <f t="shared" ca="1" si="154"/>
        <v>2.2416666666666667</v>
      </c>
      <c r="G4915">
        <f t="shared" ca="1" si="155"/>
        <v>0</v>
      </c>
    </row>
    <row r="4916" spans="1:7">
      <c r="A4916">
        <v>5884</v>
      </c>
      <c r="B4916" t="s">
        <v>8</v>
      </c>
      <c r="C4916" t="s">
        <v>125</v>
      </c>
      <c r="D4916" s="9">
        <v>41215.696793981479</v>
      </c>
      <c r="E4916" t="s">
        <v>19</v>
      </c>
      <c r="F4916">
        <f t="shared" ca="1" si="154"/>
        <v>2.2416666666666667</v>
      </c>
      <c r="G4916">
        <f t="shared" ca="1" si="155"/>
        <v>0</v>
      </c>
    </row>
    <row r="4917" spans="1:7">
      <c r="A4917">
        <v>5885</v>
      </c>
      <c r="B4917" t="s">
        <v>8</v>
      </c>
      <c r="C4917" t="s">
        <v>122</v>
      </c>
      <c r="D4917" s="9">
        <v>41383.670532407406</v>
      </c>
      <c r="E4917" t="s">
        <v>112</v>
      </c>
      <c r="F4917">
        <f t="shared" ca="1" si="154"/>
        <v>1.7777777777777777</v>
      </c>
      <c r="G4917">
        <f t="shared" ca="1" si="155"/>
        <v>0</v>
      </c>
    </row>
    <row r="4918" spans="1:7">
      <c r="A4918">
        <v>5886</v>
      </c>
      <c r="B4918" t="s">
        <v>23</v>
      </c>
      <c r="C4918" t="s">
        <v>125</v>
      </c>
      <c r="D4918" s="9">
        <v>41215.696770833332</v>
      </c>
      <c r="E4918" t="s">
        <v>36</v>
      </c>
      <c r="F4918">
        <f t="shared" ca="1" si="154"/>
        <v>2.2416666666666667</v>
      </c>
      <c r="G4918">
        <f t="shared" ca="1" si="155"/>
        <v>0</v>
      </c>
    </row>
    <row r="4919" spans="1:7">
      <c r="A4919">
        <v>5887</v>
      </c>
      <c r="B4919" t="s">
        <v>8</v>
      </c>
      <c r="C4919" t="s">
        <v>125</v>
      </c>
      <c r="D4919" s="9">
        <v>41215.696875000001</v>
      </c>
      <c r="E4919" t="s">
        <v>34</v>
      </c>
      <c r="F4919">
        <f t="shared" ca="1" si="154"/>
        <v>2.2416666666666667</v>
      </c>
      <c r="G4919">
        <f t="shared" ca="1" si="155"/>
        <v>0</v>
      </c>
    </row>
    <row r="4920" spans="1:7">
      <c r="A4920">
        <v>5890</v>
      </c>
      <c r="B4920" t="s">
        <v>27</v>
      </c>
      <c r="C4920" t="s">
        <v>125</v>
      </c>
      <c r="D4920" s="9">
        <v>41249.882534722223</v>
      </c>
      <c r="E4920" t="s">
        <v>36</v>
      </c>
      <c r="F4920">
        <f t="shared" ca="1" si="154"/>
        <v>2.1472222222222221</v>
      </c>
      <c r="G4920">
        <f t="shared" ca="1" si="155"/>
        <v>0</v>
      </c>
    </row>
    <row r="4921" spans="1:7">
      <c r="A4921">
        <v>5891</v>
      </c>
      <c r="B4921" t="s">
        <v>111</v>
      </c>
      <c r="C4921" t="s">
        <v>122</v>
      </c>
      <c r="D4921" s="9">
        <v>41391.728819444441</v>
      </c>
      <c r="E4921" t="s">
        <v>11</v>
      </c>
      <c r="F4921">
        <f t="shared" ca="1" si="154"/>
        <v>1.7555555555555555</v>
      </c>
      <c r="G4921">
        <f t="shared" ca="1" si="155"/>
        <v>0</v>
      </c>
    </row>
    <row r="4922" spans="1:7">
      <c r="A4922">
        <v>5892</v>
      </c>
      <c r="B4922" t="s">
        <v>11</v>
      </c>
      <c r="C4922" t="s">
        <v>125</v>
      </c>
      <c r="D4922" s="9">
        <v>41215.696828703702</v>
      </c>
      <c r="E4922" t="s">
        <v>32</v>
      </c>
      <c r="F4922">
        <f t="shared" ca="1" si="154"/>
        <v>2.2416666666666667</v>
      </c>
      <c r="G4922">
        <f t="shared" ca="1" si="155"/>
        <v>0</v>
      </c>
    </row>
    <row r="4923" spans="1:7">
      <c r="A4923">
        <v>5893</v>
      </c>
      <c r="B4923" t="s">
        <v>34</v>
      </c>
      <c r="C4923" t="s">
        <v>125</v>
      </c>
      <c r="D4923" s="9">
        <v>41215.697256944448</v>
      </c>
      <c r="E4923" t="s">
        <v>21</v>
      </c>
      <c r="F4923">
        <f t="shared" ca="1" si="154"/>
        <v>2.2416666666666667</v>
      </c>
      <c r="G4923">
        <f t="shared" ca="1" si="155"/>
        <v>0</v>
      </c>
    </row>
    <row r="4924" spans="1:7">
      <c r="A4924">
        <v>5894</v>
      </c>
      <c r="B4924" t="s">
        <v>19</v>
      </c>
      <c r="C4924" t="s">
        <v>125</v>
      </c>
      <c r="D4924" s="9">
        <v>41215.696967592594</v>
      </c>
      <c r="E4924" t="s">
        <v>20</v>
      </c>
      <c r="F4924">
        <f t="shared" ca="1" si="154"/>
        <v>2.2416666666666667</v>
      </c>
      <c r="G4924">
        <f t="shared" ca="1" si="155"/>
        <v>0</v>
      </c>
    </row>
    <row r="4925" spans="1:7">
      <c r="A4925">
        <v>5895</v>
      </c>
      <c r="B4925" t="s">
        <v>8</v>
      </c>
      <c r="C4925" t="s">
        <v>125</v>
      </c>
      <c r="D4925" s="9">
        <v>41215.696886574071</v>
      </c>
      <c r="E4925" t="s">
        <v>36</v>
      </c>
      <c r="F4925">
        <f t="shared" ca="1" si="154"/>
        <v>2.2416666666666667</v>
      </c>
      <c r="G4925">
        <f t="shared" ca="1" si="155"/>
        <v>0</v>
      </c>
    </row>
    <row r="4926" spans="1:7">
      <c r="A4926">
        <v>5900</v>
      </c>
      <c r="B4926" t="s">
        <v>19</v>
      </c>
      <c r="C4926" t="s">
        <v>125</v>
      </c>
      <c r="D4926" s="9">
        <v>41215.697222222225</v>
      </c>
      <c r="E4926" t="s">
        <v>27</v>
      </c>
      <c r="F4926">
        <f t="shared" ca="1" si="154"/>
        <v>2.2416666666666667</v>
      </c>
      <c r="G4926">
        <f t="shared" ca="1" si="155"/>
        <v>0</v>
      </c>
    </row>
    <row r="4927" spans="1:7">
      <c r="A4927">
        <v>5902</v>
      </c>
      <c r="B4927" t="s">
        <v>11</v>
      </c>
      <c r="C4927" t="s">
        <v>118</v>
      </c>
      <c r="D4927" s="9">
        <v>41810.622997685183</v>
      </c>
      <c r="E4927" t="s">
        <v>112</v>
      </c>
      <c r="F4927">
        <f t="shared" ca="1" si="154"/>
        <v>0.60833333333333328</v>
      </c>
      <c r="G4927">
        <f t="shared" ca="1" si="155"/>
        <v>1</v>
      </c>
    </row>
    <row r="4928" spans="1:7">
      <c r="A4928">
        <v>5908</v>
      </c>
      <c r="B4928" t="s">
        <v>20</v>
      </c>
      <c r="C4928" t="s">
        <v>125</v>
      </c>
      <c r="D4928" s="9">
        <v>41215.697083333333</v>
      </c>
      <c r="E4928" t="s">
        <v>21</v>
      </c>
      <c r="F4928">
        <f t="shared" ca="1" si="154"/>
        <v>2.2416666666666667</v>
      </c>
      <c r="G4928">
        <f t="shared" ca="1" si="155"/>
        <v>0</v>
      </c>
    </row>
    <row r="4929" spans="1:7">
      <c r="A4929">
        <v>5909</v>
      </c>
      <c r="B4929" t="s">
        <v>8</v>
      </c>
      <c r="C4929" t="s">
        <v>125</v>
      </c>
      <c r="D4929" s="9">
        <v>41215.697094907409</v>
      </c>
      <c r="E4929" t="s">
        <v>11</v>
      </c>
      <c r="F4929">
        <f t="shared" ca="1" si="154"/>
        <v>2.2416666666666667</v>
      </c>
      <c r="G4929">
        <f t="shared" ca="1" si="155"/>
        <v>0</v>
      </c>
    </row>
    <row r="4930" spans="1:7">
      <c r="A4930">
        <v>5912</v>
      </c>
      <c r="B4930" t="s">
        <v>30</v>
      </c>
      <c r="C4930" t="s">
        <v>125</v>
      </c>
      <c r="D4930" s="9">
        <v>41215.697546296295</v>
      </c>
      <c r="E4930" t="s">
        <v>19</v>
      </c>
      <c r="F4930">
        <f t="shared" ca="1" si="154"/>
        <v>2.2416666666666667</v>
      </c>
      <c r="G4930">
        <f t="shared" ca="1" si="155"/>
        <v>0</v>
      </c>
    </row>
    <row r="4931" spans="1:7">
      <c r="A4931">
        <v>5914</v>
      </c>
      <c r="B4931" t="s">
        <v>30</v>
      </c>
      <c r="C4931" t="s">
        <v>123</v>
      </c>
      <c r="D4931" s="9">
        <v>41303.602546296293</v>
      </c>
      <c r="E4931" t="s">
        <v>112</v>
      </c>
      <c r="F4931">
        <f t="shared" ca="1" si="154"/>
        <v>2</v>
      </c>
      <c r="G4931">
        <f t="shared" ca="1" si="155"/>
        <v>0</v>
      </c>
    </row>
    <row r="4932" spans="1:7">
      <c r="A4932">
        <v>5915</v>
      </c>
      <c r="B4932" t="s">
        <v>30</v>
      </c>
      <c r="C4932" t="s">
        <v>125</v>
      </c>
      <c r="D4932" s="9">
        <v>41215.698067129626</v>
      </c>
      <c r="E4932" t="s">
        <v>19</v>
      </c>
      <c r="F4932">
        <f t="shared" ca="1" si="154"/>
        <v>2.2416666666666667</v>
      </c>
      <c r="G4932">
        <f t="shared" ca="1" si="155"/>
        <v>0</v>
      </c>
    </row>
    <row r="4933" spans="1:7">
      <c r="A4933">
        <v>5918</v>
      </c>
      <c r="B4933" t="s">
        <v>8</v>
      </c>
      <c r="C4933" t="s">
        <v>125</v>
      </c>
      <c r="D4933" s="9">
        <v>41215.697175925925</v>
      </c>
      <c r="E4933" t="s">
        <v>112</v>
      </c>
      <c r="F4933">
        <f t="shared" ca="1" si="154"/>
        <v>2.2416666666666667</v>
      </c>
      <c r="G4933">
        <f t="shared" ca="1" si="155"/>
        <v>0</v>
      </c>
    </row>
    <row r="4934" spans="1:7">
      <c r="A4934">
        <v>5919</v>
      </c>
      <c r="B4934" t="s">
        <v>51</v>
      </c>
      <c r="C4934" t="s">
        <v>125</v>
      </c>
      <c r="D4934" s="9">
        <v>41249.882569444446</v>
      </c>
      <c r="E4934" t="s">
        <v>34</v>
      </c>
      <c r="F4934">
        <f t="shared" ca="1" si="154"/>
        <v>2.1472222222222221</v>
      </c>
      <c r="G4934">
        <f t="shared" ca="1" si="155"/>
        <v>0</v>
      </c>
    </row>
    <row r="4935" spans="1:7">
      <c r="A4935">
        <v>5920</v>
      </c>
      <c r="B4935" t="s">
        <v>8</v>
      </c>
      <c r="C4935" t="s">
        <v>125</v>
      </c>
      <c r="D4935" s="9">
        <v>41249.882569444446</v>
      </c>
      <c r="E4935" t="s">
        <v>36</v>
      </c>
      <c r="F4935">
        <f t="shared" ref="F4935:F4998" ca="1" si="156">YEARFRAC(TODAY(),$D4935)</f>
        <v>2.1472222222222221</v>
      </c>
      <c r="G4935">
        <f t="shared" ref="G4935:G4998" ca="1" si="157">IF($F4935&lt;1,1,0)</f>
        <v>0</v>
      </c>
    </row>
    <row r="4936" spans="1:7">
      <c r="A4936">
        <v>5923</v>
      </c>
      <c r="B4936" t="s">
        <v>19</v>
      </c>
      <c r="C4936" t="s">
        <v>125</v>
      </c>
      <c r="D4936" s="9">
        <v>41249.8825462963</v>
      </c>
      <c r="E4936" t="s">
        <v>51</v>
      </c>
      <c r="F4936">
        <f t="shared" ca="1" si="156"/>
        <v>2.1472222222222221</v>
      </c>
      <c r="G4936">
        <f t="shared" ca="1" si="157"/>
        <v>0</v>
      </c>
    </row>
    <row r="4937" spans="1:7">
      <c r="A4937">
        <v>5924</v>
      </c>
      <c r="B4937" t="s">
        <v>32</v>
      </c>
      <c r="C4937" t="s">
        <v>125</v>
      </c>
      <c r="D4937" s="9">
        <v>41215.697314814817</v>
      </c>
      <c r="E4937" t="s">
        <v>20</v>
      </c>
      <c r="F4937">
        <f t="shared" ca="1" si="156"/>
        <v>2.2416666666666667</v>
      </c>
      <c r="G4937">
        <f t="shared" ca="1" si="157"/>
        <v>0</v>
      </c>
    </row>
    <row r="4938" spans="1:7">
      <c r="A4938">
        <v>5925</v>
      </c>
      <c r="B4938" t="s">
        <v>111</v>
      </c>
      <c r="C4938" t="s">
        <v>125</v>
      </c>
      <c r="D4938" s="9">
        <v>41215.697337962964</v>
      </c>
      <c r="E4938" t="s">
        <v>36</v>
      </c>
      <c r="F4938">
        <f t="shared" ca="1" si="156"/>
        <v>2.2416666666666667</v>
      </c>
      <c r="G4938">
        <f t="shared" ca="1" si="157"/>
        <v>0</v>
      </c>
    </row>
    <row r="4939" spans="1:7">
      <c r="A4939">
        <v>5926</v>
      </c>
      <c r="B4939" t="s">
        <v>32</v>
      </c>
      <c r="C4939" t="s">
        <v>125</v>
      </c>
      <c r="D4939" s="9">
        <v>41215.69734953704</v>
      </c>
      <c r="E4939" t="s">
        <v>20</v>
      </c>
      <c r="F4939">
        <f t="shared" ca="1" si="156"/>
        <v>2.2416666666666667</v>
      </c>
      <c r="G4939">
        <f t="shared" ca="1" si="157"/>
        <v>0</v>
      </c>
    </row>
    <row r="4940" spans="1:7">
      <c r="A4940">
        <v>5928</v>
      </c>
      <c r="B4940" t="s">
        <v>36</v>
      </c>
      <c r="C4940" t="s">
        <v>125</v>
      </c>
      <c r="D4940" s="9">
        <v>41215.698576388888</v>
      </c>
      <c r="E4940" t="s">
        <v>27</v>
      </c>
      <c r="F4940">
        <f t="shared" ca="1" si="156"/>
        <v>2.2416666666666667</v>
      </c>
      <c r="G4940">
        <f t="shared" ca="1" si="157"/>
        <v>0</v>
      </c>
    </row>
    <row r="4941" spans="1:7">
      <c r="A4941">
        <v>5931</v>
      </c>
      <c r="B4941" t="s">
        <v>34</v>
      </c>
      <c r="C4941" t="s">
        <v>125</v>
      </c>
      <c r="D4941" s="9">
        <v>41215.697395833333</v>
      </c>
      <c r="E4941" t="s">
        <v>43</v>
      </c>
      <c r="F4941">
        <f t="shared" ca="1" si="156"/>
        <v>2.2416666666666667</v>
      </c>
      <c r="G4941">
        <f t="shared" ca="1" si="157"/>
        <v>0</v>
      </c>
    </row>
    <row r="4942" spans="1:7">
      <c r="A4942">
        <v>5933</v>
      </c>
      <c r="B4942" t="s">
        <v>19</v>
      </c>
      <c r="C4942" t="s">
        <v>125</v>
      </c>
      <c r="D4942" s="9">
        <v>41212.761736111112</v>
      </c>
      <c r="E4942" t="s">
        <v>27</v>
      </c>
      <c r="F4942">
        <f t="shared" ca="1" si="156"/>
        <v>2.2472222222222222</v>
      </c>
      <c r="G4942">
        <f t="shared" ca="1" si="157"/>
        <v>0</v>
      </c>
    </row>
    <row r="4943" spans="1:7">
      <c r="A4943">
        <v>5935</v>
      </c>
      <c r="B4943" t="s">
        <v>51</v>
      </c>
      <c r="C4943" t="s">
        <v>121</v>
      </c>
      <c r="D4943" s="9">
        <v>41439.691296296296</v>
      </c>
      <c r="E4943" t="s">
        <v>23</v>
      </c>
      <c r="F4943">
        <f t="shared" ca="1" si="156"/>
        <v>1.625</v>
      </c>
      <c r="G4943">
        <f t="shared" ca="1" si="157"/>
        <v>0</v>
      </c>
    </row>
    <row r="4944" spans="1:7">
      <c r="A4944">
        <v>5937</v>
      </c>
      <c r="B4944" t="s">
        <v>27</v>
      </c>
      <c r="C4944" t="s">
        <v>125</v>
      </c>
      <c r="D4944" s="9">
        <v>41215.697962962964</v>
      </c>
      <c r="E4944" t="s">
        <v>36</v>
      </c>
      <c r="F4944">
        <f t="shared" ca="1" si="156"/>
        <v>2.2416666666666667</v>
      </c>
      <c r="G4944">
        <f t="shared" ca="1" si="157"/>
        <v>0</v>
      </c>
    </row>
    <row r="4945" spans="1:7">
      <c r="A4945">
        <v>5938</v>
      </c>
      <c r="B4945" t="s">
        <v>27</v>
      </c>
      <c r="C4945" t="s">
        <v>125</v>
      </c>
      <c r="D4945" s="9">
        <v>41215.697511574072</v>
      </c>
      <c r="E4945" t="s">
        <v>36</v>
      </c>
      <c r="F4945">
        <f t="shared" ca="1" si="156"/>
        <v>2.2416666666666667</v>
      </c>
      <c r="G4945">
        <f t="shared" ca="1" si="157"/>
        <v>0</v>
      </c>
    </row>
    <row r="4946" spans="1:7">
      <c r="A4946">
        <v>5941</v>
      </c>
      <c r="B4946" t="s">
        <v>20</v>
      </c>
      <c r="C4946" t="s">
        <v>166</v>
      </c>
      <c r="D4946" s="9">
        <v>41249.882604166669</v>
      </c>
      <c r="E4946" t="s">
        <v>27</v>
      </c>
      <c r="F4946">
        <f t="shared" ca="1" si="156"/>
        <v>2.1472222222222221</v>
      </c>
      <c r="G4946">
        <f t="shared" ca="1" si="157"/>
        <v>0</v>
      </c>
    </row>
    <row r="4947" spans="1:7">
      <c r="A4947">
        <v>5944</v>
      </c>
      <c r="B4947" t="s">
        <v>8</v>
      </c>
      <c r="C4947" t="s">
        <v>125</v>
      </c>
      <c r="D4947" s="9">
        <v>41215.697546296295</v>
      </c>
      <c r="E4947" t="s">
        <v>36</v>
      </c>
      <c r="F4947">
        <f t="shared" ca="1" si="156"/>
        <v>2.2416666666666667</v>
      </c>
      <c r="G4947">
        <f t="shared" ca="1" si="157"/>
        <v>0</v>
      </c>
    </row>
    <row r="4948" spans="1:7">
      <c r="A4948">
        <v>5946</v>
      </c>
      <c r="B4948" t="s">
        <v>8</v>
      </c>
      <c r="C4948" t="s">
        <v>125</v>
      </c>
      <c r="D4948" s="9">
        <v>41215.697858796295</v>
      </c>
      <c r="E4948" t="s">
        <v>30</v>
      </c>
      <c r="F4948">
        <f t="shared" ca="1" si="156"/>
        <v>2.2416666666666667</v>
      </c>
      <c r="G4948">
        <f t="shared" ca="1" si="157"/>
        <v>0</v>
      </c>
    </row>
    <row r="4949" spans="1:7">
      <c r="A4949">
        <v>5948</v>
      </c>
      <c r="B4949" t="s">
        <v>19</v>
      </c>
      <c r="C4949" t="s">
        <v>125</v>
      </c>
      <c r="D4949" s="9">
        <v>41215.698159722226</v>
      </c>
      <c r="E4949" t="s">
        <v>112</v>
      </c>
      <c r="F4949">
        <f t="shared" ca="1" si="156"/>
        <v>2.2416666666666667</v>
      </c>
      <c r="G4949">
        <f t="shared" ca="1" si="157"/>
        <v>0</v>
      </c>
    </row>
    <row r="4950" spans="1:7">
      <c r="A4950">
        <v>5949</v>
      </c>
      <c r="B4950" t="s">
        <v>8</v>
      </c>
      <c r="C4950" t="s">
        <v>125</v>
      </c>
      <c r="D4950" s="9">
        <v>41215.697569444441</v>
      </c>
      <c r="E4950" t="s">
        <v>30</v>
      </c>
      <c r="F4950">
        <f t="shared" ca="1" si="156"/>
        <v>2.2416666666666667</v>
      </c>
      <c r="G4950">
        <f t="shared" ca="1" si="157"/>
        <v>0</v>
      </c>
    </row>
    <row r="4951" spans="1:7">
      <c r="A4951">
        <v>5951</v>
      </c>
      <c r="B4951" t="s">
        <v>8</v>
      </c>
      <c r="C4951" t="s">
        <v>125</v>
      </c>
      <c r="D4951" s="9">
        <v>41215.697569444441</v>
      </c>
      <c r="E4951" t="s">
        <v>27</v>
      </c>
      <c r="F4951">
        <f t="shared" ca="1" si="156"/>
        <v>2.2416666666666667</v>
      </c>
      <c r="G4951">
        <f t="shared" ca="1" si="157"/>
        <v>0</v>
      </c>
    </row>
    <row r="4952" spans="1:7">
      <c r="A4952">
        <v>5956</v>
      </c>
      <c r="B4952" t="s">
        <v>24</v>
      </c>
      <c r="C4952" t="s">
        <v>125</v>
      </c>
      <c r="D4952" s="9">
        <v>41215.697627314818</v>
      </c>
      <c r="E4952" t="s">
        <v>112</v>
      </c>
      <c r="F4952">
        <f t="shared" ca="1" si="156"/>
        <v>2.2416666666666667</v>
      </c>
      <c r="G4952">
        <f t="shared" ca="1" si="157"/>
        <v>0</v>
      </c>
    </row>
    <row r="4953" spans="1:7">
      <c r="A4953">
        <v>5957</v>
      </c>
      <c r="B4953" t="s">
        <v>8</v>
      </c>
      <c r="C4953" t="s">
        <v>125</v>
      </c>
      <c r="D4953" s="9">
        <v>41215.697627314818</v>
      </c>
      <c r="E4953" t="s">
        <v>43</v>
      </c>
      <c r="F4953">
        <f t="shared" ca="1" si="156"/>
        <v>2.2416666666666667</v>
      </c>
      <c r="G4953">
        <f t="shared" ca="1" si="157"/>
        <v>0</v>
      </c>
    </row>
    <row r="4954" spans="1:7">
      <c r="A4954">
        <v>5959</v>
      </c>
      <c r="B4954" t="s">
        <v>34</v>
      </c>
      <c r="C4954" t="s">
        <v>125</v>
      </c>
      <c r="D4954" s="9">
        <v>41215.697650462964</v>
      </c>
      <c r="E4954" t="s">
        <v>21</v>
      </c>
      <c r="F4954">
        <f t="shared" ca="1" si="156"/>
        <v>2.2416666666666667</v>
      </c>
      <c r="G4954">
        <f t="shared" ca="1" si="157"/>
        <v>0</v>
      </c>
    </row>
    <row r="4955" spans="1:7">
      <c r="A4955">
        <v>5960</v>
      </c>
      <c r="B4955" t="s">
        <v>19</v>
      </c>
      <c r="C4955" t="s">
        <v>125</v>
      </c>
      <c r="D4955" s="9">
        <v>41215.697847222225</v>
      </c>
      <c r="E4955" t="s">
        <v>112</v>
      </c>
      <c r="F4955">
        <f t="shared" ca="1" si="156"/>
        <v>2.2416666666666667</v>
      </c>
      <c r="G4955">
        <f t="shared" ca="1" si="157"/>
        <v>0</v>
      </c>
    </row>
    <row r="4956" spans="1:7">
      <c r="A4956">
        <v>5961</v>
      </c>
      <c r="B4956" t="s">
        <v>8</v>
      </c>
      <c r="C4956" t="s">
        <v>125</v>
      </c>
      <c r="D4956" s="9">
        <v>41215.69767361111</v>
      </c>
      <c r="E4956" t="s">
        <v>36</v>
      </c>
      <c r="F4956">
        <f t="shared" ca="1" si="156"/>
        <v>2.2416666666666667</v>
      </c>
      <c r="G4956">
        <f t="shared" ca="1" si="157"/>
        <v>0</v>
      </c>
    </row>
    <row r="4957" spans="1:7">
      <c r="A4957">
        <v>5962</v>
      </c>
      <c r="B4957" t="s">
        <v>36</v>
      </c>
      <c r="C4957" t="s">
        <v>125</v>
      </c>
      <c r="D4957" s="9">
        <v>41215.697708333333</v>
      </c>
      <c r="E4957" t="s">
        <v>43</v>
      </c>
      <c r="F4957">
        <f t="shared" ca="1" si="156"/>
        <v>2.2416666666666667</v>
      </c>
      <c r="G4957">
        <f t="shared" ca="1" si="157"/>
        <v>0</v>
      </c>
    </row>
    <row r="4958" spans="1:7">
      <c r="A4958">
        <v>5965</v>
      </c>
      <c r="B4958" t="s">
        <v>220</v>
      </c>
      <c r="C4958" t="s">
        <v>209</v>
      </c>
      <c r="D4958" s="9">
        <v>41948.44803240741</v>
      </c>
      <c r="E4958" t="s">
        <v>211</v>
      </c>
      <c r="F4958">
        <f t="shared" ca="1" si="156"/>
        <v>0.23333333333333334</v>
      </c>
      <c r="G4958">
        <f t="shared" ca="1" si="157"/>
        <v>1</v>
      </c>
    </row>
    <row r="4959" spans="1:7">
      <c r="A4959">
        <v>5966</v>
      </c>
      <c r="B4959" t="s">
        <v>111</v>
      </c>
      <c r="C4959" t="s">
        <v>123</v>
      </c>
      <c r="D4959" s="9">
        <v>41304.9453125</v>
      </c>
      <c r="E4959" t="s">
        <v>38</v>
      </c>
      <c r="F4959">
        <f t="shared" ca="1" si="156"/>
        <v>1.9972222222222222</v>
      </c>
      <c r="G4959">
        <f t="shared" ca="1" si="157"/>
        <v>0</v>
      </c>
    </row>
    <row r="4960" spans="1:7">
      <c r="A4960">
        <v>5968</v>
      </c>
      <c r="B4960" t="s">
        <v>8</v>
      </c>
      <c r="C4960" t="s">
        <v>125</v>
      </c>
      <c r="D4960" s="9">
        <v>41215.697858796295</v>
      </c>
      <c r="E4960" t="s">
        <v>20</v>
      </c>
      <c r="F4960">
        <f t="shared" ca="1" si="156"/>
        <v>2.2416666666666667</v>
      </c>
      <c r="G4960">
        <f t="shared" ca="1" si="157"/>
        <v>0</v>
      </c>
    </row>
    <row r="4961" spans="1:7">
      <c r="A4961">
        <v>5969</v>
      </c>
      <c r="B4961" t="s">
        <v>19</v>
      </c>
      <c r="C4961" t="s">
        <v>125</v>
      </c>
      <c r="D4961" s="9">
        <v>41215.698136574072</v>
      </c>
      <c r="E4961" t="s">
        <v>44</v>
      </c>
      <c r="F4961">
        <f t="shared" ca="1" si="156"/>
        <v>2.2416666666666667</v>
      </c>
      <c r="G4961">
        <f t="shared" ca="1" si="157"/>
        <v>0</v>
      </c>
    </row>
    <row r="4962" spans="1:7">
      <c r="A4962">
        <v>5972</v>
      </c>
      <c r="B4962" t="s">
        <v>38</v>
      </c>
      <c r="C4962" t="s">
        <v>125</v>
      </c>
      <c r="D4962" s="9">
        <v>41215.697905092595</v>
      </c>
      <c r="E4962" t="s">
        <v>36</v>
      </c>
      <c r="F4962">
        <f t="shared" ca="1" si="156"/>
        <v>2.2416666666666667</v>
      </c>
      <c r="G4962">
        <f t="shared" ca="1" si="157"/>
        <v>0</v>
      </c>
    </row>
    <row r="4963" spans="1:7">
      <c r="A4963">
        <v>5974</v>
      </c>
      <c r="B4963" t="s">
        <v>34</v>
      </c>
      <c r="C4963" t="s">
        <v>125</v>
      </c>
      <c r="D4963" s="9">
        <v>41215.698159722226</v>
      </c>
      <c r="E4963" t="s">
        <v>43</v>
      </c>
      <c r="F4963">
        <f t="shared" ca="1" si="156"/>
        <v>2.2416666666666667</v>
      </c>
      <c r="G4963">
        <f t="shared" ca="1" si="157"/>
        <v>0</v>
      </c>
    </row>
    <row r="4964" spans="1:7">
      <c r="A4964">
        <v>5980</v>
      </c>
      <c r="B4964" t="s">
        <v>34</v>
      </c>
      <c r="C4964" t="s">
        <v>125</v>
      </c>
      <c r="D4964" s="9">
        <v>41215.698078703703</v>
      </c>
      <c r="E4964" t="s">
        <v>43</v>
      </c>
      <c r="F4964">
        <f t="shared" ca="1" si="156"/>
        <v>2.2416666666666667</v>
      </c>
      <c r="G4964">
        <f t="shared" ca="1" si="157"/>
        <v>0</v>
      </c>
    </row>
    <row r="4965" spans="1:7">
      <c r="A4965">
        <v>5985</v>
      </c>
      <c r="B4965" t="s">
        <v>19</v>
      </c>
      <c r="C4965" t="s">
        <v>125</v>
      </c>
      <c r="D4965" s="9">
        <v>41215.698113425926</v>
      </c>
      <c r="E4965" t="s">
        <v>112</v>
      </c>
      <c r="F4965">
        <f t="shared" ca="1" si="156"/>
        <v>2.2416666666666667</v>
      </c>
      <c r="G4965">
        <f t="shared" ca="1" si="157"/>
        <v>0</v>
      </c>
    </row>
    <row r="4966" spans="1:7">
      <c r="A4966">
        <v>5986</v>
      </c>
      <c r="B4966" t="s">
        <v>23</v>
      </c>
      <c r="C4966" t="s">
        <v>125</v>
      </c>
      <c r="D4966" s="9">
        <v>41215.698449074072</v>
      </c>
      <c r="E4966" t="s">
        <v>36</v>
      </c>
      <c r="F4966">
        <f t="shared" ca="1" si="156"/>
        <v>2.2416666666666667</v>
      </c>
      <c r="G4966">
        <f t="shared" ca="1" si="157"/>
        <v>0</v>
      </c>
    </row>
    <row r="4967" spans="1:7">
      <c r="A4967">
        <v>5991</v>
      </c>
      <c r="B4967" t="s">
        <v>112</v>
      </c>
      <c r="C4967" t="s">
        <v>125</v>
      </c>
      <c r="D4967" s="9">
        <v>41211.681793981479</v>
      </c>
      <c r="E4967" t="s">
        <v>19</v>
      </c>
      <c r="F4967">
        <f t="shared" ca="1" si="156"/>
        <v>2.25</v>
      </c>
      <c r="G4967">
        <f t="shared" ca="1" si="157"/>
        <v>0</v>
      </c>
    </row>
    <row r="4968" spans="1:7">
      <c r="A4968">
        <v>5998</v>
      </c>
      <c r="B4968" t="s">
        <v>112</v>
      </c>
      <c r="C4968" t="s">
        <v>122</v>
      </c>
      <c r="D4968" s="9">
        <v>41298.448379629626</v>
      </c>
      <c r="E4968" t="s">
        <v>112</v>
      </c>
      <c r="F4968">
        <f t="shared" ca="1" si="156"/>
        <v>2.0138888888888888</v>
      </c>
      <c r="G4968">
        <f t="shared" ca="1" si="157"/>
        <v>0</v>
      </c>
    </row>
    <row r="4969" spans="1:7">
      <c r="A4969">
        <v>6000</v>
      </c>
      <c r="B4969" t="s">
        <v>34</v>
      </c>
      <c r="C4969" t="s">
        <v>118</v>
      </c>
      <c r="D4969" s="9">
        <v>41711.460960648146</v>
      </c>
      <c r="E4969" t="s">
        <v>8</v>
      </c>
      <c r="F4969">
        <f t="shared" ca="1" si="156"/>
        <v>0.87777777777777777</v>
      </c>
      <c r="G4969">
        <f t="shared" ca="1" si="157"/>
        <v>1</v>
      </c>
    </row>
    <row r="4970" spans="1:7">
      <c r="A4970">
        <v>6001</v>
      </c>
      <c r="B4970" t="s">
        <v>112</v>
      </c>
      <c r="C4970" t="s">
        <v>125</v>
      </c>
      <c r="D4970" s="9">
        <v>41215.69835648148</v>
      </c>
      <c r="E4970" t="s">
        <v>24</v>
      </c>
      <c r="F4970">
        <f t="shared" ca="1" si="156"/>
        <v>2.2416666666666667</v>
      </c>
      <c r="G4970">
        <f t="shared" ca="1" si="157"/>
        <v>0</v>
      </c>
    </row>
    <row r="4971" spans="1:7">
      <c r="A4971">
        <v>6003</v>
      </c>
      <c r="B4971" t="s">
        <v>11</v>
      </c>
      <c r="C4971" t="s">
        <v>125</v>
      </c>
      <c r="D4971" s="9">
        <v>41215.698298611111</v>
      </c>
      <c r="E4971" t="s">
        <v>27</v>
      </c>
      <c r="F4971">
        <f t="shared" ca="1" si="156"/>
        <v>2.2416666666666667</v>
      </c>
      <c r="G4971">
        <f t="shared" ca="1" si="157"/>
        <v>0</v>
      </c>
    </row>
    <row r="4972" spans="1:7">
      <c r="A4972">
        <v>6004</v>
      </c>
      <c r="B4972" t="s">
        <v>112</v>
      </c>
      <c r="C4972" t="s">
        <v>125</v>
      </c>
      <c r="D4972" s="9">
        <v>41215.698368055557</v>
      </c>
      <c r="E4972" t="s">
        <v>30</v>
      </c>
      <c r="F4972">
        <f t="shared" ca="1" si="156"/>
        <v>2.2416666666666667</v>
      </c>
      <c r="G4972">
        <f t="shared" ca="1" si="157"/>
        <v>0</v>
      </c>
    </row>
    <row r="4973" spans="1:7">
      <c r="A4973">
        <v>6007</v>
      </c>
      <c r="B4973" t="s">
        <v>8</v>
      </c>
      <c r="C4973" t="s">
        <v>125</v>
      </c>
      <c r="D4973" s="9">
        <v>41215.698553240742</v>
      </c>
      <c r="E4973" t="s">
        <v>112</v>
      </c>
      <c r="F4973">
        <f t="shared" ca="1" si="156"/>
        <v>2.2416666666666667</v>
      </c>
      <c r="G4973">
        <f t="shared" ca="1" si="157"/>
        <v>0</v>
      </c>
    </row>
    <row r="4974" spans="1:7">
      <c r="A4974">
        <v>6014</v>
      </c>
      <c r="B4974" t="s">
        <v>38</v>
      </c>
      <c r="C4974" t="s">
        <v>125</v>
      </c>
      <c r="D4974" s="9">
        <v>41249.882569444446</v>
      </c>
      <c r="E4974" t="s">
        <v>27</v>
      </c>
      <c r="F4974">
        <f t="shared" ca="1" si="156"/>
        <v>2.1472222222222221</v>
      </c>
      <c r="G4974">
        <f t="shared" ca="1" si="157"/>
        <v>0</v>
      </c>
    </row>
    <row r="4975" spans="1:7">
      <c r="A4975">
        <v>6015</v>
      </c>
      <c r="B4975" t="s">
        <v>8</v>
      </c>
      <c r="C4975" t="s">
        <v>125</v>
      </c>
      <c r="D4975" s="9">
        <v>41215.698460648149</v>
      </c>
      <c r="E4975" t="s">
        <v>112</v>
      </c>
      <c r="F4975">
        <f t="shared" ca="1" si="156"/>
        <v>2.2416666666666667</v>
      </c>
      <c r="G4975">
        <f t="shared" ca="1" si="157"/>
        <v>0</v>
      </c>
    </row>
    <row r="4976" spans="1:7">
      <c r="A4976">
        <v>6017</v>
      </c>
      <c r="B4976" t="s">
        <v>21</v>
      </c>
      <c r="C4976" t="s">
        <v>122</v>
      </c>
      <c r="D4976" s="9">
        <v>41410.944085648145</v>
      </c>
      <c r="E4976" t="s">
        <v>34</v>
      </c>
      <c r="F4976">
        <f t="shared" ca="1" si="156"/>
        <v>1.7027777777777777</v>
      </c>
      <c r="G4976">
        <f t="shared" ca="1" si="157"/>
        <v>0</v>
      </c>
    </row>
    <row r="4977" spans="1:7">
      <c r="A4977">
        <v>6019</v>
      </c>
      <c r="B4977" t="s">
        <v>21</v>
      </c>
      <c r="C4977" t="s">
        <v>123</v>
      </c>
      <c r="D4977" s="9">
        <v>41304.007592592592</v>
      </c>
      <c r="E4977" t="s">
        <v>32</v>
      </c>
      <c r="F4977">
        <f t="shared" ca="1" si="156"/>
        <v>1.9972222222222222</v>
      </c>
      <c r="G4977">
        <f t="shared" ca="1" si="157"/>
        <v>0</v>
      </c>
    </row>
    <row r="4978" spans="1:7">
      <c r="A4978">
        <v>6020</v>
      </c>
      <c r="B4978" t="s">
        <v>21</v>
      </c>
      <c r="C4978" t="s">
        <v>123</v>
      </c>
      <c r="D4978" s="9">
        <v>41304.01017361111</v>
      </c>
      <c r="E4978" t="s">
        <v>32</v>
      </c>
      <c r="F4978">
        <f t="shared" ca="1" si="156"/>
        <v>1.9972222222222222</v>
      </c>
      <c r="G4978">
        <f t="shared" ca="1" si="157"/>
        <v>0</v>
      </c>
    </row>
    <row r="4979" spans="1:7">
      <c r="A4979">
        <v>6022</v>
      </c>
      <c r="B4979" t="s">
        <v>19</v>
      </c>
      <c r="C4979" t="s">
        <v>125</v>
      </c>
      <c r="D4979" s="9">
        <v>41215.698564814818</v>
      </c>
      <c r="E4979" t="s">
        <v>30</v>
      </c>
      <c r="F4979">
        <f t="shared" ca="1" si="156"/>
        <v>2.2416666666666667</v>
      </c>
      <c r="G4979">
        <f t="shared" ca="1" si="157"/>
        <v>0</v>
      </c>
    </row>
    <row r="4980" spans="1:7">
      <c r="A4980">
        <v>6025</v>
      </c>
      <c r="B4980" t="s">
        <v>19</v>
      </c>
      <c r="C4980" t="s">
        <v>125</v>
      </c>
      <c r="D4980" s="9">
        <v>41249.8825462963</v>
      </c>
      <c r="E4980" t="s">
        <v>21</v>
      </c>
      <c r="F4980">
        <f t="shared" ca="1" si="156"/>
        <v>2.1472222222222221</v>
      </c>
      <c r="G4980">
        <f t="shared" ca="1" si="157"/>
        <v>0</v>
      </c>
    </row>
    <row r="4981" spans="1:7">
      <c r="A4981">
        <v>6027</v>
      </c>
      <c r="B4981" t="s">
        <v>8</v>
      </c>
      <c r="C4981" t="s">
        <v>120</v>
      </c>
      <c r="D4981" s="9">
        <v>41492.606863425928</v>
      </c>
      <c r="E4981" t="s">
        <v>19</v>
      </c>
      <c r="F4981">
        <f t="shared" ca="1" si="156"/>
        <v>1.4805555555555556</v>
      </c>
      <c r="G4981">
        <f t="shared" ca="1" si="157"/>
        <v>0</v>
      </c>
    </row>
    <row r="4982" spans="1:7">
      <c r="A4982">
        <v>6028</v>
      </c>
      <c r="B4982" t="s">
        <v>32</v>
      </c>
      <c r="C4982" t="s">
        <v>125</v>
      </c>
      <c r="D4982" s="9">
        <v>41211.653263888889</v>
      </c>
      <c r="E4982" t="s">
        <v>20</v>
      </c>
      <c r="F4982">
        <f t="shared" ca="1" si="156"/>
        <v>2.25</v>
      </c>
      <c r="G4982">
        <f t="shared" ca="1" si="157"/>
        <v>0</v>
      </c>
    </row>
    <row r="4983" spans="1:7">
      <c r="A4983">
        <v>6031</v>
      </c>
      <c r="B4983" t="s">
        <v>32</v>
      </c>
      <c r="C4983" t="s">
        <v>123</v>
      </c>
      <c r="D4983" s="9">
        <v>41306.379872685182</v>
      </c>
      <c r="E4983" t="s">
        <v>8</v>
      </c>
      <c r="F4983">
        <f t="shared" ca="1" si="156"/>
        <v>1.9944444444444445</v>
      </c>
      <c r="G4983">
        <f t="shared" ca="1" si="157"/>
        <v>0</v>
      </c>
    </row>
    <row r="4984" spans="1:7">
      <c r="A4984">
        <v>6038</v>
      </c>
      <c r="B4984" t="s">
        <v>38</v>
      </c>
      <c r="C4984" t="s">
        <v>125</v>
      </c>
      <c r="D4984" s="9">
        <v>41249.8825462963</v>
      </c>
      <c r="E4984" t="s">
        <v>27</v>
      </c>
      <c r="F4984">
        <f t="shared" ca="1" si="156"/>
        <v>2.1472222222222221</v>
      </c>
      <c r="G4984">
        <f t="shared" ca="1" si="157"/>
        <v>0</v>
      </c>
    </row>
    <row r="4985" spans="1:7">
      <c r="A4985">
        <v>6044</v>
      </c>
      <c r="B4985" t="s">
        <v>8</v>
      </c>
      <c r="C4985" t="s">
        <v>125</v>
      </c>
      <c r="D4985" s="9">
        <v>41249.882557870369</v>
      </c>
      <c r="E4985" t="s">
        <v>112</v>
      </c>
      <c r="F4985">
        <f t="shared" ca="1" si="156"/>
        <v>2.1472222222222221</v>
      </c>
      <c r="G4985">
        <f t="shared" ca="1" si="157"/>
        <v>0</v>
      </c>
    </row>
    <row r="4986" spans="1:7">
      <c r="A4986">
        <v>6047</v>
      </c>
      <c r="B4986" t="s">
        <v>30</v>
      </c>
      <c r="C4986" t="s">
        <v>123</v>
      </c>
      <c r="D4986" s="9">
        <v>41302.680868055555</v>
      </c>
      <c r="E4986" t="s">
        <v>8</v>
      </c>
      <c r="F4986">
        <f t="shared" ca="1" si="156"/>
        <v>2.0027777777777778</v>
      </c>
      <c r="G4986">
        <f t="shared" ca="1" si="157"/>
        <v>0</v>
      </c>
    </row>
    <row r="4987" spans="1:7">
      <c r="A4987">
        <v>6050</v>
      </c>
      <c r="B4987" t="s">
        <v>38</v>
      </c>
      <c r="C4987" t="s">
        <v>125</v>
      </c>
      <c r="D4987" s="9">
        <v>41249.882557870369</v>
      </c>
      <c r="E4987" t="s">
        <v>36</v>
      </c>
      <c r="F4987">
        <f t="shared" ca="1" si="156"/>
        <v>2.1472222222222221</v>
      </c>
      <c r="G4987">
        <f t="shared" ca="1" si="157"/>
        <v>0</v>
      </c>
    </row>
    <row r="4988" spans="1:7">
      <c r="A4988">
        <v>6052</v>
      </c>
      <c r="B4988" t="s">
        <v>8</v>
      </c>
      <c r="C4988" t="s">
        <v>125</v>
      </c>
      <c r="D4988" s="9">
        <v>41249.882557870369</v>
      </c>
      <c r="E4988" t="s">
        <v>36</v>
      </c>
      <c r="F4988">
        <f t="shared" ca="1" si="156"/>
        <v>2.1472222222222221</v>
      </c>
      <c r="G4988">
        <f t="shared" ca="1" si="157"/>
        <v>0</v>
      </c>
    </row>
    <row r="4989" spans="1:7">
      <c r="A4989">
        <v>6053</v>
      </c>
      <c r="B4989" t="s">
        <v>23</v>
      </c>
      <c r="C4989" t="s">
        <v>123</v>
      </c>
      <c r="D4989" s="9">
        <v>41304.699618055558</v>
      </c>
      <c r="E4989" t="s">
        <v>34</v>
      </c>
      <c r="F4989">
        <f t="shared" ca="1" si="156"/>
        <v>1.9972222222222222</v>
      </c>
      <c r="G4989">
        <f t="shared" ca="1" si="157"/>
        <v>0</v>
      </c>
    </row>
    <row r="4990" spans="1:7">
      <c r="A4990">
        <v>6054</v>
      </c>
      <c r="B4990" t="s">
        <v>30</v>
      </c>
      <c r="C4990" t="s">
        <v>125</v>
      </c>
      <c r="D4990" s="9">
        <v>41249.882569444446</v>
      </c>
      <c r="E4990" t="s">
        <v>44</v>
      </c>
      <c r="F4990">
        <f t="shared" ca="1" si="156"/>
        <v>2.1472222222222221</v>
      </c>
      <c r="G4990">
        <f t="shared" ca="1" si="157"/>
        <v>0</v>
      </c>
    </row>
    <row r="4991" spans="1:7">
      <c r="A4991">
        <v>6055</v>
      </c>
      <c r="B4991" t="s">
        <v>8</v>
      </c>
      <c r="C4991" t="s">
        <v>125</v>
      </c>
      <c r="D4991" s="9">
        <v>41249.882569444446</v>
      </c>
      <c r="E4991" t="s">
        <v>34</v>
      </c>
      <c r="F4991">
        <f t="shared" ca="1" si="156"/>
        <v>2.1472222222222221</v>
      </c>
      <c r="G4991">
        <f t="shared" ca="1" si="157"/>
        <v>0</v>
      </c>
    </row>
    <row r="4992" spans="1:7">
      <c r="A4992">
        <v>6058</v>
      </c>
      <c r="B4992" t="s">
        <v>36</v>
      </c>
      <c r="C4992" t="s">
        <v>125</v>
      </c>
      <c r="D4992" s="9">
        <v>41249.882569444446</v>
      </c>
      <c r="E4992" t="s">
        <v>27</v>
      </c>
      <c r="F4992">
        <f t="shared" ca="1" si="156"/>
        <v>2.1472222222222221</v>
      </c>
      <c r="G4992">
        <f t="shared" ca="1" si="157"/>
        <v>0</v>
      </c>
    </row>
    <row r="4993" spans="1:7">
      <c r="A4993">
        <v>6060</v>
      </c>
      <c r="B4993" t="s">
        <v>27</v>
      </c>
      <c r="C4993" t="s">
        <v>122</v>
      </c>
      <c r="D4993" s="9">
        <v>41334.680856481478</v>
      </c>
      <c r="E4993" t="s">
        <v>36</v>
      </c>
      <c r="F4993">
        <f t="shared" ca="1" si="156"/>
        <v>1.9111111111111112</v>
      </c>
      <c r="G4993">
        <f t="shared" ca="1" si="157"/>
        <v>0</v>
      </c>
    </row>
    <row r="4994" spans="1:7">
      <c r="A4994">
        <v>6061</v>
      </c>
      <c r="B4994" t="s">
        <v>24</v>
      </c>
      <c r="C4994" t="s">
        <v>122</v>
      </c>
      <c r="D4994" s="9">
        <v>41383.670335648145</v>
      </c>
      <c r="E4994" t="s">
        <v>34</v>
      </c>
      <c r="F4994">
        <f t="shared" ca="1" si="156"/>
        <v>1.7777777777777777</v>
      </c>
      <c r="G4994">
        <f t="shared" ca="1" si="157"/>
        <v>0</v>
      </c>
    </row>
    <row r="4995" spans="1:7">
      <c r="A4995">
        <v>6063</v>
      </c>
      <c r="B4995" t="s">
        <v>43</v>
      </c>
      <c r="C4995" t="s">
        <v>123</v>
      </c>
      <c r="D4995" s="9">
        <v>41303.7184375</v>
      </c>
      <c r="E4995" t="s">
        <v>38</v>
      </c>
      <c r="F4995">
        <f t="shared" ca="1" si="156"/>
        <v>2</v>
      </c>
      <c r="G4995">
        <f t="shared" ca="1" si="157"/>
        <v>0</v>
      </c>
    </row>
    <row r="4996" spans="1:7">
      <c r="A4996">
        <v>6064</v>
      </c>
      <c r="B4996" t="s">
        <v>43</v>
      </c>
      <c r="C4996" t="s">
        <v>123</v>
      </c>
      <c r="D4996" s="9">
        <v>41303.711064814815</v>
      </c>
      <c r="E4996" t="s">
        <v>38</v>
      </c>
      <c r="F4996">
        <f t="shared" ca="1" si="156"/>
        <v>2</v>
      </c>
      <c r="G4996">
        <f t="shared" ca="1" si="157"/>
        <v>0</v>
      </c>
    </row>
    <row r="4997" spans="1:7">
      <c r="A4997">
        <v>6065</v>
      </c>
      <c r="B4997" t="s">
        <v>43</v>
      </c>
      <c r="C4997" t="s">
        <v>123</v>
      </c>
      <c r="D4997" s="9">
        <v>41303.712037037039</v>
      </c>
      <c r="E4997" t="s">
        <v>38</v>
      </c>
      <c r="F4997">
        <f t="shared" ca="1" si="156"/>
        <v>2</v>
      </c>
      <c r="G4997">
        <f t="shared" ca="1" si="157"/>
        <v>0</v>
      </c>
    </row>
    <row r="4998" spans="1:7">
      <c r="A4998">
        <v>6072</v>
      </c>
      <c r="B4998" t="s">
        <v>51</v>
      </c>
      <c r="C4998" t="s">
        <v>125</v>
      </c>
      <c r="D4998" s="9">
        <v>41249.882581018515</v>
      </c>
      <c r="E4998" t="s">
        <v>8</v>
      </c>
      <c r="F4998">
        <f t="shared" ca="1" si="156"/>
        <v>2.1472222222222221</v>
      </c>
      <c r="G4998">
        <f t="shared" ca="1" si="157"/>
        <v>0</v>
      </c>
    </row>
    <row r="4999" spans="1:7">
      <c r="A4999">
        <v>6073</v>
      </c>
      <c r="B4999" t="s">
        <v>8</v>
      </c>
      <c r="C4999" t="s">
        <v>125</v>
      </c>
      <c r="D4999" s="9">
        <v>41249.882581018515</v>
      </c>
      <c r="E4999" t="s">
        <v>36</v>
      </c>
      <c r="F4999">
        <f t="shared" ref="F4999:F5062" ca="1" si="158">YEARFRAC(TODAY(),$D4999)</f>
        <v>2.1472222222222221</v>
      </c>
      <c r="G4999">
        <f t="shared" ref="G4999:G5062" ca="1" si="159">IF($F4999&lt;1,1,0)</f>
        <v>0</v>
      </c>
    </row>
    <row r="5000" spans="1:7">
      <c r="A5000">
        <v>6074</v>
      </c>
      <c r="B5000" t="s">
        <v>34</v>
      </c>
      <c r="C5000" t="s">
        <v>125</v>
      </c>
      <c r="D5000" s="9">
        <v>41249.882581018515</v>
      </c>
      <c r="E5000" t="s">
        <v>30</v>
      </c>
      <c r="F5000">
        <f t="shared" ca="1" si="158"/>
        <v>2.1472222222222221</v>
      </c>
      <c r="G5000">
        <f t="shared" ca="1" si="159"/>
        <v>0</v>
      </c>
    </row>
    <row r="5001" spans="1:7">
      <c r="A5001">
        <v>6077</v>
      </c>
      <c r="B5001" t="s">
        <v>111</v>
      </c>
      <c r="C5001" t="s">
        <v>123</v>
      </c>
      <c r="D5001" s="9">
        <v>41304.94740740741</v>
      </c>
      <c r="E5001" t="s">
        <v>38</v>
      </c>
      <c r="F5001">
        <f t="shared" ca="1" si="158"/>
        <v>1.9972222222222222</v>
      </c>
      <c r="G5001">
        <f t="shared" ca="1" si="159"/>
        <v>0</v>
      </c>
    </row>
    <row r="5002" spans="1:7">
      <c r="A5002">
        <v>6078</v>
      </c>
      <c r="B5002" t="s">
        <v>111</v>
      </c>
      <c r="C5002" t="s">
        <v>123</v>
      </c>
      <c r="D5002" s="9">
        <v>41304.954513888886</v>
      </c>
      <c r="E5002" t="s">
        <v>38</v>
      </c>
      <c r="F5002">
        <f t="shared" ca="1" si="158"/>
        <v>1.9972222222222222</v>
      </c>
      <c r="G5002">
        <f t="shared" ca="1" si="159"/>
        <v>0</v>
      </c>
    </row>
    <row r="5003" spans="1:7">
      <c r="A5003">
        <v>6079</v>
      </c>
      <c r="B5003" t="s">
        <v>111</v>
      </c>
      <c r="C5003" t="s">
        <v>121</v>
      </c>
      <c r="D5003" s="9">
        <v>41480.462685185186</v>
      </c>
      <c r="E5003" t="s">
        <v>23</v>
      </c>
      <c r="F5003">
        <f t="shared" ca="1" si="158"/>
        <v>1.5111111111111111</v>
      </c>
      <c r="G5003">
        <f t="shared" ca="1" si="159"/>
        <v>0</v>
      </c>
    </row>
    <row r="5004" spans="1:7">
      <c r="A5004">
        <v>6082</v>
      </c>
      <c r="B5004" t="s">
        <v>34</v>
      </c>
      <c r="C5004" t="s">
        <v>125</v>
      </c>
      <c r="D5004" s="9">
        <v>41249.882581018515</v>
      </c>
      <c r="E5004" t="s">
        <v>112</v>
      </c>
      <c r="F5004">
        <f t="shared" ca="1" si="158"/>
        <v>2.1472222222222221</v>
      </c>
      <c r="G5004">
        <f t="shared" ca="1" si="159"/>
        <v>0</v>
      </c>
    </row>
    <row r="5005" spans="1:7">
      <c r="A5005">
        <v>6083</v>
      </c>
      <c r="B5005" t="s">
        <v>21</v>
      </c>
      <c r="C5005" t="s">
        <v>123</v>
      </c>
      <c r="D5005" s="9">
        <v>41303.668032407404</v>
      </c>
      <c r="E5005" t="s">
        <v>23</v>
      </c>
      <c r="F5005">
        <f t="shared" ca="1" si="158"/>
        <v>2</v>
      </c>
      <c r="G5005">
        <f t="shared" ca="1" si="159"/>
        <v>0</v>
      </c>
    </row>
    <row r="5006" spans="1:7">
      <c r="A5006">
        <v>6087</v>
      </c>
      <c r="B5006" t="s">
        <v>21</v>
      </c>
      <c r="C5006" t="s">
        <v>123</v>
      </c>
      <c r="D5006" s="9">
        <v>41303.987592592595</v>
      </c>
      <c r="E5006" t="s">
        <v>32</v>
      </c>
      <c r="F5006">
        <f t="shared" ca="1" si="158"/>
        <v>2</v>
      </c>
      <c r="G5006">
        <f t="shared" ca="1" si="159"/>
        <v>0</v>
      </c>
    </row>
    <row r="5007" spans="1:7">
      <c r="A5007">
        <v>6090</v>
      </c>
      <c r="B5007" t="s">
        <v>27</v>
      </c>
      <c r="C5007" t="s">
        <v>123</v>
      </c>
      <c r="D5007" s="9">
        <v>41303.672349537039</v>
      </c>
      <c r="E5007" t="s">
        <v>38</v>
      </c>
      <c r="F5007">
        <f t="shared" ca="1" si="158"/>
        <v>2</v>
      </c>
      <c r="G5007">
        <f t="shared" ca="1" si="159"/>
        <v>0</v>
      </c>
    </row>
    <row r="5008" spans="1:7">
      <c r="A5008">
        <v>6091</v>
      </c>
      <c r="B5008" t="s">
        <v>23</v>
      </c>
      <c r="C5008" t="s">
        <v>123</v>
      </c>
      <c r="D5008" s="9">
        <v>41304.693078703705</v>
      </c>
      <c r="E5008" t="s">
        <v>43</v>
      </c>
      <c r="F5008">
        <f t="shared" ca="1" si="158"/>
        <v>1.9972222222222222</v>
      </c>
      <c r="G5008">
        <f t="shared" ca="1" si="159"/>
        <v>0</v>
      </c>
    </row>
    <row r="5009" spans="1:7">
      <c r="A5009">
        <v>6093</v>
      </c>
      <c r="B5009" t="s">
        <v>20</v>
      </c>
      <c r="C5009" t="s">
        <v>166</v>
      </c>
      <c r="D5009" s="9">
        <v>41249.882592592592</v>
      </c>
      <c r="E5009" t="s">
        <v>27</v>
      </c>
      <c r="F5009">
        <f t="shared" ca="1" si="158"/>
        <v>2.1472222222222221</v>
      </c>
      <c r="G5009">
        <f t="shared" ca="1" si="159"/>
        <v>0</v>
      </c>
    </row>
    <row r="5010" spans="1:7">
      <c r="A5010">
        <v>6101</v>
      </c>
      <c r="B5010" t="s">
        <v>20</v>
      </c>
      <c r="C5010" t="s">
        <v>122</v>
      </c>
      <c r="D5010" s="9">
        <v>41334.69667824074</v>
      </c>
      <c r="E5010" t="s">
        <v>36</v>
      </c>
      <c r="F5010">
        <f t="shared" ca="1" si="158"/>
        <v>1.9111111111111112</v>
      </c>
      <c r="G5010">
        <f t="shared" ca="1" si="159"/>
        <v>0</v>
      </c>
    </row>
    <row r="5011" spans="1:7">
      <c r="A5011">
        <v>6103</v>
      </c>
      <c r="B5011" t="s">
        <v>23</v>
      </c>
      <c r="C5011" t="s">
        <v>123</v>
      </c>
      <c r="D5011" s="9">
        <v>41305.422824074078</v>
      </c>
      <c r="E5011" t="s">
        <v>34</v>
      </c>
      <c r="F5011">
        <f t="shared" ca="1" si="158"/>
        <v>1.9972222222222222</v>
      </c>
      <c r="G5011">
        <f t="shared" ca="1" si="159"/>
        <v>0</v>
      </c>
    </row>
    <row r="5012" spans="1:7">
      <c r="A5012">
        <v>6104</v>
      </c>
      <c r="B5012" t="s">
        <v>8</v>
      </c>
      <c r="C5012" t="s">
        <v>123</v>
      </c>
      <c r="D5012" s="9">
        <v>41304.695787037039</v>
      </c>
      <c r="E5012" t="s">
        <v>43</v>
      </c>
      <c r="F5012">
        <f t="shared" ca="1" si="158"/>
        <v>1.9972222222222222</v>
      </c>
      <c r="G5012">
        <f t="shared" ca="1" si="159"/>
        <v>0</v>
      </c>
    </row>
    <row r="5013" spans="1:7">
      <c r="A5013">
        <v>6107</v>
      </c>
      <c r="B5013" t="s">
        <v>30</v>
      </c>
      <c r="C5013" t="s">
        <v>123</v>
      </c>
      <c r="D5013" s="9">
        <v>41302.694710648146</v>
      </c>
      <c r="E5013" t="s">
        <v>21</v>
      </c>
      <c r="F5013">
        <f t="shared" ca="1" si="158"/>
        <v>2.0027777777777778</v>
      </c>
      <c r="G5013">
        <f t="shared" ca="1" si="159"/>
        <v>0</v>
      </c>
    </row>
    <row r="5014" spans="1:7">
      <c r="A5014">
        <v>6110</v>
      </c>
      <c r="B5014" t="s">
        <v>20</v>
      </c>
      <c r="C5014" t="s">
        <v>123</v>
      </c>
      <c r="D5014" s="9">
        <v>41302.674363425926</v>
      </c>
      <c r="E5014" t="s">
        <v>21</v>
      </c>
      <c r="F5014">
        <f t="shared" ca="1" si="158"/>
        <v>2.0027777777777778</v>
      </c>
      <c r="G5014">
        <f t="shared" ca="1" si="159"/>
        <v>0</v>
      </c>
    </row>
    <row r="5015" spans="1:7">
      <c r="A5015">
        <v>6112</v>
      </c>
      <c r="B5015" t="s">
        <v>8</v>
      </c>
      <c r="C5015" t="s">
        <v>123</v>
      </c>
      <c r="D5015" s="9">
        <v>41302.950023148151</v>
      </c>
      <c r="E5015" t="s">
        <v>11</v>
      </c>
      <c r="F5015">
        <f t="shared" ca="1" si="158"/>
        <v>2.0027777777777778</v>
      </c>
      <c r="G5015">
        <f t="shared" ca="1" si="159"/>
        <v>0</v>
      </c>
    </row>
    <row r="5016" spans="1:7">
      <c r="A5016">
        <v>6113</v>
      </c>
      <c r="B5016" t="s">
        <v>8</v>
      </c>
      <c r="C5016" t="s">
        <v>123</v>
      </c>
      <c r="D5016" s="9">
        <v>41304.461076388892</v>
      </c>
      <c r="E5016" t="s">
        <v>19</v>
      </c>
      <c r="F5016">
        <f t="shared" ca="1" si="158"/>
        <v>1.9972222222222222</v>
      </c>
      <c r="G5016">
        <f t="shared" ca="1" si="159"/>
        <v>0</v>
      </c>
    </row>
    <row r="5017" spans="1:7">
      <c r="A5017">
        <v>6114</v>
      </c>
      <c r="B5017" t="s">
        <v>21</v>
      </c>
      <c r="C5017" t="s">
        <v>123</v>
      </c>
      <c r="D5017" s="9">
        <v>41302.700659722221</v>
      </c>
      <c r="E5017" t="s">
        <v>27</v>
      </c>
      <c r="F5017">
        <f t="shared" ca="1" si="158"/>
        <v>2.0027777777777778</v>
      </c>
      <c r="G5017">
        <f t="shared" ca="1" si="159"/>
        <v>0</v>
      </c>
    </row>
    <row r="5018" spans="1:7">
      <c r="A5018">
        <v>6120</v>
      </c>
      <c r="B5018" t="s">
        <v>20</v>
      </c>
      <c r="C5018" t="s">
        <v>123</v>
      </c>
      <c r="D5018" s="9">
        <v>41303.972939814812</v>
      </c>
      <c r="E5018" t="s">
        <v>32</v>
      </c>
      <c r="F5018">
        <f t="shared" ca="1" si="158"/>
        <v>2</v>
      </c>
      <c r="G5018">
        <f t="shared" ca="1" si="159"/>
        <v>0</v>
      </c>
    </row>
    <row r="5019" spans="1:7">
      <c r="A5019">
        <v>6121</v>
      </c>
      <c r="B5019" t="s">
        <v>27</v>
      </c>
      <c r="C5019" t="s">
        <v>166</v>
      </c>
      <c r="D5019" s="9">
        <v>41249.882696759261</v>
      </c>
      <c r="E5019" t="s">
        <v>20</v>
      </c>
      <c r="F5019">
        <f t="shared" ca="1" si="158"/>
        <v>2.1472222222222221</v>
      </c>
      <c r="G5019">
        <f t="shared" ca="1" si="159"/>
        <v>0</v>
      </c>
    </row>
    <row r="5020" spans="1:7">
      <c r="A5020">
        <v>6123</v>
      </c>
      <c r="B5020" t="s">
        <v>64</v>
      </c>
      <c r="C5020" t="s">
        <v>165</v>
      </c>
      <c r="D5020" s="9">
        <v>41254.840740740743</v>
      </c>
      <c r="E5020" t="s">
        <v>27</v>
      </c>
      <c r="F5020">
        <f t="shared" ca="1" si="158"/>
        <v>2.1333333333333333</v>
      </c>
      <c r="G5020">
        <f t="shared" ca="1" si="159"/>
        <v>0</v>
      </c>
    </row>
    <row r="5021" spans="1:7">
      <c r="A5021">
        <v>6151</v>
      </c>
      <c r="B5021" t="s">
        <v>111</v>
      </c>
      <c r="C5021" t="s">
        <v>123</v>
      </c>
      <c r="D5021" s="9">
        <v>41304.952870370369</v>
      </c>
      <c r="E5021" t="s">
        <v>38</v>
      </c>
      <c r="F5021">
        <f t="shared" ca="1" si="158"/>
        <v>1.9972222222222222</v>
      </c>
      <c r="G5021">
        <f t="shared" ca="1" si="159"/>
        <v>0</v>
      </c>
    </row>
    <row r="5022" spans="1:7">
      <c r="A5022">
        <v>6152</v>
      </c>
      <c r="B5022" t="s">
        <v>11</v>
      </c>
      <c r="C5022" t="s">
        <v>123</v>
      </c>
      <c r="D5022" s="9">
        <v>41302.888541666667</v>
      </c>
      <c r="E5022" t="s">
        <v>21</v>
      </c>
      <c r="F5022">
        <f t="shared" ca="1" si="158"/>
        <v>2.0027777777777778</v>
      </c>
      <c r="G5022">
        <f t="shared" ca="1" si="159"/>
        <v>0</v>
      </c>
    </row>
    <row r="5023" spans="1:7">
      <c r="A5023">
        <v>6156</v>
      </c>
      <c r="B5023" t="s">
        <v>8</v>
      </c>
      <c r="C5023" t="s">
        <v>123</v>
      </c>
      <c r="D5023" s="9">
        <v>41303.951574074075</v>
      </c>
      <c r="E5023" t="s">
        <v>36</v>
      </c>
      <c r="F5023">
        <f t="shared" ca="1" si="158"/>
        <v>2</v>
      </c>
      <c r="G5023">
        <f t="shared" ca="1" si="159"/>
        <v>0</v>
      </c>
    </row>
    <row r="5024" spans="1:7">
      <c r="A5024">
        <v>6157</v>
      </c>
      <c r="B5024" t="s">
        <v>24</v>
      </c>
      <c r="C5024" t="s">
        <v>123</v>
      </c>
      <c r="D5024" s="9">
        <v>41303.65792824074</v>
      </c>
      <c r="E5024" t="s">
        <v>8</v>
      </c>
      <c r="F5024">
        <f t="shared" ca="1" si="158"/>
        <v>2</v>
      </c>
      <c r="G5024">
        <f t="shared" ca="1" si="159"/>
        <v>0</v>
      </c>
    </row>
    <row r="5025" spans="1:7">
      <c r="A5025">
        <v>6158</v>
      </c>
      <c r="B5025" t="s">
        <v>32</v>
      </c>
      <c r="C5025" t="s">
        <v>166</v>
      </c>
      <c r="D5025" s="9">
        <v>41249.882719907408</v>
      </c>
      <c r="E5025" t="s">
        <v>20</v>
      </c>
      <c r="F5025">
        <f t="shared" ca="1" si="158"/>
        <v>2.1472222222222221</v>
      </c>
      <c r="G5025">
        <f t="shared" ca="1" si="159"/>
        <v>0</v>
      </c>
    </row>
    <row r="5026" spans="1:7">
      <c r="A5026">
        <v>6163</v>
      </c>
      <c r="B5026" t="s">
        <v>19</v>
      </c>
      <c r="C5026" t="s">
        <v>123</v>
      </c>
      <c r="D5026" s="9">
        <v>41304.694780092592</v>
      </c>
      <c r="E5026" t="s">
        <v>43</v>
      </c>
      <c r="F5026">
        <f t="shared" ca="1" si="158"/>
        <v>1.9972222222222222</v>
      </c>
      <c r="G5026">
        <f t="shared" ca="1" si="159"/>
        <v>0</v>
      </c>
    </row>
    <row r="5027" spans="1:7">
      <c r="A5027">
        <v>6165</v>
      </c>
      <c r="B5027" t="s">
        <v>112</v>
      </c>
      <c r="C5027" t="s">
        <v>123</v>
      </c>
      <c r="D5027" s="9">
        <v>41302.913391203707</v>
      </c>
      <c r="E5027" t="s">
        <v>38</v>
      </c>
      <c r="F5027">
        <f t="shared" ca="1" si="158"/>
        <v>2.0027777777777778</v>
      </c>
      <c r="G5027">
        <f t="shared" ca="1" si="159"/>
        <v>0</v>
      </c>
    </row>
    <row r="5028" spans="1:7">
      <c r="A5028">
        <v>6167</v>
      </c>
      <c r="B5028" t="s">
        <v>112</v>
      </c>
      <c r="C5028" t="s">
        <v>123</v>
      </c>
      <c r="D5028" s="9">
        <v>41302.6950462963</v>
      </c>
      <c r="E5028" t="s">
        <v>38</v>
      </c>
      <c r="F5028">
        <f t="shared" ca="1" si="158"/>
        <v>2.0027777777777778</v>
      </c>
      <c r="G5028">
        <f t="shared" ca="1" si="159"/>
        <v>0</v>
      </c>
    </row>
    <row r="5029" spans="1:7">
      <c r="A5029">
        <v>6170</v>
      </c>
      <c r="B5029" t="s">
        <v>11</v>
      </c>
      <c r="C5029" t="s">
        <v>122</v>
      </c>
      <c r="D5029" s="9">
        <v>41600.464166666665</v>
      </c>
      <c r="E5029" t="s">
        <v>8</v>
      </c>
      <c r="F5029">
        <f t="shared" ca="1" si="158"/>
        <v>1.1861111111111111</v>
      </c>
      <c r="G5029">
        <f t="shared" ca="1" si="159"/>
        <v>0</v>
      </c>
    </row>
    <row r="5030" spans="1:7">
      <c r="A5030">
        <v>6171</v>
      </c>
      <c r="B5030" t="s">
        <v>34</v>
      </c>
      <c r="C5030" t="s">
        <v>119</v>
      </c>
      <c r="D5030" s="9">
        <v>41607.764756944445</v>
      </c>
      <c r="E5030" t="s">
        <v>23</v>
      </c>
      <c r="F5030">
        <f t="shared" ca="1" si="158"/>
        <v>1.1666666666666667</v>
      </c>
      <c r="G5030">
        <f t="shared" ca="1" si="159"/>
        <v>0</v>
      </c>
    </row>
    <row r="5031" spans="1:7">
      <c r="A5031">
        <v>6193</v>
      </c>
      <c r="B5031" t="s">
        <v>11</v>
      </c>
      <c r="C5031" t="s">
        <v>120</v>
      </c>
      <c r="D5031" s="9">
        <v>41502.67759259259</v>
      </c>
      <c r="E5031" t="s">
        <v>27</v>
      </c>
      <c r="F5031">
        <f t="shared" ca="1" si="158"/>
        <v>1.4527777777777777</v>
      </c>
      <c r="G5031">
        <f t="shared" ca="1" si="159"/>
        <v>0</v>
      </c>
    </row>
    <row r="5032" spans="1:7">
      <c r="A5032">
        <v>6201</v>
      </c>
      <c r="B5032" t="s">
        <v>20</v>
      </c>
      <c r="C5032" t="s">
        <v>122</v>
      </c>
      <c r="D5032" s="9">
        <v>41334.827453703707</v>
      </c>
      <c r="E5032" t="s">
        <v>11</v>
      </c>
      <c r="F5032">
        <f t="shared" ca="1" si="158"/>
        <v>1.9111111111111112</v>
      </c>
      <c r="G5032">
        <f t="shared" ca="1" si="159"/>
        <v>0</v>
      </c>
    </row>
    <row r="5033" spans="1:7">
      <c r="A5033">
        <v>6203</v>
      </c>
      <c r="B5033" t="s">
        <v>8</v>
      </c>
      <c r="C5033" t="s">
        <v>123</v>
      </c>
      <c r="D5033" s="9">
        <v>41304.454942129632</v>
      </c>
      <c r="E5033" t="s">
        <v>34</v>
      </c>
      <c r="F5033">
        <f t="shared" ca="1" si="158"/>
        <v>1.9972222222222222</v>
      </c>
      <c r="G5033">
        <f t="shared" ca="1" si="159"/>
        <v>0</v>
      </c>
    </row>
    <row r="5034" spans="1:7">
      <c r="A5034">
        <v>6208</v>
      </c>
      <c r="B5034" t="s">
        <v>8</v>
      </c>
      <c r="C5034" t="s">
        <v>123</v>
      </c>
      <c r="D5034" s="9">
        <v>41304.636435185188</v>
      </c>
      <c r="E5034" t="s">
        <v>36</v>
      </c>
      <c r="F5034">
        <f t="shared" ca="1" si="158"/>
        <v>1.9972222222222222</v>
      </c>
      <c r="G5034">
        <f t="shared" ca="1" si="159"/>
        <v>0</v>
      </c>
    </row>
    <row r="5035" spans="1:7">
      <c r="A5035">
        <v>6211</v>
      </c>
      <c r="B5035" t="s">
        <v>19</v>
      </c>
      <c r="C5035" t="s">
        <v>123</v>
      </c>
      <c r="D5035" s="9">
        <v>41302.880381944444</v>
      </c>
      <c r="E5035" t="s">
        <v>27</v>
      </c>
      <c r="F5035">
        <f t="shared" ca="1" si="158"/>
        <v>2.0027777777777778</v>
      </c>
      <c r="G5035">
        <f t="shared" ca="1" si="159"/>
        <v>0</v>
      </c>
    </row>
    <row r="5036" spans="1:7">
      <c r="A5036">
        <v>6215</v>
      </c>
      <c r="B5036" t="s">
        <v>19</v>
      </c>
      <c r="C5036" t="s">
        <v>123</v>
      </c>
      <c r="D5036" s="9">
        <v>41304.027662037035</v>
      </c>
      <c r="E5036" t="s">
        <v>32</v>
      </c>
      <c r="F5036">
        <f t="shared" ca="1" si="158"/>
        <v>1.9972222222222222</v>
      </c>
      <c r="G5036">
        <f t="shared" ca="1" si="159"/>
        <v>0</v>
      </c>
    </row>
    <row r="5037" spans="1:7">
      <c r="A5037">
        <v>6216</v>
      </c>
      <c r="B5037" t="s">
        <v>19</v>
      </c>
      <c r="C5037" t="s">
        <v>123</v>
      </c>
      <c r="D5037" s="9">
        <v>41304.588877314818</v>
      </c>
      <c r="E5037" t="s">
        <v>27</v>
      </c>
      <c r="F5037">
        <f t="shared" ca="1" si="158"/>
        <v>1.9972222222222222</v>
      </c>
      <c r="G5037">
        <f t="shared" ca="1" si="159"/>
        <v>0</v>
      </c>
    </row>
    <row r="5038" spans="1:7">
      <c r="A5038">
        <v>6219</v>
      </c>
      <c r="B5038" t="s">
        <v>8</v>
      </c>
      <c r="C5038" t="s">
        <v>123</v>
      </c>
      <c r="D5038" s="9">
        <v>41303.637037037035</v>
      </c>
      <c r="E5038" t="s">
        <v>27</v>
      </c>
      <c r="F5038">
        <f t="shared" ca="1" si="158"/>
        <v>2</v>
      </c>
      <c r="G5038">
        <f t="shared" ca="1" si="159"/>
        <v>0</v>
      </c>
    </row>
    <row r="5039" spans="1:7">
      <c r="A5039">
        <v>6227</v>
      </c>
      <c r="B5039" t="s">
        <v>24</v>
      </c>
      <c r="C5039" t="s">
        <v>120</v>
      </c>
      <c r="D5039" s="9">
        <v>41502.581238425926</v>
      </c>
      <c r="E5039" t="s">
        <v>17</v>
      </c>
      <c r="F5039">
        <f t="shared" ca="1" si="158"/>
        <v>1.4527777777777777</v>
      </c>
      <c r="G5039">
        <f t="shared" ca="1" si="159"/>
        <v>0</v>
      </c>
    </row>
    <row r="5040" spans="1:7">
      <c r="A5040">
        <v>6232</v>
      </c>
      <c r="B5040" t="s">
        <v>8</v>
      </c>
      <c r="C5040" t="s">
        <v>123</v>
      </c>
      <c r="D5040" s="9">
        <v>41303.585810185185</v>
      </c>
      <c r="E5040" t="s">
        <v>27</v>
      </c>
      <c r="F5040">
        <f t="shared" ca="1" si="158"/>
        <v>2</v>
      </c>
      <c r="G5040">
        <f t="shared" ca="1" si="159"/>
        <v>0</v>
      </c>
    </row>
    <row r="5041" spans="1:7">
      <c r="A5041">
        <v>6233</v>
      </c>
      <c r="B5041" t="s">
        <v>111</v>
      </c>
      <c r="C5041" t="s">
        <v>123</v>
      </c>
      <c r="D5041" s="9">
        <v>41303.724687499998</v>
      </c>
      <c r="E5041" t="s">
        <v>38</v>
      </c>
      <c r="F5041">
        <f t="shared" ca="1" si="158"/>
        <v>2</v>
      </c>
      <c r="G5041">
        <f t="shared" ca="1" si="159"/>
        <v>0</v>
      </c>
    </row>
    <row r="5042" spans="1:7">
      <c r="A5042">
        <v>6235</v>
      </c>
      <c r="B5042" t="s">
        <v>45</v>
      </c>
      <c r="C5042" t="s">
        <v>165</v>
      </c>
      <c r="D5042" s="9">
        <v>41254.78402777778</v>
      </c>
      <c r="E5042" t="s">
        <v>38</v>
      </c>
      <c r="F5042">
        <f t="shared" ca="1" si="158"/>
        <v>2.1333333333333333</v>
      </c>
      <c r="G5042">
        <f t="shared" ca="1" si="159"/>
        <v>0</v>
      </c>
    </row>
    <row r="5043" spans="1:7">
      <c r="A5043">
        <v>6237</v>
      </c>
      <c r="B5043" t="s">
        <v>24</v>
      </c>
      <c r="C5043" t="s">
        <v>123</v>
      </c>
      <c r="D5043" s="9">
        <v>41303.510694444441</v>
      </c>
      <c r="E5043" t="s">
        <v>44</v>
      </c>
      <c r="F5043">
        <f t="shared" ca="1" si="158"/>
        <v>2</v>
      </c>
      <c r="G5043">
        <f t="shared" ca="1" si="159"/>
        <v>0</v>
      </c>
    </row>
    <row r="5044" spans="1:7">
      <c r="A5044">
        <v>6238</v>
      </c>
      <c r="B5044" t="s">
        <v>34</v>
      </c>
      <c r="C5044" t="s">
        <v>119</v>
      </c>
      <c r="D5044" s="9">
        <v>41599.925185185188</v>
      </c>
      <c r="E5044" t="s">
        <v>11</v>
      </c>
      <c r="F5044">
        <f t="shared" ca="1" si="158"/>
        <v>1.1888888888888889</v>
      </c>
      <c r="G5044">
        <f t="shared" ca="1" si="159"/>
        <v>0</v>
      </c>
    </row>
    <row r="5045" spans="1:7">
      <c r="A5045">
        <v>6240</v>
      </c>
      <c r="B5045" t="s">
        <v>38</v>
      </c>
      <c r="C5045" t="s">
        <v>165</v>
      </c>
      <c r="D5045" s="9">
        <v>41253.710636574076</v>
      </c>
      <c r="E5045" t="s">
        <v>27</v>
      </c>
      <c r="F5045">
        <f t="shared" ca="1" si="158"/>
        <v>2.1361111111111111</v>
      </c>
      <c r="G5045">
        <f t="shared" ca="1" si="159"/>
        <v>0</v>
      </c>
    </row>
    <row r="5046" spans="1:7">
      <c r="A5046">
        <v>6242</v>
      </c>
      <c r="B5046" t="s">
        <v>11</v>
      </c>
      <c r="C5046" t="s">
        <v>165</v>
      </c>
      <c r="D5046" s="9">
        <v>41253.768240740741</v>
      </c>
      <c r="E5046" t="s">
        <v>27</v>
      </c>
      <c r="F5046">
        <f t="shared" ca="1" si="158"/>
        <v>2.1361111111111111</v>
      </c>
      <c r="G5046">
        <f t="shared" ca="1" si="159"/>
        <v>0</v>
      </c>
    </row>
    <row r="5047" spans="1:7">
      <c r="A5047">
        <v>6243</v>
      </c>
      <c r="B5047" t="s">
        <v>30</v>
      </c>
      <c r="C5047" t="s">
        <v>123</v>
      </c>
      <c r="D5047" s="9">
        <v>41302.698495370372</v>
      </c>
      <c r="E5047" t="s">
        <v>21</v>
      </c>
      <c r="F5047">
        <f t="shared" ca="1" si="158"/>
        <v>2.0027777777777778</v>
      </c>
      <c r="G5047">
        <f t="shared" ca="1" si="159"/>
        <v>0</v>
      </c>
    </row>
    <row r="5048" spans="1:7">
      <c r="A5048">
        <v>6245</v>
      </c>
      <c r="B5048" t="s">
        <v>27</v>
      </c>
      <c r="C5048" t="s">
        <v>123</v>
      </c>
      <c r="D5048" s="9">
        <v>41303.705127314817</v>
      </c>
      <c r="E5048" t="s">
        <v>38</v>
      </c>
      <c r="F5048">
        <f t="shared" ca="1" si="158"/>
        <v>2</v>
      </c>
      <c r="G5048">
        <f t="shared" ca="1" si="159"/>
        <v>0</v>
      </c>
    </row>
    <row r="5049" spans="1:7">
      <c r="A5049">
        <v>6246</v>
      </c>
      <c r="B5049" t="s">
        <v>27</v>
      </c>
      <c r="C5049" t="s">
        <v>123</v>
      </c>
      <c r="D5049" s="9">
        <v>41303.660844907405</v>
      </c>
      <c r="E5049" t="s">
        <v>30</v>
      </c>
      <c r="F5049">
        <f t="shared" ca="1" si="158"/>
        <v>2</v>
      </c>
      <c r="G5049">
        <f t="shared" ca="1" si="159"/>
        <v>0</v>
      </c>
    </row>
    <row r="5050" spans="1:7">
      <c r="A5050">
        <v>6247</v>
      </c>
      <c r="B5050" t="s">
        <v>19</v>
      </c>
      <c r="C5050" t="s">
        <v>123</v>
      </c>
      <c r="D5050" s="9">
        <v>41304.666203703702</v>
      </c>
      <c r="E5050" t="s">
        <v>32</v>
      </c>
      <c r="F5050">
        <f t="shared" ca="1" si="158"/>
        <v>1.9972222222222222</v>
      </c>
      <c r="G5050">
        <f t="shared" ca="1" si="159"/>
        <v>0</v>
      </c>
    </row>
    <row r="5051" spans="1:7">
      <c r="A5051">
        <v>6248</v>
      </c>
      <c r="B5051" t="s">
        <v>19</v>
      </c>
      <c r="C5051" t="s">
        <v>123</v>
      </c>
      <c r="D5051" s="9">
        <v>41304.536689814813</v>
      </c>
      <c r="E5051" t="s">
        <v>32</v>
      </c>
      <c r="F5051">
        <f t="shared" ca="1" si="158"/>
        <v>1.9972222222222222</v>
      </c>
      <c r="G5051">
        <f t="shared" ca="1" si="159"/>
        <v>0</v>
      </c>
    </row>
    <row r="5052" spans="1:7">
      <c r="A5052">
        <v>6249</v>
      </c>
      <c r="B5052" t="s">
        <v>19</v>
      </c>
      <c r="C5052" t="s">
        <v>123</v>
      </c>
      <c r="D5052" s="9">
        <v>41303.578587962962</v>
      </c>
      <c r="E5052" t="s">
        <v>8</v>
      </c>
      <c r="F5052">
        <f t="shared" ca="1" si="158"/>
        <v>2</v>
      </c>
      <c r="G5052">
        <f t="shared" ca="1" si="159"/>
        <v>0</v>
      </c>
    </row>
    <row r="5053" spans="1:7">
      <c r="A5053">
        <v>6250</v>
      </c>
      <c r="B5053" t="s">
        <v>19</v>
      </c>
      <c r="C5053" t="s">
        <v>123</v>
      </c>
      <c r="D5053" s="9">
        <v>41304.638888888891</v>
      </c>
      <c r="E5053" t="s">
        <v>36</v>
      </c>
      <c r="F5053">
        <f t="shared" ca="1" si="158"/>
        <v>1.9972222222222222</v>
      </c>
      <c r="G5053">
        <f t="shared" ca="1" si="159"/>
        <v>0</v>
      </c>
    </row>
    <row r="5054" spans="1:7">
      <c r="A5054">
        <v>6252</v>
      </c>
      <c r="B5054" t="s">
        <v>30</v>
      </c>
      <c r="C5054" t="s">
        <v>123</v>
      </c>
      <c r="D5054" s="9">
        <v>41304.462476851855</v>
      </c>
      <c r="E5054" t="s">
        <v>34</v>
      </c>
      <c r="F5054">
        <f t="shared" ca="1" si="158"/>
        <v>1.9972222222222222</v>
      </c>
      <c r="G5054">
        <f t="shared" ca="1" si="159"/>
        <v>0</v>
      </c>
    </row>
    <row r="5055" spans="1:7">
      <c r="A5055">
        <v>6253</v>
      </c>
      <c r="B5055" t="s">
        <v>20</v>
      </c>
      <c r="C5055" t="s">
        <v>123</v>
      </c>
      <c r="D5055" s="9">
        <v>41309.464143518519</v>
      </c>
      <c r="E5055" t="s">
        <v>21</v>
      </c>
      <c r="F5055">
        <f t="shared" ca="1" si="158"/>
        <v>1.9861111111111112</v>
      </c>
      <c r="G5055">
        <f t="shared" ca="1" si="159"/>
        <v>0</v>
      </c>
    </row>
    <row r="5056" spans="1:7">
      <c r="A5056">
        <v>6254</v>
      </c>
      <c r="B5056" t="s">
        <v>27</v>
      </c>
      <c r="C5056" t="s">
        <v>123</v>
      </c>
      <c r="D5056" s="9">
        <v>41303.704340277778</v>
      </c>
      <c r="E5056" t="s">
        <v>38</v>
      </c>
      <c r="F5056">
        <f t="shared" ca="1" si="158"/>
        <v>2</v>
      </c>
      <c r="G5056">
        <f t="shared" ca="1" si="159"/>
        <v>0</v>
      </c>
    </row>
    <row r="5057" spans="1:7">
      <c r="A5057">
        <v>6255</v>
      </c>
      <c r="B5057" t="s">
        <v>27</v>
      </c>
      <c r="C5057" t="s">
        <v>123</v>
      </c>
      <c r="D5057" s="9">
        <v>41303.946099537039</v>
      </c>
      <c r="E5057" t="s">
        <v>36</v>
      </c>
      <c r="F5057">
        <f t="shared" ca="1" si="158"/>
        <v>2</v>
      </c>
      <c r="G5057">
        <f t="shared" ca="1" si="159"/>
        <v>0</v>
      </c>
    </row>
    <row r="5058" spans="1:7">
      <c r="A5058">
        <v>6256</v>
      </c>
      <c r="B5058" t="s">
        <v>32</v>
      </c>
      <c r="C5058" t="s">
        <v>123</v>
      </c>
      <c r="D5058" s="9">
        <v>41302.891585648147</v>
      </c>
      <c r="E5058" t="s">
        <v>21</v>
      </c>
      <c r="F5058">
        <f t="shared" ca="1" si="158"/>
        <v>2.0027777777777778</v>
      </c>
      <c r="G5058">
        <f t="shared" ca="1" si="159"/>
        <v>0</v>
      </c>
    </row>
    <row r="5059" spans="1:7">
      <c r="A5059">
        <v>6259</v>
      </c>
      <c r="B5059" t="s">
        <v>45</v>
      </c>
      <c r="C5059" t="s">
        <v>165</v>
      </c>
      <c r="D5059" s="9">
        <v>41254.784328703703</v>
      </c>
      <c r="E5059" t="s">
        <v>38</v>
      </c>
      <c r="F5059">
        <f t="shared" ca="1" si="158"/>
        <v>2.1333333333333333</v>
      </c>
      <c r="G5059">
        <f t="shared" ca="1" si="159"/>
        <v>0</v>
      </c>
    </row>
    <row r="5060" spans="1:7">
      <c r="A5060">
        <v>6260</v>
      </c>
      <c r="B5060" t="s">
        <v>20</v>
      </c>
      <c r="C5060" t="s">
        <v>123</v>
      </c>
      <c r="D5060" s="9">
        <v>41302.681203703702</v>
      </c>
      <c r="E5060" t="s">
        <v>30</v>
      </c>
      <c r="F5060">
        <f t="shared" ca="1" si="158"/>
        <v>2.0027777777777778</v>
      </c>
      <c r="G5060">
        <f t="shared" ca="1" si="159"/>
        <v>0</v>
      </c>
    </row>
    <row r="5061" spans="1:7">
      <c r="A5061">
        <v>6262</v>
      </c>
      <c r="B5061" t="s">
        <v>8</v>
      </c>
      <c r="C5061" t="s">
        <v>123</v>
      </c>
      <c r="D5061" s="9">
        <v>41309.464143518519</v>
      </c>
      <c r="E5061" t="s">
        <v>36</v>
      </c>
      <c r="F5061">
        <f t="shared" ca="1" si="158"/>
        <v>1.9861111111111112</v>
      </c>
      <c r="G5061">
        <f t="shared" ca="1" si="159"/>
        <v>0</v>
      </c>
    </row>
    <row r="5062" spans="1:7">
      <c r="A5062">
        <v>6263</v>
      </c>
      <c r="B5062" t="s">
        <v>8</v>
      </c>
      <c r="C5062" t="s">
        <v>123</v>
      </c>
      <c r="D5062" s="9">
        <v>41304.674884259257</v>
      </c>
      <c r="E5062" t="s">
        <v>43</v>
      </c>
      <c r="F5062">
        <f t="shared" ca="1" si="158"/>
        <v>1.9972222222222222</v>
      </c>
      <c r="G5062">
        <f t="shared" ca="1" si="159"/>
        <v>0</v>
      </c>
    </row>
    <row r="5063" spans="1:7">
      <c r="A5063">
        <v>6264</v>
      </c>
      <c r="B5063" t="s">
        <v>8</v>
      </c>
      <c r="C5063" t="s">
        <v>123</v>
      </c>
      <c r="D5063" s="9">
        <v>41303.720914351848</v>
      </c>
      <c r="E5063" t="s">
        <v>38</v>
      </c>
      <c r="F5063">
        <f t="shared" ref="F5063:F5126" ca="1" si="160">YEARFRAC(TODAY(),$D5063)</f>
        <v>2</v>
      </c>
      <c r="G5063">
        <f t="shared" ref="G5063:G5126" ca="1" si="161">IF($F5063&lt;1,1,0)</f>
        <v>0</v>
      </c>
    </row>
    <row r="5064" spans="1:7">
      <c r="A5064">
        <v>6272</v>
      </c>
      <c r="B5064" t="s">
        <v>19</v>
      </c>
      <c r="C5064" t="s">
        <v>123</v>
      </c>
      <c r="D5064" s="9">
        <v>41309.464189814818</v>
      </c>
      <c r="E5064" t="s">
        <v>38</v>
      </c>
      <c r="F5064">
        <f t="shared" ca="1" si="160"/>
        <v>1.9861111111111112</v>
      </c>
      <c r="G5064">
        <f t="shared" ca="1" si="161"/>
        <v>0</v>
      </c>
    </row>
    <row r="5065" spans="1:7">
      <c r="A5065">
        <v>6273</v>
      </c>
      <c r="B5065" t="s">
        <v>32</v>
      </c>
      <c r="C5065" t="s">
        <v>165</v>
      </c>
      <c r="D5065" s="9">
        <v>41283.667673611111</v>
      </c>
      <c r="E5065" t="s">
        <v>27</v>
      </c>
      <c r="F5065">
        <f t="shared" ca="1" si="160"/>
        <v>2.0555555555555554</v>
      </c>
      <c r="G5065">
        <f t="shared" ca="1" si="161"/>
        <v>0</v>
      </c>
    </row>
    <row r="5066" spans="1:7">
      <c r="A5066">
        <v>6276</v>
      </c>
      <c r="B5066" t="s">
        <v>54</v>
      </c>
      <c r="C5066" t="s">
        <v>123</v>
      </c>
      <c r="D5066" s="9">
        <v>41303.923217592594</v>
      </c>
      <c r="E5066" t="s">
        <v>32</v>
      </c>
      <c r="F5066">
        <f t="shared" ca="1" si="160"/>
        <v>2</v>
      </c>
      <c r="G5066">
        <f t="shared" ca="1" si="161"/>
        <v>0</v>
      </c>
    </row>
    <row r="5067" spans="1:7">
      <c r="A5067">
        <v>6277</v>
      </c>
      <c r="B5067" t="s">
        <v>54</v>
      </c>
      <c r="C5067" t="s">
        <v>122</v>
      </c>
      <c r="D5067" s="9">
        <v>41360.761967592596</v>
      </c>
      <c r="E5067" t="s">
        <v>32</v>
      </c>
      <c r="F5067">
        <f t="shared" ca="1" si="160"/>
        <v>1.8388888888888888</v>
      </c>
      <c r="G5067">
        <f t="shared" ca="1" si="161"/>
        <v>0</v>
      </c>
    </row>
    <row r="5068" spans="1:7">
      <c r="A5068">
        <v>6278</v>
      </c>
      <c r="B5068" t="s">
        <v>38</v>
      </c>
      <c r="C5068" t="s">
        <v>123</v>
      </c>
      <c r="D5068" s="9">
        <v>41303.901504629626</v>
      </c>
      <c r="E5068" t="s">
        <v>27</v>
      </c>
      <c r="F5068">
        <f t="shared" ca="1" si="160"/>
        <v>2</v>
      </c>
      <c r="G5068">
        <f t="shared" ca="1" si="161"/>
        <v>0</v>
      </c>
    </row>
    <row r="5069" spans="1:7">
      <c r="A5069">
        <v>6281</v>
      </c>
      <c r="B5069" t="s">
        <v>30</v>
      </c>
      <c r="C5069" t="s">
        <v>123</v>
      </c>
      <c r="D5069" s="9">
        <v>41303.599074074074</v>
      </c>
      <c r="E5069" t="s">
        <v>112</v>
      </c>
      <c r="F5069">
        <f t="shared" ca="1" si="160"/>
        <v>2</v>
      </c>
      <c r="G5069">
        <f t="shared" ca="1" si="161"/>
        <v>0</v>
      </c>
    </row>
    <row r="5070" spans="1:7">
      <c r="A5070">
        <v>6282</v>
      </c>
      <c r="B5070" t="s">
        <v>51</v>
      </c>
      <c r="C5070" t="s">
        <v>165</v>
      </c>
      <c r="D5070" s="9">
        <v>41254.44159722222</v>
      </c>
      <c r="E5070" t="s">
        <v>8</v>
      </c>
      <c r="F5070">
        <f t="shared" ca="1" si="160"/>
        <v>2.1333333333333333</v>
      </c>
      <c r="G5070">
        <f t="shared" ca="1" si="161"/>
        <v>0</v>
      </c>
    </row>
    <row r="5071" spans="1:7">
      <c r="A5071">
        <v>6283</v>
      </c>
      <c r="B5071" t="s">
        <v>51</v>
      </c>
      <c r="C5071" t="s">
        <v>123</v>
      </c>
      <c r="D5071" s="9">
        <v>41302.874895833331</v>
      </c>
      <c r="E5071" t="s">
        <v>38</v>
      </c>
      <c r="F5071">
        <f t="shared" ca="1" si="160"/>
        <v>2.0027777777777778</v>
      </c>
      <c r="G5071">
        <f t="shared" ca="1" si="161"/>
        <v>0</v>
      </c>
    </row>
    <row r="5072" spans="1:7">
      <c r="A5072">
        <v>6284</v>
      </c>
      <c r="B5072" t="s">
        <v>54</v>
      </c>
      <c r="C5072" t="s">
        <v>123</v>
      </c>
      <c r="D5072" s="9">
        <v>41303.937141203707</v>
      </c>
      <c r="E5072" t="s">
        <v>32</v>
      </c>
      <c r="F5072">
        <f t="shared" ca="1" si="160"/>
        <v>2</v>
      </c>
      <c r="G5072">
        <f t="shared" ca="1" si="161"/>
        <v>0</v>
      </c>
    </row>
    <row r="5073" spans="1:7">
      <c r="A5073">
        <v>6285</v>
      </c>
      <c r="B5073" t="s">
        <v>8</v>
      </c>
      <c r="C5073" t="s">
        <v>123</v>
      </c>
      <c r="D5073" s="9">
        <v>41309.464166666665</v>
      </c>
      <c r="E5073" t="s">
        <v>30</v>
      </c>
      <c r="F5073">
        <f t="shared" ca="1" si="160"/>
        <v>1.9861111111111112</v>
      </c>
      <c r="G5073">
        <f t="shared" ca="1" si="161"/>
        <v>0</v>
      </c>
    </row>
    <row r="5074" spans="1:7">
      <c r="A5074">
        <v>6286</v>
      </c>
      <c r="B5074" t="s">
        <v>8</v>
      </c>
      <c r="C5074" t="s">
        <v>123</v>
      </c>
      <c r="D5074" s="9">
        <v>41303.560497685183</v>
      </c>
      <c r="E5074" t="s">
        <v>112</v>
      </c>
      <c r="F5074">
        <f t="shared" ca="1" si="160"/>
        <v>2</v>
      </c>
      <c r="G5074">
        <f t="shared" ca="1" si="161"/>
        <v>0</v>
      </c>
    </row>
    <row r="5075" spans="1:7">
      <c r="A5075">
        <v>6287</v>
      </c>
      <c r="B5075" t="s">
        <v>50</v>
      </c>
      <c r="C5075" t="s">
        <v>122</v>
      </c>
      <c r="D5075" s="9">
        <v>41341.709641203706</v>
      </c>
      <c r="E5075" t="s">
        <v>34</v>
      </c>
      <c r="F5075">
        <f t="shared" ca="1" si="160"/>
        <v>1.8916666666666666</v>
      </c>
      <c r="G5075">
        <f t="shared" ca="1" si="161"/>
        <v>0</v>
      </c>
    </row>
    <row r="5076" spans="1:7">
      <c r="A5076">
        <v>6288</v>
      </c>
      <c r="B5076" t="s">
        <v>8</v>
      </c>
      <c r="C5076" t="s">
        <v>123</v>
      </c>
      <c r="D5076" s="9">
        <v>41303.693807870368</v>
      </c>
      <c r="E5076" t="s">
        <v>38</v>
      </c>
      <c r="F5076">
        <f t="shared" ca="1" si="160"/>
        <v>2</v>
      </c>
      <c r="G5076">
        <f t="shared" ca="1" si="161"/>
        <v>0</v>
      </c>
    </row>
    <row r="5077" spans="1:7">
      <c r="A5077">
        <v>6289</v>
      </c>
      <c r="B5077" t="s">
        <v>112</v>
      </c>
      <c r="C5077" t="s">
        <v>165</v>
      </c>
      <c r="D5077" s="9">
        <v>41283.667627314811</v>
      </c>
      <c r="E5077" t="s">
        <v>27</v>
      </c>
      <c r="F5077">
        <f t="shared" ca="1" si="160"/>
        <v>2.0555555555555554</v>
      </c>
      <c r="G5077">
        <f t="shared" ca="1" si="161"/>
        <v>0</v>
      </c>
    </row>
    <row r="5078" spans="1:7">
      <c r="A5078">
        <v>6290</v>
      </c>
      <c r="B5078" t="s">
        <v>38</v>
      </c>
      <c r="C5078" t="s">
        <v>165</v>
      </c>
      <c r="D5078" s="9">
        <v>41283.667662037034</v>
      </c>
      <c r="E5078" t="s">
        <v>27</v>
      </c>
      <c r="F5078">
        <f t="shared" ca="1" si="160"/>
        <v>2.0555555555555554</v>
      </c>
      <c r="G5078">
        <f t="shared" ca="1" si="161"/>
        <v>0</v>
      </c>
    </row>
    <row r="5079" spans="1:7">
      <c r="A5079">
        <v>6294</v>
      </c>
      <c r="B5079" t="s">
        <v>23</v>
      </c>
      <c r="C5079" t="s">
        <v>123</v>
      </c>
      <c r="D5079" s="9">
        <v>41304.655393518522</v>
      </c>
      <c r="E5079" t="s">
        <v>32</v>
      </c>
      <c r="F5079">
        <f t="shared" ca="1" si="160"/>
        <v>1.9972222222222222</v>
      </c>
      <c r="G5079">
        <f t="shared" ca="1" si="161"/>
        <v>0</v>
      </c>
    </row>
    <row r="5080" spans="1:7">
      <c r="A5080">
        <v>6299</v>
      </c>
      <c r="B5080" t="s">
        <v>8</v>
      </c>
      <c r="C5080" t="s">
        <v>123</v>
      </c>
      <c r="D5080" s="9">
        <v>41303.72965277778</v>
      </c>
      <c r="E5080" t="s">
        <v>43</v>
      </c>
      <c r="F5080">
        <f t="shared" ca="1" si="160"/>
        <v>2</v>
      </c>
      <c r="G5080">
        <f t="shared" ca="1" si="161"/>
        <v>0</v>
      </c>
    </row>
    <row r="5081" spans="1:7">
      <c r="A5081">
        <v>6301</v>
      </c>
      <c r="B5081" t="s">
        <v>19</v>
      </c>
      <c r="C5081" t="s">
        <v>123</v>
      </c>
      <c r="D5081" s="9">
        <v>41304.486643518518</v>
      </c>
      <c r="E5081" t="s">
        <v>34</v>
      </c>
      <c r="F5081">
        <f t="shared" ca="1" si="160"/>
        <v>1.9972222222222222</v>
      </c>
      <c r="G5081">
        <f t="shared" ca="1" si="161"/>
        <v>0</v>
      </c>
    </row>
    <row r="5082" spans="1:7">
      <c r="A5082">
        <v>6312</v>
      </c>
      <c r="B5082" t="s">
        <v>51</v>
      </c>
      <c r="C5082" t="s">
        <v>123</v>
      </c>
      <c r="D5082" s="9">
        <v>41303.654861111114</v>
      </c>
      <c r="E5082" t="s">
        <v>43</v>
      </c>
      <c r="F5082">
        <f t="shared" ca="1" si="160"/>
        <v>2</v>
      </c>
      <c r="G5082">
        <f t="shared" ca="1" si="161"/>
        <v>0</v>
      </c>
    </row>
    <row r="5083" spans="1:7">
      <c r="A5083">
        <v>6313</v>
      </c>
      <c r="B5083" t="s">
        <v>51</v>
      </c>
      <c r="C5083" t="s">
        <v>123</v>
      </c>
      <c r="D5083" s="9">
        <v>41303.625949074078</v>
      </c>
      <c r="E5083" t="s">
        <v>38</v>
      </c>
      <c r="F5083">
        <f t="shared" ca="1" si="160"/>
        <v>2</v>
      </c>
      <c r="G5083">
        <f t="shared" ca="1" si="161"/>
        <v>0</v>
      </c>
    </row>
    <row r="5084" spans="1:7">
      <c r="A5084">
        <v>6317</v>
      </c>
      <c r="B5084" t="s">
        <v>21</v>
      </c>
      <c r="C5084" t="s">
        <v>123</v>
      </c>
      <c r="D5084" s="9">
        <v>41309.464155092595</v>
      </c>
      <c r="E5084" t="s">
        <v>11</v>
      </c>
      <c r="F5084">
        <f t="shared" ca="1" si="160"/>
        <v>1.9861111111111112</v>
      </c>
      <c r="G5084">
        <f t="shared" ca="1" si="161"/>
        <v>0</v>
      </c>
    </row>
    <row r="5085" spans="1:7">
      <c r="A5085">
        <v>6318</v>
      </c>
      <c r="B5085" t="s">
        <v>20</v>
      </c>
      <c r="C5085" t="s">
        <v>123</v>
      </c>
      <c r="D5085" s="9">
        <v>41303.892500000002</v>
      </c>
      <c r="E5085" t="s">
        <v>21</v>
      </c>
      <c r="F5085">
        <f t="shared" ca="1" si="160"/>
        <v>2</v>
      </c>
      <c r="G5085">
        <f t="shared" ca="1" si="161"/>
        <v>0</v>
      </c>
    </row>
    <row r="5086" spans="1:7">
      <c r="A5086">
        <v>6319</v>
      </c>
      <c r="B5086" t="s">
        <v>20</v>
      </c>
      <c r="C5086" t="s">
        <v>123</v>
      </c>
      <c r="D5086" s="9">
        <v>41302.900740740741</v>
      </c>
      <c r="E5086" t="s">
        <v>21</v>
      </c>
      <c r="F5086">
        <f t="shared" ca="1" si="160"/>
        <v>2.0027777777777778</v>
      </c>
      <c r="G5086">
        <f t="shared" ca="1" si="161"/>
        <v>0</v>
      </c>
    </row>
    <row r="5087" spans="1:7">
      <c r="A5087">
        <v>6320</v>
      </c>
      <c r="B5087" t="s">
        <v>45</v>
      </c>
      <c r="C5087" t="s">
        <v>123</v>
      </c>
      <c r="D5087" s="9">
        <v>41304.693969907406</v>
      </c>
      <c r="E5087" t="s">
        <v>43</v>
      </c>
      <c r="F5087">
        <f t="shared" ca="1" si="160"/>
        <v>1.9972222222222222</v>
      </c>
      <c r="G5087">
        <f t="shared" ca="1" si="161"/>
        <v>0</v>
      </c>
    </row>
    <row r="5088" spans="1:7">
      <c r="A5088">
        <v>6322</v>
      </c>
      <c r="B5088" t="s">
        <v>8</v>
      </c>
      <c r="C5088" t="s">
        <v>123</v>
      </c>
      <c r="D5088" s="9">
        <v>41302.613634259258</v>
      </c>
      <c r="E5088" t="s">
        <v>30</v>
      </c>
      <c r="F5088">
        <f t="shared" ca="1" si="160"/>
        <v>2.0027777777777778</v>
      </c>
      <c r="G5088">
        <f t="shared" ca="1" si="161"/>
        <v>0</v>
      </c>
    </row>
    <row r="5089" spans="1:7">
      <c r="A5089">
        <v>6323</v>
      </c>
      <c r="B5089" t="s">
        <v>8</v>
      </c>
      <c r="C5089" t="s">
        <v>123</v>
      </c>
      <c r="D5089" s="9">
        <v>41304.501331018517</v>
      </c>
      <c r="E5089" t="s">
        <v>19</v>
      </c>
      <c r="F5089">
        <f t="shared" ca="1" si="160"/>
        <v>1.9972222222222222</v>
      </c>
      <c r="G5089">
        <f t="shared" ca="1" si="161"/>
        <v>0</v>
      </c>
    </row>
    <row r="5090" spans="1:7">
      <c r="A5090">
        <v>6324</v>
      </c>
      <c r="B5090" t="s">
        <v>34</v>
      </c>
      <c r="C5090" t="s">
        <v>123</v>
      </c>
      <c r="D5090" s="9">
        <v>41303.704548611109</v>
      </c>
      <c r="E5090" t="s">
        <v>21</v>
      </c>
      <c r="F5090">
        <f t="shared" ca="1" si="160"/>
        <v>2</v>
      </c>
      <c r="G5090">
        <f t="shared" ca="1" si="161"/>
        <v>0</v>
      </c>
    </row>
    <row r="5091" spans="1:7">
      <c r="A5091">
        <v>6326</v>
      </c>
      <c r="B5091" t="s">
        <v>45</v>
      </c>
      <c r="C5091" t="s">
        <v>123</v>
      </c>
      <c r="D5091" s="9">
        <v>41302.863194444442</v>
      </c>
      <c r="E5091" t="s">
        <v>38</v>
      </c>
      <c r="F5091">
        <f t="shared" ca="1" si="160"/>
        <v>2.0027777777777778</v>
      </c>
      <c r="G5091">
        <f t="shared" ca="1" si="161"/>
        <v>0</v>
      </c>
    </row>
    <row r="5092" spans="1:7">
      <c r="A5092">
        <v>6327</v>
      </c>
      <c r="B5092" t="s">
        <v>38</v>
      </c>
      <c r="C5092" t="s">
        <v>123</v>
      </c>
      <c r="D5092" s="9">
        <v>41302.638182870367</v>
      </c>
      <c r="E5092" t="s">
        <v>27</v>
      </c>
      <c r="F5092">
        <f t="shared" ca="1" si="160"/>
        <v>2.0027777777777778</v>
      </c>
      <c r="G5092">
        <f t="shared" ca="1" si="161"/>
        <v>0</v>
      </c>
    </row>
    <row r="5093" spans="1:7">
      <c r="A5093">
        <v>6329</v>
      </c>
      <c r="B5093" t="s">
        <v>23</v>
      </c>
      <c r="C5093" t="s">
        <v>123</v>
      </c>
      <c r="D5093" s="9">
        <v>41304.588263888887</v>
      </c>
      <c r="E5093" t="s">
        <v>34</v>
      </c>
      <c r="F5093">
        <f t="shared" ca="1" si="160"/>
        <v>1.9972222222222222</v>
      </c>
      <c r="G5093">
        <f t="shared" ca="1" si="161"/>
        <v>0</v>
      </c>
    </row>
    <row r="5094" spans="1:7">
      <c r="A5094">
        <v>6331</v>
      </c>
      <c r="B5094" t="s">
        <v>49</v>
      </c>
      <c r="C5094" t="s">
        <v>123</v>
      </c>
      <c r="D5094" s="9">
        <v>41303.588437500002</v>
      </c>
      <c r="E5094" t="s">
        <v>19</v>
      </c>
      <c r="F5094">
        <f t="shared" ca="1" si="160"/>
        <v>2</v>
      </c>
      <c r="G5094">
        <f t="shared" ca="1" si="161"/>
        <v>0</v>
      </c>
    </row>
    <row r="5095" spans="1:7">
      <c r="A5095">
        <v>6332</v>
      </c>
      <c r="B5095" t="s">
        <v>38</v>
      </c>
      <c r="C5095" t="s">
        <v>123</v>
      </c>
      <c r="D5095" s="9">
        <v>41302.625937500001</v>
      </c>
      <c r="E5095" t="s">
        <v>27</v>
      </c>
      <c r="F5095">
        <f t="shared" ca="1" si="160"/>
        <v>2.0027777777777778</v>
      </c>
      <c r="G5095">
        <f t="shared" ca="1" si="161"/>
        <v>0</v>
      </c>
    </row>
    <row r="5096" spans="1:7">
      <c r="A5096">
        <v>6333</v>
      </c>
      <c r="B5096" t="s">
        <v>8</v>
      </c>
      <c r="C5096" t="s">
        <v>123</v>
      </c>
      <c r="D5096" s="9">
        <v>41304.452627314815</v>
      </c>
      <c r="E5096" t="s">
        <v>30</v>
      </c>
      <c r="F5096">
        <f t="shared" ca="1" si="160"/>
        <v>1.9972222222222222</v>
      </c>
      <c r="G5096">
        <f t="shared" ca="1" si="161"/>
        <v>0</v>
      </c>
    </row>
    <row r="5097" spans="1:7">
      <c r="A5097">
        <v>6335</v>
      </c>
      <c r="B5097" t="s">
        <v>30</v>
      </c>
      <c r="C5097" t="s">
        <v>123</v>
      </c>
      <c r="D5097" s="9">
        <v>41304.510162037041</v>
      </c>
      <c r="E5097" t="s">
        <v>19</v>
      </c>
      <c r="F5097">
        <f t="shared" ca="1" si="160"/>
        <v>1.9972222222222222</v>
      </c>
      <c r="G5097">
        <f t="shared" ca="1" si="161"/>
        <v>0</v>
      </c>
    </row>
    <row r="5098" spans="1:7">
      <c r="A5098">
        <v>6336</v>
      </c>
      <c r="B5098" t="s">
        <v>45</v>
      </c>
      <c r="C5098" t="s">
        <v>123</v>
      </c>
      <c r="D5098" s="9">
        <v>41304.970625000002</v>
      </c>
      <c r="E5098" t="s">
        <v>11</v>
      </c>
      <c r="F5098">
        <f t="shared" ca="1" si="160"/>
        <v>1.9972222222222222</v>
      </c>
      <c r="G5098">
        <f t="shared" ca="1" si="161"/>
        <v>0</v>
      </c>
    </row>
    <row r="5099" spans="1:7">
      <c r="A5099">
        <v>6339</v>
      </c>
      <c r="B5099" t="s">
        <v>54</v>
      </c>
      <c r="C5099" t="s">
        <v>123</v>
      </c>
      <c r="D5099" s="9">
        <v>41332.96947916667</v>
      </c>
      <c r="E5099" t="s">
        <v>32</v>
      </c>
      <c r="F5099">
        <f t="shared" ca="1" si="160"/>
        <v>1.9222222222222223</v>
      </c>
      <c r="G5099">
        <f t="shared" ca="1" si="161"/>
        <v>0</v>
      </c>
    </row>
    <row r="5100" spans="1:7">
      <c r="A5100">
        <v>6340</v>
      </c>
      <c r="B5100" t="s">
        <v>11</v>
      </c>
      <c r="C5100" t="s">
        <v>123</v>
      </c>
      <c r="D5100" s="9">
        <v>41303.651747685188</v>
      </c>
      <c r="E5100" t="s">
        <v>8</v>
      </c>
      <c r="F5100">
        <f t="shared" ca="1" si="160"/>
        <v>2</v>
      </c>
      <c r="G5100">
        <f t="shared" ca="1" si="161"/>
        <v>0</v>
      </c>
    </row>
    <row r="5101" spans="1:7">
      <c r="A5101">
        <v>6341</v>
      </c>
      <c r="B5101" t="s">
        <v>45</v>
      </c>
      <c r="C5101" t="s">
        <v>123</v>
      </c>
      <c r="D5101" s="9">
        <v>41303.926990740743</v>
      </c>
      <c r="E5101" t="s">
        <v>11</v>
      </c>
      <c r="F5101">
        <f t="shared" ca="1" si="160"/>
        <v>2</v>
      </c>
      <c r="G5101">
        <f t="shared" ca="1" si="161"/>
        <v>0</v>
      </c>
    </row>
    <row r="5102" spans="1:7">
      <c r="A5102">
        <v>6343</v>
      </c>
      <c r="B5102" t="s">
        <v>30</v>
      </c>
      <c r="C5102" t="s">
        <v>123</v>
      </c>
      <c r="D5102" s="9">
        <v>41305.422060185185</v>
      </c>
      <c r="E5102" t="s">
        <v>34</v>
      </c>
      <c r="F5102">
        <f t="shared" ca="1" si="160"/>
        <v>1.9972222222222222</v>
      </c>
      <c r="G5102">
        <f t="shared" ca="1" si="161"/>
        <v>0</v>
      </c>
    </row>
    <row r="5103" spans="1:7">
      <c r="A5103">
        <v>6344</v>
      </c>
      <c r="B5103" t="s">
        <v>30</v>
      </c>
      <c r="C5103" t="s">
        <v>122</v>
      </c>
      <c r="D5103" s="9">
        <v>41387.565960648149</v>
      </c>
      <c r="E5103" t="s">
        <v>44</v>
      </c>
      <c r="F5103">
        <f t="shared" ca="1" si="160"/>
        <v>1.7666666666666666</v>
      </c>
      <c r="G5103">
        <f t="shared" ca="1" si="161"/>
        <v>0</v>
      </c>
    </row>
    <row r="5104" spans="1:7">
      <c r="A5104">
        <v>6345</v>
      </c>
      <c r="B5104" t="s">
        <v>38</v>
      </c>
      <c r="C5104" t="s">
        <v>122</v>
      </c>
      <c r="D5104" s="9">
        <v>41402.555775462963</v>
      </c>
      <c r="E5104" t="s">
        <v>27</v>
      </c>
      <c r="F5104">
        <f t="shared" ca="1" si="160"/>
        <v>1.7250000000000001</v>
      </c>
      <c r="G5104">
        <f t="shared" ca="1" si="161"/>
        <v>0</v>
      </c>
    </row>
    <row r="5105" spans="1:7">
      <c r="A5105">
        <v>6346</v>
      </c>
      <c r="B5105" t="s">
        <v>20</v>
      </c>
      <c r="C5105" t="s">
        <v>123</v>
      </c>
      <c r="D5105" s="9">
        <v>41303.895069444443</v>
      </c>
      <c r="E5105" t="s">
        <v>21</v>
      </c>
      <c r="F5105">
        <f t="shared" ca="1" si="160"/>
        <v>2</v>
      </c>
      <c r="G5105">
        <f t="shared" ca="1" si="161"/>
        <v>0</v>
      </c>
    </row>
    <row r="5106" spans="1:7">
      <c r="A5106">
        <v>6349</v>
      </c>
      <c r="B5106" t="s">
        <v>11</v>
      </c>
      <c r="C5106" t="s">
        <v>123</v>
      </c>
      <c r="D5106" s="9">
        <v>41302.663171296299</v>
      </c>
      <c r="E5106" t="s">
        <v>21</v>
      </c>
      <c r="F5106">
        <f t="shared" ca="1" si="160"/>
        <v>2.0027777777777778</v>
      </c>
      <c r="G5106">
        <f t="shared" ca="1" si="161"/>
        <v>0</v>
      </c>
    </row>
    <row r="5107" spans="1:7">
      <c r="A5107">
        <v>6350</v>
      </c>
      <c r="B5107" t="s">
        <v>32</v>
      </c>
      <c r="C5107" t="s">
        <v>123</v>
      </c>
      <c r="D5107" s="9">
        <v>41303.802175925928</v>
      </c>
      <c r="E5107" t="s">
        <v>20</v>
      </c>
      <c r="F5107">
        <f t="shared" ca="1" si="160"/>
        <v>2</v>
      </c>
      <c r="G5107">
        <f t="shared" ca="1" si="161"/>
        <v>0</v>
      </c>
    </row>
    <row r="5108" spans="1:7">
      <c r="A5108">
        <v>6351</v>
      </c>
      <c r="B5108" t="s">
        <v>21</v>
      </c>
      <c r="C5108" t="s">
        <v>123</v>
      </c>
      <c r="D5108" s="9">
        <v>41304.685162037036</v>
      </c>
      <c r="E5108" t="s">
        <v>32</v>
      </c>
      <c r="F5108">
        <f t="shared" ca="1" si="160"/>
        <v>1.9972222222222222</v>
      </c>
      <c r="G5108">
        <f t="shared" ca="1" si="161"/>
        <v>0</v>
      </c>
    </row>
    <row r="5109" spans="1:7">
      <c r="A5109">
        <v>6355</v>
      </c>
      <c r="B5109" t="s">
        <v>27</v>
      </c>
      <c r="C5109" t="s">
        <v>123</v>
      </c>
      <c r="D5109" s="9">
        <v>41303.938333333332</v>
      </c>
      <c r="E5109" t="s">
        <v>11</v>
      </c>
      <c r="F5109">
        <f t="shared" ca="1" si="160"/>
        <v>2</v>
      </c>
      <c r="G5109">
        <f t="shared" ca="1" si="161"/>
        <v>0</v>
      </c>
    </row>
    <row r="5110" spans="1:7">
      <c r="A5110">
        <v>6356</v>
      </c>
      <c r="B5110" t="s">
        <v>51</v>
      </c>
      <c r="C5110" t="s">
        <v>123</v>
      </c>
      <c r="D5110" s="9">
        <v>41302.86209490741</v>
      </c>
      <c r="E5110" t="s">
        <v>38</v>
      </c>
      <c r="F5110">
        <f t="shared" ca="1" si="160"/>
        <v>2.0027777777777778</v>
      </c>
      <c r="G5110">
        <f t="shared" ca="1" si="161"/>
        <v>0</v>
      </c>
    </row>
    <row r="5111" spans="1:7">
      <c r="A5111">
        <v>6362</v>
      </c>
      <c r="B5111" t="s">
        <v>23</v>
      </c>
      <c r="C5111" t="s">
        <v>123</v>
      </c>
      <c r="D5111" s="9">
        <v>41305.391111111108</v>
      </c>
      <c r="E5111" t="s">
        <v>8</v>
      </c>
      <c r="F5111">
        <f t="shared" ca="1" si="160"/>
        <v>1.9972222222222222</v>
      </c>
      <c r="G5111">
        <f t="shared" ca="1" si="161"/>
        <v>0</v>
      </c>
    </row>
    <row r="5112" spans="1:7">
      <c r="A5112">
        <v>6365</v>
      </c>
      <c r="B5112" t="s">
        <v>45</v>
      </c>
      <c r="C5112" t="s">
        <v>123</v>
      </c>
      <c r="D5112" s="9">
        <v>41304.869803240741</v>
      </c>
      <c r="E5112" t="s">
        <v>11</v>
      </c>
      <c r="F5112">
        <f t="shared" ca="1" si="160"/>
        <v>1.9972222222222222</v>
      </c>
      <c r="G5112">
        <f t="shared" ca="1" si="161"/>
        <v>0</v>
      </c>
    </row>
    <row r="5113" spans="1:7">
      <c r="A5113">
        <v>6366</v>
      </c>
      <c r="B5113" t="s">
        <v>111</v>
      </c>
      <c r="C5113" t="s">
        <v>122</v>
      </c>
      <c r="D5113" s="9">
        <v>41400.685011574074</v>
      </c>
      <c r="E5113" t="s">
        <v>11</v>
      </c>
      <c r="F5113">
        <f t="shared" ca="1" si="160"/>
        <v>1.7305555555555556</v>
      </c>
      <c r="G5113">
        <f t="shared" ca="1" si="161"/>
        <v>0</v>
      </c>
    </row>
    <row r="5114" spans="1:7">
      <c r="A5114">
        <v>6372</v>
      </c>
      <c r="B5114" t="s">
        <v>8</v>
      </c>
      <c r="C5114" t="s">
        <v>123</v>
      </c>
      <c r="D5114" s="9">
        <v>41302.909918981481</v>
      </c>
      <c r="E5114" t="s">
        <v>38</v>
      </c>
      <c r="F5114">
        <f t="shared" ca="1" si="160"/>
        <v>2.0027777777777778</v>
      </c>
      <c r="G5114">
        <f t="shared" ca="1" si="161"/>
        <v>0</v>
      </c>
    </row>
    <row r="5115" spans="1:7">
      <c r="A5115">
        <v>6373</v>
      </c>
      <c r="B5115" t="s">
        <v>8</v>
      </c>
      <c r="C5115" t="s">
        <v>123</v>
      </c>
      <c r="D5115" s="9">
        <v>41303.650682870371</v>
      </c>
      <c r="E5115" t="s">
        <v>43</v>
      </c>
      <c r="F5115">
        <f t="shared" ca="1" si="160"/>
        <v>2</v>
      </c>
      <c r="G5115">
        <f t="shared" ca="1" si="161"/>
        <v>0</v>
      </c>
    </row>
    <row r="5116" spans="1:7">
      <c r="A5116">
        <v>6374</v>
      </c>
      <c r="B5116" t="s">
        <v>19</v>
      </c>
      <c r="C5116" t="s">
        <v>123</v>
      </c>
      <c r="D5116" s="9">
        <v>41304.533946759257</v>
      </c>
      <c r="E5116" t="s">
        <v>34</v>
      </c>
      <c r="F5116">
        <f t="shared" ca="1" si="160"/>
        <v>1.9972222222222222</v>
      </c>
      <c r="G5116">
        <f t="shared" ca="1" si="161"/>
        <v>0</v>
      </c>
    </row>
    <row r="5117" spans="1:7">
      <c r="A5117">
        <v>6375</v>
      </c>
      <c r="B5117" t="s">
        <v>27</v>
      </c>
      <c r="C5117" t="s">
        <v>123</v>
      </c>
      <c r="D5117" s="9">
        <v>41303.561423611114</v>
      </c>
      <c r="E5117" t="s">
        <v>19</v>
      </c>
      <c r="F5117">
        <f t="shared" ca="1" si="160"/>
        <v>2</v>
      </c>
      <c r="G5117">
        <f t="shared" ca="1" si="161"/>
        <v>0</v>
      </c>
    </row>
    <row r="5118" spans="1:7">
      <c r="A5118">
        <v>6377</v>
      </c>
      <c r="B5118" t="s">
        <v>19</v>
      </c>
      <c r="C5118" t="s">
        <v>123</v>
      </c>
      <c r="D5118" s="9">
        <v>41303.774456018517</v>
      </c>
      <c r="E5118" t="s">
        <v>38</v>
      </c>
      <c r="F5118">
        <f t="shared" ca="1" si="160"/>
        <v>2</v>
      </c>
      <c r="G5118">
        <f t="shared" ca="1" si="161"/>
        <v>0</v>
      </c>
    </row>
    <row r="5119" spans="1:7">
      <c r="A5119">
        <v>6378</v>
      </c>
      <c r="B5119" t="s">
        <v>38</v>
      </c>
      <c r="C5119" t="s">
        <v>123</v>
      </c>
      <c r="D5119" s="9">
        <v>41303.766608796293</v>
      </c>
      <c r="E5119" t="s">
        <v>20</v>
      </c>
      <c r="F5119">
        <f t="shared" ca="1" si="160"/>
        <v>2</v>
      </c>
      <c r="G5119">
        <f t="shared" ca="1" si="161"/>
        <v>0</v>
      </c>
    </row>
    <row r="5120" spans="1:7">
      <c r="A5120">
        <v>6379</v>
      </c>
      <c r="B5120" t="s">
        <v>32</v>
      </c>
      <c r="C5120" t="s">
        <v>123</v>
      </c>
      <c r="D5120" s="9">
        <v>41303.868194444447</v>
      </c>
      <c r="E5120" t="s">
        <v>27</v>
      </c>
      <c r="F5120">
        <f t="shared" ca="1" si="160"/>
        <v>2</v>
      </c>
      <c r="G5120">
        <f t="shared" ca="1" si="161"/>
        <v>0</v>
      </c>
    </row>
    <row r="5121" spans="1:7">
      <c r="A5121">
        <v>6381</v>
      </c>
      <c r="B5121" t="s">
        <v>19</v>
      </c>
      <c r="C5121" t="s">
        <v>123</v>
      </c>
      <c r="D5121" s="9">
        <v>41303.775520833333</v>
      </c>
      <c r="E5121" t="s">
        <v>38</v>
      </c>
      <c r="F5121">
        <f t="shared" ca="1" si="160"/>
        <v>2</v>
      </c>
      <c r="G5121">
        <f t="shared" ca="1" si="161"/>
        <v>0</v>
      </c>
    </row>
    <row r="5122" spans="1:7">
      <c r="A5122">
        <v>6382</v>
      </c>
      <c r="B5122" t="s">
        <v>32</v>
      </c>
      <c r="C5122" t="s">
        <v>123</v>
      </c>
      <c r="D5122" s="9">
        <v>41303.819398148145</v>
      </c>
      <c r="E5122" t="s">
        <v>20</v>
      </c>
      <c r="F5122">
        <f t="shared" ca="1" si="160"/>
        <v>2</v>
      </c>
      <c r="G5122">
        <f t="shared" ca="1" si="161"/>
        <v>0</v>
      </c>
    </row>
    <row r="5123" spans="1:7">
      <c r="A5123">
        <v>6383</v>
      </c>
      <c r="B5123" t="s">
        <v>32</v>
      </c>
      <c r="C5123" t="s">
        <v>123</v>
      </c>
      <c r="D5123" s="9">
        <v>41303.842916666668</v>
      </c>
      <c r="E5123" t="s">
        <v>20</v>
      </c>
      <c r="F5123">
        <f t="shared" ca="1" si="160"/>
        <v>2</v>
      </c>
      <c r="G5123">
        <f t="shared" ca="1" si="161"/>
        <v>0</v>
      </c>
    </row>
    <row r="5124" spans="1:7">
      <c r="A5124">
        <v>6384</v>
      </c>
      <c r="B5124" t="s">
        <v>32</v>
      </c>
      <c r="C5124" t="s">
        <v>123</v>
      </c>
      <c r="D5124" s="9">
        <v>41304.432395833333</v>
      </c>
      <c r="E5124" t="s">
        <v>19</v>
      </c>
      <c r="F5124">
        <f t="shared" ca="1" si="160"/>
        <v>1.9972222222222222</v>
      </c>
      <c r="G5124">
        <f t="shared" ca="1" si="161"/>
        <v>0</v>
      </c>
    </row>
    <row r="5125" spans="1:7">
      <c r="A5125">
        <v>6388</v>
      </c>
      <c r="B5125" t="s">
        <v>38</v>
      </c>
      <c r="C5125" t="s">
        <v>123</v>
      </c>
      <c r="D5125" s="9">
        <v>41303.885347222225</v>
      </c>
      <c r="E5125" t="s">
        <v>27</v>
      </c>
      <c r="F5125">
        <f t="shared" ca="1" si="160"/>
        <v>2</v>
      </c>
      <c r="G5125">
        <f t="shared" ca="1" si="161"/>
        <v>0</v>
      </c>
    </row>
    <row r="5126" spans="1:7">
      <c r="A5126">
        <v>6390</v>
      </c>
      <c r="B5126" t="s">
        <v>38</v>
      </c>
      <c r="C5126" t="s">
        <v>123</v>
      </c>
      <c r="D5126" s="9">
        <v>41303.619652777779</v>
      </c>
      <c r="E5126" t="s">
        <v>43</v>
      </c>
      <c r="F5126">
        <f t="shared" ca="1" si="160"/>
        <v>2</v>
      </c>
      <c r="G5126">
        <f t="shared" ca="1" si="161"/>
        <v>0</v>
      </c>
    </row>
    <row r="5127" spans="1:7">
      <c r="A5127">
        <v>6392</v>
      </c>
      <c r="B5127" t="s">
        <v>19</v>
      </c>
      <c r="C5127" t="s">
        <v>122</v>
      </c>
      <c r="D5127" s="9">
        <v>41355.628125000003</v>
      </c>
      <c r="E5127" t="s">
        <v>30</v>
      </c>
      <c r="F5127">
        <f t="shared" ref="F5127:F5190" ca="1" si="162">YEARFRAC(TODAY(),$D5127)</f>
        <v>1.8527777777777779</v>
      </c>
      <c r="G5127">
        <f t="shared" ref="G5127:G5190" ca="1" si="163">IF($F5127&lt;1,1,0)</f>
        <v>0</v>
      </c>
    </row>
    <row r="5128" spans="1:7">
      <c r="A5128">
        <v>6396</v>
      </c>
      <c r="B5128" t="s">
        <v>49</v>
      </c>
      <c r="C5128" t="s">
        <v>122</v>
      </c>
      <c r="D5128" s="9">
        <v>41369.533090277779</v>
      </c>
      <c r="E5128" t="s">
        <v>32</v>
      </c>
      <c r="F5128">
        <f t="shared" ca="1" si="162"/>
        <v>1.8166666666666667</v>
      </c>
      <c r="G5128">
        <f t="shared" ca="1" si="163"/>
        <v>0</v>
      </c>
    </row>
    <row r="5129" spans="1:7">
      <c r="A5129">
        <v>6397</v>
      </c>
      <c r="B5129" t="s">
        <v>49</v>
      </c>
      <c r="C5129" t="s">
        <v>123</v>
      </c>
      <c r="D5129" s="9">
        <v>41302.711840277778</v>
      </c>
      <c r="E5129" t="s">
        <v>32</v>
      </c>
      <c r="F5129">
        <f t="shared" ca="1" si="162"/>
        <v>2.0027777777777778</v>
      </c>
      <c r="G5129">
        <f t="shared" ca="1" si="163"/>
        <v>0</v>
      </c>
    </row>
    <row r="5130" spans="1:7">
      <c r="A5130">
        <v>6422</v>
      </c>
      <c r="B5130" t="s">
        <v>19</v>
      </c>
      <c r="C5130" t="s">
        <v>123</v>
      </c>
      <c r="D5130" s="9">
        <v>41304.548854166664</v>
      </c>
      <c r="E5130" t="s">
        <v>34</v>
      </c>
      <c r="F5130">
        <f t="shared" ca="1" si="162"/>
        <v>1.9972222222222222</v>
      </c>
      <c r="G5130">
        <f t="shared" ca="1" si="163"/>
        <v>0</v>
      </c>
    </row>
    <row r="5131" spans="1:7">
      <c r="A5131">
        <v>6424</v>
      </c>
      <c r="B5131" t="s">
        <v>45</v>
      </c>
      <c r="C5131" t="s">
        <v>122</v>
      </c>
      <c r="D5131" s="9">
        <v>41334.686886574076</v>
      </c>
      <c r="E5131" t="s">
        <v>11</v>
      </c>
      <c r="F5131">
        <f t="shared" ca="1" si="162"/>
        <v>1.9111111111111112</v>
      </c>
      <c r="G5131">
        <f t="shared" ca="1" si="163"/>
        <v>0</v>
      </c>
    </row>
    <row r="5132" spans="1:7">
      <c r="A5132">
        <v>6426</v>
      </c>
      <c r="B5132" t="s">
        <v>8</v>
      </c>
      <c r="C5132" t="s">
        <v>123</v>
      </c>
      <c r="D5132" s="9">
        <v>41305.610023148147</v>
      </c>
      <c r="E5132" t="s">
        <v>51</v>
      </c>
      <c r="F5132">
        <f t="shared" ca="1" si="162"/>
        <v>1.9972222222222222</v>
      </c>
      <c r="G5132">
        <f t="shared" ca="1" si="163"/>
        <v>0</v>
      </c>
    </row>
    <row r="5133" spans="1:7">
      <c r="A5133">
        <v>6428</v>
      </c>
      <c r="B5133" t="s">
        <v>221</v>
      </c>
      <c r="C5133" t="s">
        <v>209</v>
      </c>
      <c r="D5133" s="9">
        <v>41957.808495370373</v>
      </c>
      <c r="E5133" t="s">
        <v>23</v>
      </c>
      <c r="F5133">
        <f t="shared" ca="1" si="162"/>
        <v>0.20833333333333334</v>
      </c>
      <c r="G5133">
        <f t="shared" ca="1" si="163"/>
        <v>1</v>
      </c>
    </row>
    <row r="5134" spans="1:7">
      <c r="A5134">
        <v>6432</v>
      </c>
      <c r="B5134" t="s">
        <v>54</v>
      </c>
      <c r="C5134" t="s">
        <v>121</v>
      </c>
      <c r="D5134" s="9">
        <v>41480.462870370371</v>
      </c>
      <c r="E5134" t="s">
        <v>111</v>
      </c>
      <c r="F5134">
        <f t="shared" ca="1" si="162"/>
        <v>1.5111111111111111</v>
      </c>
      <c r="G5134">
        <f t="shared" ca="1" si="163"/>
        <v>0</v>
      </c>
    </row>
    <row r="5135" spans="1:7">
      <c r="A5135">
        <v>6435</v>
      </c>
      <c r="B5135" t="s">
        <v>44</v>
      </c>
      <c r="C5135" t="s">
        <v>122</v>
      </c>
      <c r="D5135" s="9">
        <v>41395.594270833331</v>
      </c>
      <c r="E5135" t="s">
        <v>30</v>
      </c>
      <c r="F5135">
        <f t="shared" ca="1" si="162"/>
        <v>1.7444444444444445</v>
      </c>
      <c r="G5135">
        <f t="shared" ca="1" si="163"/>
        <v>0</v>
      </c>
    </row>
    <row r="5136" spans="1:7">
      <c r="A5136">
        <v>6437</v>
      </c>
      <c r="B5136" t="s">
        <v>8</v>
      </c>
      <c r="C5136" t="s">
        <v>123</v>
      </c>
      <c r="D5136" s="9">
        <v>41309.464155092595</v>
      </c>
      <c r="E5136" t="s">
        <v>38</v>
      </c>
      <c r="F5136">
        <f t="shared" ca="1" si="162"/>
        <v>1.9861111111111112</v>
      </c>
      <c r="G5136">
        <f t="shared" ca="1" si="163"/>
        <v>0</v>
      </c>
    </row>
    <row r="5137" spans="1:7">
      <c r="A5137">
        <v>6441</v>
      </c>
      <c r="B5137" t="s">
        <v>17</v>
      </c>
      <c r="C5137" t="s">
        <v>120</v>
      </c>
      <c r="D5137" s="9">
        <v>41576.36922453704</v>
      </c>
      <c r="E5137" t="s">
        <v>112</v>
      </c>
      <c r="F5137">
        <f t="shared" ca="1" si="162"/>
        <v>1.25</v>
      </c>
      <c r="G5137">
        <f t="shared" ca="1" si="163"/>
        <v>0</v>
      </c>
    </row>
    <row r="5138" spans="1:7">
      <c r="A5138">
        <v>6445</v>
      </c>
      <c r="B5138" t="s">
        <v>8</v>
      </c>
      <c r="C5138" t="s">
        <v>121</v>
      </c>
      <c r="D5138" s="9">
        <v>41418.624085648145</v>
      </c>
      <c r="E5138" t="s">
        <v>30</v>
      </c>
      <c r="F5138">
        <f t="shared" ca="1" si="162"/>
        <v>1.6805555555555556</v>
      </c>
      <c r="G5138">
        <f t="shared" ca="1" si="163"/>
        <v>0</v>
      </c>
    </row>
    <row r="5139" spans="1:7">
      <c r="A5139">
        <v>6447</v>
      </c>
      <c r="B5139" t="s">
        <v>23</v>
      </c>
      <c r="C5139" t="s">
        <v>120</v>
      </c>
      <c r="D5139" s="9">
        <v>41550.471550925926</v>
      </c>
      <c r="E5139" t="s">
        <v>8</v>
      </c>
      <c r="F5139">
        <f t="shared" ca="1" si="162"/>
        <v>1.3222222222222222</v>
      </c>
      <c r="G5139">
        <f t="shared" ca="1" si="163"/>
        <v>0</v>
      </c>
    </row>
    <row r="5140" spans="1:7">
      <c r="A5140">
        <v>6449</v>
      </c>
      <c r="B5140" t="s">
        <v>23</v>
      </c>
      <c r="C5140" t="s">
        <v>122</v>
      </c>
      <c r="D5140" s="9">
        <v>41416.489976851852</v>
      </c>
      <c r="E5140" t="s">
        <v>8</v>
      </c>
      <c r="F5140">
        <f t="shared" ca="1" si="162"/>
        <v>1.6861111111111111</v>
      </c>
      <c r="G5140">
        <f t="shared" ca="1" si="163"/>
        <v>0</v>
      </c>
    </row>
    <row r="5141" spans="1:7">
      <c r="A5141">
        <v>6454</v>
      </c>
      <c r="B5141" t="s">
        <v>8</v>
      </c>
      <c r="C5141" t="s">
        <v>122</v>
      </c>
      <c r="D5141" s="9">
        <v>41383.670532407406</v>
      </c>
      <c r="E5141" t="s">
        <v>30</v>
      </c>
      <c r="F5141">
        <f t="shared" ca="1" si="162"/>
        <v>1.7777777777777777</v>
      </c>
      <c r="G5141">
        <f t="shared" ca="1" si="163"/>
        <v>0</v>
      </c>
    </row>
    <row r="5142" spans="1:7">
      <c r="A5142">
        <v>6455</v>
      </c>
      <c r="B5142" t="s">
        <v>30</v>
      </c>
      <c r="C5142" t="s">
        <v>122</v>
      </c>
      <c r="D5142" s="9">
        <v>41383.670428240737</v>
      </c>
      <c r="E5142" t="s">
        <v>8</v>
      </c>
      <c r="F5142">
        <f t="shared" ca="1" si="162"/>
        <v>1.7777777777777777</v>
      </c>
      <c r="G5142">
        <f t="shared" ca="1" si="163"/>
        <v>0</v>
      </c>
    </row>
    <row r="5143" spans="1:7">
      <c r="A5143">
        <v>6460</v>
      </c>
      <c r="B5143" t="s">
        <v>11</v>
      </c>
      <c r="C5143" t="s">
        <v>120</v>
      </c>
      <c r="D5143" s="9">
        <v>41558.669479166667</v>
      </c>
      <c r="E5143" t="s">
        <v>14</v>
      </c>
      <c r="F5143">
        <f t="shared" ca="1" si="162"/>
        <v>1.3</v>
      </c>
      <c r="G5143">
        <f t="shared" ca="1" si="163"/>
        <v>0</v>
      </c>
    </row>
    <row r="5144" spans="1:7">
      <c r="A5144">
        <v>6465</v>
      </c>
      <c r="B5144" t="s">
        <v>24</v>
      </c>
      <c r="C5144" t="s">
        <v>122</v>
      </c>
      <c r="D5144" s="9">
        <v>41410.943171296298</v>
      </c>
      <c r="E5144" t="s">
        <v>38</v>
      </c>
      <c r="F5144">
        <f t="shared" ca="1" si="162"/>
        <v>1.7027777777777777</v>
      </c>
      <c r="G5144">
        <f t="shared" ca="1" si="163"/>
        <v>0</v>
      </c>
    </row>
    <row r="5145" spans="1:7">
      <c r="A5145">
        <v>6469</v>
      </c>
      <c r="B5145" t="s">
        <v>32</v>
      </c>
      <c r="C5145" t="s">
        <v>121</v>
      </c>
      <c r="D5145" s="9">
        <v>41411.679293981484</v>
      </c>
      <c r="E5145" t="s">
        <v>51</v>
      </c>
      <c r="F5145">
        <f t="shared" ca="1" si="162"/>
        <v>1.7</v>
      </c>
      <c r="G5145">
        <f t="shared" ca="1" si="163"/>
        <v>0</v>
      </c>
    </row>
    <row r="5146" spans="1:7">
      <c r="A5146">
        <v>6477</v>
      </c>
      <c r="B5146" t="s">
        <v>34</v>
      </c>
      <c r="C5146" t="s">
        <v>123</v>
      </c>
      <c r="D5146" s="9">
        <v>41309.464166666665</v>
      </c>
      <c r="E5146" t="s">
        <v>36</v>
      </c>
      <c r="F5146">
        <f t="shared" ca="1" si="162"/>
        <v>1.9861111111111112</v>
      </c>
      <c r="G5146">
        <f t="shared" ca="1" si="163"/>
        <v>0</v>
      </c>
    </row>
    <row r="5147" spans="1:7">
      <c r="A5147">
        <v>6478</v>
      </c>
      <c r="B5147" t="s">
        <v>51</v>
      </c>
      <c r="C5147" t="s">
        <v>122</v>
      </c>
      <c r="D5147" s="9">
        <v>41334.458287037036</v>
      </c>
      <c r="E5147" t="s">
        <v>34</v>
      </c>
      <c r="F5147">
        <f t="shared" ca="1" si="162"/>
        <v>1.9111111111111112</v>
      </c>
      <c r="G5147">
        <f t="shared" ca="1" si="163"/>
        <v>0</v>
      </c>
    </row>
    <row r="5148" spans="1:7">
      <c r="A5148">
        <v>6482</v>
      </c>
      <c r="B5148" t="s">
        <v>19</v>
      </c>
      <c r="C5148" t="s">
        <v>122</v>
      </c>
      <c r="D5148" s="9">
        <v>41369.533356481479</v>
      </c>
      <c r="E5148" t="s">
        <v>32</v>
      </c>
      <c r="F5148">
        <f t="shared" ca="1" si="162"/>
        <v>1.8166666666666667</v>
      </c>
      <c r="G5148">
        <f t="shared" ca="1" si="163"/>
        <v>0</v>
      </c>
    </row>
    <row r="5149" spans="1:7">
      <c r="A5149">
        <v>6484</v>
      </c>
      <c r="C5149" t="s">
        <v>122</v>
      </c>
      <c r="D5149" s="9">
        <v>41411.694432870368</v>
      </c>
      <c r="E5149" t="s">
        <v>112</v>
      </c>
      <c r="F5149">
        <f t="shared" ca="1" si="162"/>
        <v>1.7</v>
      </c>
      <c r="G5149">
        <f t="shared" ca="1" si="163"/>
        <v>0</v>
      </c>
    </row>
    <row r="5150" spans="1:7">
      <c r="A5150">
        <v>6485</v>
      </c>
      <c r="C5150" t="s">
        <v>122</v>
      </c>
      <c r="D5150" s="9">
        <v>41369.533055555556</v>
      </c>
      <c r="E5150" t="s">
        <v>112</v>
      </c>
      <c r="F5150">
        <f t="shared" ca="1" si="162"/>
        <v>1.8166666666666667</v>
      </c>
      <c r="G5150">
        <f t="shared" ca="1" si="163"/>
        <v>0</v>
      </c>
    </row>
    <row r="5151" spans="1:7">
      <c r="A5151">
        <v>6486</v>
      </c>
      <c r="C5151" t="s">
        <v>122</v>
      </c>
      <c r="D5151" s="9">
        <v>41337.479953703703</v>
      </c>
      <c r="E5151" t="s">
        <v>112</v>
      </c>
      <c r="F5151">
        <f t="shared" ca="1" si="162"/>
        <v>1.9027777777777777</v>
      </c>
      <c r="G5151">
        <f t="shared" ca="1" si="163"/>
        <v>0</v>
      </c>
    </row>
    <row r="5152" spans="1:7">
      <c r="A5152">
        <v>6490</v>
      </c>
      <c r="B5152" t="s">
        <v>11</v>
      </c>
      <c r="C5152" t="s">
        <v>123</v>
      </c>
      <c r="D5152" s="9">
        <v>41309.464212962965</v>
      </c>
      <c r="E5152" t="s">
        <v>20</v>
      </c>
      <c r="F5152">
        <f t="shared" ca="1" si="162"/>
        <v>1.9861111111111112</v>
      </c>
      <c r="G5152">
        <f t="shared" ca="1" si="163"/>
        <v>0</v>
      </c>
    </row>
    <row r="5153" spans="1:7">
      <c r="A5153">
        <v>6493</v>
      </c>
      <c r="B5153" t="s">
        <v>19</v>
      </c>
      <c r="C5153" t="s">
        <v>123</v>
      </c>
      <c r="D5153" s="9">
        <v>41309.464166666665</v>
      </c>
      <c r="E5153" t="s">
        <v>27</v>
      </c>
      <c r="F5153">
        <f t="shared" ca="1" si="162"/>
        <v>1.9861111111111112</v>
      </c>
      <c r="G5153">
        <f t="shared" ca="1" si="163"/>
        <v>0</v>
      </c>
    </row>
    <row r="5154" spans="1:7">
      <c r="A5154">
        <v>6495</v>
      </c>
      <c r="B5154" t="s">
        <v>51</v>
      </c>
      <c r="C5154" t="s">
        <v>123</v>
      </c>
      <c r="D5154" s="9">
        <v>41309.464201388888</v>
      </c>
      <c r="E5154" t="s">
        <v>8</v>
      </c>
      <c r="F5154">
        <f t="shared" ca="1" si="162"/>
        <v>1.9861111111111112</v>
      </c>
      <c r="G5154">
        <f t="shared" ca="1" si="163"/>
        <v>0</v>
      </c>
    </row>
    <row r="5155" spans="1:7">
      <c r="A5155">
        <v>6496</v>
      </c>
      <c r="B5155" t="s">
        <v>51</v>
      </c>
      <c r="C5155" t="s">
        <v>123</v>
      </c>
      <c r="D5155" s="9">
        <v>41309.464166666665</v>
      </c>
      <c r="E5155" t="s">
        <v>38</v>
      </c>
      <c r="F5155">
        <f t="shared" ca="1" si="162"/>
        <v>1.9861111111111112</v>
      </c>
      <c r="G5155">
        <f t="shared" ca="1" si="163"/>
        <v>0</v>
      </c>
    </row>
    <row r="5156" spans="1:7">
      <c r="A5156">
        <v>6499</v>
      </c>
      <c r="B5156" t="s">
        <v>30</v>
      </c>
      <c r="C5156" t="s">
        <v>122</v>
      </c>
      <c r="D5156" s="9">
        <v>41334.467847222222</v>
      </c>
      <c r="E5156" t="s">
        <v>44</v>
      </c>
      <c r="F5156">
        <f t="shared" ca="1" si="162"/>
        <v>1.9111111111111112</v>
      </c>
      <c r="G5156">
        <f t="shared" ca="1" si="163"/>
        <v>0</v>
      </c>
    </row>
    <row r="5157" spans="1:7">
      <c r="A5157">
        <v>6500</v>
      </c>
      <c r="B5157" t="s">
        <v>19</v>
      </c>
      <c r="C5157" t="s">
        <v>121</v>
      </c>
      <c r="D5157" s="9">
        <v>41484.480868055558</v>
      </c>
      <c r="E5157" t="s">
        <v>29</v>
      </c>
      <c r="F5157">
        <f t="shared" ca="1" si="162"/>
        <v>1.5</v>
      </c>
      <c r="G5157">
        <f t="shared" ca="1" si="163"/>
        <v>0</v>
      </c>
    </row>
    <row r="5158" spans="1:7">
      <c r="A5158">
        <v>6504</v>
      </c>
      <c r="B5158" t="s">
        <v>20</v>
      </c>
      <c r="C5158" t="s">
        <v>123</v>
      </c>
      <c r="D5158" s="9">
        <v>41309.464178240742</v>
      </c>
      <c r="E5158" t="s">
        <v>38</v>
      </c>
      <c r="F5158">
        <f t="shared" ca="1" si="162"/>
        <v>1.9861111111111112</v>
      </c>
      <c r="G5158">
        <f t="shared" ca="1" si="163"/>
        <v>0</v>
      </c>
    </row>
    <row r="5159" spans="1:7">
      <c r="A5159">
        <v>6508</v>
      </c>
      <c r="B5159" t="s">
        <v>8</v>
      </c>
      <c r="C5159" t="s">
        <v>122</v>
      </c>
      <c r="D5159" s="9">
        <v>41334.676377314812</v>
      </c>
      <c r="E5159" t="s">
        <v>36</v>
      </c>
      <c r="F5159">
        <f t="shared" ca="1" si="162"/>
        <v>1.9111111111111112</v>
      </c>
      <c r="G5159">
        <f t="shared" ca="1" si="163"/>
        <v>0</v>
      </c>
    </row>
    <row r="5160" spans="1:7">
      <c r="A5160">
        <v>6512</v>
      </c>
      <c r="B5160" t="s">
        <v>17</v>
      </c>
      <c r="C5160" t="s">
        <v>119</v>
      </c>
      <c r="D5160" s="9">
        <v>41600.686469907407</v>
      </c>
      <c r="E5160" t="s">
        <v>23</v>
      </c>
      <c r="F5160">
        <f t="shared" ca="1" si="162"/>
        <v>1.1861111111111111</v>
      </c>
      <c r="G5160">
        <f t="shared" ca="1" si="163"/>
        <v>0</v>
      </c>
    </row>
    <row r="5161" spans="1:7">
      <c r="A5161">
        <v>6514</v>
      </c>
      <c r="B5161" t="s">
        <v>19</v>
      </c>
      <c r="C5161" t="s">
        <v>122</v>
      </c>
      <c r="D5161" s="9">
        <v>41334.549039351848</v>
      </c>
      <c r="E5161" t="s">
        <v>34</v>
      </c>
      <c r="F5161">
        <f t="shared" ca="1" si="162"/>
        <v>1.9111111111111112</v>
      </c>
      <c r="G5161">
        <f t="shared" ca="1" si="163"/>
        <v>0</v>
      </c>
    </row>
    <row r="5162" spans="1:7">
      <c r="A5162">
        <v>6518</v>
      </c>
      <c r="B5162" t="s">
        <v>20</v>
      </c>
      <c r="C5162" t="s">
        <v>122</v>
      </c>
      <c r="D5162" s="9">
        <v>41334.414131944446</v>
      </c>
      <c r="E5162" t="s">
        <v>8</v>
      </c>
      <c r="F5162">
        <f t="shared" ca="1" si="162"/>
        <v>1.9111111111111112</v>
      </c>
      <c r="G5162">
        <f t="shared" ca="1" si="163"/>
        <v>0</v>
      </c>
    </row>
    <row r="5163" spans="1:7">
      <c r="A5163">
        <v>6521</v>
      </c>
      <c r="B5163" t="s">
        <v>19</v>
      </c>
      <c r="C5163" t="s">
        <v>122</v>
      </c>
      <c r="D5163" s="9">
        <v>41334.503078703703</v>
      </c>
      <c r="E5163" t="s">
        <v>24</v>
      </c>
      <c r="F5163">
        <f t="shared" ca="1" si="162"/>
        <v>1.9111111111111112</v>
      </c>
      <c r="G5163">
        <f t="shared" ca="1" si="163"/>
        <v>0</v>
      </c>
    </row>
    <row r="5164" spans="1:7">
      <c r="A5164">
        <v>6523</v>
      </c>
      <c r="B5164" t="s">
        <v>111</v>
      </c>
      <c r="C5164" t="s">
        <v>121</v>
      </c>
      <c r="D5164" s="9">
        <v>41480.46365740741</v>
      </c>
      <c r="E5164" t="s">
        <v>11</v>
      </c>
      <c r="F5164">
        <f t="shared" ca="1" si="162"/>
        <v>1.5111111111111111</v>
      </c>
      <c r="G5164">
        <f t="shared" ca="1" si="163"/>
        <v>0</v>
      </c>
    </row>
    <row r="5165" spans="1:7">
      <c r="A5165">
        <v>6524</v>
      </c>
      <c r="B5165" t="s">
        <v>111</v>
      </c>
      <c r="C5165" t="s">
        <v>121</v>
      </c>
      <c r="D5165" s="9">
        <v>41480.463935185187</v>
      </c>
      <c r="E5165" t="s">
        <v>27</v>
      </c>
      <c r="F5165">
        <f t="shared" ca="1" si="162"/>
        <v>1.5111111111111111</v>
      </c>
      <c r="G5165">
        <f t="shared" ca="1" si="163"/>
        <v>0</v>
      </c>
    </row>
    <row r="5166" spans="1:7">
      <c r="A5166">
        <v>6525</v>
      </c>
      <c r="B5166" t="s">
        <v>32</v>
      </c>
      <c r="C5166" t="s">
        <v>122</v>
      </c>
      <c r="D5166" s="9">
        <v>41309.464224537034</v>
      </c>
      <c r="E5166" t="s">
        <v>27</v>
      </c>
      <c r="F5166">
        <f t="shared" ca="1" si="162"/>
        <v>1.9861111111111112</v>
      </c>
      <c r="G5166">
        <f t="shared" ca="1" si="163"/>
        <v>0</v>
      </c>
    </row>
    <row r="5167" spans="1:7">
      <c r="A5167">
        <v>6527</v>
      </c>
      <c r="B5167" t="s">
        <v>8</v>
      </c>
      <c r="C5167" t="s">
        <v>122</v>
      </c>
      <c r="D5167" s="9">
        <v>41367.469201388885</v>
      </c>
      <c r="E5167" t="s">
        <v>112</v>
      </c>
      <c r="F5167">
        <f t="shared" ca="1" si="162"/>
        <v>1.8222222222222222</v>
      </c>
      <c r="G5167">
        <f t="shared" ca="1" si="163"/>
        <v>0</v>
      </c>
    </row>
    <row r="5168" spans="1:7">
      <c r="A5168">
        <v>6528</v>
      </c>
      <c r="B5168" t="s">
        <v>19</v>
      </c>
      <c r="C5168" t="s">
        <v>122</v>
      </c>
      <c r="D5168" s="9">
        <v>41334.59746527778</v>
      </c>
      <c r="E5168" t="s">
        <v>32</v>
      </c>
      <c r="F5168">
        <f t="shared" ca="1" si="162"/>
        <v>1.9111111111111112</v>
      </c>
      <c r="G5168">
        <f t="shared" ca="1" si="163"/>
        <v>0</v>
      </c>
    </row>
    <row r="5169" spans="1:7">
      <c r="A5169">
        <v>6536</v>
      </c>
      <c r="B5169" t="s">
        <v>45</v>
      </c>
      <c r="C5169" t="s">
        <v>122</v>
      </c>
      <c r="D5169" s="9">
        <v>41334.671168981484</v>
      </c>
      <c r="E5169" t="s">
        <v>11</v>
      </c>
      <c r="F5169">
        <f t="shared" ca="1" si="162"/>
        <v>1.9111111111111112</v>
      </c>
      <c r="G5169">
        <f t="shared" ca="1" si="163"/>
        <v>0</v>
      </c>
    </row>
    <row r="5170" spans="1:7">
      <c r="A5170">
        <v>6542</v>
      </c>
      <c r="B5170" t="s">
        <v>19</v>
      </c>
      <c r="C5170" t="s">
        <v>122</v>
      </c>
      <c r="D5170" s="9">
        <v>41334.509016203701</v>
      </c>
      <c r="E5170" t="s">
        <v>24</v>
      </c>
      <c r="F5170">
        <f t="shared" ca="1" si="162"/>
        <v>1.9111111111111112</v>
      </c>
      <c r="G5170">
        <f t="shared" ca="1" si="163"/>
        <v>0</v>
      </c>
    </row>
    <row r="5171" spans="1:7">
      <c r="A5171">
        <v>6543</v>
      </c>
      <c r="B5171" t="s">
        <v>23</v>
      </c>
      <c r="C5171" t="s">
        <v>122</v>
      </c>
      <c r="D5171" s="9">
        <v>41341.685370370367</v>
      </c>
      <c r="E5171" t="s">
        <v>112</v>
      </c>
      <c r="F5171">
        <f t="shared" ca="1" si="162"/>
        <v>1.8916666666666666</v>
      </c>
      <c r="G5171">
        <f t="shared" ca="1" si="163"/>
        <v>0</v>
      </c>
    </row>
    <row r="5172" spans="1:7">
      <c r="A5172">
        <v>6544</v>
      </c>
      <c r="B5172" t="s">
        <v>32</v>
      </c>
      <c r="C5172" t="s">
        <v>122</v>
      </c>
      <c r="D5172" s="9">
        <v>41410.943090277775</v>
      </c>
      <c r="E5172" t="s">
        <v>20</v>
      </c>
      <c r="F5172">
        <f t="shared" ca="1" si="162"/>
        <v>1.7027777777777777</v>
      </c>
      <c r="G5172">
        <f t="shared" ca="1" si="163"/>
        <v>0</v>
      </c>
    </row>
    <row r="5173" spans="1:7">
      <c r="A5173">
        <v>6547</v>
      </c>
      <c r="B5173" t="s">
        <v>11</v>
      </c>
      <c r="C5173" t="s">
        <v>122</v>
      </c>
      <c r="D5173" s="9">
        <v>41334.46297453704</v>
      </c>
      <c r="E5173" t="s">
        <v>19</v>
      </c>
      <c r="F5173">
        <f t="shared" ca="1" si="162"/>
        <v>1.9111111111111112</v>
      </c>
      <c r="G5173">
        <f t="shared" ca="1" si="163"/>
        <v>0</v>
      </c>
    </row>
    <row r="5174" spans="1:7">
      <c r="A5174">
        <v>6548</v>
      </c>
      <c r="B5174" t="s">
        <v>8</v>
      </c>
      <c r="C5174" t="s">
        <v>122</v>
      </c>
      <c r="D5174" s="9">
        <v>41316.47556712963</v>
      </c>
      <c r="E5174" t="s">
        <v>112</v>
      </c>
      <c r="F5174">
        <f t="shared" ca="1" si="162"/>
        <v>1.9666666666666666</v>
      </c>
      <c r="G5174">
        <f t="shared" ca="1" si="163"/>
        <v>0</v>
      </c>
    </row>
    <row r="5175" spans="1:7">
      <c r="A5175">
        <v>6550</v>
      </c>
      <c r="B5175" t="s">
        <v>54</v>
      </c>
      <c r="C5175" t="s">
        <v>122</v>
      </c>
      <c r="D5175" s="9">
        <v>41383.670416666668</v>
      </c>
      <c r="E5175" t="s">
        <v>19</v>
      </c>
      <c r="F5175">
        <f t="shared" ca="1" si="162"/>
        <v>1.7777777777777777</v>
      </c>
      <c r="G5175">
        <f t="shared" ca="1" si="163"/>
        <v>0</v>
      </c>
    </row>
    <row r="5176" spans="1:7">
      <c r="A5176">
        <v>6552</v>
      </c>
      <c r="B5176" t="s">
        <v>11</v>
      </c>
      <c r="C5176" t="s">
        <v>120</v>
      </c>
      <c r="D5176" s="9">
        <v>41509.59480324074</v>
      </c>
      <c r="E5176" t="s">
        <v>111</v>
      </c>
      <c r="F5176">
        <f t="shared" ca="1" si="162"/>
        <v>1.4333333333333333</v>
      </c>
      <c r="G5176">
        <f t="shared" ca="1" si="163"/>
        <v>0</v>
      </c>
    </row>
    <row r="5177" spans="1:7">
      <c r="A5177">
        <v>6553</v>
      </c>
      <c r="B5177" t="s">
        <v>11</v>
      </c>
      <c r="C5177" t="s">
        <v>122</v>
      </c>
      <c r="D5177" s="9">
        <v>41334.862349537034</v>
      </c>
      <c r="E5177" t="s">
        <v>32</v>
      </c>
      <c r="F5177">
        <f t="shared" ca="1" si="162"/>
        <v>1.9111111111111112</v>
      </c>
      <c r="G5177">
        <f t="shared" ca="1" si="163"/>
        <v>0</v>
      </c>
    </row>
    <row r="5178" spans="1:7">
      <c r="A5178">
        <v>6554</v>
      </c>
      <c r="B5178" t="s">
        <v>45</v>
      </c>
      <c r="C5178" t="s">
        <v>122</v>
      </c>
      <c r="D5178" s="9">
        <v>41334.479814814818</v>
      </c>
      <c r="E5178" t="s">
        <v>112</v>
      </c>
      <c r="F5178">
        <f t="shared" ca="1" si="162"/>
        <v>1.9111111111111112</v>
      </c>
      <c r="G5178">
        <f t="shared" ca="1" si="163"/>
        <v>0</v>
      </c>
    </row>
    <row r="5179" spans="1:7">
      <c r="A5179">
        <v>6555</v>
      </c>
      <c r="B5179" t="s">
        <v>21</v>
      </c>
      <c r="C5179" t="s">
        <v>122</v>
      </c>
      <c r="D5179" s="9">
        <v>41410.943368055552</v>
      </c>
      <c r="E5179" t="s">
        <v>20</v>
      </c>
      <c r="F5179">
        <f t="shared" ca="1" si="162"/>
        <v>1.7027777777777777</v>
      </c>
      <c r="G5179">
        <f t="shared" ca="1" si="163"/>
        <v>0</v>
      </c>
    </row>
    <row r="5180" spans="1:7">
      <c r="A5180">
        <v>6556</v>
      </c>
      <c r="B5180" t="s">
        <v>21</v>
      </c>
      <c r="C5180" t="s">
        <v>122</v>
      </c>
      <c r="D5180" s="9">
        <v>41410.943368055552</v>
      </c>
      <c r="E5180" t="s">
        <v>20</v>
      </c>
      <c r="F5180">
        <f t="shared" ca="1" si="162"/>
        <v>1.7027777777777777</v>
      </c>
      <c r="G5180">
        <f t="shared" ca="1" si="163"/>
        <v>0</v>
      </c>
    </row>
    <row r="5181" spans="1:7">
      <c r="A5181">
        <v>6559</v>
      </c>
      <c r="B5181" t="s">
        <v>45</v>
      </c>
      <c r="C5181" t="s">
        <v>122</v>
      </c>
      <c r="D5181" s="9">
        <v>41334.805046296293</v>
      </c>
      <c r="E5181" t="s">
        <v>27</v>
      </c>
      <c r="F5181">
        <f t="shared" ca="1" si="162"/>
        <v>1.9111111111111112</v>
      </c>
      <c r="G5181">
        <f t="shared" ca="1" si="163"/>
        <v>0</v>
      </c>
    </row>
    <row r="5182" spans="1:7">
      <c r="A5182">
        <v>6560</v>
      </c>
      <c r="B5182" t="s">
        <v>51</v>
      </c>
      <c r="C5182" t="s">
        <v>122</v>
      </c>
      <c r="D5182" s="9">
        <v>41390.591435185182</v>
      </c>
      <c r="E5182" t="s">
        <v>8</v>
      </c>
      <c r="F5182">
        <f t="shared" ca="1" si="162"/>
        <v>1.7583333333333333</v>
      </c>
      <c r="G5182">
        <f t="shared" ca="1" si="163"/>
        <v>0</v>
      </c>
    </row>
    <row r="5183" spans="1:7">
      <c r="A5183">
        <v>6564</v>
      </c>
      <c r="B5183" t="s">
        <v>20</v>
      </c>
      <c r="C5183" t="s">
        <v>122</v>
      </c>
      <c r="D5183" s="9">
        <v>41719.836793981478</v>
      </c>
      <c r="E5183" t="s">
        <v>27</v>
      </c>
      <c r="F5183">
        <f t="shared" ca="1" si="162"/>
        <v>0.85555555555555551</v>
      </c>
      <c r="G5183">
        <f t="shared" ca="1" si="163"/>
        <v>1</v>
      </c>
    </row>
    <row r="5184" spans="1:7">
      <c r="A5184">
        <v>6566</v>
      </c>
      <c r="B5184" t="s">
        <v>8</v>
      </c>
      <c r="C5184" t="s">
        <v>122</v>
      </c>
      <c r="D5184" s="9">
        <v>41334.488553240742</v>
      </c>
      <c r="E5184" t="s">
        <v>19</v>
      </c>
      <c r="F5184">
        <f t="shared" ca="1" si="162"/>
        <v>1.9111111111111112</v>
      </c>
      <c r="G5184">
        <f t="shared" ca="1" si="163"/>
        <v>0</v>
      </c>
    </row>
    <row r="5185" spans="1:7">
      <c r="A5185">
        <v>6567</v>
      </c>
      <c r="B5185" t="s">
        <v>32</v>
      </c>
      <c r="C5185" t="s">
        <v>122</v>
      </c>
      <c r="D5185" s="9">
        <v>41334.783553240741</v>
      </c>
      <c r="E5185" t="s">
        <v>27</v>
      </c>
      <c r="F5185">
        <f t="shared" ca="1" si="162"/>
        <v>1.9111111111111112</v>
      </c>
      <c r="G5185">
        <f t="shared" ca="1" si="163"/>
        <v>0</v>
      </c>
    </row>
    <row r="5186" spans="1:7">
      <c r="A5186">
        <v>6568</v>
      </c>
      <c r="B5186" t="s">
        <v>32</v>
      </c>
      <c r="C5186" t="s">
        <v>122</v>
      </c>
      <c r="D5186" s="9">
        <v>41334.485243055555</v>
      </c>
      <c r="E5186" t="s">
        <v>44</v>
      </c>
      <c r="F5186">
        <f t="shared" ca="1" si="162"/>
        <v>1.9111111111111112</v>
      </c>
      <c r="G5186">
        <f t="shared" ca="1" si="163"/>
        <v>0</v>
      </c>
    </row>
    <row r="5187" spans="1:7">
      <c r="A5187">
        <v>6569</v>
      </c>
      <c r="B5187" t="s">
        <v>43</v>
      </c>
      <c r="C5187" t="s">
        <v>122</v>
      </c>
      <c r="D5187" s="9">
        <v>41334.537511574075</v>
      </c>
      <c r="E5187" t="s">
        <v>8</v>
      </c>
      <c r="F5187">
        <f t="shared" ca="1" si="162"/>
        <v>1.9111111111111112</v>
      </c>
      <c r="G5187">
        <f t="shared" ca="1" si="163"/>
        <v>0</v>
      </c>
    </row>
    <row r="5188" spans="1:7">
      <c r="A5188">
        <v>6573</v>
      </c>
      <c r="B5188" t="s">
        <v>34</v>
      </c>
      <c r="C5188" t="s">
        <v>122</v>
      </c>
      <c r="D5188" s="9">
        <v>41334.576562499999</v>
      </c>
      <c r="E5188" t="s">
        <v>44</v>
      </c>
      <c r="F5188">
        <f t="shared" ca="1" si="162"/>
        <v>1.9111111111111112</v>
      </c>
      <c r="G5188">
        <f t="shared" ca="1" si="163"/>
        <v>0</v>
      </c>
    </row>
    <row r="5189" spans="1:7">
      <c r="A5189">
        <v>6580</v>
      </c>
      <c r="B5189" t="s">
        <v>21</v>
      </c>
      <c r="C5189" t="s">
        <v>122</v>
      </c>
      <c r="D5189" s="9">
        <v>41339.902800925927</v>
      </c>
      <c r="E5189" t="s">
        <v>20</v>
      </c>
      <c r="F5189">
        <f t="shared" ca="1" si="162"/>
        <v>1.8972222222222221</v>
      </c>
      <c r="G5189">
        <f t="shared" ca="1" si="163"/>
        <v>0</v>
      </c>
    </row>
    <row r="5190" spans="1:7">
      <c r="A5190">
        <v>6582</v>
      </c>
      <c r="B5190" t="s">
        <v>8</v>
      </c>
      <c r="C5190" t="s">
        <v>122</v>
      </c>
      <c r="D5190" s="9">
        <v>41334.54310185185</v>
      </c>
      <c r="E5190" t="s">
        <v>24</v>
      </c>
      <c r="F5190">
        <f t="shared" ca="1" si="162"/>
        <v>1.9111111111111112</v>
      </c>
      <c r="G5190">
        <f t="shared" ca="1" si="163"/>
        <v>0</v>
      </c>
    </row>
    <row r="5191" spans="1:7">
      <c r="A5191">
        <v>6588</v>
      </c>
      <c r="B5191" t="s">
        <v>19</v>
      </c>
      <c r="C5191" t="s">
        <v>122</v>
      </c>
      <c r="D5191" s="9">
        <v>41334.449456018519</v>
      </c>
      <c r="E5191" t="s">
        <v>112</v>
      </c>
      <c r="F5191">
        <f t="shared" ref="F5191:F5254" ca="1" si="164">YEARFRAC(TODAY(),$D5191)</f>
        <v>1.9111111111111112</v>
      </c>
      <c r="G5191">
        <f t="shared" ref="G5191:G5254" ca="1" si="165">IF($F5191&lt;1,1,0)</f>
        <v>0</v>
      </c>
    </row>
    <row r="5192" spans="1:7">
      <c r="A5192">
        <v>6594</v>
      </c>
      <c r="B5192" t="s">
        <v>24</v>
      </c>
      <c r="C5192" t="s">
        <v>121</v>
      </c>
      <c r="D5192" s="9">
        <v>41481.469652777778</v>
      </c>
      <c r="E5192" t="s">
        <v>17</v>
      </c>
      <c r="F5192">
        <f t="shared" ca="1" si="164"/>
        <v>1.5083333333333333</v>
      </c>
      <c r="G5192">
        <f t="shared" ca="1" si="165"/>
        <v>0</v>
      </c>
    </row>
    <row r="5193" spans="1:7">
      <c r="A5193">
        <v>6599</v>
      </c>
      <c r="B5193" t="s">
        <v>45</v>
      </c>
      <c r="C5193" t="s">
        <v>122</v>
      </c>
      <c r="D5193" s="9">
        <v>41334.695717592593</v>
      </c>
      <c r="E5193" t="s">
        <v>11</v>
      </c>
      <c r="F5193">
        <f t="shared" ca="1" si="164"/>
        <v>1.9111111111111112</v>
      </c>
      <c r="G5193">
        <f t="shared" ca="1" si="165"/>
        <v>0</v>
      </c>
    </row>
    <row r="5194" spans="1:7">
      <c r="A5194">
        <v>6600</v>
      </c>
      <c r="B5194" t="s">
        <v>43</v>
      </c>
      <c r="C5194" t="s">
        <v>122</v>
      </c>
      <c r="D5194" s="9">
        <v>41334.690405092595</v>
      </c>
      <c r="E5194" t="s">
        <v>36</v>
      </c>
      <c r="F5194">
        <f t="shared" ca="1" si="164"/>
        <v>1.9111111111111112</v>
      </c>
      <c r="G5194">
        <f t="shared" ca="1" si="165"/>
        <v>0</v>
      </c>
    </row>
    <row r="5195" spans="1:7">
      <c r="A5195">
        <v>6601</v>
      </c>
      <c r="B5195" t="s">
        <v>19</v>
      </c>
      <c r="C5195" t="s">
        <v>122</v>
      </c>
      <c r="D5195" s="9">
        <v>41334.44903935185</v>
      </c>
      <c r="E5195" t="s">
        <v>112</v>
      </c>
      <c r="F5195">
        <f t="shared" ca="1" si="164"/>
        <v>1.9111111111111112</v>
      </c>
      <c r="G5195">
        <f t="shared" ca="1" si="165"/>
        <v>0</v>
      </c>
    </row>
    <row r="5196" spans="1:7">
      <c r="A5196">
        <v>6602</v>
      </c>
      <c r="B5196" t="s">
        <v>50</v>
      </c>
      <c r="C5196" t="s">
        <v>122</v>
      </c>
      <c r="D5196" s="9">
        <v>41341.695659722223</v>
      </c>
      <c r="E5196" t="s">
        <v>34</v>
      </c>
      <c r="F5196">
        <f t="shared" ca="1" si="164"/>
        <v>1.8916666666666666</v>
      </c>
      <c r="G5196">
        <f t="shared" ca="1" si="165"/>
        <v>0</v>
      </c>
    </row>
    <row r="5197" spans="1:7">
      <c r="A5197">
        <v>6603</v>
      </c>
      <c r="B5197" t="s">
        <v>8</v>
      </c>
      <c r="C5197" t="s">
        <v>122</v>
      </c>
      <c r="D5197" s="9">
        <v>41380.479050925926</v>
      </c>
      <c r="E5197" t="s">
        <v>34</v>
      </c>
      <c r="F5197">
        <f t="shared" ca="1" si="164"/>
        <v>1.7861111111111112</v>
      </c>
      <c r="G5197">
        <f t="shared" ca="1" si="165"/>
        <v>0</v>
      </c>
    </row>
    <row r="5198" spans="1:7">
      <c r="A5198">
        <v>6612</v>
      </c>
      <c r="B5198" t="s">
        <v>38</v>
      </c>
      <c r="C5198" t="s">
        <v>122</v>
      </c>
      <c r="D5198" s="9">
        <v>41334.668437499997</v>
      </c>
      <c r="E5198" t="s">
        <v>36</v>
      </c>
      <c r="F5198">
        <f t="shared" ca="1" si="164"/>
        <v>1.9111111111111112</v>
      </c>
      <c r="G5198">
        <f t="shared" ca="1" si="165"/>
        <v>0</v>
      </c>
    </row>
    <row r="5199" spans="1:7">
      <c r="A5199">
        <v>6616</v>
      </c>
      <c r="B5199" t="s">
        <v>18</v>
      </c>
      <c r="C5199" t="s">
        <v>118</v>
      </c>
      <c r="D5199" s="9">
        <v>41711.380474537036</v>
      </c>
      <c r="E5199" t="s">
        <v>34</v>
      </c>
      <c r="F5199">
        <f t="shared" ca="1" si="164"/>
        <v>0.87777777777777777</v>
      </c>
      <c r="G5199">
        <f t="shared" ca="1" si="165"/>
        <v>1</v>
      </c>
    </row>
    <row r="5200" spans="1:7">
      <c r="A5200">
        <v>6617</v>
      </c>
      <c r="B5200" t="s">
        <v>50</v>
      </c>
      <c r="C5200" t="s">
        <v>122</v>
      </c>
      <c r="D5200" s="9">
        <v>41355.64502314815</v>
      </c>
      <c r="E5200" t="s">
        <v>34</v>
      </c>
      <c r="F5200">
        <f t="shared" ca="1" si="164"/>
        <v>1.8527777777777779</v>
      </c>
      <c r="G5200">
        <f t="shared" ca="1" si="165"/>
        <v>0</v>
      </c>
    </row>
    <row r="5201" spans="1:7">
      <c r="A5201">
        <v>6619</v>
      </c>
      <c r="B5201" t="s">
        <v>19</v>
      </c>
      <c r="C5201" t="s">
        <v>122</v>
      </c>
      <c r="D5201" s="9">
        <v>41334.466886574075</v>
      </c>
      <c r="E5201" t="s">
        <v>112</v>
      </c>
      <c r="F5201">
        <f t="shared" ca="1" si="164"/>
        <v>1.9111111111111112</v>
      </c>
      <c r="G5201">
        <f t="shared" ca="1" si="165"/>
        <v>0</v>
      </c>
    </row>
    <row r="5202" spans="1:7">
      <c r="A5202">
        <v>6621</v>
      </c>
      <c r="B5202" t="s">
        <v>34</v>
      </c>
      <c r="C5202" t="s">
        <v>122</v>
      </c>
      <c r="D5202" s="9">
        <v>41416.489988425928</v>
      </c>
      <c r="E5202" t="s">
        <v>21</v>
      </c>
      <c r="F5202">
        <f t="shared" ca="1" si="164"/>
        <v>1.6861111111111111</v>
      </c>
      <c r="G5202">
        <f t="shared" ca="1" si="165"/>
        <v>0</v>
      </c>
    </row>
    <row r="5203" spans="1:7">
      <c r="A5203">
        <v>6622</v>
      </c>
      <c r="B5203" t="s">
        <v>14</v>
      </c>
      <c r="C5203" t="s">
        <v>118</v>
      </c>
      <c r="D5203" s="9">
        <v>41688.54241898148</v>
      </c>
      <c r="E5203" t="s">
        <v>34</v>
      </c>
      <c r="F5203">
        <f t="shared" ca="1" si="164"/>
        <v>0.94722222222222219</v>
      </c>
      <c r="G5203">
        <f t="shared" ca="1" si="165"/>
        <v>1</v>
      </c>
    </row>
    <row r="5204" spans="1:7">
      <c r="A5204">
        <v>6623</v>
      </c>
      <c r="B5204" t="s">
        <v>19</v>
      </c>
      <c r="C5204" t="s">
        <v>122</v>
      </c>
      <c r="D5204" s="9">
        <v>41334.585729166669</v>
      </c>
      <c r="E5204" t="s">
        <v>27</v>
      </c>
      <c r="F5204">
        <f t="shared" ca="1" si="164"/>
        <v>1.9111111111111112</v>
      </c>
      <c r="G5204">
        <f t="shared" ca="1" si="165"/>
        <v>0</v>
      </c>
    </row>
    <row r="5205" spans="1:7">
      <c r="A5205">
        <v>6630</v>
      </c>
      <c r="B5205" t="s">
        <v>20</v>
      </c>
      <c r="C5205" t="s">
        <v>122</v>
      </c>
      <c r="D5205" s="9">
        <v>41383.670532407406</v>
      </c>
      <c r="E5205" t="s">
        <v>36</v>
      </c>
      <c r="F5205">
        <f t="shared" ca="1" si="164"/>
        <v>1.7777777777777777</v>
      </c>
      <c r="G5205">
        <f t="shared" ca="1" si="165"/>
        <v>0</v>
      </c>
    </row>
    <row r="5206" spans="1:7">
      <c r="A5206">
        <v>6633</v>
      </c>
      <c r="B5206" t="s">
        <v>45</v>
      </c>
      <c r="C5206" t="s">
        <v>122</v>
      </c>
      <c r="D5206" s="9">
        <v>41334.628541666665</v>
      </c>
      <c r="E5206" t="s">
        <v>20</v>
      </c>
      <c r="F5206">
        <f t="shared" ca="1" si="164"/>
        <v>1.9111111111111112</v>
      </c>
      <c r="G5206">
        <f t="shared" ca="1" si="165"/>
        <v>0</v>
      </c>
    </row>
    <row r="5207" spans="1:7">
      <c r="A5207">
        <v>6634</v>
      </c>
      <c r="B5207" t="s">
        <v>27</v>
      </c>
      <c r="C5207" t="s">
        <v>122</v>
      </c>
      <c r="D5207" s="9">
        <v>41334.924756944441</v>
      </c>
      <c r="E5207" t="s">
        <v>38</v>
      </c>
      <c r="F5207">
        <f t="shared" ca="1" si="164"/>
        <v>1.9111111111111112</v>
      </c>
      <c r="G5207">
        <f t="shared" ca="1" si="165"/>
        <v>0</v>
      </c>
    </row>
    <row r="5208" spans="1:7">
      <c r="A5208">
        <v>6635</v>
      </c>
      <c r="B5208" t="s">
        <v>30</v>
      </c>
      <c r="C5208" t="s">
        <v>122</v>
      </c>
      <c r="D5208" s="9">
        <v>41369.533472222225</v>
      </c>
      <c r="E5208" t="s">
        <v>36</v>
      </c>
      <c r="F5208">
        <f t="shared" ca="1" si="164"/>
        <v>1.8166666666666667</v>
      </c>
      <c r="G5208">
        <f t="shared" ca="1" si="165"/>
        <v>0</v>
      </c>
    </row>
    <row r="5209" spans="1:7">
      <c r="A5209">
        <v>6640</v>
      </c>
      <c r="B5209" t="s">
        <v>32</v>
      </c>
      <c r="C5209" t="s">
        <v>122</v>
      </c>
      <c r="D5209" s="9">
        <v>41334.461585648147</v>
      </c>
      <c r="E5209" t="s">
        <v>8</v>
      </c>
      <c r="F5209">
        <f t="shared" ca="1" si="164"/>
        <v>1.9111111111111112</v>
      </c>
      <c r="G5209">
        <f t="shared" ca="1" si="165"/>
        <v>0</v>
      </c>
    </row>
    <row r="5210" spans="1:7">
      <c r="A5210">
        <v>6644</v>
      </c>
      <c r="B5210" t="s">
        <v>43</v>
      </c>
      <c r="C5210" t="s">
        <v>122</v>
      </c>
      <c r="D5210" s="9">
        <v>41361.600324074076</v>
      </c>
      <c r="E5210" t="s">
        <v>24</v>
      </c>
      <c r="F5210">
        <f t="shared" ca="1" si="164"/>
        <v>1.836111111111111</v>
      </c>
      <c r="G5210">
        <f t="shared" ca="1" si="165"/>
        <v>0</v>
      </c>
    </row>
    <row r="5211" spans="1:7">
      <c r="A5211">
        <v>6645</v>
      </c>
      <c r="B5211" t="s">
        <v>20</v>
      </c>
      <c r="C5211" t="s">
        <v>122</v>
      </c>
      <c r="D5211" s="9">
        <v>41334.586608796293</v>
      </c>
      <c r="E5211" t="s">
        <v>27</v>
      </c>
      <c r="F5211">
        <f t="shared" ca="1" si="164"/>
        <v>1.9111111111111112</v>
      </c>
      <c r="G5211">
        <f t="shared" ca="1" si="165"/>
        <v>0</v>
      </c>
    </row>
    <row r="5212" spans="1:7">
      <c r="A5212">
        <v>6646</v>
      </c>
      <c r="B5212" t="s">
        <v>19</v>
      </c>
      <c r="C5212" t="s">
        <v>122</v>
      </c>
      <c r="D5212" s="9">
        <v>41354.61141203704</v>
      </c>
      <c r="E5212" t="s">
        <v>20</v>
      </c>
      <c r="F5212">
        <f t="shared" ca="1" si="164"/>
        <v>1.8555555555555556</v>
      </c>
      <c r="G5212">
        <f t="shared" ca="1" si="165"/>
        <v>0</v>
      </c>
    </row>
    <row r="5213" spans="1:7">
      <c r="A5213">
        <v>6653</v>
      </c>
      <c r="B5213" t="s">
        <v>8</v>
      </c>
      <c r="C5213" t="s">
        <v>122</v>
      </c>
      <c r="D5213" s="9">
        <v>41369.533414351848</v>
      </c>
      <c r="E5213" t="s">
        <v>11</v>
      </c>
      <c r="F5213">
        <f t="shared" ca="1" si="164"/>
        <v>1.8166666666666667</v>
      </c>
      <c r="G5213">
        <f t="shared" ca="1" si="165"/>
        <v>0</v>
      </c>
    </row>
    <row r="5214" spans="1:7">
      <c r="A5214">
        <v>6654</v>
      </c>
      <c r="B5214" t="s">
        <v>44</v>
      </c>
      <c r="C5214" t="s">
        <v>121</v>
      </c>
      <c r="D5214" s="9">
        <v>41446.585856481484</v>
      </c>
      <c r="E5214" t="s">
        <v>30</v>
      </c>
      <c r="F5214">
        <f t="shared" ca="1" si="164"/>
        <v>1.6055555555555556</v>
      </c>
      <c r="G5214">
        <f t="shared" ca="1" si="165"/>
        <v>0</v>
      </c>
    </row>
    <row r="5215" spans="1:7">
      <c r="A5215">
        <v>6655</v>
      </c>
      <c r="B5215" t="s">
        <v>8</v>
      </c>
      <c r="C5215" t="s">
        <v>122</v>
      </c>
      <c r="D5215" s="9">
        <v>41354.611377314817</v>
      </c>
      <c r="E5215" t="s">
        <v>11</v>
      </c>
      <c r="F5215">
        <f t="shared" ca="1" si="164"/>
        <v>1.8555555555555556</v>
      </c>
      <c r="G5215">
        <f t="shared" ca="1" si="165"/>
        <v>0</v>
      </c>
    </row>
    <row r="5216" spans="1:7">
      <c r="A5216">
        <v>6656</v>
      </c>
      <c r="B5216" t="s">
        <v>23</v>
      </c>
      <c r="C5216" t="s">
        <v>122</v>
      </c>
      <c r="D5216" s="9">
        <v>41382.643252314818</v>
      </c>
      <c r="E5216" t="s">
        <v>24</v>
      </c>
      <c r="F5216">
        <f t="shared" ca="1" si="164"/>
        <v>1.7805555555555554</v>
      </c>
      <c r="G5216">
        <f t="shared" ca="1" si="165"/>
        <v>0</v>
      </c>
    </row>
    <row r="5217" spans="1:7">
      <c r="A5217">
        <v>6657</v>
      </c>
      <c r="B5217" t="s">
        <v>8</v>
      </c>
      <c r="C5217" t="s">
        <v>122</v>
      </c>
      <c r="D5217" s="9">
        <v>41337.665902777779</v>
      </c>
      <c r="E5217" t="s">
        <v>11</v>
      </c>
      <c r="F5217">
        <f t="shared" ca="1" si="164"/>
        <v>1.9027777777777777</v>
      </c>
      <c r="G5217">
        <f t="shared" ca="1" si="165"/>
        <v>0</v>
      </c>
    </row>
    <row r="5218" spans="1:7">
      <c r="A5218">
        <v>6659</v>
      </c>
      <c r="B5218" t="s">
        <v>19</v>
      </c>
      <c r="C5218" t="s">
        <v>122</v>
      </c>
      <c r="D5218" s="9">
        <v>41354.61142361111</v>
      </c>
      <c r="E5218" t="s">
        <v>20</v>
      </c>
      <c r="F5218">
        <f t="shared" ca="1" si="164"/>
        <v>1.8555555555555556</v>
      </c>
      <c r="G5218">
        <f t="shared" ca="1" si="165"/>
        <v>0</v>
      </c>
    </row>
    <row r="5219" spans="1:7">
      <c r="A5219">
        <v>6661</v>
      </c>
      <c r="B5219" t="s">
        <v>45</v>
      </c>
      <c r="C5219" t="s">
        <v>121</v>
      </c>
      <c r="D5219" s="9">
        <v>41423.761770833335</v>
      </c>
      <c r="E5219" t="s">
        <v>11</v>
      </c>
      <c r="F5219">
        <f t="shared" ca="1" si="164"/>
        <v>1.6666666666666667</v>
      </c>
      <c r="G5219">
        <f t="shared" ca="1" si="165"/>
        <v>0</v>
      </c>
    </row>
    <row r="5220" spans="1:7">
      <c r="A5220">
        <v>6662</v>
      </c>
      <c r="B5220" t="s">
        <v>36</v>
      </c>
      <c r="C5220" t="s">
        <v>122</v>
      </c>
      <c r="D5220" s="9">
        <v>41369.532997685186</v>
      </c>
      <c r="E5220" t="s">
        <v>27</v>
      </c>
      <c r="F5220">
        <f t="shared" ca="1" si="164"/>
        <v>1.8166666666666667</v>
      </c>
      <c r="G5220">
        <f t="shared" ca="1" si="165"/>
        <v>0</v>
      </c>
    </row>
    <row r="5221" spans="1:7">
      <c r="A5221">
        <v>6664</v>
      </c>
      <c r="B5221" t="s">
        <v>19</v>
      </c>
      <c r="C5221" t="s">
        <v>122</v>
      </c>
      <c r="D5221" s="9">
        <v>41369.533009259256</v>
      </c>
      <c r="E5221" t="s">
        <v>51</v>
      </c>
      <c r="F5221">
        <f t="shared" ca="1" si="164"/>
        <v>1.8166666666666667</v>
      </c>
      <c r="G5221">
        <f t="shared" ca="1" si="165"/>
        <v>0</v>
      </c>
    </row>
    <row r="5222" spans="1:7">
      <c r="A5222">
        <v>6665</v>
      </c>
      <c r="B5222" t="s">
        <v>51</v>
      </c>
      <c r="C5222" t="s">
        <v>122</v>
      </c>
      <c r="D5222" s="9">
        <v>41383.670335648145</v>
      </c>
      <c r="E5222" t="s">
        <v>8</v>
      </c>
      <c r="F5222">
        <f t="shared" ca="1" si="164"/>
        <v>1.7777777777777777</v>
      </c>
      <c r="G5222">
        <f t="shared" ca="1" si="165"/>
        <v>0</v>
      </c>
    </row>
    <row r="5223" spans="1:7">
      <c r="A5223">
        <v>6666</v>
      </c>
      <c r="B5223" t="s">
        <v>19</v>
      </c>
      <c r="C5223" t="s">
        <v>122</v>
      </c>
      <c r="D5223" s="9">
        <v>41369.533032407409</v>
      </c>
      <c r="E5223" t="s">
        <v>24</v>
      </c>
      <c r="F5223">
        <f t="shared" ca="1" si="164"/>
        <v>1.8166666666666667</v>
      </c>
      <c r="G5223">
        <f t="shared" ca="1" si="165"/>
        <v>0</v>
      </c>
    </row>
    <row r="5224" spans="1:7">
      <c r="A5224">
        <v>6667</v>
      </c>
      <c r="B5224" t="s">
        <v>23</v>
      </c>
      <c r="C5224" t="s">
        <v>121</v>
      </c>
      <c r="D5224" s="9">
        <v>41481.732928240737</v>
      </c>
      <c r="E5224" t="s">
        <v>8</v>
      </c>
      <c r="F5224">
        <f t="shared" ca="1" si="164"/>
        <v>1.5083333333333333</v>
      </c>
      <c r="G5224">
        <f t="shared" ca="1" si="165"/>
        <v>0</v>
      </c>
    </row>
    <row r="5225" spans="1:7">
      <c r="A5225">
        <v>6669</v>
      </c>
      <c r="B5225" t="s">
        <v>112</v>
      </c>
      <c r="C5225" t="s">
        <v>121</v>
      </c>
      <c r="D5225" s="9">
        <v>41416.490173611113</v>
      </c>
      <c r="E5225" t="s">
        <v>8</v>
      </c>
      <c r="F5225">
        <f t="shared" ca="1" si="164"/>
        <v>1.6861111111111111</v>
      </c>
      <c r="G5225">
        <f t="shared" ca="1" si="165"/>
        <v>0</v>
      </c>
    </row>
    <row r="5226" spans="1:7">
      <c r="A5226">
        <v>6670</v>
      </c>
      <c r="B5226" t="s">
        <v>43</v>
      </c>
      <c r="C5226" t="s">
        <v>121</v>
      </c>
      <c r="D5226" s="9">
        <v>41480.468252314815</v>
      </c>
      <c r="E5226" t="s">
        <v>111</v>
      </c>
      <c r="F5226">
        <f t="shared" ca="1" si="164"/>
        <v>1.5111111111111111</v>
      </c>
      <c r="G5226">
        <f t="shared" ca="1" si="165"/>
        <v>0</v>
      </c>
    </row>
    <row r="5227" spans="1:7">
      <c r="A5227">
        <v>6675</v>
      </c>
      <c r="B5227" t="s">
        <v>43</v>
      </c>
      <c r="C5227" t="s">
        <v>122</v>
      </c>
      <c r="D5227" s="9">
        <v>41382.643252314818</v>
      </c>
      <c r="E5227" t="s">
        <v>27</v>
      </c>
      <c r="F5227">
        <f t="shared" ca="1" si="164"/>
        <v>1.7805555555555554</v>
      </c>
      <c r="G5227">
        <f t="shared" ca="1" si="165"/>
        <v>0</v>
      </c>
    </row>
    <row r="5228" spans="1:7">
      <c r="A5228">
        <v>6680</v>
      </c>
      <c r="B5228" t="s">
        <v>36</v>
      </c>
      <c r="C5228" t="s">
        <v>122</v>
      </c>
      <c r="D5228" s="9">
        <v>41382.643263888887</v>
      </c>
      <c r="E5228" t="s">
        <v>32</v>
      </c>
      <c r="F5228">
        <f t="shared" ca="1" si="164"/>
        <v>1.7805555555555554</v>
      </c>
      <c r="G5228">
        <f t="shared" ca="1" si="165"/>
        <v>0</v>
      </c>
    </row>
    <row r="5229" spans="1:7">
      <c r="A5229">
        <v>6682</v>
      </c>
      <c r="B5229" t="s">
        <v>112</v>
      </c>
      <c r="C5229" t="s">
        <v>122</v>
      </c>
      <c r="D5229" s="9">
        <v>41382.643310185187</v>
      </c>
      <c r="E5229" t="s">
        <v>20</v>
      </c>
      <c r="F5229">
        <f t="shared" ca="1" si="164"/>
        <v>1.7805555555555554</v>
      </c>
      <c r="G5229">
        <f t="shared" ca="1" si="165"/>
        <v>0</v>
      </c>
    </row>
    <row r="5230" spans="1:7">
      <c r="A5230">
        <v>6684</v>
      </c>
      <c r="B5230" t="s">
        <v>8</v>
      </c>
      <c r="C5230" t="s">
        <v>122</v>
      </c>
      <c r="D5230" s="9">
        <v>41352.5940625</v>
      </c>
      <c r="E5230" t="s">
        <v>45</v>
      </c>
      <c r="F5230">
        <f t="shared" ca="1" si="164"/>
        <v>1.8611111111111112</v>
      </c>
      <c r="G5230">
        <f t="shared" ca="1" si="165"/>
        <v>0</v>
      </c>
    </row>
    <row r="5231" spans="1:7">
      <c r="A5231">
        <v>6687</v>
      </c>
      <c r="B5231" t="s">
        <v>49</v>
      </c>
      <c r="C5231" t="s">
        <v>122</v>
      </c>
      <c r="D5231" s="9">
        <v>41383.670312499999</v>
      </c>
      <c r="E5231" t="s">
        <v>19</v>
      </c>
      <c r="F5231">
        <f t="shared" ca="1" si="164"/>
        <v>1.7777777777777777</v>
      </c>
      <c r="G5231">
        <f t="shared" ca="1" si="165"/>
        <v>0</v>
      </c>
    </row>
    <row r="5232" spans="1:7">
      <c r="A5232">
        <v>6693</v>
      </c>
      <c r="B5232" t="s">
        <v>18</v>
      </c>
      <c r="C5232" t="s">
        <v>120</v>
      </c>
      <c r="D5232" s="9">
        <v>41572.620983796296</v>
      </c>
      <c r="E5232" t="s">
        <v>30</v>
      </c>
      <c r="F5232">
        <f t="shared" ca="1" si="164"/>
        <v>1.2611111111111111</v>
      </c>
      <c r="G5232">
        <f t="shared" ca="1" si="165"/>
        <v>0</v>
      </c>
    </row>
    <row r="5233" spans="1:7">
      <c r="A5233">
        <v>6694</v>
      </c>
      <c r="B5233" t="s">
        <v>21</v>
      </c>
      <c r="C5233" t="s">
        <v>122</v>
      </c>
      <c r="D5233" s="9">
        <v>41382.643333333333</v>
      </c>
      <c r="E5233" t="s">
        <v>36</v>
      </c>
      <c r="F5233">
        <f t="shared" ca="1" si="164"/>
        <v>1.7805555555555554</v>
      </c>
      <c r="G5233">
        <f t="shared" ca="1" si="165"/>
        <v>0</v>
      </c>
    </row>
    <row r="5234" spans="1:7">
      <c r="A5234">
        <v>6695</v>
      </c>
      <c r="B5234" t="s">
        <v>44</v>
      </c>
      <c r="C5234" t="s">
        <v>122</v>
      </c>
      <c r="D5234" s="9">
        <v>41382.643321759257</v>
      </c>
      <c r="E5234" t="s">
        <v>30</v>
      </c>
      <c r="F5234">
        <f t="shared" ca="1" si="164"/>
        <v>1.7805555555555554</v>
      </c>
      <c r="G5234">
        <f t="shared" ca="1" si="165"/>
        <v>0</v>
      </c>
    </row>
    <row r="5235" spans="1:7">
      <c r="A5235">
        <v>6703</v>
      </c>
      <c r="B5235" t="s">
        <v>19</v>
      </c>
      <c r="C5235" t="s">
        <v>122</v>
      </c>
      <c r="D5235" s="9">
        <v>41369.53334490741</v>
      </c>
      <c r="E5235" t="s">
        <v>112</v>
      </c>
      <c r="F5235">
        <f t="shared" ca="1" si="164"/>
        <v>1.8166666666666667</v>
      </c>
      <c r="G5235">
        <f t="shared" ca="1" si="165"/>
        <v>0</v>
      </c>
    </row>
    <row r="5236" spans="1:7">
      <c r="A5236">
        <v>6706</v>
      </c>
      <c r="B5236" t="s">
        <v>20</v>
      </c>
      <c r="C5236" t="s">
        <v>122</v>
      </c>
      <c r="D5236" s="9">
        <v>41369.533379629633</v>
      </c>
      <c r="E5236" t="s">
        <v>27</v>
      </c>
      <c r="F5236">
        <f t="shared" ca="1" si="164"/>
        <v>1.8166666666666667</v>
      </c>
      <c r="G5236">
        <f t="shared" ca="1" si="165"/>
        <v>0</v>
      </c>
    </row>
    <row r="5237" spans="1:7">
      <c r="A5237">
        <v>6707</v>
      </c>
      <c r="B5237" t="s">
        <v>24</v>
      </c>
      <c r="C5237" t="s">
        <v>122</v>
      </c>
      <c r="D5237" s="9">
        <v>41410.944606481484</v>
      </c>
      <c r="E5237" t="s">
        <v>11</v>
      </c>
      <c r="F5237">
        <f t="shared" ca="1" si="164"/>
        <v>1.7027777777777777</v>
      </c>
      <c r="G5237">
        <f t="shared" ca="1" si="165"/>
        <v>0</v>
      </c>
    </row>
    <row r="5238" spans="1:7">
      <c r="A5238">
        <v>6708</v>
      </c>
      <c r="B5238" t="s">
        <v>8</v>
      </c>
      <c r="C5238" t="s">
        <v>122</v>
      </c>
      <c r="D5238" s="9">
        <v>41383.670243055552</v>
      </c>
      <c r="E5238" t="s">
        <v>19</v>
      </c>
      <c r="F5238">
        <f t="shared" ca="1" si="164"/>
        <v>1.7777777777777777</v>
      </c>
      <c r="G5238">
        <f t="shared" ca="1" si="165"/>
        <v>0</v>
      </c>
    </row>
    <row r="5239" spans="1:7">
      <c r="A5239">
        <v>6716</v>
      </c>
      <c r="B5239" t="s">
        <v>21</v>
      </c>
      <c r="C5239" t="s">
        <v>122</v>
      </c>
      <c r="D5239" s="9">
        <v>41383.670543981483</v>
      </c>
      <c r="E5239" t="s">
        <v>23</v>
      </c>
      <c r="F5239">
        <f t="shared" ca="1" si="164"/>
        <v>1.7777777777777777</v>
      </c>
      <c r="G5239">
        <f t="shared" ca="1" si="165"/>
        <v>0</v>
      </c>
    </row>
    <row r="5240" spans="1:7">
      <c r="A5240">
        <v>6718</v>
      </c>
      <c r="B5240" t="s">
        <v>32</v>
      </c>
      <c r="C5240" t="s">
        <v>122</v>
      </c>
      <c r="D5240" s="9">
        <v>41383.670219907406</v>
      </c>
      <c r="E5240" t="s">
        <v>38</v>
      </c>
      <c r="F5240">
        <f t="shared" ca="1" si="164"/>
        <v>1.7777777777777777</v>
      </c>
      <c r="G5240">
        <f t="shared" ca="1" si="165"/>
        <v>0</v>
      </c>
    </row>
    <row r="5241" spans="1:7">
      <c r="A5241">
        <v>6722</v>
      </c>
      <c r="B5241" t="s">
        <v>32</v>
      </c>
      <c r="C5241" t="s">
        <v>122</v>
      </c>
      <c r="D5241" s="9">
        <v>41410.94295138889</v>
      </c>
      <c r="E5241" t="s">
        <v>20</v>
      </c>
      <c r="F5241">
        <f t="shared" ca="1" si="164"/>
        <v>1.7027777777777777</v>
      </c>
      <c r="G5241">
        <f t="shared" ca="1" si="165"/>
        <v>0</v>
      </c>
    </row>
    <row r="5242" spans="1:7">
      <c r="A5242">
        <v>6725</v>
      </c>
      <c r="B5242" t="s">
        <v>8</v>
      </c>
      <c r="C5242" t="s">
        <v>122</v>
      </c>
      <c r="D5242" s="9">
        <v>41383.67015046296</v>
      </c>
      <c r="E5242" t="s">
        <v>19</v>
      </c>
      <c r="F5242">
        <f t="shared" ca="1" si="164"/>
        <v>1.7777777777777777</v>
      </c>
      <c r="G5242">
        <f t="shared" ca="1" si="165"/>
        <v>0</v>
      </c>
    </row>
    <row r="5243" spans="1:7">
      <c r="A5243">
        <v>6726</v>
      </c>
      <c r="B5243" t="s">
        <v>30</v>
      </c>
      <c r="C5243" t="s">
        <v>122</v>
      </c>
      <c r="D5243" s="9">
        <v>41380.479120370372</v>
      </c>
      <c r="E5243" t="s">
        <v>8</v>
      </c>
      <c r="F5243">
        <f t="shared" ca="1" si="164"/>
        <v>1.7861111111111112</v>
      </c>
      <c r="G5243">
        <f t="shared" ca="1" si="165"/>
        <v>0</v>
      </c>
    </row>
    <row r="5244" spans="1:7">
      <c r="A5244">
        <v>6728</v>
      </c>
      <c r="B5244" t="s">
        <v>30</v>
      </c>
      <c r="C5244" t="s">
        <v>122</v>
      </c>
      <c r="D5244" s="9">
        <v>41383.670219907406</v>
      </c>
      <c r="E5244" t="s">
        <v>8</v>
      </c>
      <c r="F5244">
        <f t="shared" ca="1" si="164"/>
        <v>1.7777777777777777</v>
      </c>
      <c r="G5244">
        <f t="shared" ca="1" si="165"/>
        <v>0</v>
      </c>
    </row>
    <row r="5245" spans="1:7">
      <c r="A5245">
        <v>6730</v>
      </c>
      <c r="B5245" t="s">
        <v>19</v>
      </c>
      <c r="C5245" t="s">
        <v>122</v>
      </c>
      <c r="D5245" s="9">
        <v>41383.670219907406</v>
      </c>
      <c r="E5245" t="s">
        <v>112</v>
      </c>
      <c r="F5245">
        <f t="shared" ca="1" si="164"/>
        <v>1.7777777777777777</v>
      </c>
      <c r="G5245">
        <f t="shared" ca="1" si="165"/>
        <v>0</v>
      </c>
    </row>
    <row r="5246" spans="1:7">
      <c r="A5246">
        <v>6732</v>
      </c>
      <c r="B5246" t="s">
        <v>8</v>
      </c>
      <c r="C5246" t="s">
        <v>122</v>
      </c>
      <c r="D5246" s="9">
        <v>41383.67019675926</v>
      </c>
      <c r="E5246" t="s">
        <v>112</v>
      </c>
      <c r="F5246">
        <f t="shared" ca="1" si="164"/>
        <v>1.7777777777777777</v>
      </c>
      <c r="G5246">
        <f t="shared" ca="1" si="165"/>
        <v>0</v>
      </c>
    </row>
    <row r="5247" spans="1:7">
      <c r="A5247">
        <v>6733</v>
      </c>
      <c r="B5247" t="s">
        <v>8</v>
      </c>
      <c r="C5247" t="s">
        <v>122</v>
      </c>
      <c r="D5247" s="9">
        <v>41383.670324074075</v>
      </c>
      <c r="E5247" t="s">
        <v>24</v>
      </c>
      <c r="F5247">
        <f t="shared" ca="1" si="164"/>
        <v>1.7777777777777777</v>
      </c>
      <c r="G5247">
        <f t="shared" ca="1" si="165"/>
        <v>0</v>
      </c>
    </row>
    <row r="5248" spans="1:7">
      <c r="A5248">
        <v>6734</v>
      </c>
      <c r="B5248" t="s">
        <v>19</v>
      </c>
      <c r="C5248" t="s">
        <v>122</v>
      </c>
      <c r="D5248" s="9">
        <v>41355.613252314812</v>
      </c>
      <c r="E5248" t="s">
        <v>27</v>
      </c>
      <c r="F5248">
        <f t="shared" ca="1" si="164"/>
        <v>1.8527777777777779</v>
      </c>
      <c r="G5248">
        <f t="shared" ca="1" si="165"/>
        <v>0</v>
      </c>
    </row>
    <row r="5249" spans="1:7">
      <c r="A5249">
        <v>6737</v>
      </c>
      <c r="B5249" t="s">
        <v>21</v>
      </c>
      <c r="C5249" t="s">
        <v>122</v>
      </c>
      <c r="D5249" s="9">
        <v>41410.944212962961</v>
      </c>
      <c r="E5249" t="s">
        <v>27</v>
      </c>
      <c r="F5249">
        <f t="shared" ca="1" si="164"/>
        <v>1.7027777777777777</v>
      </c>
      <c r="G5249">
        <f t="shared" ca="1" si="165"/>
        <v>0</v>
      </c>
    </row>
    <row r="5250" spans="1:7">
      <c r="A5250">
        <v>6738</v>
      </c>
      <c r="B5250" t="s">
        <v>11</v>
      </c>
      <c r="C5250" t="s">
        <v>122</v>
      </c>
      <c r="D5250" s="9">
        <v>41383.670231481483</v>
      </c>
      <c r="E5250" t="s">
        <v>8</v>
      </c>
      <c r="F5250">
        <f t="shared" ca="1" si="164"/>
        <v>1.7777777777777777</v>
      </c>
      <c r="G5250">
        <f t="shared" ca="1" si="165"/>
        <v>0</v>
      </c>
    </row>
    <row r="5251" spans="1:7">
      <c r="A5251">
        <v>6741</v>
      </c>
      <c r="B5251" t="s">
        <v>8</v>
      </c>
      <c r="C5251" t="s">
        <v>122</v>
      </c>
      <c r="D5251" s="9">
        <v>41397.748981481483</v>
      </c>
      <c r="E5251" t="s">
        <v>43</v>
      </c>
      <c r="F5251">
        <f t="shared" ca="1" si="164"/>
        <v>1.7388888888888889</v>
      </c>
      <c r="G5251">
        <f t="shared" ca="1" si="165"/>
        <v>0</v>
      </c>
    </row>
    <row r="5252" spans="1:7">
      <c r="A5252">
        <v>6742</v>
      </c>
      <c r="B5252" t="s">
        <v>30</v>
      </c>
      <c r="C5252" t="s">
        <v>122</v>
      </c>
      <c r="D5252" s="9">
        <v>41383.670289351852</v>
      </c>
      <c r="E5252" t="s">
        <v>44</v>
      </c>
      <c r="F5252">
        <f t="shared" ca="1" si="164"/>
        <v>1.7777777777777777</v>
      </c>
      <c r="G5252">
        <f t="shared" ca="1" si="165"/>
        <v>0</v>
      </c>
    </row>
    <row r="5253" spans="1:7">
      <c r="A5253">
        <v>6744</v>
      </c>
      <c r="B5253" t="s">
        <v>24</v>
      </c>
      <c r="C5253" t="s">
        <v>118</v>
      </c>
      <c r="D5253" s="9">
        <v>41682.6328587963</v>
      </c>
      <c r="E5253" t="s">
        <v>17</v>
      </c>
      <c r="F5253">
        <f t="shared" ca="1" si="164"/>
        <v>0.96388888888888891</v>
      </c>
      <c r="G5253">
        <f t="shared" ca="1" si="165"/>
        <v>1</v>
      </c>
    </row>
    <row r="5254" spans="1:7">
      <c r="A5254">
        <v>6746</v>
      </c>
      <c r="B5254" t="s">
        <v>21</v>
      </c>
      <c r="C5254" t="s">
        <v>122</v>
      </c>
      <c r="D5254" s="9">
        <v>41383.670266203706</v>
      </c>
      <c r="E5254" t="s">
        <v>11</v>
      </c>
      <c r="F5254">
        <f t="shared" ca="1" si="164"/>
        <v>1.7777777777777777</v>
      </c>
      <c r="G5254">
        <f t="shared" ca="1" si="165"/>
        <v>0</v>
      </c>
    </row>
    <row r="5255" spans="1:7">
      <c r="A5255">
        <v>6747</v>
      </c>
      <c r="B5255" t="s">
        <v>21</v>
      </c>
      <c r="C5255" t="s">
        <v>122</v>
      </c>
      <c r="D5255" s="9">
        <v>41410.944062499999</v>
      </c>
      <c r="E5255" t="s">
        <v>32</v>
      </c>
      <c r="F5255">
        <f t="shared" ref="F5255:F5318" ca="1" si="166">YEARFRAC(TODAY(),$D5255)</f>
        <v>1.7027777777777777</v>
      </c>
      <c r="G5255">
        <f t="shared" ref="G5255:G5318" ca="1" si="167">IF($F5255&lt;1,1,0)</f>
        <v>0</v>
      </c>
    </row>
    <row r="5256" spans="1:7">
      <c r="A5256">
        <v>6749</v>
      </c>
      <c r="B5256" t="s">
        <v>21</v>
      </c>
      <c r="C5256" t="s">
        <v>122</v>
      </c>
      <c r="D5256" s="9">
        <v>41410.943252314813</v>
      </c>
      <c r="E5256" t="s">
        <v>20</v>
      </c>
      <c r="F5256">
        <f t="shared" ca="1" si="166"/>
        <v>1.7027777777777777</v>
      </c>
      <c r="G5256">
        <f t="shared" ca="1" si="167"/>
        <v>0</v>
      </c>
    </row>
    <row r="5257" spans="1:7">
      <c r="A5257">
        <v>6750</v>
      </c>
      <c r="B5257" t="s">
        <v>21</v>
      </c>
      <c r="C5257" t="s">
        <v>122</v>
      </c>
      <c r="D5257" s="9">
        <v>41410.944282407407</v>
      </c>
      <c r="E5257" t="s">
        <v>20</v>
      </c>
      <c r="F5257">
        <f t="shared" ca="1" si="166"/>
        <v>1.7027777777777777</v>
      </c>
      <c r="G5257">
        <f t="shared" ca="1" si="167"/>
        <v>0</v>
      </c>
    </row>
    <row r="5258" spans="1:7">
      <c r="A5258">
        <v>6752</v>
      </c>
      <c r="B5258" t="s">
        <v>30</v>
      </c>
      <c r="C5258" t="s">
        <v>122</v>
      </c>
      <c r="D5258" s="9">
        <v>41416.489918981482</v>
      </c>
      <c r="E5258" t="s">
        <v>44</v>
      </c>
      <c r="F5258">
        <f t="shared" ca="1" si="166"/>
        <v>1.6861111111111111</v>
      </c>
      <c r="G5258">
        <f t="shared" ca="1" si="167"/>
        <v>0</v>
      </c>
    </row>
    <row r="5259" spans="1:7">
      <c r="A5259">
        <v>6755</v>
      </c>
      <c r="B5259" t="s">
        <v>30</v>
      </c>
      <c r="C5259" t="s">
        <v>122</v>
      </c>
      <c r="D5259" s="9">
        <v>41410.942986111113</v>
      </c>
      <c r="E5259" t="s">
        <v>34</v>
      </c>
      <c r="F5259">
        <f t="shared" ca="1" si="166"/>
        <v>1.7027777777777777</v>
      </c>
      <c r="G5259">
        <f t="shared" ca="1" si="167"/>
        <v>0</v>
      </c>
    </row>
    <row r="5260" spans="1:7">
      <c r="A5260">
        <v>6757</v>
      </c>
      <c r="B5260" t="s">
        <v>45</v>
      </c>
      <c r="C5260" t="s">
        <v>122</v>
      </c>
      <c r="D5260" s="9">
        <v>41383.670312499999</v>
      </c>
      <c r="E5260" t="s">
        <v>11</v>
      </c>
      <c r="F5260">
        <f t="shared" ca="1" si="166"/>
        <v>1.7777777777777777</v>
      </c>
      <c r="G5260">
        <f t="shared" ca="1" si="167"/>
        <v>0</v>
      </c>
    </row>
    <row r="5261" spans="1:7">
      <c r="A5261">
        <v>6758</v>
      </c>
      <c r="B5261" t="s">
        <v>54</v>
      </c>
      <c r="C5261" t="s">
        <v>122</v>
      </c>
      <c r="D5261" s="9">
        <v>41383.670428240737</v>
      </c>
      <c r="E5261" t="s">
        <v>11</v>
      </c>
      <c r="F5261">
        <f t="shared" ca="1" si="166"/>
        <v>1.7777777777777777</v>
      </c>
      <c r="G5261">
        <f t="shared" ca="1" si="167"/>
        <v>0</v>
      </c>
    </row>
    <row r="5262" spans="1:7">
      <c r="A5262">
        <v>6759</v>
      </c>
      <c r="B5262" t="s">
        <v>24</v>
      </c>
      <c r="C5262" t="s">
        <v>122</v>
      </c>
      <c r="D5262" s="9">
        <v>41383.670312499999</v>
      </c>
      <c r="E5262" t="s">
        <v>11</v>
      </c>
      <c r="F5262">
        <f t="shared" ca="1" si="166"/>
        <v>1.7777777777777777</v>
      </c>
      <c r="G5262">
        <f t="shared" ca="1" si="167"/>
        <v>0</v>
      </c>
    </row>
    <row r="5263" spans="1:7">
      <c r="A5263">
        <v>6763</v>
      </c>
      <c r="B5263" t="s">
        <v>19</v>
      </c>
      <c r="C5263" t="s">
        <v>122</v>
      </c>
      <c r="D5263" s="9">
        <v>41383.670439814814</v>
      </c>
      <c r="E5263" t="s">
        <v>24</v>
      </c>
      <c r="F5263">
        <f t="shared" ca="1" si="166"/>
        <v>1.7777777777777777</v>
      </c>
      <c r="G5263">
        <f t="shared" ca="1" si="167"/>
        <v>0</v>
      </c>
    </row>
    <row r="5264" spans="1:7">
      <c r="A5264">
        <v>6764</v>
      </c>
      <c r="B5264" t="s">
        <v>30</v>
      </c>
      <c r="C5264" t="s">
        <v>122</v>
      </c>
      <c r="D5264" s="9">
        <v>41383.670543981483</v>
      </c>
      <c r="E5264" t="s">
        <v>23</v>
      </c>
      <c r="F5264">
        <f t="shared" ca="1" si="166"/>
        <v>1.7777777777777777</v>
      </c>
      <c r="G5264">
        <f t="shared" ca="1" si="167"/>
        <v>0</v>
      </c>
    </row>
    <row r="5265" spans="1:7">
      <c r="A5265">
        <v>6765</v>
      </c>
      <c r="B5265" t="s">
        <v>32</v>
      </c>
      <c r="C5265" t="s">
        <v>122</v>
      </c>
      <c r="D5265" s="9">
        <v>41383.670451388891</v>
      </c>
      <c r="E5265" t="s">
        <v>43</v>
      </c>
      <c r="F5265">
        <f t="shared" ca="1" si="166"/>
        <v>1.7777777777777777</v>
      </c>
      <c r="G5265">
        <f t="shared" ca="1" si="167"/>
        <v>0</v>
      </c>
    </row>
    <row r="5266" spans="1:7">
      <c r="A5266">
        <v>6766</v>
      </c>
      <c r="B5266" t="s">
        <v>21</v>
      </c>
      <c r="C5266" t="s">
        <v>122</v>
      </c>
      <c r="D5266" s="9">
        <v>41410.94321759259</v>
      </c>
      <c r="E5266" t="s">
        <v>32</v>
      </c>
      <c r="F5266">
        <f t="shared" ca="1" si="166"/>
        <v>1.7027777777777777</v>
      </c>
      <c r="G5266">
        <f t="shared" ca="1" si="167"/>
        <v>0</v>
      </c>
    </row>
    <row r="5267" spans="1:7">
      <c r="A5267">
        <v>6768</v>
      </c>
      <c r="B5267" t="s">
        <v>11</v>
      </c>
      <c r="C5267" t="s">
        <v>122</v>
      </c>
      <c r="D5267" s="9">
        <v>41383.670439814814</v>
      </c>
      <c r="E5267" t="s">
        <v>21</v>
      </c>
      <c r="F5267">
        <f t="shared" ca="1" si="166"/>
        <v>1.7777777777777777</v>
      </c>
      <c r="G5267">
        <f t="shared" ca="1" si="167"/>
        <v>0</v>
      </c>
    </row>
    <row r="5268" spans="1:7">
      <c r="A5268">
        <v>6769</v>
      </c>
      <c r="B5268" t="s">
        <v>24</v>
      </c>
      <c r="C5268" t="s">
        <v>122</v>
      </c>
      <c r="D5268" s="9">
        <v>41383.670439814814</v>
      </c>
      <c r="E5268" t="s">
        <v>44</v>
      </c>
      <c r="F5268">
        <f t="shared" ca="1" si="166"/>
        <v>1.7777777777777777</v>
      </c>
      <c r="G5268">
        <f t="shared" ca="1" si="167"/>
        <v>0</v>
      </c>
    </row>
    <row r="5269" spans="1:7">
      <c r="A5269">
        <v>6770</v>
      </c>
      <c r="B5269" t="s">
        <v>8</v>
      </c>
      <c r="C5269" t="s">
        <v>122</v>
      </c>
      <c r="D5269" s="9">
        <v>41410.942916666667</v>
      </c>
      <c r="E5269" t="s">
        <v>30</v>
      </c>
      <c r="F5269">
        <f t="shared" ca="1" si="166"/>
        <v>1.7027777777777777</v>
      </c>
      <c r="G5269">
        <f t="shared" ca="1" si="167"/>
        <v>0</v>
      </c>
    </row>
    <row r="5270" spans="1:7">
      <c r="A5270">
        <v>6774</v>
      </c>
      <c r="B5270" t="s">
        <v>55</v>
      </c>
      <c r="C5270" t="s">
        <v>120</v>
      </c>
      <c r="D5270" s="9">
        <v>41570.586562500001</v>
      </c>
      <c r="E5270" t="s">
        <v>38</v>
      </c>
      <c r="F5270">
        <f t="shared" ca="1" si="166"/>
        <v>1.2666666666666666</v>
      </c>
      <c r="G5270">
        <f t="shared" ca="1" si="167"/>
        <v>0</v>
      </c>
    </row>
    <row r="5271" spans="1:7">
      <c r="A5271">
        <v>6775</v>
      </c>
      <c r="B5271" t="s">
        <v>55</v>
      </c>
      <c r="C5271" t="s">
        <v>120</v>
      </c>
      <c r="D5271" s="9">
        <v>41570.586793981478</v>
      </c>
      <c r="E5271" t="s">
        <v>38</v>
      </c>
      <c r="F5271">
        <f t="shared" ca="1" si="166"/>
        <v>1.2666666666666666</v>
      </c>
      <c r="G5271">
        <f t="shared" ca="1" si="167"/>
        <v>0</v>
      </c>
    </row>
    <row r="5272" spans="1:7">
      <c r="A5272">
        <v>6776</v>
      </c>
      <c r="B5272" t="s">
        <v>43</v>
      </c>
      <c r="C5272" t="s">
        <v>122</v>
      </c>
      <c r="D5272" s="9">
        <v>41383.670451388891</v>
      </c>
      <c r="E5272" t="s">
        <v>20</v>
      </c>
      <c r="F5272">
        <f t="shared" ca="1" si="166"/>
        <v>1.7777777777777777</v>
      </c>
      <c r="G5272">
        <f t="shared" ca="1" si="167"/>
        <v>0</v>
      </c>
    </row>
    <row r="5273" spans="1:7">
      <c r="A5273">
        <v>6782</v>
      </c>
      <c r="B5273" t="s">
        <v>8</v>
      </c>
      <c r="C5273" t="s">
        <v>122</v>
      </c>
      <c r="D5273" s="9">
        <v>41383.670474537037</v>
      </c>
      <c r="E5273" t="s">
        <v>36</v>
      </c>
      <c r="F5273">
        <f t="shared" ca="1" si="166"/>
        <v>1.7777777777777777</v>
      </c>
      <c r="G5273">
        <f t="shared" ca="1" si="167"/>
        <v>0</v>
      </c>
    </row>
    <row r="5274" spans="1:7">
      <c r="A5274">
        <v>6786</v>
      </c>
      <c r="B5274" t="s">
        <v>27</v>
      </c>
      <c r="C5274" t="s">
        <v>122</v>
      </c>
      <c r="D5274" s="9">
        <v>41383.670520833337</v>
      </c>
      <c r="E5274" t="s">
        <v>38</v>
      </c>
      <c r="F5274">
        <f t="shared" ca="1" si="166"/>
        <v>1.7777777777777777</v>
      </c>
      <c r="G5274">
        <f t="shared" ca="1" si="167"/>
        <v>0</v>
      </c>
    </row>
    <row r="5275" spans="1:7">
      <c r="A5275">
        <v>6787</v>
      </c>
      <c r="B5275" t="s">
        <v>27</v>
      </c>
      <c r="C5275" t="s">
        <v>122</v>
      </c>
      <c r="D5275" s="9">
        <v>41383.670520833337</v>
      </c>
      <c r="E5275" t="s">
        <v>38</v>
      </c>
      <c r="F5275">
        <f t="shared" ca="1" si="166"/>
        <v>1.7777777777777777</v>
      </c>
      <c r="G5275">
        <f t="shared" ca="1" si="167"/>
        <v>0</v>
      </c>
    </row>
    <row r="5276" spans="1:7">
      <c r="A5276">
        <v>6790</v>
      </c>
      <c r="B5276" t="s">
        <v>19</v>
      </c>
      <c r="C5276" t="s">
        <v>122</v>
      </c>
      <c r="D5276" s="9">
        <v>41383.692777777775</v>
      </c>
      <c r="E5276" t="s">
        <v>24</v>
      </c>
      <c r="F5276">
        <f t="shared" ca="1" si="166"/>
        <v>1.7777777777777777</v>
      </c>
      <c r="G5276">
        <f t="shared" ca="1" si="167"/>
        <v>0</v>
      </c>
    </row>
    <row r="5277" spans="1:7">
      <c r="A5277">
        <v>6792</v>
      </c>
      <c r="B5277" t="s">
        <v>43</v>
      </c>
      <c r="C5277" t="s">
        <v>122</v>
      </c>
      <c r="D5277" s="9">
        <v>41383.670543981483</v>
      </c>
      <c r="E5277" t="s">
        <v>11</v>
      </c>
      <c r="F5277">
        <f t="shared" ca="1" si="166"/>
        <v>1.7777777777777777</v>
      </c>
      <c r="G5277">
        <f t="shared" ca="1" si="167"/>
        <v>0</v>
      </c>
    </row>
    <row r="5278" spans="1:7">
      <c r="A5278">
        <v>6798</v>
      </c>
      <c r="B5278" t="s">
        <v>20</v>
      </c>
      <c r="C5278" t="s">
        <v>122</v>
      </c>
      <c r="D5278" s="9">
        <v>41383.692789351851</v>
      </c>
      <c r="E5278" t="s">
        <v>11</v>
      </c>
      <c r="F5278">
        <f t="shared" ca="1" si="166"/>
        <v>1.7777777777777777</v>
      </c>
      <c r="G5278">
        <f t="shared" ca="1" si="167"/>
        <v>0</v>
      </c>
    </row>
    <row r="5279" spans="1:7">
      <c r="A5279">
        <v>6810</v>
      </c>
      <c r="B5279" t="s">
        <v>8</v>
      </c>
      <c r="C5279" t="s">
        <v>122</v>
      </c>
      <c r="D5279" s="9">
        <v>41410.94290509259</v>
      </c>
      <c r="E5279" t="s">
        <v>36</v>
      </c>
      <c r="F5279">
        <f t="shared" ca="1" si="166"/>
        <v>1.7027777777777777</v>
      </c>
      <c r="G5279">
        <f t="shared" ca="1" si="167"/>
        <v>0</v>
      </c>
    </row>
    <row r="5280" spans="1:7">
      <c r="A5280">
        <v>6814</v>
      </c>
      <c r="B5280" t="s">
        <v>32</v>
      </c>
      <c r="C5280" t="s">
        <v>122</v>
      </c>
      <c r="D5280" s="9">
        <v>41410.942881944444</v>
      </c>
      <c r="E5280" t="s">
        <v>36</v>
      </c>
      <c r="F5280">
        <f t="shared" ca="1" si="166"/>
        <v>1.7027777777777777</v>
      </c>
      <c r="G5280">
        <f t="shared" ca="1" si="167"/>
        <v>0</v>
      </c>
    </row>
    <row r="5281" spans="1:7">
      <c r="A5281">
        <v>6817</v>
      </c>
      <c r="B5281" t="s">
        <v>43</v>
      </c>
      <c r="C5281" t="s">
        <v>122</v>
      </c>
      <c r="D5281" s="9">
        <v>41366.986493055556</v>
      </c>
      <c r="E5281" t="s">
        <v>36</v>
      </c>
      <c r="F5281">
        <f t="shared" ca="1" si="166"/>
        <v>1.825</v>
      </c>
      <c r="G5281">
        <f t="shared" ca="1" si="167"/>
        <v>0</v>
      </c>
    </row>
    <row r="5282" spans="1:7">
      <c r="A5282">
        <v>6822</v>
      </c>
      <c r="B5282" t="s">
        <v>20</v>
      </c>
      <c r="C5282" t="s">
        <v>122</v>
      </c>
      <c r="D5282" s="9">
        <v>41410.943194444444</v>
      </c>
      <c r="E5282" t="s">
        <v>21</v>
      </c>
      <c r="F5282">
        <f t="shared" ca="1" si="166"/>
        <v>1.7027777777777777</v>
      </c>
      <c r="G5282">
        <f t="shared" ca="1" si="167"/>
        <v>0</v>
      </c>
    </row>
    <row r="5283" spans="1:7">
      <c r="A5283">
        <v>6826</v>
      </c>
      <c r="B5283" t="s">
        <v>8</v>
      </c>
      <c r="C5283" t="s">
        <v>122</v>
      </c>
      <c r="D5283" s="9">
        <v>41410.943020833336</v>
      </c>
      <c r="E5283" t="s">
        <v>24</v>
      </c>
      <c r="F5283">
        <f t="shared" ca="1" si="166"/>
        <v>1.7027777777777777</v>
      </c>
      <c r="G5283">
        <f t="shared" ca="1" si="167"/>
        <v>0</v>
      </c>
    </row>
    <row r="5284" spans="1:7">
      <c r="A5284">
        <v>6827</v>
      </c>
      <c r="B5284" t="s">
        <v>20</v>
      </c>
      <c r="C5284" t="s">
        <v>121</v>
      </c>
      <c r="D5284" s="9">
        <v>41480.468402777777</v>
      </c>
      <c r="E5284" t="s">
        <v>32</v>
      </c>
      <c r="F5284">
        <f t="shared" ca="1" si="166"/>
        <v>1.5111111111111111</v>
      </c>
      <c r="G5284">
        <f t="shared" ca="1" si="167"/>
        <v>0</v>
      </c>
    </row>
    <row r="5285" spans="1:7">
      <c r="A5285">
        <v>6828</v>
      </c>
      <c r="B5285" t="s">
        <v>32</v>
      </c>
      <c r="C5285" t="s">
        <v>122</v>
      </c>
      <c r="D5285" s="9">
        <v>41416.490011574075</v>
      </c>
      <c r="E5285" t="s">
        <v>36</v>
      </c>
      <c r="F5285">
        <f t="shared" ca="1" si="166"/>
        <v>1.6861111111111111</v>
      </c>
      <c r="G5285">
        <f t="shared" ca="1" si="167"/>
        <v>0</v>
      </c>
    </row>
    <row r="5286" spans="1:7">
      <c r="A5286">
        <v>6829</v>
      </c>
      <c r="B5286" t="s">
        <v>20</v>
      </c>
      <c r="C5286" t="s">
        <v>122</v>
      </c>
      <c r="D5286" s="9">
        <v>41410.943182870367</v>
      </c>
      <c r="E5286" t="s">
        <v>8</v>
      </c>
      <c r="F5286">
        <f t="shared" ca="1" si="166"/>
        <v>1.7027777777777777</v>
      </c>
      <c r="G5286">
        <f t="shared" ca="1" si="167"/>
        <v>0</v>
      </c>
    </row>
    <row r="5287" spans="1:7">
      <c r="A5287">
        <v>6834</v>
      </c>
      <c r="B5287" t="s">
        <v>20</v>
      </c>
      <c r="C5287" t="s">
        <v>121</v>
      </c>
      <c r="D5287" s="9">
        <v>41480.468680555554</v>
      </c>
      <c r="E5287" t="s">
        <v>111</v>
      </c>
      <c r="F5287">
        <f t="shared" ca="1" si="166"/>
        <v>1.5111111111111111</v>
      </c>
      <c r="G5287">
        <f t="shared" ca="1" si="167"/>
        <v>0</v>
      </c>
    </row>
    <row r="5288" spans="1:7">
      <c r="A5288">
        <v>6837</v>
      </c>
      <c r="B5288" t="s">
        <v>36</v>
      </c>
      <c r="C5288" t="s">
        <v>122</v>
      </c>
      <c r="D5288" s="9">
        <v>41410.943784722222</v>
      </c>
      <c r="E5288" t="s">
        <v>27</v>
      </c>
      <c r="F5288">
        <f t="shared" ca="1" si="166"/>
        <v>1.7027777777777777</v>
      </c>
      <c r="G5288">
        <f t="shared" ca="1" si="167"/>
        <v>0</v>
      </c>
    </row>
    <row r="5289" spans="1:7">
      <c r="A5289">
        <v>6840</v>
      </c>
      <c r="B5289" t="s">
        <v>54</v>
      </c>
      <c r="C5289" t="s">
        <v>121</v>
      </c>
      <c r="D5289" s="9">
        <v>41480.468900462962</v>
      </c>
      <c r="E5289" t="s">
        <v>32</v>
      </c>
      <c r="F5289">
        <f t="shared" ca="1" si="166"/>
        <v>1.5111111111111111</v>
      </c>
      <c r="G5289">
        <f t="shared" ca="1" si="167"/>
        <v>0</v>
      </c>
    </row>
    <row r="5290" spans="1:7">
      <c r="A5290">
        <v>6841</v>
      </c>
      <c r="B5290" t="s">
        <v>23</v>
      </c>
      <c r="C5290" t="s">
        <v>122</v>
      </c>
      <c r="D5290" s="9">
        <v>41416.489918981482</v>
      </c>
      <c r="E5290" t="s">
        <v>27</v>
      </c>
      <c r="F5290">
        <f t="shared" ca="1" si="166"/>
        <v>1.6861111111111111</v>
      </c>
      <c r="G5290">
        <f t="shared" ca="1" si="167"/>
        <v>0</v>
      </c>
    </row>
    <row r="5291" spans="1:7">
      <c r="A5291">
        <v>6844</v>
      </c>
      <c r="B5291" t="s">
        <v>21</v>
      </c>
      <c r="C5291" t="s">
        <v>122</v>
      </c>
      <c r="D5291" s="9">
        <v>41410.943796296298</v>
      </c>
      <c r="E5291" t="s">
        <v>11</v>
      </c>
      <c r="F5291">
        <f t="shared" ca="1" si="166"/>
        <v>1.7027777777777777</v>
      </c>
      <c r="G5291">
        <f t="shared" ca="1" si="167"/>
        <v>0</v>
      </c>
    </row>
    <row r="5292" spans="1:7">
      <c r="A5292">
        <v>6846</v>
      </c>
      <c r="B5292" t="s">
        <v>20</v>
      </c>
      <c r="C5292" t="s">
        <v>122</v>
      </c>
      <c r="D5292" s="9">
        <v>41410.943414351852</v>
      </c>
      <c r="E5292" t="s">
        <v>8</v>
      </c>
      <c r="F5292">
        <f t="shared" ca="1" si="166"/>
        <v>1.7027777777777777</v>
      </c>
      <c r="G5292">
        <f t="shared" ca="1" si="167"/>
        <v>0</v>
      </c>
    </row>
    <row r="5293" spans="1:7">
      <c r="A5293">
        <v>6848</v>
      </c>
      <c r="B5293" t="s">
        <v>54</v>
      </c>
      <c r="C5293" t="s">
        <v>121</v>
      </c>
      <c r="D5293" s="9">
        <v>41480.46912037037</v>
      </c>
      <c r="E5293" t="s">
        <v>32</v>
      </c>
      <c r="F5293">
        <f t="shared" ca="1" si="166"/>
        <v>1.5111111111111111</v>
      </c>
      <c r="G5293">
        <f t="shared" ca="1" si="167"/>
        <v>0</v>
      </c>
    </row>
    <row r="5294" spans="1:7">
      <c r="A5294">
        <v>6849</v>
      </c>
      <c r="B5294" t="s">
        <v>27</v>
      </c>
      <c r="C5294" t="s">
        <v>122</v>
      </c>
      <c r="D5294" s="9">
        <v>41410.944560185184</v>
      </c>
      <c r="E5294" t="s">
        <v>38</v>
      </c>
      <c r="F5294">
        <f t="shared" ca="1" si="166"/>
        <v>1.7027777777777777</v>
      </c>
      <c r="G5294">
        <f t="shared" ca="1" si="167"/>
        <v>0</v>
      </c>
    </row>
    <row r="5295" spans="1:7">
      <c r="A5295">
        <v>6850</v>
      </c>
      <c r="B5295" t="s">
        <v>50</v>
      </c>
      <c r="C5295" t="s">
        <v>122</v>
      </c>
      <c r="D5295" s="9">
        <v>41410.944560185184</v>
      </c>
      <c r="E5295" t="s">
        <v>34</v>
      </c>
      <c r="F5295">
        <f t="shared" ca="1" si="166"/>
        <v>1.7027777777777777</v>
      </c>
      <c r="G5295">
        <f t="shared" ca="1" si="167"/>
        <v>0</v>
      </c>
    </row>
    <row r="5296" spans="1:7">
      <c r="A5296">
        <v>6856</v>
      </c>
      <c r="B5296" t="s">
        <v>23</v>
      </c>
      <c r="C5296" t="s">
        <v>121</v>
      </c>
      <c r="D5296" s="9">
        <v>41428.560231481482</v>
      </c>
      <c r="E5296" t="s">
        <v>20</v>
      </c>
      <c r="F5296">
        <f t="shared" ca="1" si="166"/>
        <v>1.6555555555555554</v>
      </c>
      <c r="G5296">
        <f t="shared" ca="1" si="167"/>
        <v>0</v>
      </c>
    </row>
    <row r="5297" spans="1:7">
      <c r="A5297">
        <v>6857</v>
      </c>
      <c r="B5297" t="s">
        <v>36</v>
      </c>
      <c r="C5297" t="s">
        <v>122</v>
      </c>
      <c r="D5297" s="9">
        <v>41410.943541666667</v>
      </c>
      <c r="E5297" t="s">
        <v>38</v>
      </c>
      <c r="F5297">
        <f t="shared" ca="1" si="166"/>
        <v>1.7027777777777777</v>
      </c>
      <c r="G5297">
        <f t="shared" ca="1" si="167"/>
        <v>0</v>
      </c>
    </row>
    <row r="5298" spans="1:7">
      <c r="A5298">
        <v>6858</v>
      </c>
      <c r="B5298" t="s">
        <v>20</v>
      </c>
      <c r="C5298" t="s">
        <v>122</v>
      </c>
      <c r="D5298" s="9">
        <v>41410.944189814814</v>
      </c>
      <c r="E5298" t="s">
        <v>27</v>
      </c>
      <c r="F5298">
        <f t="shared" ca="1" si="166"/>
        <v>1.7027777777777777</v>
      </c>
      <c r="G5298">
        <f t="shared" ca="1" si="167"/>
        <v>0</v>
      </c>
    </row>
    <row r="5299" spans="1:7">
      <c r="A5299">
        <v>6859</v>
      </c>
      <c r="B5299" t="s">
        <v>19</v>
      </c>
      <c r="C5299" t="s">
        <v>122</v>
      </c>
      <c r="D5299" s="9">
        <v>41410.943749999999</v>
      </c>
      <c r="E5299" t="s">
        <v>24</v>
      </c>
      <c r="F5299">
        <f t="shared" ca="1" si="166"/>
        <v>1.7027777777777777</v>
      </c>
      <c r="G5299">
        <f t="shared" ca="1" si="167"/>
        <v>0</v>
      </c>
    </row>
    <row r="5300" spans="1:7">
      <c r="A5300">
        <v>6860</v>
      </c>
      <c r="B5300" t="s">
        <v>8</v>
      </c>
      <c r="C5300" t="s">
        <v>122</v>
      </c>
      <c r="D5300" s="9">
        <v>41416.49</v>
      </c>
      <c r="E5300" t="s">
        <v>24</v>
      </c>
      <c r="F5300">
        <f t="shared" ca="1" si="166"/>
        <v>1.6861111111111111</v>
      </c>
      <c r="G5300">
        <f t="shared" ca="1" si="167"/>
        <v>0</v>
      </c>
    </row>
    <row r="5301" spans="1:7">
      <c r="A5301">
        <v>6863</v>
      </c>
      <c r="B5301" t="s">
        <v>21</v>
      </c>
      <c r="C5301" t="s">
        <v>120</v>
      </c>
      <c r="D5301" s="9">
        <v>41570.474733796298</v>
      </c>
      <c r="E5301" t="s">
        <v>20</v>
      </c>
      <c r="F5301">
        <f t="shared" ca="1" si="166"/>
        <v>1.2666666666666666</v>
      </c>
      <c r="G5301">
        <f t="shared" ca="1" si="167"/>
        <v>0</v>
      </c>
    </row>
    <row r="5302" spans="1:7">
      <c r="A5302">
        <v>6865</v>
      </c>
      <c r="B5302" t="s">
        <v>23</v>
      </c>
      <c r="C5302" t="s">
        <v>122</v>
      </c>
      <c r="D5302" s="9">
        <v>41424.586030092592</v>
      </c>
      <c r="E5302" t="s">
        <v>27</v>
      </c>
      <c r="F5302">
        <f t="shared" ca="1" si="166"/>
        <v>1.663888888888889</v>
      </c>
      <c r="G5302">
        <f t="shared" ca="1" si="167"/>
        <v>0</v>
      </c>
    </row>
    <row r="5303" spans="1:7">
      <c r="A5303">
        <v>6866</v>
      </c>
      <c r="B5303" t="s">
        <v>49</v>
      </c>
      <c r="C5303" t="s">
        <v>122</v>
      </c>
      <c r="D5303" s="9">
        <v>41410.944224537037</v>
      </c>
      <c r="E5303" t="s">
        <v>8</v>
      </c>
      <c r="F5303">
        <f t="shared" ca="1" si="166"/>
        <v>1.7027777777777777</v>
      </c>
      <c r="G5303">
        <f t="shared" ca="1" si="167"/>
        <v>0</v>
      </c>
    </row>
    <row r="5304" spans="1:7">
      <c r="A5304">
        <v>6871</v>
      </c>
      <c r="B5304" t="s">
        <v>45</v>
      </c>
      <c r="C5304" t="s">
        <v>122</v>
      </c>
      <c r="D5304" s="9">
        <v>41416.489976851852</v>
      </c>
      <c r="E5304" t="s">
        <v>11</v>
      </c>
      <c r="F5304">
        <f t="shared" ca="1" si="166"/>
        <v>1.6861111111111111</v>
      </c>
      <c r="G5304">
        <f t="shared" ca="1" si="167"/>
        <v>0</v>
      </c>
    </row>
    <row r="5305" spans="1:7">
      <c r="A5305">
        <v>6873</v>
      </c>
      <c r="B5305" t="s">
        <v>8</v>
      </c>
      <c r="C5305" t="s">
        <v>122</v>
      </c>
      <c r="D5305" s="9">
        <v>41410.944131944445</v>
      </c>
      <c r="E5305" t="s">
        <v>20</v>
      </c>
      <c r="F5305">
        <f t="shared" ca="1" si="166"/>
        <v>1.7027777777777777</v>
      </c>
      <c r="G5305">
        <f t="shared" ca="1" si="167"/>
        <v>0</v>
      </c>
    </row>
    <row r="5306" spans="1:7">
      <c r="A5306">
        <v>6878</v>
      </c>
      <c r="B5306" t="s">
        <v>20</v>
      </c>
      <c r="C5306" t="s">
        <v>122</v>
      </c>
      <c r="D5306" s="9">
        <v>41410.94425925926</v>
      </c>
      <c r="E5306" t="s">
        <v>8</v>
      </c>
      <c r="F5306">
        <f t="shared" ca="1" si="166"/>
        <v>1.7027777777777777</v>
      </c>
      <c r="G5306">
        <f t="shared" ca="1" si="167"/>
        <v>0</v>
      </c>
    </row>
    <row r="5307" spans="1:7">
      <c r="A5307">
        <v>6880</v>
      </c>
      <c r="B5307" t="s">
        <v>8</v>
      </c>
      <c r="C5307" t="s">
        <v>122</v>
      </c>
      <c r="D5307" s="9">
        <v>41410.94425925926</v>
      </c>
      <c r="E5307" t="s">
        <v>20</v>
      </c>
      <c r="F5307">
        <f t="shared" ca="1" si="166"/>
        <v>1.7027777777777777</v>
      </c>
      <c r="G5307">
        <f t="shared" ca="1" si="167"/>
        <v>0</v>
      </c>
    </row>
    <row r="5308" spans="1:7">
      <c r="A5308">
        <v>6881</v>
      </c>
      <c r="B5308" t="s">
        <v>21</v>
      </c>
      <c r="C5308" t="s">
        <v>122</v>
      </c>
      <c r="D5308" s="9">
        <v>41416.490011574075</v>
      </c>
      <c r="E5308" t="s">
        <v>34</v>
      </c>
      <c r="F5308">
        <f t="shared" ca="1" si="166"/>
        <v>1.6861111111111111</v>
      </c>
      <c r="G5308">
        <f t="shared" ca="1" si="167"/>
        <v>0</v>
      </c>
    </row>
    <row r="5309" spans="1:7">
      <c r="A5309">
        <v>6882</v>
      </c>
      <c r="B5309" t="s">
        <v>8</v>
      </c>
      <c r="C5309" t="s">
        <v>122</v>
      </c>
      <c r="D5309" s="9">
        <v>41416.49</v>
      </c>
      <c r="E5309" t="s">
        <v>11</v>
      </c>
      <c r="F5309">
        <f t="shared" ca="1" si="166"/>
        <v>1.6861111111111111</v>
      </c>
      <c r="G5309">
        <f t="shared" ca="1" si="167"/>
        <v>0</v>
      </c>
    </row>
    <row r="5310" spans="1:7">
      <c r="A5310">
        <v>6885</v>
      </c>
      <c r="B5310" t="s">
        <v>27</v>
      </c>
      <c r="C5310" t="s">
        <v>122</v>
      </c>
      <c r="D5310" s="9">
        <v>41410.944293981483</v>
      </c>
      <c r="E5310" t="s">
        <v>36</v>
      </c>
      <c r="F5310">
        <f t="shared" ca="1" si="166"/>
        <v>1.7027777777777777</v>
      </c>
      <c r="G5310">
        <f t="shared" ca="1" si="167"/>
        <v>0</v>
      </c>
    </row>
    <row r="5311" spans="1:7">
      <c r="A5311">
        <v>6892</v>
      </c>
      <c r="B5311" t="s">
        <v>38</v>
      </c>
      <c r="C5311" t="s">
        <v>122</v>
      </c>
      <c r="D5311" s="9">
        <v>41410.944340277776</v>
      </c>
      <c r="E5311" t="s">
        <v>32</v>
      </c>
      <c r="F5311">
        <f t="shared" ca="1" si="166"/>
        <v>1.7027777777777777</v>
      </c>
      <c r="G5311">
        <f t="shared" ca="1" si="167"/>
        <v>0</v>
      </c>
    </row>
    <row r="5312" spans="1:7">
      <c r="A5312">
        <v>6896</v>
      </c>
      <c r="B5312" t="s">
        <v>30</v>
      </c>
      <c r="C5312" t="s">
        <v>121</v>
      </c>
      <c r="D5312" s="9">
        <v>41481.670127314814</v>
      </c>
      <c r="E5312" t="s">
        <v>112</v>
      </c>
      <c r="F5312">
        <f t="shared" ca="1" si="166"/>
        <v>1.5083333333333333</v>
      </c>
      <c r="G5312">
        <f t="shared" ca="1" si="167"/>
        <v>0</v>
      </c>
    </row>
    <row r="5313" spans="1:7">
      <c r="A5313">
        <v>6898</v>
      </c>
      <c r="B5313" t="s">
        <v>38</v>
      </c>
      <c r="C5313" t="s">
        <v>121</v>
      </c>
      <c r="D5313" s="9">
        <v>41480.469861111109</v>
      </c>
      <c r="E5313" t="s">
        <v>19</v>
      </c>
      <c r="F5313">
        <f t="shared" ca="1" si="166"/>
        <v>1.5111111111111111</v>
      </c>
      <c r="G5313">
        <f t="shared" ca="1" si="167"/>
        <v>0</v>
      </c>
    </row>
    <row r="5314" spans="1:7">
      <c r="A5314">
        <v>6901</v>
      </c>
      <c r="B5314" t="s">
        <v>49</v>
      </c>
      <c r="C5314" t="s">
        <v>122</v>
      </c>
      <c r="D5314" s="9">
        <v>41410.944641203707</v>
      </c>
      <c r="E5314" t="s">
        <v>32</v>
      </c>
      <c r="F5314">
        <f t="shared" ca="1" si="166"/>
        <v>1.7027777777777777</v>
      </c>
      <c r="G5314">
        <f t="shared" ca="1" si="167"/>
        <v>0</v>
      </c>
    </row>
    <row r="5315" spans="1:7">
      <c r="A5315">
        <v>6902</v>
      </c>
      <c r="B5315" t="s">
        <v>11</v>
      </c>
      <c r="C5315" t="s">
        <v>121</v>
      </c>
      <c r="D5315" s="9">
        <v>41411.441851851851</v>
      </c>
      <c r="E5315" t="s">
        <v>27</v>
      </c>
      <c r="F5315">
        <f t="shared" ca="1" si="166"/>
        <v>1.7</v>
      </c>
      <c r="G5315">
        <f t="shared" ca="1" si="167"/>
        <v>0</v>
      </c>
    </row>
    <row r="5316" spans="1:7">
      <c r="A5316">
        <v>6904</v>
      </c>
      <c r="B5316" t="s">
        <v>21</v>
      </c>
      <c r="C5316" t="s">
        <v>121</v>
      </c>
      <c r="D5316" s="9">
        <v>41445.783888888887</v>
      </c>
      <c r="E5316" t="s">
        <v>32</v>
      </c>
      <c r="F5316">
        <f t="shared" ca="1" si="166"/>
        <v>1.6083333333333334</v>
      </c>
      <c r="G5316">
        <f t="shared" ca="1" si="167"/>
        <v>0</v>
      </c>
    </row>
    <row r="5317" spans="1:7">
      <c r="A5317">
        <v>6922</v>
      </c>
      <c r="B5317" t="s">
        <v>44</v>
      </c>
      <c r="C5317" t="s">
        <v>122</v>
      </c>
      <c r="D5317" s="9">
        <v>41410.944722222222</v>
      </c>
      <c r="E5317" t="s">
        <v>11</v>
      </c>
      <c r="F5317">
        <f t="shared" ca="1" si="166"/>
        <v>1.7027777777777777</v>
      </c>
      <c r="G5317">
        <f t="shared" ca="1" si="167"/>
        <v>0</v>
      </c>
    </row>
    <row r="5318" spans="1:7">
      <c r="A5318">
        <v>6924</v>
      </c>
      <c r="B5318" t="s">
        <v>111</v>
      </c>
      <c r="C5318" t="s">
        <v>121</v>
      </c>
      <c r="D5318" s="9">
        <v>41443.80840277778</v>
      </c>
      <c r="E5318" t="s">
        <v>45</v>
      </c>
      <c r="F5318">
        <f t="shared" ca="1" si="166"/>
        <v>1.6138888888888889</v>
      </c>
      <c r="G5318">
        <f t="shared" ca="1" si="167"/>
        <v>0</v>
      </c>
    </row>
    <row r="5319" spans="1:7">
      <c r="A5319">
        <v>6925</v>
      </c>
      <c r="B5319" t="s">
        <v>50</v>
      </c>
      <c r="C5319" t="s">
        <v>122</v>
      </c>
      <c r="D5319" s="9">
        <v>41410.944571759261</v>
      </c>
      <c r="E5319" t="s">
        <v>112</v>
      </c>
      <c r="F5319">
        <f t="shared" ref="F5319:F5382" ca="1" si="168">YEARFRAC(TODAY(),$D5319)</f>
        <v>1.7027777777777777</v>
      </c>
      <c r="G5319">
        <f t="shared" ref="G5319:G5382" ca="1" si="169">IF($F5319&lt;1,1,0)</f>
        <v>0</v>
      </c>
    </row>
    <row r="5320" spans="1:7">
      <c r="A5320">
        <v>6929</v>
      </c>
      <c r="B5320" t="s">
        <v>20</v>
      </c>
      <c r="C5320" t="s">
        <v>121</v>
      </c>
      <c r="D5320" s="9">
        <v>41480.473437499997</v>
      </c>
      <c r="E5320" t="s">
        <v>111</v>
      </c>
      <c r="F5320">
        <f t="shared" ca="1" si="168"/>
        <v>1.5111111111111111</v>
      </c>
      <c r="G5320">
        <f t="shared" ca="1" si="169"/>
        <v>0</v>
      </c>
    </row>
    <row r="5321" spans="1:7">
      <c r="A5321">
        <v>6933</v>
      </c>
      <c r="B5321" t="s">
        <v>36</v>
      </c>
      <c r="C5321" t="s">
        <v>122</v>
      </c>
      <c r="D5321" s="9">
        <v>41410.944699074076</v>
      </c>
      <c r="E5321" t="s">
        <v>11</v>
      </c>
      <c r="F5321">
        <f t="shared" ca="1" si="168"/>
        <v>1.7027777777777777</v>
      </c>
      <c r="G5321">
        <f t="shared" ca="1" si="169"/>
        <v>0</v>
      </c>
    </row>
    <row r="5322" spans="1:7">
      <c r="A5322">
        <v>6935</v>
      </c>
      <c r="B5322" t="s">
        <v>24</v>
      </c>
      <c r="C5322" t="s">
        <v>122</v>
      </c>
      <c r="D5322" s="9">
        <v>41410.944652777776</v>
      </c>
      <c r="E5322" t="s">
        <v>11</v>
      </c>
      <c r="F5322">
        <f t="shared" ca="1" si="168"/>
        <v>1.7027777777777777</v>
      </c>
      <c r="G5322">
        <f t="shared" ca="1" si="169"/>
        <v>0</v>
      </c>
    </row>
    <row r="5323" spans="1:7">
      <c r="A5323">
        <v>6936</v>
      </c>
      <c r="B5323" t="s">
        <v>19</v>
      </c>
      <c r="C5323" t="s">
        <v>122</v>
      </c>
      <c r="D5323" s="9">
        <v>41410.944849537038</v>
      </c>
      <c r="E5323" t="s">
        <v>27</v>
      </c>
      <c r="F5323">
        <f t="shared" ca="1" si="168"/>
        <v>1.7027777777777777</v>
      </c>
      <c r="G5323">
        <f t="shared" ca="1" si="169"/>
        <v>0</v>
      </c>
    </row>
    <row r="5324" spans="1:7">
      <c r="A5324">
        <v>6938</v>
      </c>
      <c r="B5324" t="s">
        <v>11</v>
      </c>
      <c r="C5324" t="s">
        <v>120</v>
      </c>
      <c r="D5324" s="9">
        <v>41513.606770833336</v>
      </c>
      <c r="E5324" t="s">
        <v>27</v>
      </c>
      <c r="F5324">
        <f t="shared" ca="1" si="168"/>
        <v>1.4222222222222223</v>
      </c>
      <c r="G5324">
        <f t="shared" ca="1" si="169"/>
        <v>0</v>
      </c>
    </row>
    <row r="5325" spans="1:7">
      <c r="A5325">
        <v>6940</v>
      </c>
      <c r="B5325" t="s">
        <v>32</v>
      </c>
      <c r="C5325" t="s">
        <v>121</v>
      </c>
      <c r="D5325" s="9">
        <v>41480.473599537036</v>
      </c>
      <c r="E5325" t="s">
        <v>36</v>
      </c>
      <c r="F5325">
        <f t="shared" ca="1" si="168"/>
        <v>1.5111111111111111</v>
      </c>
      <c r="G5325">
        <f t="shared" ca="1" si="169"/>
        <v>0</v>
      </c>
    </row>
    <row r="5326" spans="1:7">
      <c r="A5326">
        <v>6946</v>
      </c>
      <c r="B5326" t="s">
        <v>19</v>
      </c>
      <c r="C5326" t="s">
        <v>122</v>
      </c>
      <c r="D5326" s="9">
        <v>41393.739872685182</v>
      </c>
      <c r="E5326" t="s">
        <v>112</v>
      </c>
      <c r="F5326">
        <f t="shared" ca="1" si="168"/>
        <v>1.75</v>
      </c>
      <c r="G5326">
        <f t="shared" ca="1" si="169"/>
        <v>0</v>
      </c>
    </row>
    <row r="5327" spans="1:7">
      <c r="A5327">
        <v>6964</v>
      </c>
      <c r="B5327" t="s">
        <v>8</v>
      </c>
      <c r="C5327" t="s">
        <v>121</v>
      </c>
      <c r="D5327" s="9">
        <v>41416.49019675926</v>
      </c>
      <c r="E5327" t="s">
        <v>112</v>
      </c>
      <c r="F5327">
        <f t="shared" ca="1" si="168"/>
        <v>1.6861111111111111</v>
      </c>
      <c r="G5327">
        <f t="shared" ca="1" si="169"/>
        <v>0</v>
      </c>
    </row>
    <row r="5328" spans="1:7">
      <c r="A5328">
        <v>6969</v>
      </c>
      <c r="B5328" t="s">
        <v>34</v>
      </c>
      <c r="C5328" t="s">
        <v>122</v>
      </c>
      <c r="D5328" s="9">
        <v>41410.944791666669</v>
      </c>
      <c r="E5328" t="s">
        <v>30</v>
      </c>
      <c r="F5328">
        <f t="shared" ca="1" si="168"/>
        <v>1.7027777777777777</v>
      </c>
      <c r="G5328">
        <f t="shared" ca="1" si="169"/>
        <v>0</v>
      </c>
    </row>
    <row r="5329" spans="1:7">
      <c r="A5329">
        <v>6972</v>
      </c>
      <c r="B5329" t="s">
        <v>20</v>
      </c>
      <c r="C5329" t="s">
        <v>118</v>
      </c>
      <c r="D5329" s="9">
        <v>41816.55400462963</v>
      </c>
      <c r="E5329" t="s">
        <v>27</v>
      </c>
      <c r="F5329">
        <f t="shared" ca="1" si="168"/>
        <v>0.59166666666666667</v>
      </c>
      <c r="G5329">
        <f t="shared" ca="1" si="169"/>
        <v>1</v>
      </c>
    </row>
    <row r="5330" spans="1:7">
      <c r="A5330">
        <v>6977</v>
      </c>
      <c r="B5330" t="s">
        <v>30</v>
      </c>
      <c r="C5330" t="s">
        <v>120</v>
      </c>
      <c r="D5330" s="9">
        <v>41559.465810185182</v>
      </c>
      <c r="E5330" t="s">
        <v>14</v>
      </c>
      <c r="F5330">
        <f t="shared" ca="1" si="168"/>
        <v>1.2972222222222223</v>
      </c>
      <c r="G5330">
        <f t="shared" ca="1" si="169"/>
        <v>0</v>
      </c>
    </row>
    <row r="5331" spans="1:7">
      <c r="A5331">
        <v>6980</v>
      </c>
      <c r="B5331" t="s">
        <v>11</v>
      </c>
      <c r="C5331" t="s">
        <v>120</v>
      </c>
      <c r="D5331" s="9">
        <v>41572.640289351853</v>
      </c>
      <c r="E5331" t="s">
        <v>18</v>
      </c>
      <c r="F5331">
        <f t="shared" ca="1" si="168"/>
        <v>1.2611111111111111</v>
      </c>
      <c r="G5331">
        <f t="shared" ca="1" si="169"/>
        <v>0</v>
      </c>
    </row>
    <row r="5332" spans="1:7">
      <c r="A5332">
        <v>6982</v>
      </c>
      <c r="B5332" t="s">
        <v>24</v>
      </c>
      <c r="C5332" t="s">
        <v>121</v>
      </c>
      <c r="D5332" s="9">
        <v>41480.473773148151</v>
      </c>
      <c r="E5332" t="s">
        <v>8</v>
      </c>
      <c r="F5332">
        <f t="shared" ca="1" si="168"/>
        <v>1.5111111111111111</v>
      </c>
      <c r="G5332">
        <f t="shared" ca="1" si="169"/>
        <v>0</v>
      </c>
    </row>
    <row r="5333" spans="1:7">
      <c r="A5333">
        <v>6990</v>
      </c>
      <c r="B5333" t="s">
        <v>18</v>
      </c>
      <c r="C5333" t="s">
        <v>120</v>
      </c>
      <c r="D5333" s="9">
        <v>41571.658414351848</v>
      </c>
      <c r="E5333" t="s">
        <v>44</v>
      </c>
      <c r="F5333">
        <f t="shared" ca="1" si="168"/>
        <v>1.2638888888888888</v>
      </c>
      <c r="G5333">
        <f t="shared" ca="1" si="169"/>
        <v>0</v>
      </c>
    </row>
    <row r="5334" spans="1:7">
      <c r="A5334">
        <v>7001</v>
      </c>
      <c r="B5334" t="s">
        <v>21</v>
      </c>
      <c r="C5334" t="s">
        <v>121</v>
      </c>
      <c r="D5334" s="9">
        <v>41480.473993055559</v>
      </c>
      <c r="E5334" t="s">
        <v>20</v>
      </c>
      <c r="F5334">
        <f t="shared" ca="1" si="168"/>
        <v>1.5111111111111111</v>
      </c>
      <c r="G5334">
        <f t="shared" ca="1" si="169"/>
        <v>0</v>
      </c>
    </row>
    <row r="5335" spans="1:7">
      <c r="A5335">
        <v>7014</v>
      </c>
      <c r="B5335" t="s">
        <v>27</v>
      </c>
      <c r="C5335" t="s">
        <v>142</v>
      </c>
      <c r="D5335" s="9">
        <v>41423.377638888887</v>
      </c>
      <c r="E5335" t="s">
        <v>19</v>
      </c>
      <c r="F5335">
        <f t="shared" ca="1" si="168"/>
        <v>1.6666666666666667</v>
      </c>
      <c r="G5335">
        <f t="shared" ca="1" si="169"/>
        <v>0</v>
      </c>
    </row>
    <row r="5336" spans="1:7">
      <c r="A5336">
        <v>7015</v>
      </c>
      <c r="B5336" t="s">
        <v>38</v>
      </c>
      <c r="C5336" t="s">
        <v>122</v>
      </c>
      <c r="D5336" s="9">
        <v>41410.944918981484</v>
      </c>
      <c r="E5336" t="s">
        <v>27</v>
      </c>
      <c r="F5336">
        <f t="shared" ca="1" si="168"/>
        <v>1.7027777777777777</v>
      </c>
      <c r="G5336">
        <f t="shared" ca="1" si="169"/>
        <v>0</v>
      </c>
    </row>
    <row r="5337" spans="1:7">
      <c r="A5337">
        <v>7018</v>
      </c>
      <c r="B5337" t="s">
        <v>27</v>
      </c>
      <c r="C5337" t="s">
        <v>121</v>
      </c>
      <c r="D5337" s="9">
        <v>41479.591597222221</v>
      </c>
      <c r="E5337" t="s">
        <v>19</v>
      </c>
      <c r="F5337">
        <f t="shared" ca="1" si="168"/>
        <v>1.5138888888888888</v>
      </c>
      <c r="G5337">
        <f t="shared" ca="1" si="169"/>
        <v>0</v>
      </c>
    </row>
    <row r="5338" spans="1:7">
      <c r="A5338">
        <v>7019</v>
      </c>
      <c r="B5338" t="s">
        <v>8</v>
      </c>
      <c r="C5338" t="s">
        <v>120</v>
      </c>
      <c r="D5338" s="9">
        <v>41541.621469907404</v>
      </c>
      <c r="E5338" t="s">
        <v>11</v>
      </c>
      <c r="F5338">
        <f t="shared" ca="1" si="168"/>
        <v>1.3472222222222223</v>
      </c>
      <c r="G5338">
        <f t="shared" ca="1" si="169"/>
        <v>0</v>
      </c>
    </row>
    <row r="5339" spans="1:7">
      <c r="A5339">
        <v>7022</v>
      </c>
      <c r="B5339" t="s">
        <v>19</v>
      </c>
      <c r="C5339" t="s">
        <v>122</v>
      </c>
      <c r="D5339" s="9">
        <v>41410.945023148146</v>
      </c>
      <c r="E5339" t="s">
        <v>8</v>
      </c>
      <c r="F5339">
        <f t="shared" ca="1" si="168"/>
        <v>1.7027777777777777</v>
      </c>
      <c r="G5339">
        <f t="shared" ca="1" si="169"/>
        <v>0</v>
      </c>
    </row>
    <row r="5340" spans="1:7">
      <c r="A5340">
        <v>7030</v>
      </c>
      <c r="B5340" t="s">
        <v>27</v>
      </c>
      <c r="C5340" t="s">
        <v>122</v>
      </c>
      <c r="D5340" s="9">
        <v>41410.944976851853</v>
      </c>
      <c r="E5340" t="s">
        <v>19</v>
      </c>
      <c r="F5340">
        <f t="shared" ca="1" si="168"/>
        <v>1.7027777777777777</v>
      </c>
      <c r="G5340">
        <f t="shared" ca="1" si="169"/>
        <v>0</v>
      </c>
    </row>
    <row r="5341" spans="1:7">
      <c r="A5341">
        <v>7038</v>
      </c>
      <c r="B5341" t="s">
        <v>17</v>
      </c>
      <c r="C5341" t="s">
        <v>121</v>
      </c>
      <c r="D5341" s="9">
        <v>41465.60019675926</v>
      </c>
      <c r="E5341" t="s">
        <v>11</v>
      </c>
      <c r="F5341">
        <f t="shared" ca="1" si="168"/>
        <v>1.5527777777777778</v>
      </c>
      <c r="G5341">
        <f t="shared" ca="1" si="169"/>
        <v>0</v>
      </c>
    </row>
    <row r="5342" spans="1:7">
      <c r="A5342">
        <v>7040</v>
      </c>
      <c r="B5342" t="s">
        <v>112</v>
      </c>
      <c r="C5342" t="s">
        <v>121</v>
      </c>
      <c r="D5342" s="9">
        <v>41411.637175925927</v>
      </c>
      <c r="E5342" t="s">
        <v>24</v>
      </c>
      <c r="F5342">
        <f t="shared" ca="1" si="168"/>
        <v>1.7</v>
      </c>
      <c r="G5342">
        <f t="shared" ca="1" si="169"/>
        <v>0</v>
      </c>
    </row>
    <row r="5343" spans="1:7">
      <c r="A5343">
        <v>7049</v>
      </c>
      <c r="B5343" t="s">
        <v>11</v>
      </c>
      <c r="C5343" t="s">
        <v>121</v>
      </c>
      <c r="D5343" s="9">
        <v>41460.676493055558</v>
      </c>
      <c r="E5343" t="s">
        <v>27</v>
      </c>
      <c r="F5343">
        <f t="shared" ca="1" si="168"/>
        <v>1.5666666666666667</v>
      </c>
      <c r="G5343">
        <f t="shared" ca="1" si="169"/>
        <v>0</v>
      </c>
    </row>
    <row r="5344" spans="1:7">
      <c r="A5344">
        <v>7052</v>
      </c>
      <c r="B5344" t="s">
        <v>111</v>
      </c>
      <c r="C5344" t="s">
        <v>121</v>
      </c>
      <c r="D5344" s="9">
        <v>41430.881180555552</v>
      </c>
      <c r="E5344" t="s">
        <v>20</v>
      </c>
      <c r="F5344">
        <f t="shared" ca="1" si="168"/>
        <v>1.65</v>
      </c>
      <c r="G5344">
        <f t="shared" ca="1" si="169"/>
        <v>0</v>
      </c>
    </row>
    <row r="5345" spans="1:7">
      <c r="A5345">
        <v>7056</v>
      </c>
      <c r="B5345" t="s">
        <v>111</v>
      </c>
      <c r="C5345" t="s">
        <v>121</v>
      </c>
      <c r="D5345" s="9">
        <v>41480.474502314813</v>
      </c>
      <c r="E5345" t="s">
        <v>11</v>
      </c>
      <c r="F5345">
        <f t="shared" ca="1" si="168"/>
        <v>1.5111111111111111</v>
      </c>
      <c r="G5345">
        <f t="shared" ca="1" si="169"/>
        <v>0</v>
      </c>
    </row>
    <row r="5346" spans="1:7">
      <c r="A5346">
        <v>7057</v>
      </c>
      <c r="B5346" t="s">
        <v>8</v>
      </c>
      <c r="C5346" t="s">
        <v>121</v>
      </c>
      <c r="D5346" s="9">
        <v>41480.474629629629</v>
      </c>
      <c r="E5346" t="s">
        <v>24</v>
      </c>
      <c r="F5346">
        <f t="shared" ca="1" si="168"/>
        <v>1.5111111111111111</v>
      </c>
      <c r="G5346">
        <f t="shared" ca="1" si="169"/>
        <v>0</v>
      </c>
    </row>
    <row r="5347" spans="1:7">
      <c r="A5347">
        <v>7058</v>
      </c>
      <c r="B5347" t="s">
        <v>8</v>
      </c>
      <c r="C5347" t="s">
        <v>122</v>
      </c>
      <c r="D5347" s="9">
        <v>41410.945023148146</v>
      </c>
      <c r="E5347" t="s">
        <v>112</v>
      </c>
      <c r="F5347">
        <f t="shared" ca="1" si="168"/>
        <v>1.7027777777777777</v>
      </c>
      <c r="G5347">
        <f t="shared" ca="1" si="169"/>
        <v>0</v>
      </c>
    </row>
    <row r="5348" spans="1:7">
      <c r="A5348">
        <v>7059</v>
      </c>
      <c r="B5348" t="s">
        <v>50</v>
      </c>
      <c r="C5348" t="s">
        <v>121</v>
      </c>
      <c r="D5348" s="9">
        <v>41439.733171296299</v>
      </c>
      <c r="E5348" t="s">
        <v>112</v>
      </c>
      <c r="F5348">
        <f t="shared" ca="1" si="168"/>
        <v>1.625</v>
      </c>
      <c r="G5348">
        <f t="shared" ca="1" si="169"/>
        <v>0</v>
      </c>
    </row>
    <row r="5349" spans="1:7">
      <c r="A5349">
        <v>7061</v>
      </c>
      <c r="B5349" t="s">
        <v>27</v>
      </c>
      <c r="C5349" t="s">
        <v>120</v>
      </c>
      <c r="D5349" s="9">
        <v>41530.684050925927</v>
      </c>
      <c r="E5349" t="s">
        <v>19</v>
      </c>
      <c r="F5349">
        <f t="shared" ca="1" si="168"/>
        <v>1.3777777777777778</v>
      </c>
      <c r="G5349">
        <f t="shared" ca="1" si="169"/>
        <v>0</v>
      </c>
    </row>
    <row r="5350" spans="1:7">
      <c r="A5350">
        <v>7065</v>
      </c>
      <c r="B5350" t="s">
        <v>30</v>
      </c>
      <c r="C5350" t="s">
        <v>121</v>
      </c>
      <c r="D5350" s="9">
        <v>41467.678506944445</v>
      </c>
      <c r="E5350" t="s">
        <v>44</v>
      </c>
      <c r="F5350">
        <f t="shared" ca="1" si="168"/>
        <v>1.5472222222222223</v>
      </c>
      <c r="G5350">
        <f t="shared" ca="1" si="169"/>
        <v>0</v>
      </c>
    </row>
    <row r="5351" spans="1:7">
      <c r="A5351">
        <v>7069</v>
      </c>
      <c r="B5351" t="s">
        <v>19</v>
      </c>
      <c r="C5351" t="s">
        <v>121</v>
      </c>
      <c r="D5351" s="9">
        <v>41480.4765162037</v>
      </c>
      <c r="E5351" t="s">
        <v>24</v>
      </c>
      <c r="F5351">
        <f t="shared" ca="1" si="168"/>
        <v>1.5111111111111111</v>
      </c>
      <c r="G5351">
        <f t="shared" ca="1" si="169"/>
        <v>0</v>
      </c>
    </row>
    <row r="5352" spans="1:7">
      <c r="A5352">
        <v>7071</v>
      </c>
      <c r="B5352" t="s">
        <v>20</v>
      </c>
      <c r="C5352" t="s">
        <v>142</v>
      </c>
      <c r="D5352" s="9">
        <v>41422.570636574077</v>
      </c>
      <c r="E5352" t="s">
        <v>32</v>
      </c>
      <c r="F5352">
        <f t="shared" ca="1" si="168"/>
        <v>1.6694444444444445</v>
      </c>
      <c r="G5352">
        <f t="shared" ca="1" si="169"/>
        <v>0</v>
      </c>
    </row>
    <row r="5353" spans="1:7">
      <c r="A5353">
        <v>7072</v>
      </c>
      <c r="B5353" t="s">
        <v>30</v>
      </c>
      <c r="C5353" t="s">
        <v>120</v>
      </c>
      <c r="D5353" s="9">
        <v>41575.363333333335</v>
      </c>
      <c r="E5353" t="s">
        <v>29</v>
      </c>
      <c r="F5353">
        <f t="shared" ca="1" si="168"/>
        <v>1.2527777777777778</v>
      </c>
      <c r="G5353">
        <f t="shared" ca="1" si="169"/>
        <v>0</v>
      </c>
    </row>
    <row r="5354" spans="1:7">
      <c r="A5354">
        <v>7073</v>
      </c>
      <c r="B5354" t="s">
        <v>54</v>
      </c>
      <c r="C5354" t="s">
        <v>121</v>
      </c>
      <c r="D5354" s="9">
        <v>41480.476678240739</v>
      </c>
      <c r="E5354" t="s">
        <v>8</v>
      </c>
      <c r="F5354">
        <f t="shared" ca="1" si="168"/>
        <v>1.5111111111111111</v>
      </c>
      <c r="G5354">
        <f t="shared" ca="1" si="169"/>
        <v>0</v>
      </c>
    </row>
    <row r="5355" spans="1:7">
      <c r="A5355">
        <v>7076</v>
      </c>
      <c r="B5355" t="s">
        <v>8</v>
      </c>
      <c r="C5355" t="s">
        <v>120</v>
      </c>
      <c r="D5355" s="9">
        <v>41570.440393518518</v>
      </c>
      <c r="E5355" t="s">
        <v>17</v>
      </c>
      <c r="F5355">
        <f t="shared" ca="1" si="168"/>
        <v>1.2666666666666666</v>
      </c>
      <c r="G5355">
        <f t="shared" ca="1" si="169"/>
        <v>0</v>
      </c>
    </row>
    <row r="5356" spans="1:7">
      <c r="A5356">
        <v>7077</v>
      </c>
      <c r="B5356" t="s">
        <v>19</v>
      </c>
      <c r="C5356" t="s">
        <v>121</v>
      </c>
      <c r="D5356" s="9">
        <v>41480.4768287037</v>
      </c>
      <c r="E5356" t="s">
        <v>24</v>
      </c>
      <c r="F5356">
        <f t="shared" ca="1" si="168"/>
        <v>1.5111111111111111</v>
      </c>
      <c r="G5356">
        <f t="shared" ca="1" si="169"/>
        <v>0</v>
      </c>
    </row>
    <row r="5357" spans="1:7">
      <c r="A5357">
        <v>7078</v>
      </c>
      <c r="B5357" t="s">
        <v>112</v>
      </c>
      <c r="C5357" t="s">
        <v>121</v>
      </c>
      <c r="D5357" s="9">
        <v>41480.476990740739</v>
      </c>
      <c r="E5357" t="s">
        <v>24</v>
      </c>
      <c r="F5357">
        <f t="shared" ca="1" si="168"/>
        <v>1.5111111111111111</v>
      </c>
      <c r="G5357">
        <f t="shared" ca="1" si="169"/>
        <v>0</v>
      </c>
    </row>
    <row r="5358" spans="1:7">
      <c r="A5358">
        <v>7081</v>
      </c>
      <c r="B5358" t="s">
        <v>20</v>
      </c>
      <c r="C5358" t="s">
        <v>121</v>
      </c>
      <c r="D5358" s="9">
        <v>41480.477175925924</v>
      </c>
      <c r="E5358" t="s">
        <v>21</v>
      </c>
      <c r="F5358">
        <f t="shared" ca="1" si="168"/>
        <v>1.5111111111111111</v>
      </c>
      <c r="G5358">
        <f t="shared" ca="1" si="169"/>
        <v>0</v>
      </c>
    </row>
    <row r="5359" spans="1:7">
      <c r="A5359">
        <v>7082</v>
      </c>
      <c r="B5359" t="s">
        <v>19</v>
      </c>
      <c r="C5359" t="s">
        <v>121</v>
      </c>
      <c r="D5359" s="9">
        <v>41480.477442129632</v>
      </c>
      <c r="E5359" t="s">
        <v>112</v>
      </c>
      <c r="F5359">
        <f t="shared" ca="1" si="168"/>
        <v>1.5111111111111111</v>
      </c>
      <c r="G5359">
        <f t="shared" ca="1" si="169"/>
        <v>0</v>
      </c>
    </row>
    <row r="5360" spans="1:7">
      <c r="A5360">
        <v>7096</v>
      </c>
      <c r="B5360" t="s">
        <v>49</v>
      </c>
      <c r="C5360" t="s">
        <v>121</v>
      </c>
      <c r="D5360" s="9">
        <v>41480.477824074071</v>
      </c>
      <c r="E5360" t="s">
        <v>51</v>
      </c>
      <c r="F5360">
        <f t="shared" ca="1" si="168"/>
        <v>1.5111111111111111</v>
      </c>
      <c r="G5360">
        <f t="shared" ca="1" si="169"/>
        <v>0</v>
      </c>
    </row>
    <row r="5361" spans="1:7">
      <c r="A5361">
        <v>7099</v>
      </c>
      <c r="B5361" t="s">
        <v>20</v>
      </c>
      <c r="C5361" t="s">
        <v>121</v>
      </c>
      <c r="D5361" s="9">
        <v>41480.478194444448</v>
      </c>
      <c r="E5361" t="s">
        <v>36</v>
      </c>
      <c r="F5361">
        <f t="shared" ca="1" si="168"/>
        <v>1.5111111111111111</v>
      </c>
      <c r="G5361">
        <f t="shared" ca="1" si="169"/>
        <v>0</v>
      </c>
    </row>
    <row r="5362" spans="1:7">
      <c r="A5362">
        <v>7102</v>
      </c>
      <c r="B5362" t="s">
        <v>8</v>
      </c>
      <c r="C5362" t="s">
        <v>142</v>
      </c>
      <c r="D5362" s="9">
        <v>41423.678148148145</v>
      </c>
      <c r="E5362" t="s">
        <v>51</v>
      </c>
      <c r="F5362">
        <f t="shared" ca="1" si="168"/>
        <v>1.6666666666666667</v>
      </c>
      <c r="G5362">
        <f t="shared" ca="1" si="169"/>
        <v>0</v>
      </c>
    </row>
    <row r="5363" spans="1:7">
      <c r="A5363">
        <v>7104</v>
      </c>
      <c r="B5363" t="s">
        <v>24</v>
      </c>
      <c r="C5363" t="s">
        <v>142</v>
      </c>
      <c r="D5363" s="9">
        <v>41423.377638888887</v>
      </c>
      <c r="E5363" t="s">
        <v>8</v>
      </c>
      <c r="F5363">
        <f t="shared" ca="1" si="168"/>
        <v>1.6666666666666667</v>
      </c>
      <c r="G5363">
        <f t="shared" ca="1" si="169"/>
        <v>0</v>
      </c>
    </row>
    <row r="5364" spans="1:7">
      <c r="A5364">
        <v>7108</v>
      </c>
      <c r="B5364" t="s">
        <v>19</v>
      </c>
      <c r="C5364" t="s">
        <v>121</v>
      </c>
      <c r="D5364" s="9">
        <v>41480.478391203702</v>
      </c>
      <c r="E5364" t="s">
        <v>112</v>
      </c>
      <c r="F5364">
        <f t="shared" ca="1" si="168"/>
        <v>1.5111111111111111</v>
      </c>
      <c r="G5364">
        <f t="shared" ca="1" si="169"/>
        <v>0</v>
      </c>
    </row>
    <row r="5365" spans="1:7">
      <c r="A5365">
        <v>7110</v>
      </c>
      <c r="B5365" t="s">
        <v>38</v>
      </c>
      <c r="C5365" t="s">
        <v>121</v>
      </c>
      <c r="D5365" s="9">
        <v>41417.704560185186</v>
      </c>
      <c r="E5365" t="s">
        <v>36</v>
      </c>
      <c r="F5365">
        <f t="shared" ca="1" si="168"/>
        <v>1.6833333333333333</v>
      </c>
      <c r="G5365">
        <f t="shared" ca="1" si="169"/>
        <v>0</v>
      </c>
    </row>
    <row r="5366" spans="1:7">
      <c r="A5366">
        <v>7111</v>
      </c>
      <c r="B5366" t="s">
        <v>51</v>
      </c>
      <c r="C5366" t="s">
        <v>121</v>
      </c>
      <c r="D5366" s="9">
        <v>41480.478692129633</v>
      </c>
      <c r="E5366" t="s">
        <v>23</v>
      </c>
      <c r="F5366">
        <f t="shared" ca="1" si="168"/>
        <v>1.5111111111111111</v>
      </c>
      <c r="G5366">
        <f t="shared" ca="1" si="169"/>
        <v>0</v>
      </c>
    </row>
    <row r="5367" spans="1:7">
      <c r="A5367">
        <v>7114</v>
      </c>
      <c r="B5367" t="s">
        <v>43</v>
      </c>
      <c r="C5367" t="s">
        <v>121</v>
      </c>
      <c r="D5367" s="9">
        <v>41480.479039351849</v>
      </c>
      <c r="E5367" t="s">
        <v>8</v>
      </c>
      <c r="F5367">
        <f t="shared" ca="1" si="168"/>
        <v>1.5111111111111111</v>
      </c>
      <c r="G5367">
        <f t="shared" ca="1" si="169"/>
        <v>0</v>
      </c>
    </row>
    <row r="5368" spans="1:7">
      <c r="A5368">
        <v>7116</v>
      </c>
      <c r="B5368" t="s">
        <v>112</v>
      </c>
      <c r="C5368" t="s">
        <v>142</v>
      </c>
      <c r="D5368" s="9">
        <v>41423.678148148145</v>
      </c>
      <c r="E5368" t="s">
        <v>11</v>
      </c>
      <c r="F5368">
        <f t="shared" ca="1" si="168"/>
        <v>1.6666666666666667</v>
      </c>
      <c r="G5368">
        <f t="shared" ca="1" si="169"/>
        <v>0</v>
      </c>
    </row>
    <row r="5369" spans="1:7">
      <c r="A5369">
        <v>7118</v>
      </c>
      <c r="B5369" t="s">
        <v>24</v>
      </c>
      <c r="C5369" t="s">
        <v>120</v>
      </c>
      <c r="D5369" s="9">
        <v>41499.908414351848</v>
      </c>
      <c r="E5369" t="s">
        <v>27</v>
      </c>
      <c r="F5369">
        <f t="shared" ca="1" si="168"/>
        <v>1.461111111111111</v>
      </c>
      <c r="G5369">
        <f t="shared" ca="1" si="169"/>
        <v>0</v>
      </c>
    </row>
    <row r="5370" spans="1:7">
      <c r="A5370">
        <v>7120</v>
      </c>
      <c r="B5370" t="s">
        <v>24</v>
      </c>
      <c r="C5370" t="s">
        <v>121</v>
      </c>
      <c r="D5370" s="9">
        <v>41480.479212962964</v>
      </c>
      <c r="E5370" t="s">
        <v>19</v>
      </c>
      <c r="F5370">
        <f t="shared" ca="1" si="168"/>
        <v>1.5111111111111111</v>
      </c>
      <c r="G5370">
        <f t="shared" ca="1" si="169"/>
        <v>0</v>
      </c>
    </row>
    <row r="5371" spans="1:7">
      <c r="A5371">
        <v>7139</v>
      </c>
      <c r="B5371" t="s">
        <v>32</v>
      </c>
      <c r="C5371" t="s">
        <v>142</v>
      </c>
      <c r="D5371" s="9">
        <v>41423.717997685184</v>
      </c>
      <c r="E5371" t="s">
        <v>11</v>
      </c>
      <c r="F5371">
        <f t="shared" ca="1" si="168"/>
        <v>1.6666666666666667</v>
      </c>
      <c r="G5371">
        <f t="shared" ca="1" si="169"/>
        <v>0</v>
      </c>
    </row>
    <row r="5372" spans="1:7">
      <c r="A5372">
        <v>7140</v>
      </c>
      <c r="B5372" t="s">
        <v>49</v>
      </c>
      <c r="C5372" t="s">
        <v>121</v>
      </c>
      <c r="D5372" s="9">
        <v>41480.479479166665</v>
      </c>
      <c r="E5372" t="s">
        <v>32</v>
      </c>
      <c r="F5372">
        <f t="shared" ca="1" si="168"/>
        <v>1.5111111111111111</v>
      </c>
      <c r="G5372">
        <f t="shared" ca="1" si="169"/>
        <v>0</v>
      </c>
    </row>
    <row r="5373" spans="1:7">
      <c r="A5373">
        <v>7142</v>
      </c>
      <c r="B5373" t="s">
        <v>8</v>
      </c>
      <c r="C5373" t="s">
        <v>118</v>
      </c>
      <c r="D5373" s="9">
        <v>41712.614212962966</v>
      </c>
      <c r="E5373" t="s">
        <v>17</v>
      </c>
      <c r="F5373">
        <f t="shared" ca="1" si="168"/>
        <v>0.875</v>
      </c>
      <c r="G5373">
        <f t="shared" ca="1" si="169"/>
        <v>1</v>
      </c>
    </row>
    <row r="5374" spans="1:7">
      <c r="A5374">
        <v>7143</v>
      </c>
      <c r="B5374" t="s">
        <v>111</v>
      </c>
      <c r="C5374" t="s">
        <v>121</v>
      </c>
      <c r="D5374" s="9">
        <v>41480.479618055557</v>
      </c>
      <c r="E5374" t="s">
        <v>20</v>
      </c>
      <c r="F5374">
        <f t="shared" ca="1" si="168"/>
        <v>1.5111111111111111</v>
      </c>
      <c r="G5374">
        <f t="shared" ca="1" si="169"/>
        <v>0</v>
      </c>
    </row>
    <row r="5375" spans="1:7">
      <c r="A5375">
        <v>7148</v>
      </c>
      <c r="B5375" t="s">
        <v>27</v>
      </c>
      <c r="C5375" t="s">
        <v>121</v>
      </c>
      <c r="D5375" s="9">
        <v>41479.593587962961</v>
      </c>
      <c r="E5375" t="s">
        <v>19</v>
      </c>
      <c r="F5375">
        <f t="shared" ca="1" si="168"/>
        <v>1.5138888888888888</v>
      </c>
      <c r="G5375">
        <f t="shared" ca="1" si="169"/>
        <v>0</v>
      </c>
    </row>
    <row r="5376" spans="1:7">
      <c r="A5376">
        <v>7150</v>
      </c>
      <c r="B5376" t="s">
        <v>21</v>
      </c>
      <c r="C5376" t="s">
        <v>142</v>
      </c>
      <c r="D5376" s="9">
        <v>41423.377627314818</v>
      </c>
      <c r="E5376" t="s">
        <v>20</v>
      </c>
      <c r="F5376">
        <f t="shared" ca="1" si="168"/>
        <v>1.6666666666666667</v>
      </c>
      <c r="G5376">
        <f t="shared" ca="1" si="169"/>
        <v>0</v>
      </c>
    </row>
    <row r="5377" spans="1:7">
      <c r="A5377">
        <v>7152</v>
      </c>
      <c r="B5377" t="s">
        <v>8</v>
      </c>
      <c r="C5377" t="s">
        <v>142</v>
      </c>
      <c r="D5377" s="9">
        <v>41423.718009259261</v>
      </c>
      <c r="E5377" t="s">
        <v>30</v>
      </c>
      <c r="F5377">
        <f t="shared" ca="1" si="168"/>
        <v>1.6666666666666667</v>
      </c>
      <c r="G5377">
        <f t="shared" ca="1" si="169"/>
        <v>0</v>
      </c>
    </row>
    <row r="5378" spans="1:7">
      <c r="A5378">
        <v>7155</v>
      </c>
      <c r="B5378" t="s">
        <v>8</v>
      </c>
      <c r="C5378" t="s">
        <v>121</v>
      </c>
      <c r="D5378" s="9">
        <v>41480.479710648149</v>
      </c>
      <c r="E5378" t="s">
        <v>23</v>
      </c>
      <c r="F5378">
        <f t="shared" ca="1" si="168"/>
        <v>1.5111111111111111</v>
      </c>
      <c r="G5378">
        <f t="shared" ca="1" si="169"/>
        <v>0</v>
      </c>
    </row>
    <row r="5379" spans="1:7">
      <c r="A5379">
        <v>7156</v>
      </c>
      <c r="B5379" t="s">
        <v>8</v>
      </c>
      <c r="C5379" t="s">
        <v>121</v>
      </c>
      <c r="D5379" s="9">
        <v>41480.479826388888</v>
      </c>
      <c r="E5379" t="s">
        <v>23</v>
      </c>
      <c r="F5379">
        <f t="shared" ca="1" si="168"/>
        <v>1.5111111111111111</v>
      </c>
      <c r="G5379">
        <f t="shared" ca="1" si="169"/>
        <v>0</v>
      </c>
    </row>
    <row r="5380" spans="1:7">
      <c r="A5380">
        <v>7157</v>
      </c>
      <c r="B5380" t="s">
        <v>18</v>
      </c>
      <c r="C5380" t="s">
        <v>121</v>
      </c>
      <c r="D5380" s="9">
        <v>41467.655185185184</v>
      </c>
      <c r="E5380" t="s">
        <v>21</v>
      </c>
      <c r="F5380">
        <f t="shared" ca="1" si="168"/>
        <v>1.5472222222222223</v>
      </c>
      <c r="G5380">
        <f t="shared" ca="1" si="169"/>
        <v>0</v>
      </c>
    </row>
    <row r="5381" spans="1:7">
      <c r="A5381">
        <v>7158</v>
      </c>
      <c r="B5381" t="s">
        <v>27</v>
      </c>
      <c r="C5381" t="s">
        <v>121</v>
      </c>
      <c r="D5381" s="9">
        <v>41479.694479166668</v>
      </c>
      <c r="E5381" t="s">
        <v>19</v>
      </c>
      <c r="F5381">
        <f t="shared" ca="1" si="168"/>
        <v>1.5138888888888888</v>
      </c>
      <c r="G5381">
        <f t="shared" ca="1" si="169"/>
        <v>0</v>
      </c>
    </row>
    <row r="5382" spans="1:7">
      <c r="A5382">
        <v>7159</v>
      </c>
      <c r="B5382" t="s">
        <v>111</v>
      </c>
      <c r="C5382" t="s">
        <v>142</v>
      </c>
      <c r="D5382" s="9">
        <v>41424.751307870371</v>
      </c>
      <c r="E5382" t="s">
        <v>8</v>
      </c>
      <c r="F5382">
        <f t="shared" ca="1" si="168"/>
        <v>1.663888888888889</v>
      </c>
      <c r="G5382">
        <f t="shared" ca="1" si="169"/>
        <v>0</v>
      </c>
    </row>
    <row r="5383" spans="1:7">
      <c r="A5383">
        <v>7160</v>
      </c>
      <c r="B5383" t="s">
        <v>27</v>
      </c>
      <c r="C5383" t="s">
        <v>121</v>
      </c>
      <c r="D5383" s="9">
        <v>41479.694143518522</v>
      </c>
      <c r="E5383" t="s">
        <v>19</v>
      </c>
      <c r="F5383">
        <f t="shared" ref="F5383:F5446" ca="1" si="170">YEARFRAC(TODAY(),$D5383)</f>
        <v>1.5138888888888888</v>
      </c>
      <c r="G5383">
        <f t="shared" ref="G5383:G5446" ca="1" si="171">IF($F5383&lt;1,1,0)</f>
        <v>0</v>
      </c>
    </row>
    <row r="5384" spans="1:7">
      <c r="A5384">
        <v>7161</v>
      </c>
      <c r="B5384" t="s">
        <v>27</v>
      </c>
      <c r="C5384" t="s">
        <v>121</v>
      </c>
      <c r="D5384" s="9">
        <v>41479.700208333335</v>
      </c>
      <c r="E5384" t="s">
        <v>19</v>
      </c>
      <c r="F5384">
        <f t="shared" ca="1" si="170"/>
        <v>1.5138888888888888</v>
      </c>
      <c r="G5384">
        <f t="shared" ca="1" si="171"/>
        <v>0</v>
      </c>
    </row>
    <row r="5385" spans="1:7">
      <c r="A5385">
        <v>7162</v>
      </c>
      <c r="B5385" t="s">
        <v>27</v>
      </c>
      <c r="C5385" t="s">
        <v>121</v>
      </c>
      <c r="D5385" s="9">
        <v>41479.69263888889</v>
      </c>
      <c r="E5385" t="s">
        <v>19</v>
      </c>
      <c r="F5385">
        <f t="shared" ca="1" si="170"/>
        <v>1.5138888888888888</v>
      </c>
      <c r="G5385">
        <f t="shared" ca="1" si="171"/>
        <v>0</v>
      </c>
    </row>
    <row r="5386" spans="1:7">
      <c r="A5386">
        <v>7163</v>
      </c>
      <c r="B5386" t="s">
        <v>27</v>
      </c>
      <c r="C5386" t="s">
        <v>121</v>
      </c>
      <c r="D5386" s="9">
        <v>41479.692291666666</v>
      </c>
      <c r="E5386" t="s">
        <v>19</v>
      </c>
      <c r="F5386">
        <f t="shared" ca="1" si="170"/>
        <v>1.5138888888888888</v>
      </c>
      <c r="G5386">
        <f t="shared" ca="1" si="171"/>
        <v>0</v>
      </c>
    </row>
    <row r="5387" spans="1:7">
      <c r="A5387">
        <v>7166</v>
      </c>
      <c r="B5387" t="s">
        <v>20</v>
      </c>
      <c r="C5387" t="s">
        <v>121</v>
      </c>
      <c r="D5387" s="9">
        <v>41418.631921296299</v>
      </c>
      <c r="E5387" t="s">
        <v>8</v>
      </c>
      <c r="F5387">
        <f t="shared" ca="1" si="170"/>
        <v>1.6805555555555556</v>
      </c>
      <c r="G5387">
        <f t="shared" ca="1" si="171"/>
        <v>0</v>
      </c>
    </row>
    <row r="5388" spans="1:7">
      <c r="A5388">
        <v>7170</v>
      </c>
      <c r="B5388" t="s">
        <v>18</v>
      </c>
      <c r="C5388" t="s">
        <v>120</v>
      </c>
      <c r="D5388" s="9">
        <v>41565.491516203707</v>
      </c>
      <c r="E5388" t="s">
        <v>17</v>
      </c>
      <c r="F5388">
        <f t="shared" ca="1" si="170"/>
        <v>1.2805555555555554</v>
      </c>
      <c r="G5388">
        <f t="shared" ca="1" si="171"/>
        <v>0</v>
      </c>
    </row>
    <row r="5389" spans="1:7">
      <c r="A5389">
        <v>7173</v>
      </c>
      <c r="B5389" t="s">
        <v>8</v>
      </c>
      <c r="C5389" t="s">
        <v>142</v>
      </c>
      <c r="D5389" s="9">
        <v>41423.718009259261</v>
      </c>
      <c r="E5389" t="s">
        <v>34</v>
      </c>
      <c r="F5389">
        <f t="shared" ca="1" si="170"/>
        <v>1.6666666666666667</v>
      </c>
      <c r="G5389">
        <f t="shared" ca="1" si="171"/>
        <v>0</v>
      </c>
    </row>
    <row r="5390" spans="1:7">
      <c r="A5390">
        <v>7174</v>
      </c>
      <c r="B5390" t="s">
        <v>38</v>
      </c>
      <c r="C5390" t="s">
        <v>121</v>
      </c>
      <c r="D5390" s="9">
        <v>41417.657337962963</v>
      </c>
      <c r="E5390" t="s">
        <v>11</v>
      </c>
      <c r="F5390">
        <f t="shared" ca="1" si="170"/>
        <v>1.6833333333333333</v>
      </c>
      <c r="G5390">
        <f t="shared" ca="1" si="171"/>
        <v>0</v>
      </c>
    </row>
    <row r="5391" spans="1:7">
      <c r="A5391">
        <v>7178</v>
      </c>
      <c r="B5391" t="s">
        <v>18</v>
      </c>
      <c r="C5391" t="s">
        <v>119</v>
      </c>
      <c r="D5391" s="9">
        <v>41666.594502314816</v>
      </c>
      <c r="E5391" t="s">
        <v>37</v>
      </c>
      <c r="F5391">
        <f t="shared" ca="1" si="170"/>
        <v>1.0055555555555555</v>
      </c>
      <c r="G5391">
        <f t="shared" ca="1" si="171"/>
        <v>0</v>
      </c>
    </row>
    <row r="5392" spans="1:7">
      <c r="A5392">
        <v>7179</v>
      </c>
      <c r="B5392" t="s">
        <v>18</v>
      </c>
      <c r="C5392" t="s">
        <v>119</v>
      </c>
      <c r="D5392" s="9">
        <v>41670.548738425925</v>
      </c>
      <c r="E5392" t="s">
        <v>37</v>
      </c>
      <c r="F5392">
        <f t="shared" ca="1" si="170"/>
        <v>0.99722222222222223</v>
      </c>
      <c r="G5392">
        <f t="shared" ca="1" si="171"/>
        <v>1</v>
      </c>
    </row>
    <row r="5393" spans="1:7">
      <c r="A5393">
        <v>7183</v>
      </c>
      <c r="B5393" t="s">
        <v>21</v>
      </c>
      <c r="C5393" t="s">
        <v>121</v>
      </c>
      <c r="D5393" s="9">
        <v>41431.876250000001</v>
      </c>
      <c r="E5393" t="s">
        <v>111</v>
      </c>
      <c r="F5393">
        <f t="shared" ca="1" si="170"/>
        <v>1.6472222222222221</v>
      </c>
      <c r="G5393">
        <f t="shared" ca="1" si="171"/>
        <v>0</v>
      </c>
    </row>
    <row r="5394" spans="1:7">
      <c r="A5394">
        <v>7186</v>
      </c>
      <c r="B5394" t="s">
        <v>215</v>
      </c>
      <c r="C5394" t="s">
        <v>209</v>
      </c>
      <c r="D5394" s="9">
        <v>41852.594201388885</v>
      </c>
      <c r="E5394" t="s">
        <v>211</v>
      </c>
      <c r="F5394">
        <f t="shared" ca="1" si="170"/>
        <v>0.49444444444444446</v>
      </c>
      <c r="G5394">
        <f t="shared" ca="1" si="171"/>
        <v>1</v>
      </c>
    </row>
    <row r="5395" spans="1:7">
      <c r="A5395">
        <v>7188</v>
      </c>
      <c r="B5395" t="s">
        <v>54</v>
      </c>
      <c r="C5395" t="s">
        <v>121</v>
      </c>
      <c r="D5395" s="9">
        <v>41480.480763888889</v>
      </c>
      <c r="E5395" t="s">
        <v>32</v>
      </c>
      <c r="F5395">
        <f t="shared" ca="1" si="170"/>
        <v>1.5111111111111111</v>
      </c>
      <c r="G5395">
        <f t="shared" ca="1" si="171"/>
        <v>0</v>
      </c>
    </row>
    <row r="5396" spans="1:7">
      <c r="A5396">
        <v>7189</v>
      </c>
      <c r="B5396" t="s">
        <v>23</v>
      </c>
      <c r="C5396" t="s">
        <v>121</v>
      </c>
      <c r="D5396" s="9">
        <v>41484.63890046296</v>
      </c>
      <c r="E5396" t="s">
        <v>8</v>
      </c>
      <c r="F5396">
        <f t="shared" ca="1" si="170"/>
        <v>1.5</v>
      </c>
      <c r="G5396">
        <f t="shared" ca="1" si="171"/>
        <v>0</v>
      </c>
    </row>
    <row r="5397" spans="1:7">
      <c r="A5397">
        <v>7192</v>
      </c>
      <c r="B5397" t="s">
        <v>20</v>
      </c>
      <c r="C5397" t="s">
        <v>121</v>
      </c>
      <c r="D5397" s="9">
        <v>41425.60465277778</v>
      </c>
      <c r="E5397" t="s">
        <v>30</v>
      </c>
      <c r="F5397">
        <f t="shared" ca="1" si="170"/>
        <v>1.663888888888889</v>
      </c>
      <c r="G5397">
        <f t="shared" ca="1" si="171"/>
        <v>0</v>
      </c>
    </row>
    <row r="5398" spans="1:7">
      <c r="A5398">
        <v>7193</v>
      </c>
      <c r="B5398" t="s">
        <v>27</v>
      </c>
      <c r="C5398" t="s">
        <v>121</v>
      </c>
      <c r="D5398" s="9">
        <v>41479.690787037034</v>
      </c>
      <c r="E5398" t="s">
        <v>20</v>
      </c>
      <c r="F5398">
        <f t="shared" ca="1" si="170"/>
        <v>1.5138888888888888</v>
      </c>
      <c r="G5398">
        <f t="shared" ca="1" si="171"/>
        <v>0</v>
      </c>
    </row>
    <row r="5399" spans="1:7">
      <c r="A5399">
        <v>7194</v>
      </c>
      <c r="B5399" t="s">
        <v>8</v>
      </c>
      <c r="C5399" t="s">
        <v>121</v>
      </c>
      <c r="D5399" s="9">
        <v>41422.692384259259</v>
      </c>
      <c r="E5399" t="s">
        <v>19</v>
      </c>
      <c r="F5399">
        <f t="shared" ca="1" si="170"/>
        <v>1.6694444444444445</v>
      </c>
      <c r="G5399">
        <f t="shared" ca="1" si="171"/>
        <v>0</v>
      </c>
    </row>
    <row r="5400" spans="1:7">
      <c r="A5400">
        <v>7195</v>
      </c>
      <c r="B5400" t="s">
        <v>50</v>
      </c>
      <c r="C5400" t="s">
        <v>121</v>
      </c>
      <c r="D5400" s="9">
        <v>41438.674166666664</v>
      </c>
      <c r="E5400" t="s">
        <v>111</v>
      </c>
      <c r="F5400">
        <f t="shared" ca="1" si="170"/>
        <v>1.6277777777777778</v>
      </c>
      <c r="G5400">
        <f t="shared" ca="1" si="171"/>
        <v>0</v>
      </c>
    </row>
    <row r="5401" spans="1:7">
      <c r="A5401">
        <v>7199</v>
      </c>
      <c r="B5401" t="s">
        <v>8</v>
      </c>
      <c r="C5401" t="s">
        <v>121</v>
      </c>
      <c r="D5401" s="9">
        <v>41473.467534722222</v>
      </c>
      <c r="E5401" t="s">
        <v>23</v>
      </c>
      <c r="F5401">
        <f t="shared" ca="1" si="170"/>
        <v>1.5305555555555554</v>
      </c>
      <c r="G5401">
        <f t="shared" ca="1" si="171"/>
        <v>0</v>
      </c>
    </row>
    <row r="5402" spans="1:7">
      <c r="A5402">
        <v>7200</v>
      </c>
      <c r="B5402" t="s">
        <v>23</v>
      </c>
      <c r="C5402" t="s">
        <v>121</v>
      </c>
      <c r="D5402" s="9">
        <v>41479.688530092593</v>
      </c>
      <c r="E5402" t="s">
        <v>112</v>
      </c>
      <c r="F5402">
        <f t="shared" ca="1" si="170"/>
        <v>1.5138888888888888</v>
      </c>
      <c r="G5402">
        <f t="shared" ca="1" si="171"/>
        <v>0</v>
      </c>
    </row>
    <row r="5403" spans="1:7">
      <c r="A5403">
        <v>7202</v>
      </c>
      <c r="B5403" t="s">
        <v>27</v>
      </c>
      <c r="C5403" t="s">
        <v>121</v>
      </c>
      <c r="D5403" s="9">
        <v>41425.660300925927</v>
      </c>
      <c r="E5403" t="s">
        <v>30</v>
      </c>
      <c r="F5403">
        <f t="shared" ca="1" si="170"/>
        <v>1.663888888888889</v>
      </c>
      <c r="G5403">
        <f t="shared" ca="1" si="171"/>
        <v>0</v>
      </c>
    </row>
    <row r="5404" spans="1:7">
      <c r="A5404">
        <v>7203</v>
      </c>
      <c r="B5404" t="s">
        <v>27</v>
      </c>
      <c r="C5404" t="s">
        <v>121</v>
      </c>
      <c r="D5404" s="9">
        <v>41479.688310185185</v>
      </c>
      <c r="E5404" t="s">
        <v>20</v>
      </c>
      <c r="F5404">
        <f t="shared" ca="1" si="170"/>
        <v>1.5138888888888888</v>
      </c>
      <c r="G5404">
        <f t="shared" ca="1" si="171"/>
        <v>0</v>
      </c>
    </row>
    <row r="5405" spans="1:7">
      <c r="A5405">
        <v>7205</v>
      </c>
      <c r="B5405" t="s">
        <v>20</v>
      </c>
      <c r="C5405" t="s">
        <v>121</v>
      </c>
      <c r="D5405" s="9">
        <v>41480.482499999998</v>
      </c>
      <c r="E5405" t="s">
        <v>27</v>
      </c>
      <c r="F5405">
        <f t="shared" ca="1" si="170"/>
        <v>1.5111111111111111</v>
      </c>
      <c r="G5405">
        <f t="shared" ca="1" si="171"/>
        <v>0</v>
      </c>
    </row>
    <row r="5406" spans="1:7">
      <c r="A5406">
        <v>7208</v>
      </c>
      <c r="B5406" t="s">
        <v>112</v>
      </c>
      <c r="C5406" t="s">
        <v>121</v>
      </c>
      <c r="D5406" s="9">
        <v>41480.482766203706</v>
      </c>
      <c r="E5406" t="s">
        <v>20</v>
      </c>
      <c r="F5406">
        <f t="shared" ca="1" si="170"/>
        <v>1.5111111111111111</v>
      </c>
      <c r="G5406">
        <f t="shared" ca="1" si="171"/>
        <v>0</v>
      </c>
    </row>
    <row r="5407" spans="1:7">
      <c r="A5407">
        <v>7210</v>
      </c>
      <c r="B5407" t="s">
        <v>49</v>
      </c>
      <c r="C5407" t="s">
        <v>121</v>
      </c>
      <c r="D5407" s="9">
        <v>41425.627199074072</v>
      </c>
      <c r="E5407" t="s">
        <v>27</v>
      </c>
      <c r="F5407">
        <f t="shared" ca="1" si="170"/>
        <v>1.663888888888889</v>
      </c>
      <c r="G5407">
        <f t="shared" ca="1" si="171"/>
        <v>0</v>
      </c>
    </row>
    <row r="5408" spans="1:7">
      <c r="A5408">
        <v>7211</v>
      </c>
      <c r="B5408" t="s">
        <v>19</v>
      </c>
      <c r="C5408" t="s">
        <v>142</v>
      </c>
      <c r="D5408" s="9">
        <v>41425.603854166664</v>
      </c>
      <c r="E5408" t="s">
        <v>112</v>
      </c>
      <c r="F5408">
        <f t="shared" ca="1" si="170"/>
        <v>1.663888888888889</v>
      </c>
      <c r="G5408">
        <f t="shared" ca="1" si="171"/>
        <v>0</v>
      </c>
    </row>
    <row r="5409" spans="1:7">
      <c r="A5409">
        <v>7213</v>
      </c>
      <c r="B5409" t="s">
        <v>27</v>
      </c>
      <c r="C5409" t="s">
        <v>120</v>
      </c>
      <c r="D5409" s="9">
        <v>41500.900590277779</v>
      </c>
      <c r="E5409" t="s">
        <v>20</v>
      </c>
      <c r="F5409">
        <f t="shared" ca="1" si="170"/>
        <v>1.4583333333333333</v>
      </c>
      <c r="G5409">
        <f t="shared" ca="1" si="171"/>
        <v>0</v>
      </c>
    </row>
    <row r="5410" spans="1:7">
      <c r="A5410">
        <v>7215</v>
      </c>
      <c r="B5410" t="s">
        <v>11</v>
      </c>
      <c r="C5410" t="s">
        <v>121</v>
      </c>
      <c r="D5410" s="9">
        <v>41429.717256944445</v>
      </c>
      <c r="E5410" t="s">
        <v>32</v>
      </c>
      <c r="F5410">
        <f t="shared" ca="1" si="170"/>
        <v>1.6527777777777777</v>
      </c>
      <c r="G5410">
        <f t="shared" ca="1" si="171"/>
        <v>0</v>
      </c>
    </row>
    <row r="5411" spans="1:7">
      <c r="A5411">
        <v>7216</v>
      </c>
      <c r="B5411" t="s">
        <v>11</v>
      </c>
      <c r="C5411" t="s">
        <v>121</v>
      </c>
      <c r="D5411" s="9">
        <v>41428.678749999999</v>
      </c>
      <c r="E5411" t="s">
        <v>8</v>
      </c>
      <c r="F5411">
        <f t="shared" ca="1" si="170"/>
        <v>1.6555555555555554</v>
      </c>
      <c r="G5411">
        <f t="shared" ca="1" si="171"/>
        <v>0</v>
      </c>
    </row>
    <row r="5412" spans="1:7">
      <c r="A5412">
        <v>7217</v>
      </c>
      <c r="B5412" t="s">
        <v>19</v>
      </c>
      <c r="C5412" t="s">
        <v>121</v>
      </c>
      <c r="D5412" s="9">
        <v>41480.483449074076</v>
      </c>
      <c r="E5412" t="s">
        <v>20</v>
      </c>
      <c r="F5412">
        <f t="shared" ca="1" si="170"/>
        <v>1.5111111111111111</v>
      </c>
      <c r="G5412">
        <f t="shared" ca="1" si="171"/>
        <v>0</v>
      </c>
    </row>
    <row r="5413" spans="1:7">
      <c r="A5413">
        <v>7218</v>
      </c>
      <c r="B5413" t="s">
        <v>11</v>
      </c>
      <c r="C5413" t="s">
        <v>121</v>
      </c>
      <c r="D5413" s="9">
        <v>41432.80027777778</v>
      </c>
      <c r="E5413" t="s">
        <v>23</v>
      </c>
      <c r="F5413">
        <f t="shared" ca="1" si="170"/>
        <v>1.6444444444444444</v>
      </c>
      <c r="G5413">
        <f t="shared" ca="1" si="171"/>
        <v>0</v>
      </c>
    </row>
    <row r="5414" spans="1:7">
      <c r="A5414">
        <v>7220</v>
      </c>
      <c r="B5414" t="s">
        <v>34</v>
      </c>
      <c r="C5414" t="s">
        <v>121</v>
      </c>
      <c r="D5414" s="9">
        <v>41480.483564814815</v>
      </c>
      <c r="E5414" t="s">
        <v>30</v>
      </c>
      <c r="F5414">
        <f t="shared" ca="1" si="170"/>
        <v>1.5111111111111111</v>
      </c>
      <c r="G5414">
        <f t="shared" ca="1" si="171"/>
        <v>0</v>
      </c>
    </row>
    <row r="5415" spans="1:7">
      <c r="A5415">
        <v>7221</v>
      </c>
      <c r="B5415" t="s">
        <v>24</v>
      </c>
      <c r="C5415" t="s">
        <v>121</v>
      </c>
      <c r="D5415" s="9">
        <v>41480.484502314815</v>
      </c>
      <c r="E5415" t="s">
        <v>44</v>
      </c>
      <c r="F5415">
        <f t="shared" ca="1" si="170"/>
        <v>1.5111111111111111</v>
      </c>
      <c r="G5415">
        <f t="shared" ca="1" si="171"/>
        <v>0</v>
      </c>
    </row>
    <row r="5416" spans="1:7">
      <c r="A5416">
        <v>7224</v>
      </c>
      <c r="B5416" t="s">
        <v>54</v>
      </c>
      <c r="C5416" t="s">
        <v>121</v>
      </c>
      <c r="D5416" s="9">
        <v>41479.688067129631</v>
      </c>
      <c r="E5416" t="s">
        <v>20</v>
      </c>
      <c r="F5416">
        <f t="shared" ca="1" si="170"/>
        <v>1.5138888888888888</v>
      </c>
      <c r="G5416">
        <f t="shared" ca="1" si="171"/>
        <v>0</v>
      </c>
    </row>
    <row r="5417" spans="1:7">
      <c r="A5417">
        <v>7227</v>
      </c>
      <c r="B5417" t="s">
        <v>54</v>
      </c>
      <c r="C5417" t="s">
        <v>121</v>
      </c>
      <c r="D5417" s="9">
        <v>41480.48474537037</v>
      </c>
      <c r="E5417" t="s">
        <v>32</v>
      </c>
      <c r="F5417">
        <f t="shared" ca="1" si="170"/>
        <v>1.5111111111111111</v>
      </c>
      <c r="G5417">
        <f t="shared" ca="1" si="171"/>
        <v>0</v>
      </c>
    </row>
    <row r="5418" spans="1:7">
      <c r="A5418">
        <v>7228</v>
      </c>
      <c r="B5418" t="s">
        <v>23</v>
      </c>
      <c r="C5418" t="s">
        <v>120</v>
      </c>
      <c r="D5418" s="9">
        <v>41570.483923611115</v>
      </c>
      <c r="E5418" t="s">
        <v>11</v>
      </c>
      <c r="F5418">
        <f t="shared" ca="1" si="170"/>
        <v>1.2666666666666666</v>
      </c>
      <c r="G5418">
        <f t="shared" ca="1" si="171"/>
        <v>0</v>
      </c>
    </row>
    <row r="5419" spans="1:7">
      <c r="A5419">
        <v>7230</v>
      </c>
      <c r="B5419" t="s">
        <v>8</v>
      </c>
      <c r="C5419" t="s">
        <v>121</v>
      </c>
      <c r="D5419" s="9">
        <v>41428.694953703707</v>
      </c>
      <c r="E5419" t="s">
        <v>11</v>
      </c>
      <c r="F5419">
        <f t="shared" ca="1" si="170"/>
        <v>1.6555555555555554</v>
      </c>
      <c r="G5419">
        <f t="shared" ca="1" si="171"/>
        <v>0</v>
      </c>
    </row>
    <row r="5420" spans="1:7">
      <c r="A5420">
        <v>7231</v>
      </c>
      <c r="B5420" t="s">
        <v>32</v>
      </c>
      <c r="C5420" t="s">
        <v>121</v>
      </c>
      <c r="D5420" s="9">
        <v>41480.485300925924</v>
      </c>
      <c r="E5420" t="s">
        <v>27</v>
      </c>
      <c r="F5420">
        <f t="shared" ca="1" si="170"/>
        <v>1.5111111111111111</v>
      </c>
      <c r="G5420">
        <f t="shared" ca="1" si="171"/>
        <v>0</v>
      </c>
    </row>
    <row r="5421" spans="1:7">
      <c r="A5421">
        <v>7232</v>
      </c>
      <c r="B5421" t="s">
        <v>8</v>
      </c>
      <c r="C5421" t="s">
        <v>121</v>
      </c>
      <c r="D5421" s="9">
        <v>41479.687662037039</v>
      </c>
      <c r="E5421" t="s">
        <v>19</v>
      </c>
      <c r="F5421">
        <f t="shared" ca="1" si="170"/>
        <v>1.5138888888888888</v>
      </c>
      <c r="G5421">
        <f t="shared" ca="1" si="171"/>
        <v>0</v>
      </c>
    </row>
    <row r="5422" spans="1:7">
      <c r="A5422">
        <v>7233</v>
      </c>
      <c r="B5422" t="s">
        <v>19</v>
      </c>
      <c r="C5422" t="s">
        <v>121</v>
      </c>
      <c r="D5422" s="9">
        <v>41480.485509259262</v>
      </c>
      <c r="E5422" t="s">
        <v>20</v>
      </c>
      <c r="F5422">
        <f t="shared" ca="1" si="170"/>
        <v>1.5111111111111111</v>
      </c>
      <c r="G5422">
        <f t="shared" ca="1" si="171"/>
        <v>0</v>
      </c>
    </row>
    <row r="5423" spans="1:7">
      <c r="A5423">
        <v>7234</v>
      </c>
      <c r="B5423" t="s">
        <v>11</v>
      </c>
      <c r="C5423" t="s">
        <v>121</v>
      </c>
      <c r="D5423" s="9">
        <v>41429.697800925926</v>
      </c>
      <c r="E5423" t="s">
        <v>8</v>
      </c>
      <c r="F5423">
        <f t="shared" ca="1" si="170"/>
        <v>1.6527777777777777</v>
      </c>
      <c r="G5423">
        <f t="shared" ca="1" si="171"/>
        <v>0</v>
      </c>
    </row>
    <row r="5424" spans="1:7">
      <c r="A5424">
        <v>7235</v>
      </c>
      <c r="B5424" t="s">
        <v>111</v>
      </c>
      <c r="C5424" t="s">
        <v>121</v>
      </c>
      <c r="D5424" s="9">
        <v>41480.486041666663</v>
      </c>
      <c r="E5424" t="s">
        <v>27</v>
      </c>
      <c r="F5424">
        <f t="shared" ca="1" si="170"/>
        <v>1.5111111111111111</v>
      </c>
      <c r="G5424">
        <f t="shared" ca="1" si="171"/>
        <v>0</v>
      </c>
    </row>
    <row r="5425" spans="1:7">
      <c r="A5425">
        <v>7238</v>
      </c>
      <c r="B5425" t="s">
        <v>49</v>
      </c>
      <c r="C5425" t="s">
        <v>121</v>
      </c>
      <c r="D5425" s="9">
        <v>41480.487557870372</v>
      </c>
      <c r="E5425" t="s">
        <v>32</v>
      </c>
      <c r="F5425">
        <f t="shared" ca="1" si="170"/>
        <v>1.5111111111111111</v>
      </c>
      <c r="G5425">
        <f t="shared" ca="1" si="171"/>
        <v>0</v>
      </c>
    </row>
    <row r="5426" spans="1:7">
      <c r="A5426">
        <v>7240</v>
      </c>
      <c r="B5426" t="s">
        <v>111</v>
      </c>
      <c r="C5426" t="s">
        <v>121</v>
      </c>
      <c r="D5426" s="9">
        <v>41480.487696759257</v>
      </c>
      <c r="E5426" t="s">
        <v>27</v>
      </c>
      <c r="F5426">
        <f t="shared" ca="1" si="170"/>
        <v>1.5111111111111111</v>
      </c>
      <c r="G5426">
        <f t="shared" ca="1" si="171"/>
        <v>0</v>
      </c>
    </row>
    <row r="5427" spans="1:7">
      <c r="A5427">
        <v>7244</v>
      </c>
      <c r="B5427" t="s">
        <v>49</v>
      </c>
      <c r="C5427" t="s">
        <v>121</v>
      </c>
      <c r="D5427" s="9">
        <v>41480.48778935185</v>
      </c>
      <c r="E5427" t="s">
        <v>32</v>
      </c>
      <c r="F5427">
        <f t="shared" ca="1" si="170"/>
        <v>1.5111111111111111</v>
      </c>
      <c r="G5427">
        <f t="shared" ca="1" si="171"/>
        <v>0</v>
      </c>
    </row>
    <row r="5428" spans="1:7">
      <c r="A5428">
        <v>7245</v>
      </c>
      <c r="B5428" t="s">
        <v>20</v>
      </c>
      <c r="C5428" t="s">
        <v>121</v>
      </c>
      <c r="D5428" s="9">
        <v>41480.487997685188</v>
      </c>
      <c r="E5428" t="s">
        <v>111</v>
      </c>
      <c r="F5428">
        <f t="shared" ca="1" si="170"/>
        <v>1.5111111111111111</v>
      </c>
      <c r="G5428">
        <f t="shared" ca="1" si="171"/>
        <v>0</v>
      </c>
    </row>
    <row r="5429" spans="1:7">
      <c r="A5429">
        <v>7246</v>
      </c>
      <c r="B5429" t="s">
        <v>112</v>
      </c>
      <c r="C5429" t="s">
        <v>121</v>
      </c>
      <c r="D5429" s="9">
        <v>41432.715902777774</v>
      </c>
      <c r="E5429" t="s">
        <v>34</v>
      </c>
      <c r="F5429">
        <f t="shared" ca="1" si="170"/>
        <v>1.6444444444444444</v>
      </c>
      <c r="G5429">
        <f t="shared" ca="1" si="171"/>
        <v>0</v>
      </c>
    </row>
    <row r="5430" spans="1:7">
      <c r="A5430">
        <v>7247</v>
      </c>
      <c r="B5430" t="s">
        <v>49</v>
      </c>
      <c r="C5430" t="s">
        <v>121</v>
      </c>
      <c r="D5430" s="9">
        <v>41480.48878472222</v>
      </c>
      <c r="E5430" t="s">
        <v>20</v>
      </c>
      <c r="F5430">
        <f t="shared" ca="1" si="170"/>
        <v>1.5111111111111111</v>
      </c>
      <c r="G5430">
        <f t="shared" ca="1" si="171"/>
        <v>0</v>
      </c>
    </row>
    <row r="5431" spans="1:7">
      <c r="A5431">
        <v>7248</v>
      </c>
      <c r="B5431" t="s">
        <v>49</v>
      </c>
      <c r="C5431" t="s">
        <v>121</v>
      </c>
      <c r="D5431" s="9">
        <v>41480.488969907405</v>
      </c>
      <c r="E5431" t="s">
        <v>27</v>
      </c>
      <c r="F5431">
        <f t="shared" ca="1" si="170"/>
        <v>1.5111111111111111</v>
      </c>
      <c r="G5431">
        <f t="shared" ca="1" si="171"/>
        <v>0</v>
      </c>
    </row>
    <row r="5432" spans="1:7">
      <c r="A5432">
        <v>7252</v>
      </c>
      <c r="B5432" t="s">
        <v>19</v>
      </c>
      <c r="C5432" t="s">
        <v>121</v>
      </c>
      <c r="D5432" s="9">
        <v>41479.67863425926</v>
      </c>
      <c r="E5432" t="s">
        <v>8</v>
      </c>
      <c r="F5432">
        <f t="shared" ca="1" si="170"/>
        <v>1.5138888888888888</v>
      </c>
      <c r="G5432">
        <f t="shared" ca="1" si="171"/>
        <v>0</v>
      </c>
    </row>
    <row r="5433" spans="1:7">
      <c r="A5433">
        <v>7255</v>
      </c>
      <c r="B5433" t="s">
        <v>27</v>
      </c>
      <c r="C5433" t="s">
        <v>121</v>
      </c>
      <c r="D5433" s="9">
        <v>41479.700011574074</v>
      </c>
      <c r="E5433" t="s">
        <v>19</v>
      </c>
      <c r="F5433">
        <f t="shared" ca="1" si="170"/>
        <v>1.5138888888888888</v>
      </c>
      <c r="G5433">
        <f t="shared" ca="1" si="171"/>
        <v>0</v>
      </c>
    </row>
    <row r="5434" spans="1:7">
      <c r="A5434">
        <v>7256</v>
      </c>
      <c r="B5434" t="s">
        <v>54</v>
      </c>
      <c r="C5434" t="s">
        <v>121</v>
      </c>
      <c r="D5434" s="9">
        <v>41480.489363425928</v>
      </c>
      <c r="E5434" t="s">
        <v>32</v>
      </c>
      <c r="F5434">
        <f t="shared" ca="1" si="170"/>
        <v>1.5111111111111111</v>
      </c>
      <c r="G5434">
        <f t="shared" ca="1" si="171"/>
        <v>0</v>
      </c>
    </row>
    <row r="5435" spans="1:7">
      <c r="A5435">
        <v>7257</v>
      </c>
      <c r="B5435" t="s">
        <v>20</v>
      </c>
      <c r="C5435" t="s">
        <v>121</v>
      </c>
      <c r="D5435" s="9">
        <v>41446.604386574072</v>
      </c>
      <c r="E5435" t="s">
        <v>30</v>
      </c>
      <c r="F5435">
        <f t="shared" ca="1" si="170"/>
        <v>1.6055555555555556</v>
      </c>
      <c r="G5435">
        <f t="shared" ca="1" si="171"/>
        <v>0</v>
      </c>
    </row>
    <row r="5436" spans="1:7">
      <c r="A5436">
        <v>7258</v>
      </c>
      <c r="B5436" t="s">
        <v>27</v>
      </c>
      <c r="C5436" t="s">
        <v>121</v>
      </c>
      <c r="D5436" s="9">
        <v>41479.699803240743</v>
      </c>
      <c r="E5436" t="s">
        <v>19</v>
      </c>
      <c r="F5436">
        <f t="shared" ca="1" si="170"/>
        <v>1.5138888888888888</v>
      </c>
      <c r="G5436">
        <f t="shared" ca="1" si="171"/>
        <v>0</v>
      </c>
    </row>
    <row r="5437" spans="1:7">
      <c r="A5437">
        <v>7260</v>
      </c>
      <c r="B5437" t="s">
        <v>111</v>
      </c>
      <c r="C5437" t="s">
        <v>121</v>
      </c>
      <c r="D5437" s="9">
        <v>41480.489756944444</v>
      </c>
      <c r="E5437" t="s">
        <v>27</v>
      </c>
      <c r="F5437">
        <f t="shared" ca="1" si="170"/>
        <v>1.5111111111111111</v>
      </c>
      <c r="G5437">
        <f t="shared" ca="1" si="171"/>
        <v>0</v>
      </c>
    </row>
    <row r="5438" spans="1:7">
      <c r="A5438">
        <v>7261</v>
      </c>
      <c r="B5438" t="s">
        <v>19</v>
      </c>
      <c r="C5438" t="s">
        <v>121</v>
      </c>
      <c r="D5438" s="9">
        <v>41480.489872685182</v>
      </c>
      <c r="E5438" t="s">
        <v>20</v>
      </c>
      <c r="F5438">
        <f t="shared" ca="1" si="170"/>
        <v>1.5111111111111111</v>
      </c>
      <c r="G5438">
        <f t="shared" ca="1" si="171"/>
        <v>0</v>
      </c>
    </row>
    <row r="5439" spans="1:7">
      <c r="A5439">
        <v>7262</v>
      </c>
      <c r="B5439" t="s">
        <v>8</v>
      </c>
      <c r="C5439" t="s">
        <v>121</v>
      </c>
      <c r="D5439" s="9">
        <v>41467.626180555555</v>
      </c>
      <c r="E5439" t="s">
        <v>24</v>
      </c>
      <c r="F5439">
        <f t="shared" ca="1" si="170"/>
        <v>1.5472222222222223</v>
      </c>
      <c r="G5439">
        <f t="shared" ca="1" si="171"/>
        <v>0</v>
      </c>
    </row>
    <row r="5440" spans="1:7">
      <c r="A5440">
        <v>7264</v>
      </c>
      <c r="B5440" t="s">
        <v>19</v>
      </c>
      <c r="C5440" t="s">
        <v>121</v>
      </c>
      <c r="D5440" s="9">
        <v>41479.699456018519</v>
      </c>
      <c r="E5440" t="s">
        <v>112</v>
      </c>
      <c r="F5440">
        <f t="shared" ca="1" si="170"/>
        <v>1.5138888888888888</v>
      </c>
      <c r="G5440">
        <f t="shared" ca="1" si="171"/>
        <v>0</v>
      </c>
    </row>
    <row r="5441" spans="1:7">
      <c r="A5441">
        <v>7266</v>
      </c>
      <c r="B5441" t="s">
        <v>20</v>
      </c>
      <c r="C5441" t="s">
        <v>121</v>
      </c>
      <c r="D5441" s="9">
        <v>41480.491400462961</v>
      </c>
      <c r="E5441" t="s">
        <v>21</v>
      </c>
      <c r="F5441">
        <f t="shared" ca="1" si="170"/>
        <v>1.5111111111111111</v>
      </c>
      <c r="G5441">
        <f t="shared" ca="1" si="171"/>
        <v>0</v>
      </c>
    </row>
    <row r="5442" spans="1:7">
      <c r="A5442">
        <v>7268</v>
      </c>
      <c r="B5442" t="s">
        <v>19</v>
      </c>
      <c r="C5442" t="s">
        <v>121</v>
      </c>
      <c r="D5442" s="9">
        <v>41479.699143518519</v>
      </c>
      <c r="E5442" t="s">
        <v>8</v>
      </c>
      <c r="F5442">
        <f t="shared" ca="1" si="170"/>
        <v>1.5138888888888888</v>
      </c>
      <c r="G5442">
        <f t="shared" ca="1" si="171"/>
        <v>0</v>
      </c>
    </row>
    <row r="5443" spans="1:7">
      <c r="A5443">
        <v>7270</v>
      </c>
      <c r="B5443" t="s">
        <v>54</v>
      </c>
      <c r="C5443" t="s">
        <v>121</v>
      </c>
      <c r="D5443" s="9">
        <v>41480.492013888892</v>
      </c>
      <c r="E5443" t="s">
        <v>20</v>
      </c>
      <c r="F5443">
        <f t="shared" ca="1" si="170"/>
        <v>1.5111111111111111</v>
      </c>
      <c r="G5443">
        <f t="shared" ca="1" si="171"/>
        <v>0</v>
      </c>
    </row>
    <row r="5444" spans="1:7">
      <c r="A5444">
        <v>7272</v>
      </c>
      <c r="B5444" t="s">
        <v>20</v>
      </c>
      <c r="C5444" t="s">
        <v>121</v>
      </c>
      <c r="D5444" s="9">
        <v>41436.603125000001</v>
      </c>
      <c r="E5444" t="s">
        <v>27</v>
      </c>
      <c r="F5444">
        <f t="shared" ca="1" si="170"/>
        <v>1.6333333333333333</v>
      </c>
      <c r="G5444">
        <f t="shared" ca="1" si="171"/>
        <v>0</v>
      </c>
    </row>
    <row r="5445" spans="1:7">
      <c r="A5445">
        <v>7273</v>
      </c>
      <c r="B5445" t="s">
        <v>20</v>
      </c>
      <c r="C5445" t="s">
        <v>121</v>
      </c>
      <c r="D5445" s="9">
        <v>41480.492280092592</v>
      </c>
      <c r="E5445" t="s">
        <v>111</v>
      </c>
      <c r="F5445">
        <f t="shared" ca="1" si="170"/>
        <v>1.5111111111111111</v>
      </c>
      <c r="G5445">
        <f t="shared" ca="1" si="171"/>
        <v>0</v>
      </c>
    </row>
    <row r="5446" spans="1:7">
      <c r="A5446">
        <v>7277</v>
      </c>
      <c r="B5446" t="s">
        <v>8</v>
      </c>
      <c r="C5446" t="s">
        <v>121</v>
      </c>
      <c r="D5446" s="9">
        <v>41467.625335648147</v>
      </c>
      <c r="E5446" t="s">
        <v>30</v>
      </c>
      <c r="F5446">
        <f t="shared" ca="1" si="170"/>
        <v>1.5472222222222223</v>
      </c>
      <c r="G5446">
        <f t="shared" ca="1" si="171"/>
        <v>0</v>
      </c>
    </row>
    <row r="5447" spans="1:7">
      <c r="A5447">
        <v>7278</v>
      </c>
      <c r="B5447" t="s">
        <v>49</v>
      </c>
      <c r="C5447" t="s">
        <v>121</v>
      </c>
      <c r="D5447" s="9">
        <v>41479.698946759258</v>
      </c>
      <c r="E5447" t="s">
        <v>27</v>
      </c>
      <c r="F5447">
        <f t="shared" ref="F5447:F5510" ca="1" si="172">YEARFRAC(TODAY(),$D5447)</f>
        <v>1.5138888888888888</v>
      </c>
      <c r="G5447">
        <f t="shared" ref="G5447:G5510" ca="1" si="173">IF($F5447&lt;1,1,0)</f>
        <v>0</v>
      </c>
    </row>
    <row r="5448" spans="1:7">
      <c r="A5448">
        <v>7279</v>
      </c>
      <c r="B5448" t="s">
        <v>20</v>
      </c>
      <c r="C5448" t="s">
        <v>121</v>
      </c>
      <c r="D5448" s="9">
        <v>41439.75409722222</v>
      </c>
      <c r="E5448" t="s">
        <v>23</v>
      </c>
      <c r="F5448">
        <f t="shared" ca="1" si="172"/>
        <v>1.625</v>
      </c>
      <c r="G5448">
        <f t="shared" ca="1" si="173"/>
        <v>0</v>
      </c>
    </row>
    <row r="5449" spans="1:7">
      <c r="A5449">
        <v>7280</v>
      </c>
      <c r="B5449" t="s">
        <v>20</v>
      </c>
      <c r="C5449" t="s">
        <v>121</v>
      </c>
      <c r="D5449" s="9">
        <v>41480.493287037039</v>
      </c>
      <c r="E5449" t="s">
        <v>111</v>
      </c>
      <c r="F5449">
        <f t="shared" ca="1" si="172"/>
        <v>1.5111111111111111</v>
      </c>
      <c r="G5449">
        <f t="shared" ca="1" si="173"/>
        <v>0</v>
      </c>
    </row>
    <row r="5450" spans="1:7">
      <c r="A5450">
        <v>7281</v>
      </c>
      <c r="B5450" t="s">
        <v>19</v>
      </c>
      <c r="C5450" t="s">
        <v>121</v>
      </c>
      <c r="D5450" s="9">
        <v>41479.698599537034</v>
      </c>
      <c r="E5450" t="s">
        <v>20</v>
      </c>
      <c r="F5450">
        <f t="shared" ca="1" si="172"/>
        <v>1.5138888888888888</v>
      </c>
      <c r="G5450">
        <f t="shared" ca="1" si="173"/>
        <v>0</v>
      </c>
    </row>
    <row r="5451" spans="1:7">
      <c r="A5451">
        <v>7282</v>
      </c>
      <c r="B5451" t="s">
        <v>19</v>
      </c>
      <c r="C5451" t="s">
        <v>121</v>
      </c>
      <c r="D5451" s="9">
        <v>41479.697199074071</v>
      </c>
      <c r="E5451" t="s">
        <v>112</v>
      </c>
      <c r="F5451">
        <f t="shared" ca="1" si="172"/>
        <v>1.5138888888888888</v>
      </c>
      <c r="G5451">
        <f t="shared" ca="1" si="173"/>
        <v>0</v>
      </c>
    </row>
    <row r="5452" spans="1:7">
      <c r="A5452">
        <v>7283</v>
      </c>
      <c r="B5452" t="s">
        <v>27</v>
      </c>
      <c r="C5452" t="s">
        <v>121</v>
      </c>
      <c r="D5452" s="9">
        <v>41479.696805555555</v>
      </c>
      <c r="E5452" t="s">
        <v>19</v>
      </c>
      <c r="F5452">
        <f t="shared" ca="1" si="172"/>
        <v>1.5138888888888888</v>
      </c>
      <c r="G5452">
        <f t="shared" ca="1" si="173"/>
        <v>0</v>
      </c>
    </row>
    <row r="5453" spans="1:7">
      <c r="A5453">
        <v>7285</v>
      </c>
      <c r="B5453" t="s">
        <v>112</v>
      </c>
      <c r="C5453" t="s">
        <v>121</v>
      </c>
      <c r="D5453" s="9">
        <v>41437.634675925925</v>
      </c>
      <c r="E5453" t="s">
        <v>20</v>
      </c>
      <c r="F5453">
        <f t="shared" ca="1" si="172"/>
        <v>1.6305555555555555</v>
      </c>
      <c r="G5453">
        <f t="shared" ca="1" si="173"/>
        <v>0</v>
      </c>
    </row>
    <row r="5454" spans="1:7">
      <c r="A5454">
        <v>7290</v>
      </c>
      <c r="B5454" t="s">
        <v>19</v>
      </c>
      <c r="C5454" t="s">
        <v>121</v>
      </c>
      <c r="D5454" s="9">
        <v>41480.493784722225</v>
      </c>
      <c r="E5454" t="s">
        <v>112</v>
      </c>
      <c r="F5454">
        <f t="shared" ca="1" si="172"/>
        <v>1.5111111111111111</v>
      </c>
      <c r="G5454">
        <f t="shared" ca="1" si="173"/>
        <v>0</v>
      </c>
    </row>
    <row r="5455" spans="1:7">
      <c r="A5455">
        <v>7292</v>
      </c>
      <c r="B5455" t="s">
        <v>8</v>
      </c>
      <c r="C5455" t="s">
        <v>121</v>
      </c>
      <c r="D5455" s="9">
        <v>41480.493935185186</v>
      </c>
      <c r="E5455" t="s">
        <v>27</v>
      </c>
      <c r="F5455">
        <f t="shared" ca="1" si="172"/>
        <v>1.5111111111111111</v>
      </c>
      <c r="G5455">
        <f t="shared" ca="1" si="173"/>
        <v>0</v>
      </c>
    </row>
    <row r="5456" spans="1:7">
      <c r="A5456">
        <v>7294</v>
      </c>
      <c r="B5456" t="s">
        <v>27</v>
      </c>
      <c r="C5456" t="s">
        <v>121</v>
      </c>
      <c r="D5456" s="9">
        <v>41479.694872685184</v>
      </c>
      <c r="E5456" t="s">
        <v>19</v>
      </c>
      <c r="F5456">
        <f t="shared" ca="1" si="172"/>
        <v>1.5138888888888888</v>
      </c>
      <c r="G5456">
        <f t="shared" ca="1" si="173"/>
        <v>0</v>
      </c>
    </row>
    <row r="5457" spans="1:7">
      <c r="A5457">
        <v>7295</v>
      </c>
      <c r="B5457" t="s">
        <v>45</v>
      </c>
      <c r="C5457" t="s">
        <v>121</v>
      </c>
      <c r="D5457" s="9">
        <v>41444.594594907408</v>
      </c>
      <c r="E5457" t="s">
        <v>111</v>
      </c>
      <c r="F5457">
        <f t="shared" ca="1" si="172"/>
        <v>1.6111111111111112</v>
      </c>
      <c r="G5457">
        <f t="shared" ca="1" si="173"/>
        <v>0</v>
      </c>
    </row>
    <row r="5458" spans="1:7">
      <c r="A5458">
        <v>7296</v>
      </c>
      <c r="B5458" t="s">
        <v>49</v>
      </c>
      <c r="C5458" t="s">
        <v>121</v>
      </c>
      <c r="D5458" s="9">
        <v>41438.801828703705</v>
      </c>
      <c r="E5458" t="s">
        <v>111</v>
      </c>
      <c r="F5458">
        <f t="shared" ca="1" si="172"/>
        <v>1.6277777777777778</v>
      </c>
      <c r="G5458">
        <f t="shared" ca="1" si="173"/>
        <v>0</v>
      </c>
    </row>
    <row r="5459" spans="1:7">
      <c r="A5459">
        <v>7299</v>
      </c>
      <c r="B5459" t="s">
        <v>20</v>
      </c>
      <c r="C5459" t="s">
        <v>121</v>
      </c>
      <c r="D5459" s="9">
        <v>41445.596365740741</v>
      </c>
      <c r="E5459" t="s">
        <v>111</v>
      </c>
      <c r="F5459">
        <f t="shared" ca="1" si="172"/>
        <v>1.6083333333333334</v>
      </c>
      <c r="G5459">
        <f t="shared" ca="1" si="173"/>
        <v>0</v>
      </c>
    </row>
    <row r="5460" spans="1:7">
      <c r="A5460">
        <v>7303</v>
      </c>
      <c r="B5460" t="s">
        <v>19</v>
      </c>
      <c r="C5460" t="s">
        <v>121</v>
      </c>
      <c r="D5460" s="9">
        <v>41479.702939814815</v>
      </c>
      <c r="E5460" t="s">
        <v>20</v>
      </c>
      <c r="F5460">
        <f t="shared" ca="1" si="172"/>
        <v>1.5138888888888888</v>
      </c>
      <c r="G5460">
        <f t="shared" ca="1" si="173"/>
        <v>0</v>
      </c>
    </row>
    <row r="5461" spans="1:7">
      <c r="A5461">
        <v>7305</v>
      </c>
      <c r="B5461" t="s">
        <v>19</v>
      </c>
      <c r="C5461" t="s">
        <v>121</v>
      </c>
      <c r="D5461" s="9">
        <v>41479.702499999999</v>
      </c>
      <c r="E5461" t="s">
        <v>27</v>
      </c>
      <c r="F5461">
        <f t="shared" ca="1" si="172"/>
        <v>1.5138888888888888</v>
      </c>
      <c r="G5461">
        <f t="shared" ca="1" si="173"/>
        <v>0</v>
      </c>
    </row>
    <row r="5462" spans="1:7">
      <c r="A5462">
        <v>7308</v>
      </c>
      <c r="B5462" t="s">
        <v>34</v>
      </c>
      <c r="C5462" t="s">
        <v>121</v>
      </c>
      <c r="D5462" s="9">
        <v>41443.706354166665</v>
      </c>
      <c r="E5462" t="s">
        <v>111</v>
      </c>
      <c r="F5462">
        <f t="shared" ca="1" si="172"/>
        <v>1.6138888888888889</v>
      </c>
      <c r="G5462">
        <f t="shared" ca="1" si="173"/>
        <v>0</v>
      </c>
    </row>
    <row r="5463" spans="1:7">
      <c r="A5463">
        <v>7310</v>
      </c>
      <c r="B5463" t="s">
        <v>19</v>
      </c>
      <c r="C5463" t="s">
        <v>121</v>
      </c>
      <c r="D5463" s="9">
        <v>41479.702326388891</v>
      </c>
      <c r="E5463" t="s">
        <v>20</v>
      </c>
      <c r="F5463">
        <f t="shared" ca="1" si="172"/>
        <v>1.5138888888888888</v>
      </c>
      <c r="G5463">
        <f t="shared" ca="1" si="173"/>
        <v>0</v>
      </c>
    </row>
    <row r="5464" spans="1:7">
      <c r="A5464">
        <v>7311</v>
      </c>
      <c r="B5464" t="s">
        <v>111</v>
      </c>
      <c r="C5464" t="s">
        <v>121</v>
      </c>
      <c r="D5464" s="9">
        <v>41480.496446759258</v>
      </c>
      <c r="E5464" t="s">
        <v>32</v>
      </c>
      <c r="F5464">
        <f t="shared" ca="1" si="172"/>
        <v>1.5111111111111111</v>
      </c>
      <c r="G5464">
        <f t="shared" ca="1" si="173"/>
        <v>0</v>
      </c>
    </row>
    <row r="5465" spans="1:7">
      <c r="A5465">
        <v>7314</v>
      </c>
      <c r="B5465" t="s">
        <v>24</v>
      </c>
      <c r="C5465" t="s">
        <v>121</v>
      </c>
      <c r="D5465" s="9">
        <v>41480.496932870374</v>
      </c>
      <c r="E5465" t="s">
        <v>44</v>
      </c>
      <c r="F5465">
        <f t="shared" ca="1" si="172"/>
        <v>1.5111111111111111</v>
      </c>
      <c r="G5465">
        <f t="shared" ca="1" si="173"/>
        <v>0</v>
      </c>
    </row>
    <row r="5466" spans="1:7">
      <c r="A5466">
        <v>7317</v>
      </c>
      <c r="B5466" t="s">
        <v>19</v>
      </c>
      <c r="C5466" t="s">
        <v>121</v>
      </c>
      <c r="D5466" s="9">
        <v>41480.497071759259</v>
      </c>
      <c r="E5466" t="s">
        <v>8</v>
      </c>
      <c r="F5466">
        <f t="shared" ca="1" si="172"/>
        <v>1.5111111111111111</v>
      </c>
      <c r="G5466">
        <f t="shared" ca="1" si="173"/>
        <v>0</v>
      </c>
    </row>
    <row r="5467" spans="1:7">
      <c r="A5467">
        <v>7318</v>
      </c>
      <c r="B5467" t="s">
        <v>51</v>
      </c>
      <c r="C5467" t="s">
        <v>121</v>
      </c>
      <c r="D5467" s="9">
        <v>41480.497245370374</v>
      </c>
      <c r="E5467" t="s">
        <v>27</v>
      </c>
      <c r="F5467">
        <f t="shared" ca="1" si="172"/>
        <v>1.5111111111111111</v>
      </c>
      <c r="G5467">
        <f t="shared" ca="1" si="173"/>
        <v>0</v>
      </c>
    </row>
    <row r="5468" spans="1:7">
      <c r="A5468">
        <v>7319</v>
      </c>
      <c r="B5468" t="s">
        <v>19</v>
      </c>
      <c r="C5468" t="s">
        <v>121</v>
      </c>
      <c r="D5468" s="9">
        <v>41480.497349537036</v>
      </c>
      <c r="E5468" t="s">
        <v>44</v>
      </c>
      <c r="F5468">
        <f t="shared" ca="1" si="172"/>
        <v>1.5111111111111111</v>
      </c>
      <c r="G5468">
        <f t="shared" ca="1" si="173"/>
        <v>0</v>
      </c>
    </row>
    <row r="5469" spans="1:7">
      <c r="A5469">
        <v>7321</v>
      </c>
      <c r="B5469" t="s">
        <v>20</v>
      </c>
      <c r="C5469" t="s">
        <v>120</v>
      </c>
      <c r="D5469" s="9">
        <v>41502.596967592595</v>
      </c>
      <c r="E5469" t="s">
        <v>17</v>
      </c>
      <c r="F5469">
        <f t="shared" ca="1" si="172"/>
        <v>1.4527777777777777</v>
      </c>
      <c r="G5469">
        <f t="shared" ca="1" si="173"/>
        <v>0</v>
      </c>
    </row>
    <row r="5470" spans="1:7">
      <c r="A5470">
        <v>7323</v>
      </c>
      <c r="B5470" t="s">
        <v>19</v>
      </c>
      <c r="C5470" t="s">
        <v>121</v>
      </c>
      <c r="D5470" s="9">
        <v>41480.49763888889</v>
      </c>
      <c r="E5470" t="s">
        <v>8</v>
      </c>
      <c r="F5470">
        <f t="shared" ca="1" si="172"/>
        <v>1.5111111111111111</v>
      </c>
      <c r="G5470">
        <f t="shared" ca="1" si="173"/>
        <v>0</v>
      </c>
    </row>
    <row r="5471" spans="1:7">
      <c r="A5471">
        <v>7324</v>
      </c>
      <c r="B5471" t="s">
        <v>112</v>
      </c>
      <c r="C5471" t="s">
        <v>121</v>
      </c>
      <c r="D5471" s="9">
        <v>41446.604166666664</v>
      </c>
      <c r="E5471" t="s">
        <v>19</v>
      </c>
      <c r="F5471">
        <f t="shared" ca="1" si="172"/>
        <v>1.6055555555555556</v>
      </c>
      <c r="G5471">
        <f t="shared" ca="1" si="173"/>
        <v>0</v>
      </c>
    </row>
    <row r="5472" spans="1:7">
      <c r="A5472">
        <v>7325</v>
      </c>
      <c r="B5472" t="s">
        <v>19</v>
      </c>
      <c r="C5472" t="s">
        <v>121</v>
      </c>
      <c r="D5472" s="9">
        <v>41479.702118055553</v>
      </c>
      <c r="E5472" t="s">
        <v>27</v>
      </c>
      <c r="F5472">
        <f t="shared" ca="1" si="172"/>
        <v>1.5138888888888888</v>
      </c>
      <c r="G5472">
        <f t="shared" ca="1" si="173"/>
        <v>0</v>
      </c>
    </row>
    <row r="5473" spans="1:7">
      <c r="A5473">
        <v>7327</v>
      </c>
      <c r="B5473" t="s">
        <v>111</v>
      </c>
      <c r="C5473" t="s">
        <v>121</v>
      </c>
      <c r="D5473" s="9">
        <v>41480.498055555552</v>
      </c>
      <c r="E5473" t="s">
        <v>32</v>
      </c>
      <c r="F5473">
        <f t="shared" ca="1" si="172"/>
        <v>1.5111111111111111</v>
      </c>
      <c r="G5473">
        <f t="shared" ca="1" si="173"/>
        <v>0</v>
      </c>
    </row>
    <row r="5474" spans="1:7">
      <c r="A5474">
        <v>7328</v>
      </c>
      <c r="B5474" t="s">
        <v>111</v>
      </c>
      <c r="C5474" t="s">
        <v>121</v>
      </c>
      <c r="D5474" s="9">
        <v>41446.686099537037</v>
      </c>
      <c r="E5474" t="s">
        <v>32</v>
      </c>
      <c r="F5474">
        <f t="shared" ca="1" si="172"/>
        <v>1.6055555555555556</v>
      </c>
      <c r="G5474">
        <f t="shared" ca="1" si="173"/>
        <v>0</v>
      </c>
    </row>
    <row r="5475" spans="1:7">
      <c r="A5475">
        <v>7338</v>
      </c>
      <c r="B5475" t="s">
        <v>30</v>
      </c>
      <c r="C5475" t="s">
        <v>121</v>
      </c>
      <c r="D5475" s="9">
        <v>41480.498437499999</v>
      </c>
      <c r="E5475" t="s">
        <v>111</v>
      </c>
      <c r="F5475">
        <f t="shared" ca="1" si="172"/>
        <v>1.5111111111111111</v>
      </c>
      <c r="G5475">
        <f t="shared" ca="1" si="173"/>
        <v>0</v>
      </c>
    </row>
    <row r="5476" spans="1:7">
      <c r="A5476">
        <v>7339</v>
      </c>
      <c r="B5476" t="s">
        <v>27</v>
      </c>
      <c r="C5476" t="s">
        <v>121</v>
      </c>
      <c r="D5476" s="9">
        <v>41480.500300925924</v>
      </c>
      <c r="E5476" t="s">
        <v>23</v>
      </c>
      <c r="F5476">
        <f t="shared" ca="1" si="172"/>
        <v>1.5111111111111111</v>
      </c>
      <c r="G5476">
        <f t="shared" ca="1" si="173"/>
        <v>0</v>
      </c>
    </row>
    <row r="5477" spans="1:7">
      <c r="A5477">
        <v>7341</v>
      </c>
      <c r="B5477" t="s">
        <v>111</v>
      </c>
      <c r="C5477" t="s">
        <v>121</v>
      </c>
      <c r="D5477" s="9">
        <v>41457.799386574072</v>
      </c>
      <c r="E5477" t="s">
        <v>32</v>
      </c>
      <c r="F5477">
        <f t="shared" ca="1" si="172"/>
        <v>1.575</v>
      </c>
      <c r="G5477">
        <f t="shared" ca="1" si="173"/>
        <v>0</v>
      </c>
    </row>
    <row r="5478" spans="1:7">
      <c r="A5478">
        <v>7343</v>
      </c>
      <c r="B5478" t="s">
        <v>112</v>
      </c>
      <c r="C5478" t="s">
        <v>121</v>
      </c>
      <c r="D5478" s="9">
        <v>41453.682569444441</v>
      </c>
      <c r="E5478" t="s">
        <v>34</v>
      </c>
      <c r="F5478">
        <f t="shared" ca="1" si="172"/>
        <v>1.586111111111111</v>
      </c>
      <c r="G5478">
        <f t="shared" ca="1" si="173"/>
        <v>0</v>
      </c>
    </row>
    <row r="5479" spans="1:7">
      <c r="A5479">
        <v>7348</v>
      </c>
      <c r="B5479" t="s">
        <v>27</v>
      </c>
      <c r="C5479" t="s">
        <v>121</v>
      </c>
      <c r="D5479" s="9">
        <v>41479.701331018521</v>
      </c>
      <c r="E5479" t="s">
        <v>20</v>
      </c>
      <c r="F5479">
        <f t="shared" ca="1" si="172"/>
        <v>1.5138888888888888</v>
      </c>
      <c r="G5479">
        <f t="shared" ca="1" si="173"/>
        <v>0</v>
      </c>
    </row>
    <row r="5480" spans="1:7">
      <c r="A5480">
        <v>7351</v>
      </c>
      <c r="B5480" t="s">
        <v>23</v>
      </c>
      <c r="C5480" t="s">
        <v>121</v>
      </c>
      <c r="D5480" s="9">
        <v>41480.501516203702</v>
      </c>
      <c r="E5480" t="s">
        <v>8</v>
      </c>
      <c r="F5480">
        <f t="shared" ca="1" si="172"/>
        <v>1.5111111111111111</v>
      </c>
      <c r="G5480">
        <f t="shared" ca="1" si="173"/>
        <v>0</v>
      </c>
    </row>
    <row r="5481" spans="1:7">
      <c r="A5481">
        <v>7352</v>
      </c>
      <c r="B5481" t="s">
        <v>8</v>
      </c>
      <c r="C5481" t="s">
        <v>121</v>
      </c>
      <c r="D5481" s="9">
        <v>41451.769097222219</v>
      </c>
      <c r="E5481" t="s">
        <v>27</v>
      </c>
      <c r="F5481">
        <f t="shared" ca="1" si="172"/>
        <v>1.5916666666666666</v>
      </c>
      <c r="G5481">
        <f t="shared" ca="1" si="173"/>
        <v>0</v>
      </c>
    </row>
    <row r="5482" spans="1:7">
      <c r="A5482">
        <v>7353</v>
      </c>
      <c r="B5482" t="s">
        <v>27</v>
      </c>
      <c r="C5482" t="s">
        <v>121</v>
      </c>
      <c r="D5482" s="9">
        <v>41479.70103009259</v>
      </c>
      <c r="E5482" t="s">
        <v>20</v>
      </c>
      <c r="F5482">
        <f t="shared" ca="1" si="172"/>
        <v>1.5138888888888888</v>
      </c>
      <c r="G5482">
        <f t="shared" ca="1" si="173"/>
        <v>0</v>
      </c>
    </row>
    <row r="5483" spans="1:7">
      <c r="A5483">
        <v>7354</v>
      </c>
      <c r="B5483" t="s">
        <v>27</v>
      </c>
      <c r="C5483" t="s">
        <v>121</v>
      </c>
      <c r="D5483" s="9">
        <v>41479.700868055559</v>
      </c>
      <c r="E5483" t="s">
        <v>8</v>
      </c>
      <c r="F5483">
        <f t="shared" ca="1" si="172"/>
        <v>1.5138888888888888</v>
      </c>
      <c r="G5483">
        <f t="shared" ca="1" si="173"/>
        <v>0</v>
      </c>
    </row>
    <row r="5484" spans="1:7">
      <c r="A5484">
        <v>7355</v>
      </c>
      <c r="B5484" t="s">
        <v>111</v>
      </c>
      <c r="C5484" t="s">
        <v>121</v>
      </c>
      <c r="D5484" s="9">
        <v>41453.664409722223</v>
      </c>
      <c r="E5484" t="s">
        <v>34</v>
      </c>
      <c r="F5484">
        <f t="shared" ca="1" si="172"/>
        <v>1.586111111111111</v>
      </c>
      <c r="G5484">
        <f t="shared" ca="1" si="173"/>
        <v>0</v>
      </c>
    </row>
    <row r="5485" spans="1:7">
      <c r="A5485">
        <v>7356</v>
      </c>
      <c r="B5485" t="s">
        <v>112</v>
      </c>
      <c r="C5485" t="s">
        <v>121</v>
      </c>
      <c r="D5485" s="9">
        <v>41480.502002314817</v>
      </c>
      <c r="E5485" t="s">
        <v>44</v>
      </c>
      <c r="F5485">
        <f t="shared" ca="1" si="172"/>
        <v>1.5111111111111111</v>
      </c>
      <c r="G5485">
        <f t="shared" ca="1" si="173"/>
        <v>0</v>
      </c>
    </row>
    <row r="5486" spans="1:7">
      <c r="A5486">
        <v>7358</v>
      </c>
      <c r="B5486" t="s">
        <v>112</v>
      </c>
      <c r="C5486" t="s">
        <v>121</v>
      </c>
      <c r="D5486" s="9">
        <v>41453.65042824074</v>
      </c>
      <c r="E5486" t="s">
        <v>19</v>
      </c>
      <c r="F5486">
        <f t="shared" ca="1" si="172"/>
        <v>1.586111111111111</v>
      </c>
      <c r="G5486">
        <f t="shared" ca="1" si="173"/>
        <v>0</v>
      </c>
    </row>
    <row r="5487" spans="1:7">
      <c r="A5487">
        <v>7360</v>
      </c>
      <c r="B5487" t="s">
        <v>111</v>
      </c>
      <c r="C5487" t="s">
        <v>121</v>
      </c>
      <c r="D5487" s="9">
        <v>41480.502523148149</v>
      </c>
      <c r="E5487" t="s">
        <v>11</v>
      </c>
      <c r="F5487">
        <f t="shared" ca="1" si="172"/>
        <v>1.5111111111111111</v>
      </c>
      <c r="G5487">
        <f t="shared" ca="1" si="173"/>
        <v>0</v>
      </c>
    </row>
    <row r="5488" spans="1:7">
      <c r="A5488">
        <v>7365</v>
      </c>
      <c r="B5488" t="s">
        <v>30</v>
      </c>
      <c r="C5488" t="s">
        <v>121</v>
      </c>
      <c r="D5488" s="9">
        <v>41480.502685185187</v>
      </c>
      <c r="E5488" t="s">
        <v>21</v>
      </c>
      <c r="F5488">
        <f t="shared" ca="1" si="172"/>
        <v>1.5111111111111111</v>
      </c>
      <c r="G5488">
        <f t="shared" ca="1" si="173"/>
        <v>0</v>
      </c>
    </row>
    <row r="5489" spans="1:7">
      <c r="A5489">
        <v>7367</v>
      </c>
      <c r="B5489" t="s">
        <v>18</v>
      </c>
      <c r="C5489" t="s">
        <v>119</v>
      </c>
      <c r="D5489" s="9">
        <v>41593.652314814812</v>
      </c>
      <c r="E5489" t="s">
        <v>30</v>
      </c>
      <c r="F5489">
        <f t="shared" ca="1" si="172"/>
        <v>1.2055555555555555</v>
      </c>
      <c r="G5489">
        <f t="shared" ca="1" si="173"/>
        <v>0</v>
      </c>
    </row>
    <row r="5490" spans="1:7">
      <c r="A5490">
        <v>7369</v>
      </c>
      <c r="B5490" t="s">
        <v>34</v>
      </c>
      <c r="C5490" t="s">
        <v>121</v>
      </c>
      <c r="D5490" s="9">
        <v>41453.707627314812</v>
      </c>
      <c r="E5490" t="s">
        <v>32</v>
      </c>
      <c r="F5490">
        <f t="shared" ca="1" si="172"/>
        <v>1.586111111111111</v>
      </c>
      <c r="G5490">
        <f t="shared" ca="1" si="173"/>
        <v>0</v>
      </c>
    </row>
    <row r="5491" spans="1:7">
      <c r="A5491">
        <v>7370</v>
      </c>
      <c r="B5491" t="s">
        <v>49</v>
      </c>
      <c r="C5491" t="s">
        <v>121</v>
      </c>
      <c r="D5491" s="9">
        <v>41452.532476851855</v>
      </c>
      <c r="E5491" t="s">
        <v>32</v>
      </c>
      <c r="F5491">
        <f t="shared" ca="1" si="172"/>
        <v>1.5888888888888888</v>
      </c>
      <c r="G5491">
        <f t="shared" ca="1" si="173"/>
        <v>0</v>
      </c>
    </row>
    <row r="5492" spans="1:7">
      <c r="A5492">
        <v>7371</v>
      </c>
      <c r="B5492" t="s">
        <v>19</v>
      </c>
      <c r="C5492" t="s">
        <v>121</v>
      </c>
      <c r="D5492" s="9">
        <v>41480.504490740743</v>
      </c>
      <c r="E5492" t="s">
        <v>8</v>
      </c>
      <c r="F5492">
        <f t="shared" ca="1" si="172"/>
        <v>1.5111111111111111</v>
      </c>
      <c r="G5492">
        <f t="shared" ca="1" si="173"/>
        <v>0</v>
      </c>
    </row>
    <row r="5493" spans="1:7">
      <c r="A5493">
        <v>7373</v>
      </c>
      <c r="B5493" t="s">
        <v>19</v>
      </c>
      <c r="C5493" t="s">
        <v>121</v>
      </c>
      <c r="D5493" s="9">
        <v>41479.700682870367</v>
      </c>
      <c r="E5493" t="s">
        <v>27</v>
      </c>
      <c r="F5493">
        <f t="shared" ca="1" si="172"/>
        <v>1.5138888888888888</v>
      </c>
      <c r="G5493">
        <f t="shared" ca="1" si="173"/>
        <v>0</v>
      </c>
    </row>
    <row r="5494" spans="1:7">
      <c r="A5494">
        <v>7376</v>
      </c>
      <c r="B5494" t="s">
        <v>8</v>
      </c>
      <c r="C5494" t="s">
        <v>121</v>
      </c>
      <c r="D5494" s="9">
        <v>41480.504618055558</v>
      </c>
      <c r="E5494" t="s">
        <v>34</v>
      </c>
      <c r="F5494">
        <f t="shared" ca="1" si="172"/>
        <v>1.5111111111111111</v>
      </c>
      <c r="G5494">
        <f t="shared" ca="1" si="173"/>
        <v>0</v>
      </c>
    </row>
    <row r="5495" spans="1:7">
      <c r="A5495">
        <v>7379</v>
      </c>
      <c r="B5495" t="s">
        <v>111</v>
      </c>
      <c r="C5495" t="s">
        <v>121</v>
      </c>
      <c r="D5495" s="9">
        <v>41480.504895833335</v>
      </c>
      <c r="E5495" t="s">
        <v>27</v>
      </c>
      <c r="F5495">
        <f t="shared" ca="1" si="172"/>
        <v>1.5111111111111111</v>
      </c>
      <c r="G5495">
        <f t="shared" ca="1" si="173"/>
        <v>0</v>
      </c>
    </row>
    <row r="5496" spans="1:7">
      <c r="A5496">
        <v>7380</v>
      </c>
      <c r="B5496" t="s">
        <v>111</v>
      </c>
      <c r="C5496" t="s">
        <v>121</v>
      </c>
      <c r="D5496" s="9">
        <v>41480.50503472222</v>
      </c>
      <c r="E5496" t="s">
        <v>30</v>
      </c>
      <c r="F5496">
        <f t="shared" ca="1" si="172"/>
        <v>1.5111111111111111</v>
      </c>
      <c r="G5496">
        <f t="shared" ca="1" si="173"/>
        <v>0</v>
      </c>
    </row>
    <row r="5497" spans="1:7">
      <c r="A5497">
        <v>7381</v>
      </c>
      <c r="B5497" t="s">
        <v>19</v>
      </c>
      <c r="C5497" t="s">
        <v>121</v>
      </c>
      <c r="D5497" s="9">
        <v>41480.50513888889</v>
      </c>
      <c r="E5497" t="s">
        <v>44</v>
      </c>
      <c r="F5497">
        <f t="shared" ca="1" si="172"/>
        <v>1.5111111111111111</v>
      </c>
      <c r="G5497">
        <f t="shared" ca="1" si="173"/>
        <v>0</v>
      </c>
    </row>
    <row r="5498" spans="1:7">
      <c r="A5498">
        <v>7383</v>
      </c>
      <c r="B5498" t="s">
        <v>55</v>
      </c>
      <c r="C5498" t="s">
        <v>120</v>
      </c>
      <c r="D5498" s="9">
        <v>41535.346550925926</v>
      </c>
      <c r="E5498" t="s">
        <v>44</v>
      </c>
      <c r="F5498">
        <f t="shared" ca="1" si="172"/>
        <v>1.3638888888888889</v>
      </c>
      <c r="G5498">
        <f t="shared" ca="1" si="173"/>
        <v>0</v>
      </c>
    </row>
    <row r="5499" spans="1:7">
      <c r="A5499">
        <v>7384</v>
      </c>
      <c r="B5499" t="s">
        <v>19</v>
      </c>
      <c r="C5499" t="s">
        <v>121</v>
      </c>
      <c r="D5499" s="9">
        <v>41481.422673611109</v>
      </c>
      <c r="E5499" t="s">
        <v>24</v>
      </c>
      <c r="F5499">
        <f t="shared" ca="1" si="172"/>
        <v>1.5083333333333333</v>
      </c>
      <c r="G5499">
        <f t="shared" ca="1" si="173"/>
        <v>0</v>
      </c>
    </row>
    <row r="5500" spans="1:7">
      <c r="A5500">
        <v>7386</v>
      </c>
      <c r="B5500" t="s">
        <v>19</v>
      </c>
      <c r="C5500" t="s">
        <v>121</v>
      </c>
      <c r="D5500" s="9">
        <v>41460.395358796297</v>
      </c>
      <c r="E5500" t="s">
        <v>8</v>
      </c>
      <c r="F5500">
        <f t="shared" ca="1" si="172"/>
        <v>1.5666666666666667</v>
      </c>
      <c r="G5500">
        <f t="shared" ca="1" si="173"/>
        <v>0</v>
      </c>
    </row>
    <row r="5501" spans="1:7">
      <c r="A5501">
        <v>7387</v>
      </c>
      <c r="B5501" t="s">
        <v>24</v>
      </c>
      <c r="C5501" t="s">
        <v>121</v>
      </c>
      <c r="D5501" s="9">
        <v>41480.50644675926</v>
      </c>
      <c r="E5501" t="s">
        <v>44</v>
      </c>
      <c r="F5501">
        <f t="shared" ca="1" si="172"/>
        <v>1.5111111111111111</v>
      </c>
      <c r="G5501">
        <f t="shared" ca="1" si="173"/>
        <v>0</v>
      </c>
    </row>
    <row r="5502" spans="1:7">
      <c r="A5502">
        <v>7388</v>
      </c>
      <c r="B5502" t="s">
        <v>19</v>
      </c>
      <c r="C5502" t="s">
        <v>121</v>
      </c>
      <c r="D5502" s="9">
        <v>41480.506562499999</v>
      </c>
      <c r="E5502" t="s">
        <v>8</v>
      </c>
      <c r="F5502">
        <f t="shared" ca="1" si="172"/>
        <v>1.5111111111111111</v>
      </c>
      <c r="G5502">
        <f t="shared" ca="1" si="173"/>
        <v>0</v>
      </c>
    </row>
    <row r="5503" spans="1:7">
      <c r="A5503">
        <v>7390</v>
      </c>
      <c r="B5503" t="s">
        <v>11</v>
      </c>
      <c r="C5503" t="s">
        <v>120</v>
      </c>
      <c r="D5503" s="9">
        <v>41508.613969907405</v>
      </c>
      <c r="E5503" t="s">
        <v>111</v>
      </c>
      <c r="F5503">
        <f t="shared" ca="1" si="172"/>
        <v>1.4361111111111111</v>
      </c>
      <c r="G5503">
        <f t="shared" ca="1" si="173"/>
        <v>0</v>
      </c>
    </row>
    <row r="5504" spans="1:7">
      <c r="A5504">
        <v>7391</v>
      </c>
      <c r="B5504" t="s">
        <v>11</v>
      </c>
      <c r="C5504" t="s">
        <v>121</v>
      </c>
      <c r="D5504" s="9">
        <v>41460.537835648145</v>
      </c>
      <c r="E5504" t="s">
        <v>19</v>
      </c>
      <c r="F5504">
        <f t="shared" ca="1" si="172"/>
        <v>1.5666666666666667</v>
      </c>
      <c r="G5504">
        <f t="shared" ca="1" si="173"/>
        <v>0</v>
      </c>
    </row>
    <row r="5505" spans="1:7">
      <c r="A5505">
        <v>7394</v>
      </c>
      <c r="B5505" t="s">
        <v>19</v>
      </c>
      <c r="C5505" t="s">
        <v>121</v>
      </c>
      <c r="D5505" s="9">
        <v>41480.507002314815</v>
      </c>
      <c r="E5505" t="s">
        <v>24</v>
      </c>
      <c r="F5505">
        <f t="shared" ca="1" si="172"/>
        <v>1.5111111111111111</v>
      </c>
      <c r="G5505">
        <f t="shared" ca="1" si="173"/>
        <v>0</v>
      </c>
    </row>
    <row r="5506" spans="1:7">
      <c r="A5506">
        <v>7398</v>
      </c>
      <c r="B5506" t="s">
        <v>23</v>
      </c>
      <c r="C5506" t="s">
        <v>121</v>
      </c>
      <c r="D5506" s="9">
        <v>41466.852500000001</v>
      </c>
      <c r="E5506" t="s">
        <v>20</v>
      </c>
      <c r="F5506">
        <f t="shared" ca="1" si="172"/>
        <v>1.55</v>
      </c>
      <c r="G5506">
        <f t="shared" ca="1" si="173"/>
        <v>0</v>
      </c>
    </row>
    <row r="5507" spans="1:7">
      <c r="A5507">
        <v>7399</v>
      </c>
      <c r="B5507" t="s">
        <v>8</v>
      </c>
      <c r="C5507" t="s">
        <v>121</v>
      </c>
      <c r="D5507" s="9">
        <v>41480.507673611108</v>
      </c>
      <c r="E5507" t="s">
        <v>34</v>
      </c>
      <c r="F5507">
        <f t="shared" ca="1" si="172"/>
        <v>1.5111111111111111</v>
      </c>
      <c r="G5507">
        <f t="shared" ca="1" si="173"/>
        <v>0</v>
      </c>
    </row>
    <row r="5508" spans="1:7">
      <c r="A5508">
        <v>7403</v>
      </c>
      <c r="B5508" t="s">
        <v>112</v>
      </c>
      <c r="C5508" t="s">
        <v>121</v>
      </c>
      <c r="D5508" s="9">
        <v>41474.888472222221</v>
      </c>
      <c r="E5508" t="s">
        <v>8</v>
      </c>
      <c r="F5508">
        <f t="shared" ca="1" si="172"/>
        <v>1.5277777777777777</v>
      </c>
      <c r="G5508">
        <f t="shared" ca="1" si="173"/>
        <v>0</v>
      </c>
    </row>
    <row r="5509" spans="1:7">
      <c r="A5509">
        <v>7405</v>
      </c>
      <c r="B5509" t="s">
        <v>111</v>
      </c>
      <c r="C5509" t="s">
        <v>121</v>
      </c>
      <c r="D5509" s="9">
        <v>41464.722951388889</v>
      </c>
      <c r="E5509" t="s">
        <v>32</v>
      </c>
      <c r="F5509">
        <f t="shared" ca="1" si="172"/>
        <v>1.5555555555555556</v>
      </c>
      <c r="G5509">
        <f t="shared" ca="1" si="173"/>
        <v>0</v>
      </c>
    </row>
    <row r="5510" spans="1:7">
      <c r="A5510">
        <v>7408</v>
      </c>
      <c r="B5510" t="s">
        <v>27</v>
      </c>
      <c r="C5510" t="s">
        <v>121</v>
      </c>
      <c r="D5510" s="9">
        <v>41479.704560185186</v>
      </c>
      <c r="E5510" t="s">
        <v>20</v>
      </c>
      <c r="F5510">
        <f t="shared" ca="1" si="172"/>
        <v>1.5138888888888888</v>
      </c>
      <c r="G5510">
        <f t="shared" ca="1" si="173"/>
        <v>0</v>
      </c>
    </row>
    <row r="5511" spans="1:7">
      <c r="A5511">
        <v>7412</v>
      </c>
      <c r="B5511" t="s">
        <v>32</v>
      </c>
      <c r="C5511" t="s">
        <v>121</v>
      </c>
      <c r="D5511" s="9">
        <v>41484.441493055558</v>
      </c>
      <c r="E5511" t="s">
        <v>14</v>
      </c>
      <c r="F5511">
        <f t="shared" ref="F5511:F5574" ca="1" si="174">YEARFRAC(TODAY(),$D5511)</f>
        <v>1.5</v>
      </c>
      <c r="G5511">
        <f t="shared" ref="G5511:G5574" ca="1" si="175">IF($F5511&lt;1,1,0)</f>
        <v>0</v>
      </c>
    </row>
    <row r="5512" spans="1:7">
      <c r="A5512">
        <v>7415</v>
      </c>
      <c r="B5512" t="s">
        <v>20</v>
      </c>
      <c r="C5512" t="s">
        <v>121</v>
      </c>
      <c r="D5512" s="9">
        <v>41477.599085648151</v>
      </c>
      <c r="E5512" t="s">
        <v>32</v>
      </c>
      <c r="F5512">
        <f t="shared" ca="1" si="174"/>
        <v>1.5194444444444444</v>
      </c>
      <c r="G5512">
        <f t="shared" ca="1" si="175"/>
        <v>0</v>
      </c>
    </row>
    <row r="5513" spans="1:7">
      <c r="A5513">
        <v>7416</v>
      </c>
      <c r="B5513" t="s">
        <v>20</v>
      </c>
      <c r="C5513" t="s">
        <v>121</v>
      </c>
      <c r="D5513" s="9">
        <v>41481.633344907408</v>
      </c>
      <c r="E5513" t="s">
        <v>14</v>
      </c>
      <c r="F5513">
        <f t="shared" ca="1" si="174"/>
        <v>1.5083333333333333</v>
      </c>
      <c r="G5513">
        <f t="shared" ca="1" si="175"/>
        <v>0</v>
      </c>
    </row>
    <row r="5514" spans="1:7">
      <c r="A5514">
        <v>7417</v>
      </c>
      <c r="B5514" t="s">
        <v>11</v>
      </c>
      <c r="C5514" t="s">
        <v>121</v>
      </c>
      <c r="D5514" s="9">
        <v>41467.622013888889</v>
      </c>
      <c r="E5514" t="s">
        <v>21</v>
      </c>
      <c r="F5514">
        <f t="shared" ca="1" si="174"/>
        <v>1.5472222222222223</v>
      </c>
      <c r="G5514">
        <f t="shared" ca="1" si="175"/>
        <v>0</v>
      </c>
    </row>
    <row r="5515" spans="1:7">
      <c r="A5515">
        <v>7420</v>
      </c>
      <c r="B5515" t="s">
        <v>29</v>
      </c>
      <c r="C5515" t="s">
        <v>121</v>
      </c>
      <c r="D5515" s="9">
        <v>41479.704363425924</v>
      </c>
      <c r="E5515" t="s">
        <v>8</v>
      </c>
      <c r="F5515">
        <f t="shared" ca="1" si="174"/>
        <v>1.5138888888888888</v>
      </c>
      <c r="G5515">
        <f t="shared" ca="1" si="175"/>
        <v>0</v>
      </c>
    </row>
    <row r="5516" spans="1:7">
      <c r="A5516">
        <v>7425</v>
      </c>
      <c r="B5516" t="s">
        <v>111</v>
      </c>
      <c r="C5516" t="s">
        <v>121</v>
      </c>
      <c r="D5516" s="9">
        <v>41465.926458333335</v>
      </c>
      <c r="E5516" t="s">
        <v>32</v>
      </c>
      <c r="F5516">
        <f t="shared" ca="1" si="174"/>
        <v>1.5527777777777778</v>
      </c>
      <c r="G5516">
        <f t="shared" ca="1" si="175"/>
        <v>0</v>
      </c>
    </row>
    <row r="5517" spans="1:7">
      <c r="A5517">
        <v>7427</v>
      </c>
      <c r="B5517" t="s">
        <v>8</v>
      </c>
      <c r="C5517" t="s">
        <v>121</v>
      </c>
      <c r="D5517" s="9">
        <v>41480.510266203702</v>
      </c>
      <c r="E5517" t="s">
        <v>34</v>
      </c>
      <c r="F5517">
        <f t="shared" ca="1" si="174"/>
        <v>1.5111111111111111</v>
      </c>
      <c r="G5517">
        <f t="shared" ca="1" si="175"/>
        <v>0</v>
      </c>
    </row>
    <row r="5518" spans="1:7">
      <c r="A5518">
        <v>7428</v>
      </c>
      <c r="B5518" t="s">
        <v>23</v>
      </c>
      <c r="C5518" t="s">
        <v>121</v>
      </c>
      <c r="D5518" s="9">
        <v>41484.553136574075</v>
      </c>
      <c r="E5518" t="s">
        <v>112</v>
      </c>
      <c r="F5518">
        <f t="shared" ca="1" si="174"/>
        <v>1.5</v>
      </c>
      <c r="G5518">
        <f t="shared" ca="1" si="175"/>
        <v>0</v>
      </c>
    </row>
    <row r="5519" spans="1:7">
      <c r="A5519">
        <v>7429</v>
      </c>
      <c r="B5519" t="s">
        <v>27</v>
      </c>
      <c r="C5519" t="s">
        <v>120</v>
      </c>
      <c r="D5519" s="9">
        <v>41558.667256944442</v>
      </c>
      <c r="E5519" t="s">
        <v>19</v>
      </c>
      <c r="F5519">
        <f t="shared" ca="1" si="174"/>
        <v>1.3</v>
      </c>
      <c r="G5519">
        <f t="shared" ca="1" si="175"/>
        <v>0</v>
      </c>
    </row>
    <row r="5520" spans="1:7">
      <c r="A5520">
        <v>7430</v>
      </c>
      <c r="B5520" t="s">
        <v>27</v>
      </c>
      <c r="C5520" t="s">
        <v>120</v>
      </c>
      <c r="D5520" s="9">
        <v>41495.617835648147</v>
      </c>
      <c r="E5520" t="s">
        <v>20</v>
      </c>
      <c r="F5520">
        <f t="shared" ca="1" si="174"/>
        <v>1.4722222222222223</v>
      </c>
      <c r="G5520">
        <f t="shared" ca="1" si="175"/>
        <v>0</v>
      </c>
    </row>
    <row r="5521" spans="1:7">
      <c r="A5521">
        <v>7432</v>
      </c>
      <c r="B5521" t="s">
        <v>32</v>
      </c>
      <c r="C5521" t="s">
        <v>121</v>
      </c>
      <c r="D5521" s="9">
        <v>41484.791597222225</v>
      </c>
      <c r="E5521" t="s">
        <v>36</v>
      </c>
      <c r="F5521">
        <f t="shared" ca="1" si="174"/>
        <v>1.5</v>
      </c>
      <c r="G5521">
        <f t="shared" ca="1" si="175"/>
        <v>0</v>
      </c>
    </row>
    <row r="5522" spans="1:7">
      <c r="A5522">
        <v>7434</v>
      </c>
      <c r="B5522" t="s">
        <v>27</v>
      </c>
      <c r="C5522" t="s">
        <v>121</v>
      </c>
      <c r="D5522" s="9">
        <v>41479.704212962963</v>
      </c>
      <c r="E5522" t="s">
        <v>11</v>
      </c>
      <c r="F5522">
        <f t="shared" ca="1" si="174"/>
        <v>1.5138888888888888</v>
      </c>
      <c r="G5522">
        <f t="shared" ca="1" si="175"/>
        <v>0</v>
      </c>
    </row>
    <row r="5523" spans="1:7">
      <c r="A5523">
        <v>7437</v>
      </c>
      <c r="B5523" t="s">
        <v>24</v>
      </c>
      <c r="C5523" t="s">
        <v>121</v>
      </c>
      <c r="D5523" s="9">
        <v>41480.510393518518</v>
      </c>
      <c r="E5523" t="s">
        <v>8</v>
      </c>
      <c r="F5523">
        <f t="shared" ca="1" si="174"/>
        <v>1.5111111111111111</v>
      </c>
      <c r="G5523">
        <f t="shared" ca="1" si="175"/>
        <v>0</v>
      </c>
    </row>
    <row r="5524" spans="1:7">
      <c r="A5524">
        <v>7442</v>
      </c>
      <c r="B5524" t="s">
        <v>11</v>
      </c>
      <c r="C5524" t="s">
        <v>121</v>
      </c>
      <c r="D5524" s="9">
        <v>41471.819722222222</v>
      </c>
      <c r="E5524" t="s">
        <v>36</v>
      </c>
      <c r="F5524">
        <f t="shared" ca="1" si="174"/>
        <v>1.5361111111111112</v>
      </c>
      <c r="G5524">
        <f t="shared" ca="1" si="175"/>
        <v>0</v>
      </c>
    </row>
    <row r="5525" spans="1:7">
      <c r="A5525">
        <v>7443</v>
      </c>
      <c r="B5525" t="s">
        <v>14</v>
      </c>
      <c r="C5525" t="s">
        <v>121</v>
      </c>
      <c r="D5525" s="9">
        <v>41473.882581018515</v>
      </c>
      <c r="E5525" t="s">
        <v>111</v>
      </c>
      <c r="F5525">
        <f t="shared" ca="1" si="174"/>
        <v>1.5305555555555554</v>
      </c>
      <c r="G5525">
        <f t="shared" ca="1" si="175"/>
        <v>0</v>
      </c>
    </row>
    <row r="5526" spans="1:7">
      <c r="A5526">
        <v>7444</v>
      </c>
      <c r="B5526" t="s">
        <v>19</v>
      </c>
      <c r="C5526" t="s">
        <v>121</v>
      </c>
      <c r="D5526" s="9">
        <v>41470.454722222225</v>
      </c>
      <c r="E5526" t="s">
        <v>8</v>
      </c>
      <c r="F5526">
        <f t="shared" ca="1" si="174"/>
        <v>1.538888888888889</v>
      </c>
      <c r="G5526">
        <f t="shared" ca="1" si="175"/>
        <v>0</v>
      </c>
    </row>
    <row r="5527" spans="1:7">
      <c r="A5527">
        <v>7449</v>
      </c>
      <c r="B5527" t="s">
        <v>32</v>
      </c>
      <c r="C5527" t="s">
        <v>120</v>
      </c>
      <c r="D5527" s="9">
        <v>41570.46675925926</v>
      </c>
      <c r="E5527" t="s">
        <v>20</v>
      </c>
      <c r="F5527">
        <f t="shared" ca="1" si="174"/>
        <v>1.2666666666666666</v>
      </c>
      <c r="G5527">
        <f t="shared" ca="1" si="175"/>
        <v>0</v>
      </c>
    </row>
    <row r="5528" spans="1:7">
      <c r="A5528">
        <v>7452</v>
      </c>
      <c r="B5528" t="s">
        <v>50</v>
      </c>
      <c r="C5528" t="s">
        <v>118</v>
      </c>
      <c r="D5528" s="9">
        <v>41753.643750000003</v>
      </c>
      <c r="E5528" t="s">
        <v>23</v>
      </c>
      <c r="F5528">
        <f t="shared" ca="1" si="174"/>
        <v>0.76388888888888884</v>
      </c>
      <c r="G5528">
        <f t="shared" ca="1" si="175"/>
        <v>1</v>
      </c>
    </row>
    <row r="5529" spans="1:7">
      <c r="A5529">
        <v>7454</v>
      </c>
      <c r="B5529" t="s">
        <v>23</v>
      </c>
      <c r="C5529" t="s">
        <v>121</v>
      </c>
      <c r="D5529" s="9">
        <v>41471.724224537036</v>
      </c>
      <c r="E5529" t="s">
        <v>8</v>
      </c>
      <c r="F5529">
        <f t="shared" ca="1" si="174"/>
        <v>1.5361111111111112</v>
      </c>
      <c r="G5529">
        <f t="shared" ca="1" si="175"/>
        <v>0</v>
      </c>
    </row>
    <row r="5530" spans="1:7">
      <c r="A5530">
        <v>7458</v>
      </c>
      <c r="B5530" t="s">
        <v>111</v>
      </c>
      <c r="C5530" t="s">
        <v>121</v>
      </c>
      <c r="D5530" s="9">
        <v>41480.510787037034</v>
      </c>
      <c r="E5530" t="s">
        <v>24</v>
      </c>
      <c r="F5530">
        <f t="shared" ca="1" si="174"/>
        <v>1.5111111111111111</v>
      </c>
      <c r="G5530">
        <f t="shared" ca="1" si="175"/>
        <v>0</v>
      </c>
    </row>
    <row r="5531" spans="1:7">
      <c r="A5531">
        <v>7461</v>
      </c>
      <c r="B5531" t="s">
        <v>8</v>
      </c>
      <c r="C5531" t="s">
        <v>121</v>
      </c>
      <c r="D5531" s="9">
        <v>41477.898854166669</v>
      </c>
      <c r="E5531" t="s">
        <v>111</v>
      </c>
      <c r="F5531">
        <f t="shared" ca="1" si="174"/>
        <v>1.5194444444444444</v>
      </c>
      <c r="G5531">
        <f t="shared" ca="1" si="175"/>
        <v>0</v>
      </c>
    </row>
    <row r="5532" spans="1:7">
      <c r="A5532">
        <v>7465</v>
      </c>
      <c r="B5532" t="s">
        <v>111</v>
      </c>
      <c r="C5532" t="s">
        <v>121</v>
      </c>
      <c r="D5532" s="9">
        <v>41480.510937500003</v>
      </c>
      <c r="E5532" t="s">
        <v>36</v>
      </c>
      <c r="F5532">
        <f t="shared" ca="1" si="174"/>
        <v>1.5111111111111111</v>
      </c>
      <c r="G5532">
        <f t="shared" ca="1" si="175"/>
        <v>0</v>
      </c>
    </row>
    <row r="5533" spans="1:7">
      <c r="A5533">
        <v>7469</v>
      </c>
      <c r="B5533" t="s">
        <v>8</v>
      </c>
      <c r="C5533" t="s">
        <v>121</v>
      </c>
      <c r="D5533" s="9">
        <v>41480.511030092595</v>
      </c>
      <c r="F5533">
        <f t="shared" ca="1" si="174"/>
        <v>1.5111111111111111</v>
      </c>
      <c r="G5533">
        <f t="shared" ca="1" si="175"/>
        <v>0</v>
      </c>
    </row>
    <row r="5534" spans="1:7">
      <c r="A5534">
        <v>7471</v>
      </c>
      <c r="B5534" t="s">
        <v>19</v>
      </c>
      <c r="C5534" t="s">
        <v>121</v>
      </c>
      <c r="D5534" s="9">
        <v>41473.403483796297</v>
      </c>
      <c r="E5534" t="s">
        <v>8</v>
      </c>
      <c r="F5534">
        <f t="shared" ca="1" si="174"/>
        <v>1.5305555555555554</v>
      </c>
      <c r="G5534">
        <f t="shared" ca="1" si="175"/>
        <v>0</v>
      </c>
    </row>
    <row r="5535" spans="1:7">
      <c r="A5535">
        <v>7472</v>
      </c>
      <c r="B5535" t="s">
        <v>19</v>
      </c>
      <c r="C5535" t="s">
        <v>121</v>
      </c>
      <c r="D5535" s="9">
        <v>41474.640196759261</v>
      </c>
      <c r="E5535" t="s">
        <v>112</v>
      </c>
      <c r="F5535">
        <f t="shared" ca="1" si="174"/>
        <v>1.5277777777777777</v>
      </c>
      <c r="G5535">
        <f t="shared" ca="1" si="175"/>
        <v>0</v>
      </c>
    </row>
    <row r="5536" spans="1:7">
      <c r="A5536">
        <v>7474</v>
      </c>
      <c r="B5536" t="s">
        <v>19</v>
      </c>
      <c r="C5536" t="s">
        <v>121</v>
      </c>
      <c r="D5536" s="9">
        <v>41480.465057870373</v>
      </c>
      <c r="E5536" t="s">
        <v>17</v>
      </c>
      <c r="F5536">
        <f t="shared" ca="1" si="174"/>
        <v>1.5111111111111111</v>
      </c>
      <c r="G5536">
        <f t="shared" ca="1" si="175"/>
        <v>0</v>
      </c>
    </row>
    <row r="5537" spans="1:7">
      <c r="A5537">
        <v>7476</v>
      </c>
      <c r="B5537" t="s">
        <v>21</v>
      </c>
      <c r="C5537" t="s">
        <v>120</v>
      </c>
      <c r="D5537" s="9">
        <v>41565.612430555557</v>
      </c>
      <c r="E5537" t="s">
        <v>32</v>
      </c>
      <c r="F5537">
        <f t="shared" ca="1" si="174"/>
        <v>1.2805555555555554</v>
      </c>
      <c r="G5537">
        <f t="shared" ca="1" si="175"/>
        <v>0</v>
      </c>
    </row>
    <row r="5538" spans="1:7">
      <c r="A5538">
        <v>7477</v>
      </c>
      <c r="B5538" t="s">
        <v>20</v>
      </c>
      <c r="C5538" t="s">
        <v>121</v>
      </c>
      <c r="D5538" s="9">
        <v>41473.713564814818</v>
      </c>
      <c r="E5538" t="s">
        <v>111</v>
      </c>
      <c r="F5538">
        <f t="shared" ca="1" si="174"/>
        <v>1.5305555555555554</v>
      </c>
      <c r="G5538">
        <f t="shared" ca="1" si="175"/>
        <v>0</v>
      </c>
    </row>
    <row r="5539" spans="1:7">
      <c r="A5539">
        <v>7481</v>
      </c>
      <c r="B5539" t="s">
        <v>111</v>
      </c>
      <c r="C5539" t="s">
        <v>121</v>
      </c>
      <c r="D5539" s="9">
        <v>41474.752083333333</v>
      </c>
      <c r="E5539" t="s">
        <v>11</v>
      </c>
      <c r="F5539">
        <f t="shared" ca="1" si="174"/>
        <v>1.5277777777777777</v>
      </c>
      <c r="G5539">
        <f t="shared" ca="1" si="175"/>
        <v>0</v>
      </c>
    </row>
    <row r="5540" spans="1:7">
      <c r="A5540">
        <v>7482</v>
      </c>
      <c r="B5540" t="s">
        <v>8</v>
      </c>
      <c r="C5540" t="s">
        <v>121</v>
      </c>
      <c r="D5540" s="9">
        <v>41478.411898148152</v>
      </c>
      <c r="E5540" t="s">
        <v>24</v>
      </c>
      <c r="F5540">
        <f t="shared" ca="1" si="174"/>
        <v>1.5166666666666666</v>
      </c>
      <c r="G5540">
        <f t="shared" ca="1" si="175"/>
        <v>0</v>
      </c>
    </row>
    <row r="5541" spans="1:7">
      <c r="A5541">
        <v>7483</v>
      </c>
      <c r="B5541" t="s">
        <v>11</v>
      </c>
      <c r="C5541" t="s">
        <v>121</v>
      </c>
      <c r="D5541" s="9">
        <v>41474.796319444446</v>
      </c>
      <c r="E5541" t="s">
        <v>111</v>
      </c>
      <c r="F5541">
        <f t="shared" ca="1" si="174"/>
        <v>1.5277777777777777</v>
      </c>
      <c r="G5541">
        <f t="shared" ca="1" si="175"/>
        <v>0</v>
      </c>
    </row>
    <row r="5542" spans="1:7">
      <c r="A5542">
        <v>7484</v>
      </c>
      <c r="B5542" t="s">
        <v>30</v>
      </c>
      <c r="C5542" t="s">
        <v>121</v>
      </c>
      <c r="D5542" s="9">
        <v>41484.591099537036</v>
      </c>
      <c r="E5542" t="s">
        <v>29</v>
      </c>
      <c r="F5542">
        <f t="shared" ca="1" si="174"/>
        <v>1.5</v>
      </c>
      <c r="G5542">
        <f t="shared" ca="1" si="175"/>
        <v>0</v>
      </c>
    </row>
    <row r="5543" spans="1:7">
      <c r="A5543">
        <v>7485</v>
      </c>
      <c r="B5543" t="s">
        <v>23</v>
      </c>
      <c r="C5543" t="s">
        <v>121</v>
      </c>
      <c r="D5543" s="9">
        <v>41484.669849537036</v>
      </c>
      <c r="E5543" t="s">
        <v>8</v>
      </c>
      <c r="F5543">
        <f t="shared" ca="1" si="174"/>
        <v>1.5</v>
      </c>
      <c r="G5543">
        <f t="shared" ca="1" si="175"/>
        <v>0</v>
      </c>
    </row>
    <row r="5544" spans="1:7">
      <c r="A5544">
        <v>7486</v>
      </c>
      <c r="B5544" t="s">
        <v>23</v>
      </c>
      <c r="C5544" t="s">
        <v>121</v>
      </c>
      <c r="D5544" s="9">
        <v>41481.697314814817</v>
      </c>
      <c r="E5544" t="s">
        <v>112</v>
      </c>
      <c r="F5544">
        <f t="shared" ca="1" si="174"/>
        <v>1.5083333333333333</v>
      </c>
      <c r="G5544">
        <f t="shared" ca="1" si="175"/>
        <v>0</v>
      </c>
    </row>
    <row r="5545" spans="1:7">
      <c r="A5545">
        <v>7488</v>
      </c>
      <c r="B5545" t="s">
        <v>24</v>
      </c>
      <c r="C5545" t="s">
        <v>121</v>
      </c>
      <c r="D5545" s="9">
        <v>41477.569884259261</v>
      </c>
      <c r="E5545" t="s">
        <v>44</v>
      </c>
      <c r="F5545">
        <f t="shared" ca="1" si="174"/>
        <v>1.5194444444444444</v>
      </c>
      <c r="G5545">
        <f t="shared" ca="1" si="175"/>
        <v>0</v>
      </c>
    </row>
    <row r="5546" spans="1:7">
      <c r="A5546">
        <v>7495</v>
      </c>
      <c r="B5546" t="s">
        <v>24</v>
      </c>
      <c r="C5546" t="s">
        <v>121</v>
      </c>
      <c r="D5546" s="9">
        <v>41479.650127314817</v>
      </c>
      <c r="E5546" t="s">
        <v>30</v>
      </c>
      <c r="F5546">
        <f t="shared" ca="1" si="174"/>
        <v>1.5138888888888888</v>
      </c>
      <c r="G5546">
        <f t="shared" ca="1" si="175"/>
        <v>0</v>
      </c>
    </row>
    <row r="5547" spans="1:7">
      <c r="A5547">
        <v>7496</v>
      </c>
      <c r="B5547" t="s">
        <v>24</v>
      </c>
      <c r="C5547" t="s">
        <v>121</v>
      </c>
      <c r="D5547" s="9">
        <v>41480.524097222224</v>
      </c>
      <c r="E5547" t="s">
        <v>17</v>
      </c>
      <c r="F5547">
        <f t="shared" ca="1" si="174"/>
        <v>1.5111111111111111</v>
      </c>
      <c r="G5547">
        <f t="shared" ca="1" si="175"/>
        <v>0</v>
      </c>
    </row>
    <row r="5548" spans="1:7">
      <c r="A5548">
        <v>7498</v>
      </c>
      <c r="B5548" t="s">
        <v>20</v>
      </c>
      <c r="C5548" t="s">
        <v>121</v>
      </c>
      <c r="D5548" s="9">
        <v>41480.648900462962</v>
      </c>
      <c r="E5548" t="s">
        <v>32</v>
      </c>
      <c r="F5548">
        <f t="shared" ca="1" si="174"/>
        <v>1.5111111111111111</v>
      </c>
      <c r="G5548">
        <f t="shared" ca="1" si="175"/>
        <v>0</v>
      </c>
    </row>
    <row r="5549" spans="1:7">
      <c r="A5549">
        <v>7501</v>
      </c>
      <c r="B5549" t="s">
        <v>24</v>
      </c>
      <c r="C5549" t="s">
        <v>121</v>
      </c>
      <c r="D5549" s="9">
        <v>41481.620682870373</v>
      </c>
      <c r="E5549" t="s">
        <v>30</v>
      </c>
      <c r="F5549">
        <f t="shared" ca="1" si="174"/>
        <v>1.5083333333333333</v>
      </c>
      <c r="G5549">
        <f t="shared" ca="1" si="175"/>
        <v>0</v>
      </c>
    </row>
    <row r="5550" spans="1:7">
      <c r="A5550">
        <v>7507</v>
      </c>
      <c r="B5550" t="s">
        <v>50</v>
      </c>
      <c r="C5550" t="s">
        <v>121</v>
      </c>
      <c r="D5550" s="9">
        <v>41481.658321759256</v>
      </c>
      <c r="E5550" t="s">
        <v>112</v>
      </c>
      <c r="F5550">
        <f t="shared" ca="1" si="174"/>
        <v>1.5083333333333333</v>
      </c>
      <c r="G5550">
        <f t="shared" ca="1" si="175"/>
        <v>0</v>
      </c>
    </row>
    <row r="5551" spans="1:7">
      <c r="A5551">
        <v>7510</v>
      </c>
      <c r="B5551" t="s">
        <v>8</v>
      </c>
      <c r="C5551" t="s">
        <v>121</v>
      </c>
      <c r="D5551" s="9">
        <v>41481.697662037041</v>
      </c>
      <c r="E5551" t="s">
        <v>14</v>
      </c>
      <c r="F5551">
        <f t="shared" ca="1" si="174"/>
        <v>1.5083333333333333</v>
      </c>
      <c r="G5551">
        <f t="shared" ca="1" si="175"/>
        <v>0</v>
      </c>
    </row>
    <row r="5552" spans="1:7">
      <c r="A5552">
        <v>7513</v>
      </c>
      <c r="B5552" t="s">
        <v>19</v>
      </c>
      <c r="C5552" t="s">
        <v>120</v>
      </c>
      <c r="D5552" s="9">
        <v>41572.65215277778</v>
      </c>
      <c r="E5552" t="s">
        <v>27</v>
      </c>
      <c r="F5552">
        <f t="shared" ca="1" si="174"/>
        <v>1.2611111111111111</v>
      </c>
      <c r="G5552">
        <f t="shared" ca="1" si="175"/>
        <v>0</v>
      </c>
    </row>
    <row r="5553" spans="1:7">
      <c r="A5553">
        <v>7516</v>
      </c>
      <c r="B5553" t="s">
        <v>24</v>
      </c>
      <c r="C5553" t="s">
        <v>120</v>
      </c>
      <c r="D5553" s="9">
        <v>41537.632303240738</v>
      </c>
      <c r="E5553" t="s">
        <v>27</v>
      </c>
      <c r="F5553">
        <f t="shared" ca="1" si="174"/>
        <v>1.3583333333333334</v>
      </c>
      <c r="G5553">
        <f t="shared" ca="1" si="175"/>
        <v>0</v>
      </c>
    </row>
    <row r="5554" spans="1:7">
      <c r="A5554">
        <v>7521</v>
      </c>
      <c r="B5554" t="s">
        <v>11</v>
      </c>
      <c r="C5554" t="s">
        <v>118</v>
      </c>
      <c r="D5554" s="9">
        <v>41782.644837962966</v>
      </c>
      <c r="E5554" t="s">
        <v>21</v>
      </c>
      <c r="F5554">
        <f t="shared" ca="1" si="174"/>
        <v>0.68333333333333335</v>
      </c>
      <c r="G5554">
        <f t="shared" ca="1" si="175"/>
        <v>1</v>
      </c>
    </row>
    <row r="5555" spans="1:7">
      <c r="A5555">
        <v>7535</v>
      </c>
      <c r="B5555" t="s">
        <v>19</v>
      </c>
      <c r="C5555" t="s">
        <v>120</v>
      </c>
      <c r="D5555" s="9">
        <v>41570.474212962959</v>
      </c>
      <c r="E5555" t="s">
        <v>17</v>
      </c>
      <c r="F5555">
        <f t="shared" ca="1" si="174"/>
        <v>1.2666666666666666</v>
      </c>
      <c r="G5555">
        <f t="shared" ca="1" si="175"/>
        <v>0</v>
      </c>
    </row>
    <row r="5556" spans="1:7">
      <c r="A5556">
        <v>7541</v>
      </c>
      <c r="B5556" t="s">
        <v>19</v>
      </c>
      <c r="C5556" t="s">
        <v>120</v>
      </c>
      <c r="D5556" s="9">
        <v>41519.637754629628</v>
      </c>
      <c r="E5556" t="s">
        <v>29</v>
      </c>
      <c r="F5556">
        <f t="shared" ca="1" si="174"/>
        <v>1.4083333333333334</v>
      </c>
      <c r="G5556">
        <f t="shared" ca="1" si="175"/>
        <v>0</v>
      </c>
    </row>
    <row r="5557" spans="1:7">
      <c r="A5557">
        <v>7553</v>
      </c>
      <c r="B5557" t="s">
        <v>32</v>
      </c>
      <c r="C5557" t="s">
        <v>120</v>
      </c>
      <c r="D5557" s="9">
        <v>41570.449687499997</v>
      </c>
      <c r="E5557" t="s">
        <v>20</v>
      </c>
      <c r="F5557">
        <f t="shared" ca="1" si="174"/>
        <v>1.2666666666666666</v>
      </c>
      <c r="G5557">
        <f t="shared" ca="1" si="175"/>
        <v>0</v>
      </c>
    </row>
    <row r="5558" spans="1:7">
      <c r="A5558">
        <v>7559</v>
      </c>
      <c r="B5558" t="s">
        <v>14</v>
      </c>
      <c r="C5558" t="s">
        <v>120</v>
      </c>
      <c r="D5558" s="9">
        <v>41570.466284722221</v>
      </c>
      <c r="E5558" t="s">
        <v>27</v>
      </c>
      <c r="F5558">
        <f t="shared" ca="1" si="174"/>
        <v>1.2666666666666666</v>
      </c>
      <c r="G5558">
        <f t="shared" ca="1" si="175"/>
        <v>0</v>
      </c>
    </row>
    <row r="5559" spans="1:7">
      <c r="A5559">
        <v>7570</v>
      </c>
      <c r="B5559" t="s">
        <v>211</v>
      </c>
      <c r="C5559" t="s">
        <v>209</v>
      </c>
      <c r="D5559" s="9">
        <v>41873.592268518521</v>
      </c>
      <c r="E5559" t="s">
        <v>8</v>
      </c>
      <c r="F5559">
        <f t="shared" ca="1" si="174"/>
        <v>0.43611111111111112</v>
      </c>
      <c r="G5559">
        <f t="shared" ca="1" si="175"/>
        <v>1</v>
      </c>
    </row>
    <row r="5560" spans="1:7">
      <c r="A5560">
        <v>7579</v>
      </c>
      <c r="B5560" t="s">
        <v>18</v>
      </c>
      <c r="C5560" t="s">
        <v>120</v>
      </c>
      <c r="D5560" s="9">
        <v>41542.702349537038</v>
      </c>
      <c r="E5560" t="s">
        <v>44</v>
      </c>
      <c r="F5560">
        <f t="shared" ca="1" si="174"/>
        <v>1.3444444444444446</v>
      </c>
      <c r="G5560">
        <f t="shared" ca="1" si="175"/>
        <v>0</v>
      </c>
    </row>
    <row r="5561" spans="1:7">
      <c r="A5561">
        <v>7581</v>
      </c>
      <c r="B5561" t="s">
        <v>18</v>
      </c>
      <c r="C5561" t="s">
        <v>120</v>
      </c>
      <c r="D5561" s="9">
        <v>41541.371030092596</v>
      </c>
      <c r="E5561" t="s">
        <v>44</v>
      </c>
      <c r="F5561">
        <f t="shared" ca="1" si="174"/>
        <v>1.3472222222222223</v>
      </c>
      <c r="G5561">
        <f t="shared" ca="1" si="175"/>
        <v>0</v>
      </c>
    </row>
    <row r="5562" spans="1:7">
      <c r="A5562">
        <v>7586</v>
      </c>
      <c r="B5562" t="s">
        <v>211</v>
      </c>
      <c r="C5562" t="s">
        <v>209</v>
      </c>
      <c r="D5562" s="9">
        <v>41955.696261574078</v>
      </c>
      <c r="E5562" t="s">
        <v>215</v>
      </c>
      <c r="F5562">
        <f t="shared" ca="1" si="174"/>
        <v>0.21388888888888888</v>
      </c>
      <c r="G5562">
        <f t="shared" ca="1" si="175"/>
        <v>1</v>
      </c>
    </row>
    <row r="5563" spans="1:7">
      <c r="A5563">
        <v>7590</v>
      </c>
      <c r="B5563" t="s">
        <v>27</v>
      </c>
      <c r="C5563" t="s">
        <v>121</v>
      </c>
      <c r="D5563" s="9">
        <v>41486.35491898148</v>
      </c>
      <c r="E5563" t="s">
        <v>19</v>
      </c>
      <c r="F5563">
        <f t="shared" ca="1" si="174"/>
        <v>1.4972222222222222</v>
      </c>
      <c r="G5563">
        <f t="shared" ca="1" si="175"/>
        <v>0</v>
      </c>
    </row>
    <row r="5564" spans="1:7">
      <c r="A5564">
        <v>7603</v>
      </c>
      <c r="B5564" t="s">
        <v>24</v>
      </c>
      <c r="C5564" t="s">
        <v>120</v>
      </c>
      <c r="D5564" s="9">
        <v>41495.664722222224</v>
      </c>
      <c r="E5564" t="s">
        <v>18</v>
      </c>
      <c r="F5564">
        <f t="shared" ca="1" si="174"/>
        <v>1.4722222222222223</v>
      </c>
      <c r="G5564">
        <f t="shared" ca="1" si="175"/>
        <v>0</v>
      </c>
    </row>
    <row r="5565" spans="1:7">
      <c r="A5565">
        <v>7604</v>
      </c>
      <c r="B5565" t="s">
        <v>11</v>
      </c>
      <c r="C5565" t="s">
        <v>120</v>
      </c>
      <c r="D5565" s="9">
        <v>41558.679212962961</v>
      </c>
      <c r="E5565" t="s">
        <v>14</v>
      </c>
      <c r="F5565">
        <f t="shared" ca="1" si="174"/>
        <v>1.3</v>
      </c>
      <c r="G5565">
        <f t="shared" ca="1" si="175"/>
        <v>0</v>
      </c>
    </row>
    <row r="5566" spans="1:7">
      <c r="A5566">
        <v>7606</v>
      </c>
      <c r="B5566" t="s">
        <v>44</v>
      </c>
      <c r="C5566" t="s">
        <v>119</v>
      </c>
      <c r="D5566" s="9">
        <v>41642.563020833331</v>
      </c>
      <c r="E5566" t="s">
        <v>34</v>
      </c>
      <c r="F5566">
        <f t="shared" ca="1" si="174"/>
        <v>1.0722222222222222</v>
      </c>
      <c r="G5566">
        <f t="shared" ca="1" si="175"/>
        <v>0</v>
      </c>
    </row>
    <row r="5567" spans="1:7">
      <c r="A5567">
        <v>7611</v>
      </c>
      <c r="B5567" t="s">
        <v>18</v>
      </c>
      <c r="C5567" t="s">
        <v>118</v>
      </c>
      <c r="D5567" s="9">
        <v>41726.60496527778</v>
      </c>
      <c r="E5567" t="s">
        <v>17</v>
      </c>
      <c r="F5567">
        <f t="shared" ca="1" si="174"/>
        <v>0.83611111111111114</v>
      </c>
      <c r="G5567">
        <f t="shared" ca="1" si="175"/>
        <v>1</v>
      </c>
    </row>
    <row r="5568" spans="1:7">
      <c r="A5568">
        <v>7617</v>
      </c>
      <c r="B5568" t="s">
        <v>30</v>
      </c>
      <c r="C5568" t="s">
        <v>120</v>
      </c>
      <c r="D5568" s="9">
        <v>41556.677349537036</v>
      </c>
      <c r="E5568" t="s">
        <v>21</v>
      </c>
      <c r="F5568">
        <f t="shared" ca="1" si="174"/>
        <v>1.3055555555555556</v>
      </c>
      <c r="G5568">
        <f t="shared" ca="1" si="175"/>
        <v>0</v>
      </c>
    </row>
    <row r="5569" spans="1:7">
      <c r="A5569">
        <v>7620</v>
      </c>
      <c r="B5569" t="s">
        <v>44</v>
      </c>
      <c r="C5569" t="s">
        <v>120</v>
      </c>
      <c r="D5569" s="9">
        <v>41534.662488425929</v>
      </c>
      <c r="E5569" t="s">
        <v>36</v>
      </c>
      <c r="F5569">
        <f t="shared" ca="1" si="174"/>
        <v>1.3666666666666667</v>
      </c>
      <c r="G5569">
        <f t="shared" ca="1" si="175"/>
        <v>0</v>
      </c>
    </row>
    <row r="5570" spans="1:7">
      <c r="A5570">
        <v>7623</v>
      </c>
      <c r="B5570" t="s">
        <v>34</v>
      </c>
      <c r="C5570" t="s">
        <v>120</v>
      </c>
      <c r="D5570" s="9">
        <v>41516.688854166663</v>
      </c>
      <c r="E5570" t="s">
        <v>14</v>
      </c>
      <c r="F5570">
        <f t="shared" ca="1" si="174"/>
        <v>1.413888888888889</v>
      </c>
      <c r="G5570">
        <f t="shared" ca="1" si="175"/>
        <v>0</v>
      </c>
    </row>
    <row r="5571" spans="1:7">
      <c r="A5571">
        <v>7624</v>
      </c>
      <c r="B5571" t="s">
        <v>34</v>
      </c>
      <c r="C5571" t="s">
        <v>120</v>
      </c>
      <c r="D5571" s="9">
        <v>41516.704375000001</v>
      </c>
      <c r="E5571" t="s">
        <v>14</v>
      </c>
      <c r="F5571">
        <f t="shared" ca="1" si="174"/>
        <v>1.413888888888889</v>
      </c>
      <c r="G5571">
        <f t="shared" ca="1" si="175"/>
        <v>0</v>
      </c>
    </row>
    <row r="5572" spans="1:7">
      <c r="A5572">
        <v>7626</v>
      </c>
      <c r="B5572" t="s">
        <v>14</v>
      </c>
      <c r="C5572" t="s">
        <v>120</v>
      </c>
      <c r="D5572" s="9">
        <v>41488.683356481481</v>
      </c>
      <c r="E5572" t="s">
        <v>17</v>
      </c>
      <c r="F5572">
        <f t="shared" ca="1" si="174"/>
        <v>1.4916666666666667</v>
      </c>
      <c r="G5572">
        <f t="shared" ca="1" si="175"/>
        <v>0</v>
      </c>
    </row>
    <row r="5573" spans="1:7">
      <c r="A5573">
        <v>7633</v>
      </c>
      <c r="B5573" t="s">
        <v>111</v>
      </c>
      <c r="C5573" t="s">
        <v>120</v>
      </c>
      <c r="D5573" s="9">
        <v>41516.828148148146</v>
      </c>
      <c r="E5573" t="s">
        <v>36</v>
      </c>
      <c r="F5573">
        <f t="shared" ca="1" si="174"/>
        <v>1.413888888888889</v>
      </c>
      <c r="G5573">
        <f t="shared" ca="1" si="175"/>
        <v>0</v>
      </c>
    </row>
    <row r="5574" spans="1:7">
      <c r="A5574">
        <v>7635</v>
      </c>
      <c r="B5574" t="s">
        <v>24</v>
      </c>
      <c r="C5574" t="s">
        <v>120</v>
      </c>
      <c r="D5574" s="9">
        <v>41495.543715277781</v>
      </c>
      <c r="E5574" t="s">
        <v>17</v>
      </c>
      <c r="F5574">
        <f t="shared" ca="1" si="174"/>
        <v>1.4722222222222223</v>
      </c>
      <c r="G5574">
        <f t="shared" ca="1" si="175"/>
        <v>0</v>
      </c>
    </row>
    <row r="5575" spans="1:7">
      <c r="A5575">
        <v>7636</v>
      </c>
      <c r="B5575" t="s">
        <v>17</v>
      </c>
      <c r="C5575" t="s">
        <v>119</v>
      </c>
      <c r="D5575" s="9">
        <v>41670.579664351855</v>
      </c>
      <c r="E5575" t="s">
        <v>34</v>
      </c>
      <c r="F5575">
        <f t="shared" ref="F5575:F5638" ca="1" si="176">YEARFRAC(TODAY(),$D5575)</f>
        <v>0.99722222222222223</v>
      </c>
      <c r="G5575">
        <f t="shared" ref="G5575:G5638" ca="1" si="177">IF($F5575&lt;1,1,0)</f>
        <v>1</v>
      </c>
    </row>
    <row r="5576" spans="1:7">
      <c r="A5576">
        <v>7637</v>
      </c>
      <c r="B5576" t="s">
        <v>17</v>
      </c>
      <c r="C5576" t="s">
        <v>120</v>
      </c>
      <c r="D5576" s="9">
        <v>41571.641423611109</v>
      </c>
      <c r="E5576" t="s">
        <v>19</v>
      </c>
      <c r="F5576">
        <f t="shared" ca="1" si="176"/>
        <v>1.2638888888888888</v>
      </c>
      <c r="G5576">
        <f t="shared" ca="1" si="177"/>
        <v>0</v>
      </c>
    </row>
    <row r="5577" spans="1:7">
      <c r="A5577">
        <v>7639</v>
      </c>
      <c r="B5577" t="s">
        <v>17</v>
      </c>
      <c r="C5577" t="s">
        <v>120</v>
      </c>
      <c r="D5577" s="9">
        <v>41522.405057870368</v>
      </c>
      <c r="E5577" t="s">
        <v>19</v>
      </c>
      <c r="F5577">
        <f t="shared" ca="1" si="176"/>
        <v>1.4</v>
      </c>
      <c r="G5577">
        <f t="shared" ca="1" si="177"/>
        <v>0</v>
      </c>
    </row>
    <row r="5578" spans="1:7">
      <c r="A5578">
        <v>7640</v>
      </c>
      <c r="B5578" t="s">
        <v>17</v>
      </c>
      <c r="C5578" t="s">
        <v>118</v>
      </c>
      <c r="D5578" s="9">
        <v>41740.597893518519</v>
      </c>
      <c r="E5578" t="s">
        <v>37</v>
      </c>
      <c r="F5578">
        <f t="shared" ca="1" si="176"/>
        <v>0.8</v>
      </c>
      <c r="G5578">
        <f t="shared" ca="1" si="177"/>
        <v>1</v>
      </c>
    </row>
    <row r="5579" spans="1:7">
      <c r="A5579">
        <v>7643</v>
      </c>
      <c r="B5579" t="s">
        <v>24</v>
      </c>
      <c r="C5579" t="s">
        <v>120</v>
      </c>
      <c r="D5579" s="9">
        <v>41551.583124999997</v>
      </c>
      <c r="E5579" t="s">
        <v>17</v>
      </c>
      <c r="F5579">
        <f t="shared" ca="1" si="176"/>
        <v>1.3194444444444444</v>
      </c>
      <c r="G5579">
        <f t="shared" ca="1" si="177"/>
        <v>0</v>
      </c>
    </row>
    <row r="5580" spans="1:7">
      <c r="A5580">
        <v>7649</v>
      </c>
      <c r="B5580" t="s">
        <v>8</v>
      </c>
      <c r="C5580" t="s">
        <v>120</v>
      </c>
      <c r="D5580" s="9">
        <v>41570.442349537036</v>
      </c>
      <c r="E5580" t="s">
        <v>11</v>
      </c>
      <c r="F5580">
        <f t="shared" ca="1" si="176"/>
        <v>1.2666666666666666</v>
      </c>
      <c r="G5580">
        <f t="shared" ca="1" si="177"/>
        <v>0</v>
      </c>
    </row>
    <row r="5581" spans="1:7">
      <c r="A5581">
        <v>7650</v>
      </c>
      <c r="B5581" t="s">
        <v>32</v>
      </c>
      <c r="C5581" t="s">
        <v>120</v>
      </c>
      <c r="D5581" s="9">
        <v>41572.664305555554</v>
      </c>
      <c r="E5581" t="s">
        <v>29</v>
      </c>
      <c r="F5581">
        <f t="shared" ca="1" si="176"/>
        <v>1.2611111111111111</v>
      </c>
      <c r="G5581">
        <f t="shared" ca="1" si="177"/>
        <v>0</v>
      </c>
    </row>
    <row r="5582" spans="1:7">
      <c r="A5582">
        <v>7652</v>
      </c>
      <c r="B5582" t="s">
        <v>21</v>
      </c>
      <c r="C5582" t="s">
        <v>120</v>
      </c>
      <c r="D5582" s="9">
        <v>41570.490659722222</v>
      </c>
      <c r="E5582" t="s">
        <v>34</v>
      </c>
      <c r="F5582">
        <f t="shared" ca="1" si="176"/>
        <v>1.2666666666666666</v>
      </c>
      <c r="G5582">
        <f t="shared" ca="1" si="177"/>
        <v>0</v>
      </c>
    </row>
    <row r="5583" spans="1:7">
      <c r="A5583">
        <v>7653</v>
      </c>
      <c r="B5583" t="s">
        <v>21</v>
      </c>
      <c r="C5583" t="s">
        <v>120</v>
      </c>
      <c r="D5583" s="9">
        <v>41570.484502314815</v>
      </c>
      <c r="E5583" t="s">
        <v>32</v>
      </c>
      <c r="F5583">
        <f t="shared" ca="1" si="176"/>
        <v>1.2666666666666666</v>
      </c>
      <c r="G5583">
        <f t="shared" ca="1" si="177"/>
        <v>0</v>
      </c>
    </row>
    <row r="5584" spans="1:7">
      <c r="A5584">
        <v>7654</v>
      </c>
      <c r="B5584" t="s">
        <v>36</v>
      </c>
      <c r="C5584" t="s">
        <v>120</v>
      </c>
      <c r="D5584" s="9">
        <v>41500.791446759256</v>
      </c>
      <c r="E5584" t="s">
        <v>11</v>
      </c>
      <c r="F5584">
        <f t="shared" ca="1" si="176"/>
        <v>1.4583333333333333</v>
      </c>
      <c r="G5584">
        <f t="shared" ca="1" si="177"/>
        <v>0</v>
      </c>
    </row>
    <row r="5585" spans="1:7">
      <c r="A5585">
        <v>7659</v>
      </c>
      <c r="B5585" t="s">
        <v>32</v>
      </c>
      <c r="C5585" t="s">
        <v>120</v>
      </c>
      <c r="D5585" s="9">
        <v>41570.443668981483</v>
      </c>
      <c r="E5585" t="s">
        <v>21</v>
      </c>
      <c r="F5585">
        <f t="shared" ca="1" si="176"/>
        <v>1.2666666666666666</v>
      </c>
      <c r="G5585">
        <f t="shared" ca="1" si="177"/>
        <v>0</v>
      </c>
    </row>
    <row r="5586" spans="1:7">
      <c r="A5586">
        <v>7660</v>
      </c>
      <c r="B5586" t="s">
        <v>14</v>
      </c>
      <c r="C5586" t="s">
        <v>120</v>
      </c>
      <c r="D5586" s="9">
        <v>41495.632280092592</v>
      </c>
      <c r="E5586" t="s">
        <v>24</v>
      </c>
      <c r="F5586">
        <f t="shared" ca="1" si="176"/>
        <v>1.4722222222222223</v>
      </c>
      <c r="G5586">
        <f t="shared" ca="1" si="177"/>
        <v>0</v>
      </c>
    </row>
    <row r="5587" spans="1:7">
      <c r="A5587">
        <v>7661</v>
      </c>
      <c r="B5587" t="s">
        <v>14</v>
      </c>
      <c r="C5587" t="s">
        <v>120</v>
      </c>
      <c r="D5587" s="9">
        <v>41508.496192129627</v>
      </c>
      <c r="E5587" t="s">
        <v>8</v>
      </c>
      <c r="F5587">
        <f t="shared" ca="1" si="176"/>
        <v>1.4361111111111111</v>
      </c>
      <c r="G5587">
        <f t="shared" ca="1" si="177"/>
        <v>0</v>
      </c>
    </row>
    <row r="5588" spans="1:7">
      <c r="A5588">
        <v>7662</v>
      </c>
      <c r="B5588" t="s">
        <v>24</v>
      </c>
      <c r="C5588" t="s">
        <v>120</v>
      </c>
      <c r="D5588" s="9">
        <v>41495.561666666668</v>
      </c>
      <c r="E5588" t="s">
        <v>23</v>
      </c>
      <c r="F5588">
        <f t="shared" ca="1" si="176"/>
        <v>1.4722222222222223</v>
      </c>
      <c r="G5588">
        <f t="shared" ca="1" si="177"/>
        <v>0</v>
      </c>
    </row>
    <row r="5589" spans="1:7">
      <c r="A5589">
        <v>7663</v>
      </c>
      <c r="B5589" t="s">
        <v>23</v>
      </c>
      <c r="C5589" t="s">
        <v>120</v>
      </c>
      <c r="D5589" s="9">
        <v>41530.659791666665</v>
      </c>
      <c r="E5589" t="s">
        <v>17</v>
      </c>
      <c r="F5589">
        <f t="shared" ca="1" si="176"/>
        <v>1.3777777777777778</v>
      </c>
      <c r="G5589">
        <f t="shared" ca="1" si="177"/>
        <v>0</v>
      </c>
    </row>
    <row r="5590" spans="1:7">
      <c r="A5590">
        <v>7664</v>
      </c>
      <c r="B5590" t="s">
        <v>19</v>
      </c>
      <c r="C5590" t="s">
        <v>120</v>
      </c>
      <c r="D5590" s="9">
        <v>41570.471585648149</v>
      </c>
      <c r="E5590" t="s">
        <v>11</v>
      </c>
      <c r="F5590">
        <f t="shared" ca="1" si="176"/>
        <v>1.2666666666666666</v>
      </c>
      <c r="G5590">
        <f t="shared" ca="1" si="177"/>
        <v>0</v>
      </c>
    </row>
    <row r="5591" spans="1:7">
      <c r="A5591">
        <v>7665</v>
      </c>
      <c r="B5591" t="s">
        <v>24</v>
      </c>
      <c r="C5591" t="s">
        <v>120</v>
      </c>
      <c r="D5591" s="9">
        <v>41495.7034375</v>
      </c>
      <c r="E5591" t="s">
        <v>11</v>
      </c>
      <c r="F5591">
        <f t="shared" ca="1" si="176"/>
        <v>1.4722222222222223</v>
      </c>
      <c r="G5591">
        <f t="shared" ca="1" si="177"/>
        <v>0</v>
      </c>
    </row>
    <row r="5592" spans="1:7">
      <c r="A5592">
        <v>7668</v>
      </c>
      <c r="B5592" t="s">
        <v>18</v>
      </c>
      <c r="C5592" t="s">
        <v>120</v>
      </c>
      <c r="D5592" s="9">
        <v>41543.433935185189</v>
      </c>
      <c r="E5592" t="s">
        <v>44</v>
      </c>
      <c r="F5592">
        <f t="shared" ca="1" si="176"/>
        <v>1.3416666666666666</v>
      </c>
      <c r="G5592">
        <f t="shared" ca="1" si="177"/>
        <v>0</v>
      </c>
    </row>
    <row r="5593" spans="1:7">
      <c r="A5593">
        <v>7670</v>
      </c>
      <c r="B5593" t="s">
        <v>17</v>
      </c>
      <c r="C5593" t="s">
        <v>120</v>
      </c>
      <c r="D5593" s="9">
        <v>41516.68482638889</v>
      </c>
      <c r="E5593" t="s">
        <v>8</v>
      </c>
      <c r="F5593">
        <f t="shared" ca="1" si="176"/>
        <v>1.413888888888889</v>
      </c>
      <c r="G5593">
        <f t="shared" ca="1" si="177"/>
        <v>0</v>
      </c>
    </row>
    <row r="5594" spans="1:7">
      <c r="A5594">
        <v>7673</v>
      </c>
      <c r="B5594" t="s">
        <v>20</v>
      </c>
      <c r="C5594" t="s">
        <v>120</v>
      </c>
      <c r="D5594" s="9">
        <v>41494.614918981482</v>
      </c>
      <c r="E5594" t="s">
        <v>27</v>
      </c>
      <c r="F5594">
        <f t="shared" ca="1" si="176"/>
        <v>1.4750000000000001</v>
      </c>
      <c r="G5594">
        <f t="shared" ca="1" si="177"/>
        <v>0</v>
      </c>
    </row>
    <row r="5595" spans="1:7">
      <c r="A5595">
        <v>7674</v>
      </c>
      <c r="B5595" t="s">
        <v>30</v>
      </c>
      <c r="C5595" t="s">
        <v>120</v>
      </c>
      <c r="D5595" s="9">
        <v>41516.655092592591</v>
      </c>
      <c r="E5595" t="s">
        <v>11</v>
      </c>
      <c r="F5595">
        <f t="shared" ca="1" si="176"/>
        <v>1.413888888888889</v>
      </c>
      <c r="G5595">
        <f t="shared" ca="1" si="177"/>
        <v>0</v>
      </c>
    </row>
    <row r="5596" spans="1:7">
      <c r="A5596">
        <v>7675</v>
      </c>
      <c r="B5596" t="s">
        <v>27</v>
      </c>
      <c r="C5596" t="s">
        <v>120</v>
      </c>
      <c r="D5596" s="9">
        <v>41493.880844907406</v>
      </c>
      <c r="E5596" t="s">
        <v>20</v>
      </c>
      <c r="F5596">
        <f t="shared" ca="1" si="176"/>
        <v>1.4777777777777779</v>
      </c>
      <c r="G5596">
        <f t="shared" ca="1" si="177"/>
        <v>0</v>
      </c>
    </row>
    <row r="5597" spans="1:7">
      <c r="A5597">
        <v>7678</v>
      </c>
      <c r="B5597" t="s">
        <v>24</v>
      </c>
      <c r="C5597" t="s">
        <v>120</v>
      </c>
      <c r="D5597" s="9">
        <v>41495.641712962963</v>
      </c>
      <c r="E5597" t="s">
        <v>17</v>
      </c>
      <c r="F5597">
        <f t="shared" ca="1" si="176"/>
        <v>1.4722222222222223</v>
      </c>
      <c r="G5597">
        <f t="shared" ca="1" si="177"/>
        <v>0</v>
      </c>
    </row>
    <row r="5598" spans="1:7">
      <c r="A5598">
        <v>7681</v>
      </c>
      <c r="B5598" t="s">
        <v>14</v>
      </c>
      <c r="C5598" t="s">
        <v>120</v>
      </c>
      <c r="D5598" s="9">
        <v>41523.787465277775</v>
      </c>
      <c r="E5598" t="s">
        <v>11</v>
      </c>
      <c r="F5598">
        <f t="shared" ca="1" si="176"/>
        <v>1.3972222222222221</v>
      </c>
      <c r="G5598">
        <f t="shared" ca="1" si="177"/>
        <v>0</v>
      </c>
    </row>
    <row r="5599" spans="1:7">
      <c r="A5599">
        <v>7685</v>
      </c>
      <c r="B5599" t="s">
        <v>32</v>
      </c>
      <c r="C5599" t="s">
        <v>120</v>
      </c>
      <c r="D5599" s="9">
        <v>41498.84238425926</v>
      </c>
      <c r="E5599" t="s">
        <v>21</v>
      </c>
      <c r="F5599">
        <f t="shared" ca="1" si="176"/>
        <v>1.4638888888888888</v>
      </c>
      <c r="G5599">
        <f t="shared" ca="1" si="177"/>
        <v>0</v>
      </c>
    </row>
    <row r="5600" spans="1:7">
      <c r="A5600">
        <v>7686</v>
      </c>
      <c r="B5600" t="s">
        <v>20</v>
      </c>
      <c r="C5600" t="s">
        <v>120</v>
      </c>
      <c r="D5600" s="9">
        <v>41494.664687500001</v>
      </c>
      <c r="E5600" t="s">
        <v>27</v>
      </c>
      <c r="F5600">
        <f t="shared" ca="1" si="176"/>
        <v>1.4750000000000001</v>
      </c>
      <c r="G5600">
        <f t="shared" ca="1" si="177"/>
        <v>0</v>
      </c>
    </row>
    <row r="5601" spans="1:7">
      <c r="A5601">
        <v>7688</v>
      </c>
      <c r="B5601" t="s">
        <v>17</v>
      </c>
      <c r="C5601" t="s">
        <v>120</v>
      </c>
      <c r="D5601" s="9">
        <v>41498.368159722224</v>
      </c>
      <c r="E5601" t="s">
        <v>8</v>
      </c>
      <c r="F5601">
        <f t="shared" ca="1" si="176"/>
        <v>1.4638888888888888</v>
      </c>
      <c r="G5601">
        <f t="shared" ca="1" si="177"/>
        <v>0</v>
      </c>
    </row>
    <row r="5602" spans="1:7">
      <c r="A5602">
        <v>7699</v>
      </c>
      <c r="B5602" t="s">
        <v>111</v>
      </c>
      <c r="C5602" t="s">
        <v>120</v>
      </c>
      <c r="D5602" s="9">
        <v>41570.449837962966</v>
      </c>
      <c r="E5602" t="s">
        <v>27</v>
      </c>
      <c r="F5602">
        <f t="shared" ca="1" si="176"/>
        <v>1.2666666666666666</v>
      </c>
      <c r="G5602">
        <f t="shared" ca="1" si="177"/>
        <v>0</v>
      </c>
    </row>
    <row r="5603" spans="1:7">
      <c r="A5603">
        <v>7700</v>
      </c>
      <c r="B5603" t="s">
        <v>27</v>
      </c>
      <c r="C5603" t="s">
        <v>120</v>
      </c>
      <c r="D5603" s="9">
        <v>41498.654780092591</v>
      </c>
      <c r="E5603" t="s">
        <v>20</v>
      </c>
      <c r="F5603">
        <f t="shared" ca="1" si="176"/>
        <v>1.4638888888888888</v>
      </c>
      <c r="G5603">
        <f t="shared" ca="1" si="177"/>
        <v>0</v>
      </c>
    </row>
    <row r="5604" spans="1:7">
      <c r="A5604">
        <v>7701</v>
      </c>
      <c r="B5604" t="s">
        <v>111</v>
      </c>
      <c r="C5604" t="s">
        <v>120</v>
      </c>
      <c r="D5604" s="9">
        <v>41570.449918981481</v>
      </c>
      <c r="E5604" t="s">
        <v>8</v>
      </c>
      <c r="F5604">
        <f t="shared" ca="1" si="176"/>
        <v>1.2666666666666666</v>
      </c>
      <c r="G5604">
        <f t="shared" ca="1" si="177"/>
        <v>0</v>
      </c>
    </row>
    <row r="5605" spans="1:7">
      <c r="A5605">
        <v>7702</v>
      </c>
      <c r="B5605" t="s">
        <v>24</v>
      </c>
      <c r="C5605" t="s">
        <v>120</v>
      </c>
      <c r="D5605" s="9">
        <v>41495.520902777775</v>
      </c>
      <c r="E5605" t="s">
        <v>23</v>
      </c>
      <c r="F5605">
        <f t="shared" ca="1" si="176"/>
        <v>1.4722222222222223</v>
      </c>
      <c r="G5605">
        <f t="shared" ca="1" si="177"/>
        <v>0</v>
      </c>
    </row>
    <row r="5606" spans="1:7">
      <c r="A5606">
        <v>7704</v>
      </c>
      <c r="B5606" t="s">
        <v>21</v>
      </c>
      <c r="C5606" t="s">
        <v>120</v>
      </c>
      <c r="D5606" s="9">
        <v>41570.452141203707</v>
      </c>
      <c r="E5606" t="s">
        <v>17</v>
      </c>
      <c r="F5606">
        <f t="shared" ca="1" si="176"/>
        <v>1.2666666666666666</v>
      </c>
      <c r="G5606">
        <f t="shared" ca="1" si="177"/>
        <v>0</v>
      </c>
    </row>
    <row r="5607" spans="1:7">
      <c r="A5607">
        <v>7709</v>
      </c>
      <c r="B5607" t="s">
        <v>19</v>
      </c>
      <c r="C5607" t="s">
        <v>120</v>
      </c>
      <c r="D5607" s="9">
        <v>41543.598437499997</v>
      </c>
      <c r="E5607" t="s">
        <v>37</v>
      </c>
      <c r="F5607">
        <f t="shared" ca="1" si="176"/>
        <v>1.3416666666666666</v>
      </c>
      <c r="G5607">
        <f t="shared" ca="1" si="177"/>
        <v>0</v>
      </c>
    </row>
    <row r="5608" spans="1:7">
      <c r="A5608">
        <v>7710</v>
      </c>
      <c r="B5608" t="s">
        <v>14</v>
      </c>
      <c r="C5608" t="s">
        <v>120</v>
      </c>
      <c r="D5608" s="9">
        <v>41523.788159722222</v>
      </c>
      <c r="E5608" t="s">
        <v>11</v>
      </c>
      <c r="F5608">
        <f t="shared" ca="1" si="176"/>
        <v>1.3972222222222221</v>
      </c>
      <c r="G5608">
        <f t="shared" ca="1" si="177"/>
        <v>0</v>
      </c>
    </row>
    <row r="5609" spans="1:7">
      <c r="A5609">
        <v>7711</v>
      </c>
      <c r="B5609" t="s">
        <v>14</v>
      </c>
      <c r="C5609" t="s">
        <v>120</v>
      </c>
      <c r="D5609" s="9">
        <v>41562.503449074073</v>
      </c>
      <c r="E5609" t="s">
        <v>24</v>
      </c>
      <c r="F5609">
        <f t="shared" ca="1" si="176"/>
        <v>1.288888888888889</v>
      </c>
      <c r="G5609">
        <f t="shared" ca="1" si="177"/>
        <v>0</v>
      </c>
    </row>
    <row r="5610" spans="1:7">
      <c r="A5610">
        <v>7714</v>
      </c>
      <c r="B5610" t="s">
        <v>34</v>
      </c>
      <c r="C5610" t="s">
        <v>119</v>
      </c>
      <c r="D5610" s="9">
        <v>41586.681111111109</v>
      </c>
      <c r="E5610" t="s">
        <v>14</v>
      </c>
      <c r="F5610">
        <f t="shared" ca="1" si="176"/>
        <v>1.2250000000000001</v>
      </c>
      <c r="G5610">
        <f t="shared" ca="1" si="177"/>
        <v>0</v>
      </c>
    </row>
    <row r="5611" spans="1:7">
      <c r="A5611">
        <v>7715</v>
      </c>
      <c r="B5611" t="s">
        <v>18</v>
      </c>
      <c r="C5611" t="s">
        <v>120</v>
      </c>
      <c r="D5611" s="9">
        <v>41508.570324074077</v>
      </c>
      <c r="E5611" t="s">
        <v>8</v>
      </c>
      <c r="F5611">
        <f t="shared" ca="1" si="176"/>
        <v>1.4361111111111111</v>
      </c>
      <c r="G5611">
        <f t="shared" ca="1" si="177"/>
        <v>0</v>
      </c>
    </row>
    <row r="5612" spans="1:7">
      <c r="A5612">
        <v>7718</v>
      </c>
      <c r="B5612" t="s">
        <v>38</v>
      </c>
      <c r="D5612" s="9">
        <v>41530.638124999998</v>
      </c>
      <c r="E5612" t="s">
        <v>14</v>
      </c>
      <c r="F5612">
        <f t="shared" ca="1" si="176"/>
        <v>1.3777777777777778</v>
      </c>
      <c r="G5612">
        <f t="shared" ca="1" si="177"/>
        <v>0</v>
      </c>
    </row>
    <row r="5613" spans="1:7">
      <c r="A5613">
        <v>7719</v>
      </c>
      <c r="B5613" t="s">
        <v>34</v>
      </c>
      <c r="C5613" t="s">
        <v>120</v>
      </c>
      <c r="D5613" s="9">
        <v>41495.739733796298</v>
      </c>
      <c r="E5613" t="s">
        <v>8</v>
      </c>
      <c r="F5613">
        <f t="shared" ca="1" si="176"/>
        <v>1.4722222222222223</v>
      </c>
      <c r="G5613">
        <f t="shared" ca="1" si="177"/>
        <v>0</v>
      </c>
    </row>
    <row r="5614" spans="1:7">
      <c r="A5614">
        <v>7726</v>
      </c>
      <c r="B5614" t="s">
        <v>112</v>
      </c>
      <c r="C5614" t="s">
        <v>120</v>
      </c>
      <c r="D5614" s="9">
        <v>41534.603865740741</v>
      </c>
      <c r="E5614" t="s">
        <v>34</v>
      </c>
      <c r="F5614">
        <f t="shared" ca="1" si="176"/>
        <v>1.3666666666666667</v>
      </c>
      <c r="G5614">
        <f t="shared" ca="1" si="177"/>
        <v>0</v>
      </c>
    </row>
    <row r="5615" spans="1:7">
      <c r="A5615">
        <v>7728</v>
      </c>
      <c r="B5615" t="s">
        <v>27</v>
      </c>
      <c r="C5615" t="s">
        <v>120</v>
      </c>
      <c r="D5615" s="9">
        <v>41500.899293981478</v>
      </c>
      <c r="E5615" t="s">
        <v>20</v>
      </c>
      <c r="F5615">
        <f t="shared" ca="1" si="176"/>
        <v>1.4583333333333333</v>
      </c>
      <c r="G5615">
        <f t="shared" ca="1" si="177"/>
        <v>0</v>
      </c>
    </row>
    <row r="5616" spans="1:7">
      <c r="A5616">
        <v>7729</v>
      </c>
      <c r="B5616" t="s">
        <v>14</v>
      </c>
      <c r="C5616" t="s">
        <v>120</v>
      </c>
      <c r="D5616" s="9">
        <v>41570.476851851854</v>
      </c>
      <c r="E5616" t="s">
        <v>34</v>
      </c>
      <c r="F5616">
        <f t="shared" ca="1" si="176"/>
        <v>1.2666666666666666</v>
      </c>
      <c r="G5616">
        <f t="shared" ca="1" si="177"/>
        <v>0</v>
      </c>
    </row>
    <row r="5617" spans="1:7">
      <c r="A5617">
        <v>7730</v>
      </c>
      <c r="B5617" t="s">
        <v>14</v>
      </c>
      <c r="C5617" t="s">
        <v>120</v>
      </c>
      <c r="D5617" s="9">
        <v>41509.591736111113</v>
      </c>
      <c r="E5617" t="s">
        <v>27</v>
      </c>
      <c r="F5617">
        <f t="shared" ca="1" si="176"/>
        <v>1.4333333333333333</v>
      </c>
      <c r="G5617">
        <f t="shared" ca="1" si="177"/>
        <v>0</v>
      </c>
    </row>
    <row r="5618" spans="1:7">
      <c r="A5618">
        <v>7731</v>
      </c>
      <c r="B5618" t="s">
        <v>14</v>
      </c>
      <c r="C5618" t="s">
        <v>120</v>
      </c>
      <c r="D5618" s="9">
        <v>41558.549016203702</v>
      </c>
      <c r="E5618" t="s">
        <v>37</v>
      </c>
      <c r="F5618">
        <f t="shared" ca="1" si="176"/>
        <v>1.3</v>
      </c>
      <c r="G5618">
        <f t="shared" ca="1" si="177"/>
        <v>0</v>
      </c>
    </row>
    <row r="5619" spans="1:7">
      <c r="A5619">
        <v>7732</v>
      </c>
      <c r="B5619" t="s">
        <v>29</v>
      </c>
      <c r="C5619" t="s">
        <v>119</v>
      </c>
      <c r="D5619" s="9">
        <v>41603.37259259259</v>
      </c>
      <c r="E5619" t="s">
        <v>30</v>
      </c>
      <c r="F5619">
        <f t="shared" ca="1" si="176"/>
        <v>1.1777777777777778</v>
      </c>
      <c r="G5619">
        <f t="shared" ca="1" si="177"/>
        <v>0</v>
      </c>
    </row>
    <row r="5620" spans="1:7">
      <c r="A5620">
        <v>7735</v>
      </c>
      <c r="B5620" t="s">
        <v>14</v>
      </c>
      <c r="C5620" t="s">
        <v>120</v>
      </c>
      <c r="D5620" s="9">
        <v>41502.762569444443</v>
      </c>
      <c r="E5620" t="s">
        <v>11</v>
      </c>
      <c r="F5620">
        <f t="shared" ca="1" si="176"/>
        <v>1.4527777777777777</v>
      </c>
      <c r="G5620">
        <f t="shared" ca="1" si="177"/>
        <v>0</v>
      </c>
    </row>
    <row r="5621" spans="1:7">
      <c r="A5621">
        <v>7736</v>
      </c>
      <c r="B5621" t="s">
        <v>20</v>
      </c>
      <c r="C5621" t="s">
        <v>120</v>
      </c>
      <c r="D5621" s="9">
        <v>41505.340092592596</v>
      </c>
      <c r="E5621" t="s">
        <v>21</v>
      </c>
      <c r="F5621">
        <f t="shared" ca="1" si="176"/>
        <v>1.4444444444444444</v>
      </c>
      <c r="G5621">
        <f t="shared" ca="1" si="177"/>
        <v>0</v>
      </c>
    </row>
    <row r="5622" spans="1:7">
      <c r="A5622">
        <v>7738</v>
      </c>
      <c r="B5622" t="s">
        <v>36</v>
      </c>
      <c r="C5622" t="s">
        <v>120</v>
      </c>
      <c r="D5622" s="9">
        <v>41572.626828703702</v>
      </c>
      <c r="E5622" t="s">
        <v>27</v>
      </c>
      <c r="F5622">
        <f t="shared" ca="1" si="176"/>
        <v>1.2611111111111111</v>
      </c>
      <c r="G5622">
        <f t="shared" ca="1" si="177"/>
        <v>0</v>
      </c>
    </row>
    <row r="5623" spans="1:7">
      <c r="A5623">
        <v>7739</v>
      </c>
      <c r="B5623" t="s">
        <v>21</v>
      </c>
      <c r="C5623" t="s">
        <v>120</v>
      </c>
      <c r="D5623" s="9">
        <v>41570.464942129627</v>
      </c>
      <c r="E5623" t="s">
        <v>20</v>
      </c>
      <c r="F5623">
        <f t="shared" ca="1" si="176"/>
        <v>1.2666666666666666</v>
      </c>
      <c r="G5623">
        <f t="shared" ca="1" si="177"/>
        <v>0</v>
      </c>
    </row>
    <row r="5624" spans="1:7">
      <c r="A5624">
        <v>7740</v>
      </c>
      <c r="B5624" t="s">
        <v>21</v>
      </c>
      <c r="C5624" t="s">
        <v>120</v>
      </c>
      <c r="D5624" s="9">
        <v>41570.46361111111</v>
      </c>
      <c r="E5624" t="s">
        <v>36</v>
      </c>
      <c r="F5624">
        <f t="shared" ca="1" si="176"/>
        <v>1.2666666666666666</v>
      </c>
      <c r="G5624">
        <f t="shared" ca="1" si="177"/>
        <v>0</v>
      </c>
    </row>
    <row r="5625" spans="1:7">
      <c r="A5625">
        <v>7742</v>
      </c>
      <c r="B5625" t="s">
        <v>14</v>
      </c>
      <c r="C5625" t="s">
        <v>120</v>
      </c>
      <c r="D5625" s="9">
        <v>41500.839456018519</v>
      </c>
      <c r="E5625" t="s">
        <v>11</v>
      </c>
      <c r="F5625">
        <f t="shared" ca="1" si="176"/>
        <v>1.4583333333333333</v>
      </c>
      <c r="G5625">
        <f t="shared" ca="1" si="177"/>
        <v>0</v>
      </c>
    </row>
    <row r="5626" spans="1:7">
      <c r="A5626">
        <v>7746</v>
      </c>
      <c r="B5626" t="s">
        <v>11</v>
      </c>
      <c r="C5626" t="s">
        <v>120</v>
      </c>
      <c r="D5626" s="9">
        <v>41512.685497685183</v>
      </c>
      <c r="E5626" t="s">
        <v>21</v>
      </c>
      <c r="F5626">
        <f t="shared" ca="1" si="176"/>
        <v>1.425</v>
      </c>
      <c r="G5626">
        <f t="shared" ca="1" si="177"/>
        <v>0</v>
      </c>
    </row>
    <row r="5627" spans="1:7">
      <c r="A5627">
        <v>7749</v>
      </c>
      <c r="B5627" t="s">
        <v>111</v>
      </c>
      <c r="C5627" t="s">
        <v>120</v>
      </c>
      <c r="D5627" s="9">
        <v>41570.452314814815</v>
      </c>
      <c r="E5627" t="s">
        <v>17</v>
      </c>
      <c r="F5627">
        <f t="shared" ca="1" si="176"/>
        <v>1.2666666666666666</v>
      </c>
      <c r="G5627">
        <f t="shared" ca="1" si="177"/>
        <v>0</v>
      </c>
    </row>
    <row r="5628" spans="1:7">
      <c r="A5628">
        <v>7750</v>
      </c>
      <c r="B5628" t="s">
        <v>11</v>
      </c>
      <c r="C5628" t="s">
        <v>120</v>
      </c>
      <c r="D5628" s="9">
        <v>41502.67895833333</v>
      </c>
      <c r="E5628" t="s">
        <v>17</v>
      </c>
      <c r="F5628">
        <f t="shared" ca="1" si="176"/>
        <v>1.4527777777777777</v>
      </c>
      <c r="G5628">
        <f t="shared" ca="1" si="177"/>
        <v>0</v>
      </c>
    </row>
    <row r="5629" spans="1:7">
      <c r="A5629">
        <v>7754</v>
      </c>
      <c r="B5629" t="s">
        <v>27</v>
      </c>
      <c r="C5629" t="s">
        <v>120</v>
      </c>
      <c r="D5629" s="9">
        <v>41522.405057870368</v>
      </c>
      <c r="E5629" t="s">
        <v>20</v>
      </c>
      <c r="F5629">
        <f t="shared" ca="1" si="176"/>
        <v>1.4</v>
      </c>
      <c r="G5629">
        <f t="shared" ca="1" si="177"/>
        <v>0</v>
      </c>
    </row>
    <row r="5630" spans="1:7">
      <c r="A5630">
        <v>7755</v>
      </c>
      <c r="B5630" t="s">
        <v>18</v>
      </c>
      <c r="C5630" t="s">
        <v>120</v>
      </c>
      <c r="D5630" s="9">
        <v>41544.61990740741</v>
      </c>
      <c r="E5630" t="s">
        <v>34</v>
      </c>
      <c r="F5630">
        <f t="shared" ca="1" si="176"/>
        <v>1.3388888888888888</v>
      </c>
      <c r="G5630">
        <f t="shared" ca="1" si="177"/>
        <v>0</v>
      </c>
    </row>
    <row r="5631" spans="1:7">
      <c r="A5631">
        <v>7756</v>
      </c>
      <c r="B5631" t="s">
        <v>18</v>
      </c>
      <c r="C5631" t="s">
        <v>120</v>
      </c>
      <c r="D5631" s="9">
        <v>41544.710648148146</v>
      </c>
      <c r="E5631" t="s">
        <v>34</v>
      </c>
      <c r="F5631">
        <f t="shared" ca="1" si="176"/>
        <v>1.3388888888888888</v>
      </c>
      <c r="G5631">
        <f t="shared" ca="1" si="177"/>
        <v>0</v>
      </c>
    </row>
    <row r="5632" spans="1:7">
      <c r="A5632">
        <v>7757</v>
      </c>
      <c r="B5632" t="s">
        <v>55</v>
      </c>
      <c r="C5632" t="s">
        <v>120</v>
      </c>
      <c r="D5632" s="9">
        <v>41570.468425925923</v>
      </c>
      <c r="E5632" t="s">
        <v>34</v>
      </c>
      <c r="F5632">
        <f t="shared" ca="1" si="176"/>
        <v>1.2666666666666666</v>
      </c>
      <c r="G5632">
        <f t="shared" ca="1" si="177"/>
        <v>0</v>
      </c>
    </row>
    <row r="5633" spans="1:7">
      <c r="A5633">
        <v>7758</v>
      </c>
      <c r="B5633" t="s">
        <v>55</v>
      </c>
      <c r="C5633" t="s">
        <v>120</v>
      </c>
      <c r="D5633" s="9">
        <v>41570.4687037037</v>
      </c>
      <c r="E5633" t="s">
        <v>24</v>
      </c>
      <c r="F5633">
        <f t="shared" ca="1" si="176"/>
        <v>1.2666666666666666</v>
      </c>
      <c r="G5633">
        <f t="shared" ca="1" si="177"/>
        <v>0</v>
      </c>
    </row>
    <row r="5634" spans="1:7">
      <c r="A5634">
        <v>7759</v>
      </c>
      <c r="B5634" t="s">
        <v>55</v>
      </c>
      <c r="C5634" t="s">
        <v>120</v>
      </c>
      <c r="D5634" s="9">
        <v>41509.634363425925</v>
      </c>
      <c r="E5634" t="s">
        <v>34</v>
      </c>
      <c r="F5634">
        <f t="shared" ca="1" si="176"/>
        <v>1.4333333333333333</v>
      </c>
      <c r="G5634">
        <f t="shared" ca="1" si="177"/>
        <v>0</v>
      </c>
    </row>
    <row r="5635" spans="1:7">
      <c r="A5635">
        <v>7761</v>
      </c>
      <c r="B5635" t="s">
        <v>14</v>
      </c>
      <c r="C5635" t="s">
        <v>120</v>
      </c>
      <c r="D5635" s="9">
        <v>41508.847986111112</v>
      </c>
      <c r="E5635" t="s">
        <v>111</v>
      </c>
      <c r="F5635">
        <f t="shared" ca="1" si="176"/>
        <v>1.4361111111111111</v>
      </c>
      <c r="G5635">
        <f t="shared" ca="1" si="177"/>
        <v>0</v>
      </c>
    </row>
    <row r="5636" spans="1:7">
      <c r="A5636">
        <v>7764</v>
      </c>
      <c r="B5636" t="s">
        <v>14</v>
      </c>
      <c r="C5636" t="s">
        <v>120</v>
      </c>
      <c r="D5636" s="9">
        <v>41508.749050925922</v>
      </c>
      <c r="E5636" t="s">
        <v>111</v>
      </c>
      <c r="F5636">
        <f t="shared" ca="1" si="176"/>
        <v>1.4361111111111111</v>
      </c>
      <c r="G5636">
        <f t="shared" ca="1" si="177"/>
        <v>0</v>
      </c>
    </row>
    <row r="5637" spans="1:7">
      <c r="A5637">
        <v>7768</v>
      </c>
      <c r="B5637" t="s">
        <v>11</v>
      </c>
      <c r="C5637" t="s">
        <v>120</v>
      </c>
      <c r="D5637" s="9">
        <v>41551.605219907404</v>
      </c>
      <c r="E5637" t="s">
        <v>21</v>
      </c>
      <c r="F5637">
        <f t="shared" ca="1" si="176"/>
        <v>1.3194444444444444</v>
      </c>
      <c r="G5637">
        <f t="shared" ca="1" si="177"/>
        <v>0</v>
      </c>
    </row>
    <row r="5638" spans="1:7">
      <c r="A5638">
        <v>7769</v>
      </c>
      <c r="B5638" t="s">
        <v>45</v>
      </c>
      <c r="C5638" t="s">
        <v>120</v>
      </c>
      <c r="D5638" s="9">
        <v>41529.102349537039</v>
      </c>
      <c r="E5638" t="s">
        <v>32</v>
      </c>
      <c r="F5638">
        <f t="shared" ca="1" si="176"/>
        <v>1.3805555555555555</v>
      </c>
      <c r="G5638">
        <f t="shared" ca="1" si="177"/>
        <v>0</v>
      </c>
    </row>
    <row r="5639" spans="1:7">
      <c r="A5639">
        <v>7770</v>
      </c>
      <c r="B5639" t="s">
        <v>111</v>
      </c>
      <c r="C5639" t="s">
        <v>120</v>
      </c>
      <c r="D5639" s="9">
        <v>41570.475046296298</v>
      </c>
      <c r="E5639" t="s">
        <v>17</v>
      </c>
      <c r="F5639">
        <f t="shared" ref="F5639:F5702" ca="1" si="178">YEARFRAC(TODAY(),$D5639)</f>
        <v>1.2666666666666666</v>
      </c>
      <c r="G5639">
        <f t="shared" ref="G5639:G5702" ca="1" si="179">IF($F5639&lt;1,1,0)</f>
        <v>0</v>
      </c>
    </row>
    <row r="5640" spans="1:7">
      <c r="A5640">
        <v>7775</v>
      </c>
      <c r="B5640" t="s">
        <v>27</v>
      </c>
      <c r="C5640" t="s">
        <v>120</v>
      </c>
      <c r="D5640" s="9">
        <v>41506.376689814817</v>
      </c>
      <c r="E5640" t="s">
        <v>20</v>
      </c>
      <c r="F5640">
        <f t="shared" ca="1" si="178"/>
        <v>1.4416666666666667</v>
      </c>
      <c r="G5640">
        <f t="shared" ca="1" si="179"/>
        <v>0</v>
      </c>
    </row>
    <row r="5641" spans="1:7">
      <c r="A5641">
        <v>7776</v>
      </c>
      <c r="B5641" t="s">
        <v>24</v>
      </c>
      <c r="C5641" t="s">
        <v>120</v>
      </c>
      <c r="D5641" s="9">
        <v>41570.472800925927</v>
      </c>
      <c r="E5641" t="s">
        <v>19</v>
      </c>
      <c r="F5641">
        <f t="shared" ca="1" si="178"/>
        <v>1.2666666666666666</v>
      </c>
      <c r="G5641">
        <f t="shared" ca="1" si="179"/>
        <v>0</v>
      </c>
    </row>
    <row r="5642" spans="1:7">
      <c r="A5642">
        <v>7777</v>
      </c>
      <c r="B5642" t="s">
        <v>11</v>
      </c>
      <c r="C5642" t="s">
        <v>120</v>
      </c>
      <c r="D5642" s="9">
        <v>41557.917962962965</v>
      </c>
      <c r="E5642" t="s">
        <v>38</v>
      </c>
      <c r="F5642">
        <f t="shared" ca="1" si="178"/>
        <v>1.3027777777777778</v>
      </c>
      <c r="G5642">
        <f t="shared" ca="1" si="179"/>
        <v>0</v>
      </c>
    </row>
    <row r="5643" spans="1:7">
      <c r="A5643">
        <v>7778</v>
      </c>
      <c r="B5643" t="s">
        <v>11</v>
      </c>
      <c r="C5643" t="s">
        <v>118</v>
      </c>
      <c r="D5643" s="9">
        <v>41810.490011574075</v>
      </c>
      <c r="E5643" t="s">
        <v>14</v>
      </c>
      <c r="F5643">
        <f t="shared" ca="1" si="178"/>
        <v>0.60833333333333328</v>
      </c>
      <c r="G5643">
        <f t="shared" ca="1" si="179"/>
        <v>1</v>
      </c>
    </row>
    <row r="5644" spans="1:7">
      <c r="A5644">
        <v>7779</v>
      </c>
      <c r="B5644" t="s">
        <v>11</v>
      </c>
      <c r="C5644" t="s">
        <v>120</v>
      </c>
      <c r="D5644" s="9">
        <v>41509.701574074075</v>
      </c>
      <c r="E5644" t="s">
        <v>21</v>
      </c>
      <c r="F5644">
        <f t="shared" ca="1" si="178"/>
        <v>1.4333333333333333</v>
      </c>
      <c r="G5644">
        <f t="shared" ca="1" si="179"/>
        <v>0</v>
      </c>
    </row>
    <row r="5645" spans="1:7">
      <c r="A5645">
        <v>7781</v>
      </c>
      <c r="B5645" t="s">
        <v>27</v>
      </c>
      <c r="C5645" t="s">
        <v>120</v>
      </c>
      <c r="D5645" s="9">
        <v>41509.667048611111</v>
      </c>
      <c r="E5645" t="s">
        <v>17</v>
      </c>
      <c r="F5645">
        <f t="shared" ca="1" si="178"/>
        <v>1.4333333333333333</v>
      </c>
      <c r="G5645">
        <f t="shared" ca="1" si="179"/>
        <v>0</v>
      </c>
    </row>
    <row r="5646" spans="1:7">
      <c r="A5646">
        <v>7783</v>
      </c>
      <c r="B5646" t="s">
        <v>32</v>
      </c>
      <c r="C5646" t="s">
        <v>120</v>
      </c>
      <c r="D5646" s="9">
        <v>41526.936377314814</v>
      </c>
      <c r="E5646" t="s">
        <v>11</v>
      </c>
      <c r="F5646">
        <f t="shared" ca="1" si="178"/>
        <v>1.3888888888888888</v>
      </c>
      <c r="G5646">
        <f t="shared" ca="1" si="179"/>
        <v>0</v>
      </c>
    </row>
    <row r="5647" spans="1:7">
      <c r="A5647">
        <v>7786</v>
      </c>
      <c r="B5647" t="s">
        <v>32</v>
      </c>
      <c r="C5647" t="s">
        <v>120</v>
      </c>
      <c r="D5647" s="9">
        <v>41570.659467592595</v>
      </c>
      <c r="E5647" t="s">
        <v>20</v>
      </c>
      <c r="F5647">
        <f t="shared" ca="1" si="178"/>
        <v>1.2666666666666666</v>
      </c>
      <c r="G5647">
        <f t="shared" ca="1" si="179"/>
        <v>0</v>
      </c>
    </row>
    <row r="5648" spans="1:7">
      <c r="A5648">
        <v>7787</v>
      </c>
      <c r="B5648" t="s">
        <v>36</v>
      </c>
      <c r="C5648" t="s">
        <v>120</v>
      </c>
      <c r="D5648" s="9">
        <v>41516.636828703704</v>
      </c>
      <c r="E5648" t="s">
        <v>27</v>
      </c>
      <c r="F5648">
        <f t="shared" ca="1" si="178"/>
        <v>1.413888888888889</v>
      </c>
      <c r="G5648">
        <f t="shared" ca="1" si="179"/>
        <v>0</v>
      </c>
    </row>
    <row r="5649" spans="1:7">
      <c r="A5649">
        <v>7789</v>
      </c>
      <c r="B5649" t="s">
        <v>21</v>
      </c>
      <c r="C5649" t="s">
        <v>118</v>
      </c>
      <c r="D5649" s="9">
        <v>41771.688020833331</v>
      </c>
      <c r="E5649" t="s">
        <v>32</v>
      </c>
      <c r="F5649">
        <f t="shared" ca="1" si="178"/>
        <v>0.71388888888888891</v>
      </c>
      <c r="G5649">
        <f t="shared" ca="1" si="179"/>
        <v>1</v>
      </c>
    </row>
    <row r="5650" spans="1:7">
      <c r="A5650">
        <v>7790</v>
      </c>
      <c r="B5650" t="s">
        <v>55</v>
      </c>
      <c r="C5650" t="s">
        <v>120</v>
      </c>
      <c r="D5650" s="9">
        <v>41570.4687962963</v>
      </c>
      <c r="E5650" t="s">
        <v>34</v>
      </c>
      <c r="F5650">
        <f t="shared" ca="1" si="178"/>
        <v>1.2666666666666666</v>
      </c>
      <c r="G5650">
        <f t="shared" ca="1" si="179"/>
        <v>0</v>
      </c>
    </row>
    <row r="5651" spans="1:7">
      <c r="A5651">
        <v>7791</v>
      </c>
      <c r="B5651" t="s">
        <v>19</v>
      </c>
      <c r="C5651" t="s">
        <v>120</v>
      </c>
      <c r="D5651" s="9">
        <v>41516.666458333333</v>
      </c>
      <c r="E5651" t="s">
        <v>17</v>
      </c>
      <c r="F5651">
        <f t="shared" ca="1" si="178"/>
        <v>1.413888888888889</v>
      </c>
      <c r="G5651">
        <f t="shared" ca="1" si="179"/>
        <v>0</v>
      </c>
    </row>
    <row r="5652" spans="1:7">
      <c r="A5652">
        <v>7792</v>
      </c>
      <c r="B5652" t="s">
        <v>55</v>
      </c>
      <c r="C5652" t="s">
        <v>120</v>
      </c>
      <c r="D5652" s="9">
        <v>41516.57440972222</v>
      </c>
      <c r="E5652" t="s">
        <v>30</v>
      </c>
      <c r="F5652">
        <f t="shared" ca="1" si="178"/>
        <v>1.413888888888889</v>
      </c>
      <c r="G5652">
        <f t="shared" ca="1" si="179"/>
        <v>0</v>
      </c>
    </row>
    <row r="5653" spans="1:7">
      <c r="A5653">
        <v>7793</v>
      </c>
      <c r="B5653" t="s">
        <v>55</v>
      </c>
      <c r="C5653" t="s">
        <v>120</v>
      </c>
      <c r="D5653" s="9">
        <v>41509.645474537036</v>
      </c>
      <c r="E5653" t="s">
        <v>34</v>
      </c>
      <c r="F5653">
        <f t="shared" ca="1" si="178"/>
        <v>1.4333333333333333</v>
      </c>
      <c r="G5653">
        <f t="shared" ca="1" si="179"/>
        <v>0</v>
      </c>
    </row>
    <row r="5654" spans="1:7">
      <c r="A5654">
        <v>7794</v>
      </c>
      <c r="B5654" t="s">
        <v>55</v>
      </c>
      <c r="C5654" t="s">
        <v>120</v>
      </c>
      <c r="D5654" s="9">
        <v>41570.476041666669</v>
      </c>
      <c r="E5654" t="s">
        <v>11</v>
      </c>
      <c r="F5654">
        <f t="shared" ca="1" si="178"/>
        <v>1.2666666666666666</v>
      </c>
      <c r="G5654">
        <f t="shared" ca="1" si="179"/>
        <v>0</v>
      </c>
    </row>
    <row r="5655" spans="1:7">
      <c r="A5655">
        <v>7795</v>
      </c>
      <c r="B5655" t="s">
        <v>55</v>
      </c>
      <c r="C5655" t="s">
        <v>120</v>
      </c>
      <c r="D5655" s="9">
        <v>41516.79215277778</v>
      </c>
      <c r="E5655" t="s">
        <v>36</v>
      </c>
      <c r="F5655">
        <f t="shared" ca="1" si="178"/>
        <v>1.413888888888889</v>
      </c>
      <c r="G5655">
        <f t="shared" ca="1" si="179"/>
        <v>0</v>
      </c>
    </row>
    <row r="5656" spans="1:7">
      <c r="A5656">
        <v>7796</v>
      </c>
      <c r="B5656" t="s">
        <v>55</v>
      </c>
      <c r="C5656" t="s">
        <v>120</v>
      </c>
      <c r="D5656" s="9">
        <v>41570.468576388892</v>
      </c>
      <c r="E5656" t="s">
        <v>34</v>
      </c>
      <c r="F5656">
        <f t="shared" ca="1" si="178"/>
        <v>1.2666666666666666</v>
      </c>
      <c r="G5656">
        <f t="shared" ca="1" si="179"/>
        <v>0</v>
      </c>
    </row>
    <row r="5657" spans="1:7">
      <c r="A5657">
        <v>7797</v>
      </c>
      <c r="B5657" t="s">
        <v>20</v>
      </c>
      <c r="C5657" t="s">
        <v>120</v>
      </c>
      <c r="D5657" s="9">
        <v>41509.580277777779</v>
      </c>
      <c r="E5657" t="s">
        <v>24</v>
      </c>
      <c r="F5657">
        <f t="shared" ca="1" si="178"/>
        <v>1.4333333333333333</v>
      </c>
      <c r="G5657">
        <f t="shared" ca="1" si="179"/>
        <v>0</v>
      </c>
    </row>
    <row r="5658" spans="1:7">
      <c r="A5658">
        <v>7801</v>
      </c>
      <c r="B5658" t="s">
        <v>55</v>
      </c>
      <c r="C5658" t="s">
        <v>120</v>
      </c>
      <c r="D5658" s="9">
        <v>41509.65488425926</v>
      </c>
      <c r="E5658" t="s">
        <v>34</v>
      </c>
      <c r="F5658">
        <f t="shared" ca="1" si="178"/>
        <v>1.4333333333333333</v>
      </c>
      <c r="G5658">
        <f t="shared" ca="1" si="179"/>
        <v>0</v>
      </c>
    </row>
    <row r="5659" spans="1:7">
      <c r="A5659">
        <v>7805</v>
      </c>
      <c r="B5659" t="s">
        <v>14</v>
      </c>
      <c r="C5659" t="s">
        <v>120</v>
      </c>
      <c r="D5659" s="9">
        <v>41534.650069444448</v>
      </c>
      <c r="E5659" t="s">
        <v>19</v>
      </c>
      <c r="F5659">
        <f t="shared" ca="1" si="178"/>
        <v>1.3666666666666667</v>
      </c>
      <c r="G5659">
        <f t="shared" ca="1" si="179"/>
        <v>0</v>
      </c>
    </row>
    <row r="5660" spans="1:7">
      <c r="A5660">
        <v>7806</v>
      </c>
      <c r="B5660" t="s">
        <v>32</v>
      </c>
      <c r="C5660" t="s">
        <v>120</v>
      </c>
      <c r="D5660" s="9">
        <v>41528.894583333335</v>
      </c>
      <c r="E5660" t="s">
        <v>20</v>
      </c>
      <c r="F5660">
        <f t="shared" ca="1" si="178"/>
        <v>1.3833333333333333</v>
      </c>
      <c r="G5660">
        <f t="shared" ca="1" si="179"/>
        <v>0</v>
      </c>
    </row>
    <row r="5661" spans="1:7">
      <c r="A5661">
        <v>7808</v>
      </c>
      <c r="B5661" t="s">
        <v>112</v>
      </c>
      <c r="C5661" t="s">
        <v>120</v>
      </c>
      <c r="D5661" s="9">
        <v>41528.694189814814</v>
      </c>
      <c r="E5661" t="s">
        <v>20</v>
      </c>
      <c r="F5661">
        <f t="shared" ca="1" si="178"/>
        <v>1.3833333333333333</v>
      </c>
      <c r="G5661">
        <f t="shared" ca="1" si="179"/>
        <v>0</v>
      </c>
    </row>
    <row r="5662" spans="1:7">
      <c r="A5662">
        <v>7809</v>
      </c>
      <c r="B5662" t="s">
        <v>213</v>
      </c>
      <c r="C5662" t="s">
        <v>209</v>
      </c>
      <c r="D5662" s="9">
        <v>41936.735694444447</v>
      </c>
      <c r="E5662" t="s">
        <v>214</v>
      </c>
      <c r="F5662">
        <f t="shared" ca="1" si="178"/>
        <v>0.2638888888888889</v>
      </c>
      <c r="G5662">
        <f t="shared" ca="1" si="179"/>
        <v>1</v>
      </c>
    </row>
    <row r="5663" spans="1:7">
      <c r="A5663">
        <v>7812</v>
      </c>
      <c r="B5663" t="s">
        <v>52</v>
      </c>
      <c r="C5663" t="s">
        <v>120</v>
      </c>
      <c r="D5663" s="9">
        <v>41570.47859953704</v>
      </c>
      <c r="E5663" t="s">
        <v>27</v>
      </c>
      <c r="F5663">
        <f t="shared" ca="1" si="178"/>
        <v>1.2666666666666666</v>
      </c>
      <c r="G5663">
        <f t="shared" ca="1" si="179"/>
        <v>0</v>
      </c>
    </row>
    <row r="5664" spans="1:7">
      <c r="A5664">
        <v>7817</v>
      </c>
      <c r="B5664" t="s">
        <v>32</v>
      </c>
      <c r="C5664" t="s">
        <v>119</v>
      </c>
      <c r="D5664" s="9">
        <v>41613.660821759258</v>
      </c>
      <c r="E5664" t="s">
        <v>20</v>
      </c>
      <c r="F5664">
        <f t="shared" ca="1" si="178"/>
        <v>1.1499999999999999</v>
      </c>
      <c r="G5664">
        <f t="shared" ca="1" si="179"/>
        <v>0</v>
      </c>
    </row>
    <row r="5665" spans="1:7">
      <c r="A5665">
        <v>7818</v>
      </c>
      <c r="B5665" t="s">
        <v>111</v>
      </c>
      <c r="C5665" t="s">
        <v>120</v>
      </c>
      <c r="D5665" s="9">
        <v>41599.625833333332</v>
      </c>
      <c r="E5665" t="s">
        <v>17</v>
      </c>
      <c r="F5665">
        <f t="shared" ca="1" si="178"/>
        <v>1.1888888888888889</v>
      </c>
      <c r="G5665">
        <f t="shared" ca="1" si="179"/>
        <v>0</v>
      </c>
    </row>
    <row r="5666" spans="1:7">
      <c r="A5666">
        <v>7819</v>
      </c>
      <c r="B5666" t="s">
        <v>8</v>
      </c>
      <c r="C5666" t="s">
        <v>120</v>
      </c>
      <c r="D5666" s="9">
        <v>41526.659872685188</v>
      </c>
      <c r="E5666" t="s">
        <v>19</v>
      </c>
      <c r="F5666">
        <f t="shared" ca="1" si="178"/>
        <v>1.3888888888888888</v>
      </c>
      <c r="G5666">
        <f t="shared" ca="1" si="179"/>
        <v>0</v>
      </c>
    </row>
    <row r="5667" spans="1:7">
      <c r="A5667">
        <v>7820</v>
      </c>
      <c r="B5667" t="s">
        <v>20</v>
      </c>
      <c r="C5667" t="s">
        <v>120</v>
      </c>
      <c r="D5667" s="9">
        <v>41514.562847222223</v>
      </c>
      <c r="E5667" t="s">
        <v>19</v>
      </c>
      <c r="F5667">
        <f t="shared" ca="1" si="178"/>
        <v>1.4194444444444445</v>
      </c>
      <c r="G5667">
        <f t="shared" ca="1" si="179"/>
        <v>0</v>
      </c>
    </row>
    <row r="5668" spans="1:7">
      <c r="A5668">
        <v>7824</v>
      </c>
      <c r="B5668" t="s">
        <v>24</v>
      </c>
      <c r="C5668" t="s">
        <v>120</v>
      </c>
      <c r="D5668" s="9">
        <v>41544.684016203704</v>
      </c>
      <c r="E5668" t="s">
        <v>17</v>
      </c>
      <c r="F5668">
        <f t="shared" ca="1" si="178"/>
        <v>1.3388888888888888</v>
      </c>
      <c r="G5668">
        <f t="shared" ca="1" si="179"/>
        <v>0</v>
      </c>
    </row>
    <row r="5669" spans="1:7">
      <c r="A5669">
        <v>7825</v>
      </c>
      <c r="B5669" t="s">
        <v>55</v>
      </c>
      <c r="C5669" t="s">
        <v>120</v>
      </c>
      <c r="D5669" s="9">
        <v>41526.76394675926</v>
      </c>
      <c r="E5669" t="s">
        <v>11</v>
      </c>
      <c r="F5669">
        <f t="shared" ca="1" si="178"/>
        <v>1.3888888888888888</v>
      </c>
      <c r="G5669">
        <f t="shared" ca="1" si="179"/>
        <v>0</v>
      </c>
    </row>
    <row r="5670" spans="1:7">
      <c r="A5670">
        <v>7826</v>
      </c>
      <c r="B5670" t="s">
        <v>14</v>
      </c>
      <c r="C5670" t="s">
        <v>209</v>
      </c>
      <c r="D5670" s="9">
        <v>41864.354791666665</v>
      </c>
      <c r="E5670" t="s">
        <v>8</v>
      </c>
      <c r="F5670">
        <f t="shared" ca="1" si="178"/>
        <v>0.46111111111111114</v>
      </c>
      <c r="G5670">
        <f t="shared" ca="1" si="179"/>
        <v>1</v>
      </c>
    </row>
    <row r="5671" spans="1:7">
      <c r="A5671">
        <v>7827</v>
      </c>
      <c r="B5671" t="s">
        <v>19</v>
      </c>
      <c r="C5671" t="s">
        <v>120</v>
      </c>
      <c r="D5671" s="9">
        <v>41523.821423611109</v>
      </c>
      <c r="E5671" t="s">
        <v>36</v>
      </c>
      <c r="F5671">
        <f t="shared" ca="1" si="178"/>
        <v>1.3972222222222221</v>
      </c>
      <c r="G5671">
        <f t="shared" ca="1" si="179"/>
        <v>0</v>
      </c>
    </row>
    <row r="5672" spans="1:7">
      <c r="A5672">
        <v>7828</v>
      </c>
      <c r="B5672" t="s">
        <v>111</v>
      </c>
      <c r="C5672" t="s">
        <v>120</v>
      </c>
      <c r="D5672" s="9">
        <v>41570.476203703707</v>
      </c>
      <c r="E5672" t="s">
        <v>11</v>
      </c>
      <c r="F5672">
        <f t="shared" ca="1" si="178"/>
        <v>1.2666666666666666</v>
      </c>
      <c r="G5672">
        <f t="shared" ca="1" si="179"/>
        <v>0</v>
      </c>
    </row>
    <row r="5673" spans="1:7">
      <c r="A5673">
        <v>7829</v>
      </c>
      <c r="B5673" t="s">
        <v>24</v>
      </c>
      <c r="C5673" t="s">
        <v>120</v>
      </c>
      <c r="D5673" s="9">
        <v>41575.696759259263</v>
      </c>
      <c r="E5673" t="s">
        <v>14</v>
      </c>
      <c r="F5673">
        <f t="shared" ca="1" si="178"/>
        <v>1.2527777777777778</v>
      </c>
      <c r="G5673">
        <f t="shared" ca="1" si="179"/>
        <v>0</v>
      </c>
    </row>
    <row r="5674" spans="1:7">
      <c r="A5674">
        <v>7832</v>
      </c>
      <c r="B5674" t="s">
        <v>32</v>
      </c>
      <c r="C5674" t="s">
        <v>209</v>
      </c>
      <c r="D5674" s="9">
        <v>41856.817662037036</v>
      </c>
      <c r="E5674" t="s">
        <v>21</v>
      </c>
      <c r="F5674">
        <f t="shared" ca="1" si="178"/>
        <v>0.48333333333333334</v>
      </c>
      <c r="G5674">
        <f t="shared" ca="1" si="179"/>
        <v>1</v>
      </c>
    </row>
    <row r="5675" spans="1:7">
      <c r="A5675">
        <v>7835</v>
      </c>
      <c r="B5675" t="s">
        <v>14</v>
      </c>
      <c r="C5675" t="s">
        <v>120</v>
      </c>
      <c r="D5675" s="9">
        <v>41551.444363425922</v>
      </c>
      <c r="E5675" t="s">
        <v>8</v>
      </c>
      <c r="F5675">
        <f t="shared" ca="1" si="178"/>
        <v>1.3194444444444444</v>
      </c>
      <c r="G5675">
        <f t="shared" ca="1" si="179"/>
        <v>0</v>
      </c>
    </row>
    <row r="5676" spans="1:7">
      <c r="A5676">
        <v>7836</v>
      </c>
      <c r="B5676" t="s">
        <v>14</v>
      </c>
      <c r="C5676" t="s">
        <v>120</v>
      </c>
      <c r="D5676" s="9">
        <v>41558.612581018519</v>
      </c>
      <c r="E5676" t="s">
        <v>17</v>
      </c>
      <c r="F5676">
        <f t="shared" ca="1" si="178"/>
        <v>1.3</v>
      </c>
      <c r="G5676">
        <f t="shared" ca="1" si="179"/>
        <v>0</v>
      </c>
    </row>
    <row r="5677" spans="1:7">
      <c r="A5677">
        <v>7837</v>
      </c>
      <c r="B5677" t="s">
        <v>14</v>
      </c>
      <c r="C5677" t="s">
        <v>120</v>
      </c>
      <c r="D5677" s="9">
        <v>41558.639398148145</v>
      </c>
      <c r="E5677" t="s">
        <v>17</v>
      </c>
      <c r="F5677">
        <f t="shared" ca="1" si="178"/>
        <v>1.3</v>
      </c>
      <c r="G5677">
        <f t="shared" ca="1" si="179"/>
        <v>0</v>
      </c>
    </row>
    <row r="5678" spans="1:7">
      <c r="A5678">
        <v>7839</v>
      </c>
      <c r="B5678" t="s">
        <v>14</v>
      </c>
      <c r="C5678" t="s">
        <v>120</v>
      </c>
      <c r="D5678" s="9">
        <v>41537.698842592596</v>
      </c>
      <c r="E5678" t="s">
        <v>37</v>
      </c>
      <c r="F5678">
        <f t="shared" ca="1" si="178"/>
        <v>1.3583333333333334</v>
      </c>
      <c r="G5678">
        <f t="shared" ca="1" si="179"/>
        <v>0</v>
      </c>
    </row>
    <row r="5679" spans="1:7">
      <c r="A5679">
        <v>7840</v>
      </c>
      <c r="B5679" t="s">
        <v>14</v>
      </c>
      <c r="C5679" t="s">
        <v>120</v>
      </c>
      <c r="D5679" s="9">
        <v>41572.63554398148</v>
      </c>
      <c r="E5679" t="s">
        <v>37</v>
      </c>
      <c r="F5679">
        <f t="shared" ca="1" si="178"/>
        <v>1.2611111111111111</v>
      </c>
      <c r="G5679">
        <f t="shared" ca="1" si="179"/>
        <v>0</v>
      </c>
    </row>
    <row r="5680" spans="1:7">
      <c r="A5680">
        <v>7841</v>
      </c>
      <c r="B5680" t="s">
        <v>14</v>
      </c>
      <c r="C5680" t="s">
        <v>120</v>
      </c>
      <c r="D5680" s="9">
        <v>41565.498761574076</v>
      </c>
      <c r="E5680" t="s">
        <v>17</v>
      </c>
      <c r="F5680">
        <f t="shared" ca="1" si="178"/>
        <v>1.2805555555555554</v>
      </c>
      <c r="G5680">
        <f t="shared" ca="1" si="179"/>
        <v>0</v>
      </c>
    </row>
    <row r="5681" spans="1:7">
      <c r="A5681">
        <v>7845</v>
      </c>
      <c r="B5681" t="s">
        <v>20</v>
      </c>
      <c r="C5681" t="s">
        <v>120</v>
      </c>
      <c r="D5681" s="9">
        <v>41517.573842592596</v>
      </c>
      <c r="E5681" t="s">
        <v>24</v>
      </c>
      <c r="F5681">
        <f t="shared" ca="1" si="178"/>
        <v>1.413888888888889</v>
      </c>
      <c r="G5681">
        <f t="shared" ca="1" si="179"/>
        <v>0</v>
      </c>
    </row>
    <row r="5682" spans="1:7">
      <c r="A5682">
        <v>7846</v>
      </c>
      <c r="B5682" t="s">
        <v>20</v>
      </c>
      <c r="C5682" t="s">
        <v>120</v>
      </c>
      <c r="D5682" s="9">
        <v>41523.938402777778</v>
      </c>
      <c r="E5682" t="s">
        <v>36</v>
      </c>
      <c r="F5682">
        <f t="shared" ca="1" si="178"/>
        <v>1.3972222222222221</v>
      </c>
      <c r="G5682">
        <f t="shared" ca="1" si="179"/>
        <v>0</v>
      </c>
    </row>
    <row r="5683" spans="1:7">
      <c r="A5683">
        <v>7849</v>
      </c>
      <c r="B5683" t="s">
        <v>27</v>
      </c>
      <c r="C5683" t="s">
        <v>120</v>
      </c>
      <c r="D5683" s="9">
        <v>41523.602210648147</v>
      </c>
      <c r="E5683" t="s">
        <v>19</v>
      </c>
      <c r="F5683">
        <f t="shared" ca="1" si="178"/>
        <v>1.3972222222222221</v>
      </c>
      <c r="G5683">
        <f t="shared" ca="1" si="179"/>
        <v>0</v>
      </c>
    </row>
    <row r="5684" spans="1:7">
      <c r="A5684">
        <v>7851</v>
      </c>
      <c r="B5684" t="s">
        <v>14</v>
      </c>
      <c r="C5684" t="s">
        <v>120</v>
      </c>
      <c r="D5684" s="9">
        <v>41549.465046296296</v>
      </c>
      <c r="E5684" t="s">
        <v>37</v>
      </c>
      <c r="F5684">
        <f t="shared" ca="1" si="178"/>
        <v>1.325</v>
      </c>
      <c r="G5684">
        <f t="shared" ca="1" si="179"/>
        <v>0</v>
      </c>
    </row>
    <row r="5685" spans="1:7">
      <c r="A5685">
        <v>7852</v>
      </c>
      <c r="B5685" t="s">
        <v>18</v>
      </c>
      <c r="C5685" t="s">
        <v>120</v>
      </c>
      <c r="D5685" s="9">
        <v>41523.615127314813</v>
      </c>
      <c r="E5685" t="s">
        <v>34</v>
      </c>
      <c r="F5685">
        <f t="shared" ca="1" si="178"/>
        <v>1.3972222222222221</v>
      </c>
      <c r="G5685">
        <f t="shared" ca="1" si="179"/>
        <v>0</v>
      </c>
    </row>
    <row r="5686" spans="1:7">
      <c r="A5686">
        <v>7857</v>
      </c>
      <c r="B5686" t="s">
        <v>11</v>
      </c>
      <c r="C5686" t="s">
        <v>120</v>
      </c>
      <c r="D5686" s="9">
        <v>41522.650740740741</v>
      </c>
      <c r="E5686" t="s">
        <v>27</v>
      </c>
      <c r="F5686">
        <f t="shared" ca="1" si="178"/>
        <v>1.4</v>
      </c>
      <c r="G5686">
        <f t="shared" ca="1" si="179"/>
        <v>0</v>
      </c>
    </row>
    <row r="5687" spans="1:7">
      <c r="A5687">
        <v>7859</v>
      </c>
      <c r="B5687" t="s">
        <v>14</v>
      </c>
      <c r="C5687" t="s">
        <v>119</v>
      </c>
      <c r="D5687" s="9">
        <v>41670.604525462964</v>
      </c>
      <c r="E5687" t="s">
        <v>24</v>
      </c>
      <c r="F5687">
        <f t="shared" ca="1" si="178"/>
        <v>0.99722222222222223</v>
      </c>
      <c r="G5687">
        <f t="shared" ca="1" si="179"/>
        <v>1</v>
      </c>
    </row>
    <row r="5688" spans="1:7">
      <c r="A5688">
        <v>7860</v>
      </c>
      <c r="B5688" t="s">
        <v>211</v>
      </c>
      <c r="C5688" t="s">
        <v>209</v>
      </c>
      <c r="D5688" s="9">
        <v>41943.660405092596</v>
      </c>
      <c r="E5688" t="s">
        <v>215</v>
      </c>
      <c r="F5688">
        <f t="shared" ca="1" si="178"/>
        <v>0.24722222222222223</v>
      </c>
      <c r="G5688">
        <f t="shared" ca="1" si="179"/>
        <v>1</v>
      </c>
    </row>
    <row r="5689" spans="1:7">
      <c r="A5689">
        <v>7861</v>
      </c>
      <c r="B5689" t="s">
        <v>24</v>
      </c>
      <c r="C5689" t="s">
        <v>120</v>
      </c>
      <c r="D5689" s="9">
        <v>41523.612754629627</v>
      </c>
      <c r="E5689" t="s">
        <v>17</v>
      </c>
      <c r="F5689">
        <f t="shared" ca="1" si="178"/>
        <v>1.3972222222222221</v>
      </c>
      <c r="G5689">
        <f t="shared" ca="1" si="179"/>
        <v>0</v>
      </c>
    </row>
    <row r="5690" spans="1:7">
      <c r="A5690">
        <v>7863</v>
      </c>
      <c r="B5690" t="s">
        <v>24</v>
      </c>
      <c r="C5690" t="s">
        <v>120</v>
      </c>
      <c r="D5690" s="9">
        <v>41523.559305555558</v>
      </c>
      <c r="E5690" t="s">
        <v>17</v>
      </c>
      <c r="F5690">
        <f t="shared" ca="1" si="178"/>
        <v>1.3972222222222221</v>
      </c>
      <c r="G5690">
        <f t="shared" ca="1" si="179"/>
        <v>0</v>
      </c>
    </row>
    <row r="5691" spans="1:7">
      <c r="A5691">
        <v>7864</v>
      </c>
      <c r="B5691" t="s">
        <v>36</v>
      </c>
      <c r="C5691" t="s">
        <v>119</v>
      </c>
      <c r="D5691" s="9">
        <v>41586.688067129631</v>
      </c>
      <c r="E5691" t="s">
        <v>18</v>
      </c>
      <c r="F5691">
        <f t="shared" ca="1" si="178"/>
        <v>1.2250000000000001</v>
      </c>
      <c r="G5691">
        <f t="shared" ca="1" si="179"/>
        <v>0</v>
      </c>
    </row>
    <row r="5692" spans="1:7">
      <c r="A5692">
        <v>7866</v>
      </c>
      <c r="B5692" t="s">
        <v>17</v>
      </c>
      <c r="C5692" t="s">
        <v>120</v>
      </c>
      <c r="D5692" s="9">
        <v>41564.547361111108</v>
      </c>
      <c r="E5692" t="s">
        <v>8</v>
      </c>
      <c r="F5692">
        <f t="shared" ca="1" si="178"/>
        <v>1.2833333333333334</v>
      </c>
      <c r="G5692">
        <f t="shared" ca="1" si="179"/>
        <v>0</v>
      </c>
    </row>
    <row r="5693" spans="1:7">
      <c r="A5693">
        <v>7868</v>
      </c>
      <c r="B5693" t="s">
        <v>111</v>
      </c>
      <c r="C5693" t="s">
        <v>120</v>
      </c>
      <c r="D5693" s="9">
        <v>41520.863645833335</v>
      </c>
      <c r="E5693" t="s">
        <v>38</v>
      </c>
      <c r="F5693">
        <f t="shared" ca="1" si="178"/>
        <v>1.4055555555555554</v>
      </c>
      <c r="G5693">
        <f t="shared" ca="1" si="179"/>
        <v>0</v>
      </c>
    </row>
    <row r="5694" spans="1:7">
      <c r="A5694">
        <v>7869</v>
      </c>
      <c r="B5694" t="s">
        <v>18</v>
      </c>
      <c r="C5694" t="s">
        <v>120</v>
      </c>
      <c r="D5694" s="9">
        <v>41530.705567129633</v>
      </c>
      <c r="E5694" t="s">
        <v>44</v>
      </c>
      <c r="F5694">
        <f t="shared" ca="1" si="178"/>
        <v>1.3777777777777778</v>
      </c>
      <c r="G5694">
        <f t="shared" ca="1" si="179"/>
        <v>0</v>
      </c>
    </row>
    <row r="5695" spans="1:7">
      <c r="A5695">
        <v>7870</v>
      </c>
      <c r="B5695" t="s">
        <v>14</v>
      </c>
      <c r="C5695" t="s">
        <v>120</v>
      </c>
      <c r="D5695" s="9">
        <v>41565.654317129629</v>
      </c>
      <c r="E5695" t="s">
        <v>17</v>
      </c>
      <c r="F5695">
        <f t="shared" ca="1" si="178"/>
        <v>1.2805555555555554</v>
      </c>
      <c r="G5695">
        <f t="shared" ca="1" si="179"/>
        <v>0</v>
      </c>
    </row>
    <row r="5696" spans="1:7">
      <c r="A5696">
        <v>7871</v>
      </c>
      <c r="B5696" t="s">
        <v>17</v>
      </c>
      <c r="C5696" t="s">
        <v>120</v>
      </c>
      <c r="D5696" s="9">
        <v>41537.671296296299</v>
      </c>
      <c r="E5696" t="s">
        <v>112</v>
      </c>
      <c r="F5696">
        <f t="shared" ca="1" si="178"/>
        <v>1.3583333333333334</v>
      </c>
      <c r="G5696">
        <f t="shared" ca="1" si="179"/>
        <v>0</v>
      </c>
    </row>
    <row r="5697" spans="1:7">
      <c r="A5697">
        <v>7875</v>
      </c>
      <c r="B5697" t="s">
        <v>20</v>
      </c>
      <c r="C5697" t="s">
        <v>120</v>
      </c>
      <c r="D5697" s="9">
        <v>41522.679201388892</v>
      </c>
      <c r="E5697" t="s">
        <v>27</v>
      </c>
      <c r="F5697">
        <f t="shared" ca="1" si="178"/>
        <v>1.4</v>
      </c>
      <c r="G5697">
        <f t="shared" ca="1" si="179"/>
        <v>0</v>
      </c>
    </row>
    <row r="5698" spans="1:7">
      <c r="A5698">
        <v>7876</v>
      </c>
      <c r="B5698" t="s">
        <v>11</v>
      </c>
      <c r="C5698" t="s">
        <v>120</v>
      </c>
      <c r="D5698" s="9">
        <v>41529.764004629629</v>
      </c>
      <c r="E5698" t="s">
        <v>20</v>
      </c>
      <c r="F5698">
        <f t="shared" ca="1" si="178"/>
        <v>1.3805555555555555</v>
      </c>
      <c r="G5698">
        <f t="shared" ca="1" si="179"/>
        <v>0</v>
      </c>
    </row>
    <row r="5699" spans="1:7">
      <c r="A5699">
        <v>7878</v>
      </c>
      <c r="B5699" t="s">
        <v>11</v>
      </c>
      <c r="C5699" t="s">
        <v>120</v>
      </c>
      <c r="D5699" s="9">
        <v>41529.782048611109</v>
      </c>
      <c r="E5699" t="s">
        <v>20</v>
      </c>
      <c r="F5699">
        <f t="shared" ca="1" si="178"/>
        <v>1.3805555555555555</v>
      </c>
      <c r="G5699">
        <f t="shared" ca="1" si="179"/>
        <v>0</v>
      </c>
    </row>
    <row r="5700" spans="1:7">
      <c r="A5700">
        <v>7887</v>
      </c>
      <c r="B5700" t="s">
        <v>18</v>
      </c>
      <c r="C5700" t="s">
        <v>120</v>
      </c>
      <c r="D5700" s="9">
        <v>41551.494375000002</v>
      </c>
      <c r="E5700" t="s">
        <v>37</v>
      </c>
      <c r="F5700">
        <f t="shared" ca="1" si="178"/>
        <v>1.3194444444444444</v>
      </c>
      <c r="G5700">
        <f t="shared" ca="1" si="179"/>
        <v>0</v>
      </c>
    </row>
    <row r="5701" spans="1:7">
      <c r="A5701">
        <v>7888</v>
      </c>
      <c r="B5701" t="s">
        <v>38</v>
      </c>
      <c r="C5701" t="s">
        <v>120</v>
      </c>
      <c r="D5701" s="9">
        <v>41523.84883101852</v>
      </c>
      <c r="E5701" t="s">
        <v>36</v>
      </c>
      <c r="F5701">
        <f t="shared" ca="1" si="178"/>
        <v>1.3972222222222221</v>
      </c>
      <c r="G5701">
        <f t="shared" ca="1" si="179"/>
        <v>0</v>
      </c>
    </row>
    <row r="5702" spans="1:7">
      <c r="A5702">
        <v>7890</v>
      </c>
      <c r="B5702" t="s">
        <v>24</v>
      </c>
      <c r="C5702" t="s">
        <v>120</v>
      </c>
      <c r="D5702" s="9">
        <v>41551.57917824074</v>
      </c>
      <c r="E5702" t="s">
        <v>8</v>
      </c>
      <c r="F5702">
        <f t="shared" ca="1" si="178"/>
        <v>1.3194444444444444</v>
      </c>
      <c r="G5702">
        <f t="shared" ca="1" si="179"/>
        <v>0</v>
      </c>
    </row>
    <row r="5703" spans="1:7">
      <c r="A5703">
        <v>7892</v>
      </c>
      <c r="B5703" t="s">
        <v>38</v>
      </c>
      <c r="C5703" t="s">
        <v>120</v>
      </c>
      <c r="D5703" s="9">
        <v>41530.637094907404</v>
      </c>
      <c r="E5703" t="s">
        <v>8</v>
      </c>
      <c r="F5703">
        <f t="shared" ref="F5703:F5766" ca="1" si="180">YEARFRAC(TODAY(),$D5703)</f>
        <v>1.3777777777777778</v>
      </c>
      <c r="G5703">
        <f t="shared" ref="G5703:G5766" ca="1" si="181">IF($F5703&lt;1,1,0)</f>
        <v>0</v>
      </c>
    </row>
    <row r="5704" spans="1:7">
      <c r="A5704">
        <v>7894</v>
      </c>
      <c r="B5704" t="s">
        <v>20</v>
      </c>
      <c r="C5704" t="s">
        <v>120</v>
      </c>
      <c r="D5704" s="9">
        <v>41530.64576388889</v>
      </c>
      <c r="E5704" t="s">
        <v>27</v>
      </c>
      <c r="F5704">
        <f t="shared" ca="1" si="180"/>
        <v>1.3777777777777778</v>
      </c>
      <c r="G5704">
        <f t="shared" ca="1" si="181"/>
        <v>0</v>
      </c>
    </row>
    <row r="5705" spans="1:7">
      <c r="A5705">
        <v>7895</v>
      </c>
      <c r="B5705" t="s">
        <v>20</v>
      </c>
      <c r="C5705" t="s">
        <v>120</v>
      </c>
      <c r="D5705" s="9">
        <v>41544.665069444447</v>
      </c>
      <c r="E5705" t="s">
        <v>14</v>
      </c>
      <c r="F5705">
        <f t="shared" ca="1" si="180"/>
        <v>1.3388888888888888</v>
      </c>
      <c r="G5705">
        <f t="shared" ca="1" si="181"/>
        <v>0</v>
      </c>
    </row>
    <row r="5706" spans="1:7">
      <c r="A5706">
        <v>7896</v>
      </c>
      <c r="B5706" t="s">
        <v>20</v>
      </c>
      <c r="C5706" t="s">
        <v>209</v>
      </c>
      <c r="D5706" s="9">
        <v>41897.884745370371</v>
      </c>
      <c r="E5706" t="s">
        <v>27</v>
      </c>
      <c r="F5706">
        <f t="shared" ca="1" si="180"/>
        <v>0.37222222222222223</v>
      </c>
      <c r="G5706">
        <f t="shared" ca="1" si="181"/>
        <v>1</v>
      </c>
    </row>
    <row r="5707" spans="1:7">
      <c r="A5707">
        <v>7898</v>
      </c>
      <c r="B5707" t="s">
        <v>32</v>
      </c>
      <c r="C5707" t="s">
        <v>120</v>
      </c>
      <c r="D5707" s="9">
        <v>41536.830127314817</v>
      </c>
      <c r="E5707" t="s">
        <v>20</v>
      </c>
      <c r="F5707">
        <f t="shared" ca="1" si="180"/>
        <v>1.3611111111111112</v>
      </c>
      <c r="G5707">
        <f t="shared" ca="1" si="181"/>
        <v>0</v>
      </c>
    </row>
    <row r="5708" spans="1:7">
      <c r="A5708">
        <v>7904</v>
      </c>
      <c r="B5708" t="s">
        <v>23</v>
      </c>
      <c r="C5708" t="s">
        <v>120</v>
      </c>
      <c r="D5708" s="9">
        <v>41570.479409722226</v>
      </c>
      <c r="E5708" t="s">
        <v>17</v>
      </c>
      <c r="F5708">
        <f t="shared" ca="1" si="180"/>
        <v>1.2666666666666666</v>
      </c>
      <c r="G5708">
        <f t="shared" ca="1" si="181"/>
        <v>0</v>
      </c>
    </row>
    <row r="5709" spans="1:7">
      <c r="A5709">
        <v>7906</v>
      </c>
      <c r="B5709" t="s">
        <v>112</v>
      </c>
      <c r="C5709" t="s">
        <v>120</v>
      </c>
      <c r="D5709" s="9">
        <v>41570.479594907411</v>
      </c>
      <c r="E5709" t="s">
        <v>17</v>
      </c>
      <c r="F5709">
        <f t="shared" ca="1" si="180"/>
        <v>1.2666666666666666</v>
      </c>
      <c r="G5709">
        <f t="shared" ca="1" si="181"/>
        <v>0</v>
      </c>
    </row>
    <row r="5710" spans="1:7">
      <c r="A5710">
        <v>7909</v>
      </c>
      <c r="B5710" t="s">
        <v>52</v>
      </c>
      <c r="C5710" t="s">
        <v>120</v>
      </c>
      <c r="D5710" s="9">
        <v>41529.620069444441</v>
      </c>
      <c r="E5710" t="s">
        <v>111</v>
      </c>
      <c r="F5710">
        <f t="shared" ca="1" si="180"/>
        <v>1.3805555555555555</v>
      </c>
      <c r="G5710">
        <f t="shared" ca="1" si="181"/>
        <v>0</v>
      </c>
    </row>
    <row r="5711" spans="1:7">
      <c r="A5711">
        <v>7910</v>
      </c>
      <c r="B5711" t="s">
        <v>112</v>
      </c>
      <c r="C5711" t="s">
        <v>119</v>
      </c>
      <c r="D5711" s="9">
        <v>41593.628159722219</v>
      </c>
      <c r="E5711" t="s">
        <v>18</v>
      </c>
      <c r="F5711">
        <f t="shared" ca="1" si="180"/>
        <v>1.2055555555555555</v>
      </c>
      <c r="G5711">
        <f t="shared" ca="1" si="181"/>
        <v>0</v>
      </c>
    </row>
    <row r="5712" spans="1:7">
      <c r="A5712">
        <v>7912</v>
      </c>
      <c r="B5712" t="s">
        <v>112</v>
      </c>
      <c r="C5712" t="s">
        <v>119</v>
      </c>
      <c r="D5712" s="9">
        <v>41603.638495370367</v>
      </c>
      <c r="E5712" t="s">
        <v>27</v>
      </c>
      <c r="F5712">
        <f t="shared" ca="1" si="180"/>
        <v>1.1777777777777778</v>
      </c>
      <c r="G5712">
        <f t="shared" ca="1" si="181"/>
        <v>0</v>
      </c>
    </row>
    <row r="5713" spans="1:7">
      <c r="A5713">
        <v>7917</v>
      </c>
      <c r="B5713" t="s">
        <v>111</v>
      </c>
      <c r="C5713" t="s">
        <v>120</v>
      </c>
      <c r="D5713" s="9">
        <v>41570.478842592594</v>
      </c>
      <c r="E5713" t="s">
        <v>20</v>
      </c>
      <c r="F5713">
        <f t="shared" ca="1" si="180"/>
        <v>1.2666666666666666</v>
      </c>
      <c r="G5713">
        <f t="shared" ca="1" si="181"/>
        <v>0</v>
      </c>
    </row>
    <row r="5714" spans="1:7">
      <c r="A5714">
        <v>7920</v>
      </c>
      <c r="B5714" t="s">
        <v>20</v>
      </c>
      <c r="C5714" t="s">
        <v>120</v>
      </c>
      <c r="D5714" s="9">
        <v>41533.606099537035</v>
      </c>
      <c r="E5714" t="s">
        <v>32</v>
      </c>
      <c r="F5714">
        <f t="shared" ca="1" si="180"/>
        <v>1.3694444444444445</v>
      </c>
      <c r="G5714">
        <f t="shared" ca="1" si="181"/>
        <v>0</v>
      </c>
    </row>
    <row r="5715" spans="1:7">
      <c r="A5715">
        <v>7921</v>
      </c>
      <c r="B5715" t="s">
        <v>111</v>
      </c>
      <c r="C5715" t="s">
        <v>120</v>
      </c>
      <c r="D5715" s="9">
        <v>41570.479201388887</v>
      </c>
      <c r="F5715">
        <f t="shared" ca="1" si="180"/>
        <v>1.2666666666666666</v>
      </c>
      <c r="G5715">
        <f t="shared" ca="1" si="181"/>
        <v>0</v>
      </c>
    </row>
    <row r="5716" spans="1:7">
      <c r="A5716">
        <v>7922</v>
      </c>
      <c r="B5716" t="s">
        <v>38</v>
      </c>
      <c r="C5716" t="s">
        <v>120</v>
      </c>
      <c r="D5716" s="9">
        <v>41535.649571759262</v>
      </c>
      <c r="E5716" t="s">
        <v>36</v>
      </c>
      <c r="F5716">
        <f t="shared" ca="1" si="180"/>
        <v>1.3638888888888889</v>
      </c>
      <c r="G5716">
        <f t="shared" ca="1" si="181"/>
        <v>0</v>
      </c>
    </row>
    <row r="5717" spans="1:7">
      <c r="A5717">
        <v>7924</v>
      </c>
      <c r="B5717" t="s">
        <v>52</v>
      </c>
      <c r="C5717" t="s">
        <v>120</v>
      </c>
      <c r="D5717" s="9">
        <v>41572.576666666668</v>
      </c>
      <c r="E5717" t="s">
        <v>111</v>
      </c>
      <c r="F5717">
        <f t="shared" ca="1" si="180"/>
        <v>1.2611111111111111</v>
      </c>
      <c r="G5717">
        <f t="shared" ca="1" si="181"/>
        <v>0</v>
      </c>
    </row>
    <row r="5718" spans="1:7">
      <c r="A5718">
        <v>7926</v>
      </c>
      <c r="B5718" t="s">
        <v>14</v>
      </c>
      <c r="C5718" t="s">
        <v>120</v>
      </c>
      <c r="D5718" s="9">
        <v>41570.48777777778</v>
      </c>
      <c r="E5718" t="s">
        <v>37</v>
      </c>
      <c r="F5718">
        <f t="shared" ca="1" si="180"/>
        <v>1.2666666666666666</v>
      </c>
      <c r="G5718">
        <f t="shared" ca="1" si="181"/>
        <v>0</v>
      </c>
    </row>
    <row r="5719" spans="1:7">
      <c r="A5719">
        <v>7929</v>
      </c>
      <c r="B5719" t="s">
        <v>17</v>
      </c>
      <c r="C5719" t="s">
        <v>119</v>
      </c>
      <c r="D5719" s="9">
        <v>41655.806423611109</v>
      </c>
      <c r="E5719" t="s">
        <v>36</v>
      </c>
      <c r="F5719">
        <f t="shared" ca="1" si="180"/>
        <v>1.0361111111111112</v>
      </c>
      <c r="G5719">
        <f t="shared" ca="1" si="181"/>
        <v>0</v>
      </c>
    </row>
    <row r="5720" spans="1:7">
      <c r="A5720">
        <v>7931</v>
      </c>
      <c r="B5720" t="s">
        <v>27</v>
      </c>
      <c r="C5720" t="s">
        <v>120</v>
      </c>
      <c r="D5720" s="9">
        <v>41534.667916666665</v>
      </c>
      <c r="E5720" t="s">
        <v>19</v>
      </c>
      <c r="F5720">
        <f t="shared" ca="1" si="180"/>
        <v>1.3666666666666667</v>
      </c>
      <c r="G5720">
        <f t="shared" ca="1" si="181"/>
        <v>0</v>
      </c>
    </row>
    <row r="5721" spans="1:7">
      <c r="A5721">
        <v>7933</v>
      </c>
      <c r="B5721" t="s">
        <v>27</v>
      </c>
      <c r="C5721" t="s">
        <v>119</v>
      </c>
      <c r="D5721" s="9">
        <v>41591.796990740739</v>
      </c>
      <c r="E5721" t="s">
        <v>36</v>
      </c>
      <c r="F5721">
        <f t="shared" ca="1" si="180"/>
        <v>1.211111111111111</v>
      </c>
      <c r="G5721">
        <f t="shared" ca="1" si="181"/>
        <v>0</v>
      </c>
    </row>
    <row r="5722" spans="1:7">
      <c r="A5722">
        <v>7940</v>
      </c>
      <c r="B5722" t="s">
        <v>37</v>
      </c>
      <c r="C5722" t="s">
        <v>120</v>
      </c>
      <c r="D5722" s="9">
        <v>41571.597418981481</v>
      </c>
      <c r="E5722" t="s">
        <v>14</v>
      </c>
      <c r="F5722">
        <f t="shared" ca="1" si="180"/>
        <v>1.2638888888888888</v>
      </c>
      <c r="G5722">
        <f t="shared" ca="1" si="181"/>
        <v>0</v>
      </c>
    </row>
    <row r="5723" spans="1:7">
      <c r="A5723">
        <v>7948</v>
      </c>
      <c r="B5723" t="s">
        <v>21</v>
      </c>
      <c r="C5723" t="s">
        <v>120</v>
      </c>
      <c r="D5723" s="9">
        <v>41576.837523148148</v>
      </c>
      <c r="E5723" t="s">
        <v>32</v>
      </c>
      <c r="F5723">
        <f t="shared" ca="1" si="180"/>
        <v>1.25</v>
      </c>
      <c r="G5723">
        <f t="shared" ca="1" si="181"/>
        <v>0</v>
      </c>
    </row>
    <row r="5724" spans="1:7">
      <c r="A5724">
        <v>7949</v>
      </c>
      <c r="B5724" t="s">
        <v>32</v>
      </c>
      <c r="C5724" t="s">
        <v>120</v>
      </c>
      <c r="D5724" s="9">
        <v>41558.580474537041</v>
      </c>
      <c r="E5724" t="s">
        <v>19</v>
      </c>
      <c r="F5724">
        <f t="shared" ca="1" si="180"/>
        <v>1.3</v>
      </c>
      <c r="G5724">
        <f t="shared" ca="1" si="181"/>
        <v>0</v>
      </c>
    </row>
    <row r="5725" spans="1:7">
      <c r="A5725">
        <v>7952</v>
      </c>
      <c r="B5725" t="s">
        <v>38</v>
      </c>
      <c r="C5725" t="s">
        <v>120</v>
      </c>
      <c r="D5725" s="9">
        <v>41537.677256944444</v>
      </c>
      <c r="E5725" t="s">
        <v>8</v>
      </c>
      <c r="F5725">
        <f t="shared" ca="1" si="180"/>
        <v>1.3583333333333334</v>
      </c>
      <c r="G5725">
        <f t="shared" ca="1" si="181"/>
        <v>0</v>
      </c>
    </row>
    <row r="5726" spans="1:7">
      <c r="A5726">
        <v>7953</v>
      </c>
      <c r="B5726" t="s">
        <v>20</v>
      </c>
      <c r="C5726" t="s">
        <v>120</v>
      </c>
      <c r="D5726" s="9">
        <v>41544.648645833331</v>
      </c>
      <c r="E5726" t="s">
        <v>27</v>
      </c>
      <c r="F5726">
        <f t="shared" ca="1" si="180"/>
        <v>1.3388888888888888</v>
      </c>
      <c r="G5726">
        <f t="shared" ca="1" si="181"/>
        <v>0</v>
      </c>
    </row>
    <row r="5727" spans="1:7">
      <c r="A5727">
        <v>7955</v>
      </c>
      <c r="B5727" t="s">
        <v>18</v>
      </c>
      <c r="C5727" t="s">
        <v>120</v>
      </c>
      <c r="D5727" s="9">
        <v>41537.637928240743</v>
      </c>
      <c r="E5727" t="s">
        <v>24</v>
      </c>
      <c r="F5727">
        <f t="shared" ca="1" si="180"/>
        <v>1.3583333333333334</v>
      </c>
      <c r="G5727">
        <f t="shared" ca="1" si="181"/>
        <v>0</v>
      </c>
    </row>
    <row r="5728" spans="1:7">
      <c r="A5728">
        <v>7956</v>
      </c>
      <c r="B5728" t="s">
        <v>32</v>
      </c>
      <c r="C5728" t="s">
        <v>120</v>
      </c>
      <c r="D5728" s="9">
        <v>41544.653368055559</v>
      </c>
      <c r="E5728" t="s">
        <v>19</v>
      </c>
      <c r="F5728">
        <f t="shared" ca="1" si="180"/>
        <v>1.3388888888888888</v>
      </c>
      <c r="G5728">
        <f t="shared" ca="1" si="181"/>
        <v>0</v>
      </c>
    </row>
    <row r="5729" spans="1:7">
      <c r="A5729">
        <v>7957</v>
      </c>
      <c r="B5729" t="s">
        <v>19</v>
      </c>
      <c r="C5729" t="s">
        <v>120</v>
      </c>
      <c r="D5729" s="9">
        <v>41561.7653587963</v>
      </c>
      <c r="E5729" t="s">
        <v>36</v>
      </c>
      <c r="F5729">
        <f t="shared" ca="1" si="180"/>
        <v>1.2916666666666667</v>
      </c>
      <c r="G5729">
        <f t="shared" ca="1" si="181"/>
        <v>0</v>
      </c>
    </row>
    <row r="5730" spans="1:7">
      <c r="A5730">
        <v>7958</v>
      </c>
      <c r="B5730" t="s">
        <v>55</v>
      </c>
      <c r="C5730" t="s">
        <v>120</v>
      </c>
      <c r="D5730" s="9">
        <v>41570.482129629629</v>
      </c>
      <c r="E5730" t="s">
        <v>20</v>
      </c>
      <c r="F5730">
        <f t="shared" ca="1" si="180"/>
        <v>1.2666666666666666</v>
      </c>
      <c r="G5730">
        <f t="shared" ca="1" si="181"/>
        <v>0</v>
      </c>
    </row>
    <row r="5731" spans="1:7">
      <c r="A5731">
        <v>7959</v>
      </c>
      <c r="B5731" t="s">
        <v>38</v>
      </c>
      <c r="C5731" t="s">
        <v>120</v>
      </c>
      <c r="D5731" s="9">
        <v>41536.827094907407</v>
      </c>
      <c r="E5731" t="s">
        <v>20</v>
      </c>
      <c r="F5731">
        <f t="shared" ca="1" si="180"/>
        <v>1.3611111111111112</v>
      </c>
      <c r="G5731">
        <f t="shared" ca="1" si="181"/>
        <v>0</v>
      </c>
    </row>
    <row r="5732" spans="1:7">
      <c r="A5732">
        <v>7961</v>
      </c>
      <c r="B5732" t="s">
        <v>111</v>
      </c>
      <c r="C5732" t="s">
        <v>120</v>
      </c>
      <c r="D5732" s="9">
        <v>41570.481909722221</v>
      </c>
      <c r="E5732" t="s">
        <v>27</v>
      </c>
      <c r="F5732">
        <f t="shared" ca="1" si="180"/>
        <v>1.2666666666666666</v>
      </c>
      <c r="G5732">
        <f t="shared" ca="1" si="181"/>
        <v>0</v>
      </c>
    </row>
    <row r="5733" spans="1:7">
      <c r="A5733">
        <v>7962</v>
      </c>
      <c r="B5733" t="s">
        <v>19</v>
      </c>
      <c r="C5733" t="s">
        <v>120</v>
      </c>
      <c r="D5733" s="9">
        <v>41537.726712962962</v>
      </c>
      <c r="E5733" t="s">
        <v>24</v>
      </c>
      <c r="F5733">
        <f t="shared" ca="1" si="180"/>
        <v>1.3583333333333334</v>
      </c>
      <c r="G5733">
        <f t="shared" ca="1" si="181"/>
        <v>0</v>
      </c>
    </row>
    <row r="5734" spans="1:7">
      <c r="A5734">
        <v>7964</v>
      </c>
      <c r="B5734" t="s">
        <v>14</v>
      </c>
      <c r="C5734" t="s">
        <v>120</v>
      </c>
      <c r="D5734" s="9">
        <v>41537.711192129631</v>
      </c>
      <c r="E5734" t="s">
        <v>112</v>
      </c>
      <c r="F5734">
        <f t="shared" ca="1" si="180"/>
        <v>1.3583333333333334</v>
      </c>
      <c r="G5734">
        <f t="shared" ca="1" si="181"/>
        <v>0</v>
      </c>
    </row>
    <row r="5735" spans="1:7">
      <c r="A5735">
        <v>7965</v>
      </c>
      <c r="B5735" t="s">
        <v>14</v>
      </c>
      <c r="C5735" t="s">
        <v>120</v>
      </c>
      <c r="D5735" s="9">
        <v>41571.653715277775</v>
      </c>
      <c r="E5735" t="s">
        <v>37</v>
      </c>
      <c r="F5735">
        <f t="shared" ca="1" si="180"/>
        <v>1.2638888888888888</v>
      </c>
      <c r="G5735">
        <f t="shared" ca="1" si="181"/>
        <v>0</v>
      </c>
    </row>
    <row r="5736" spans="1:7">
      <c r="A5736">
        <v>7966</v>
      </c>
      <c r="B5736" t="s">
        <v>14</v>
      </c>
      <c r="C5736" t="s">
        <v>120</v>
      </c>
      <c r="D5736" s="9">
        <v>41571.587314814817</v>
      </c>
      <c r="E5736" t="s">
        <v>32</v>
      </c>
      <c r="F5736">
        <f t="shared" ca="1" si="180"/>
        <v>1.2638888888888888</v>
      </c>
      <c r="G5736">
        <f t="shared" ca="1" si="181"/>
        <v>0</v>
      </c>
    </row>
    <row r="5737" spans="1:7">
      <c r="A5737">
        <v>7967</v>
      </c>
      <c r="B5737" t="s">
        <v>30</v>
      </c>
      <c r="C5737" t="s">
        <v>119</v>
      </c>
      <c r="D5737" s="9">
        <v>41593.668495370373</v>
      </c>
      <c r="E5737" t="s">
        <v>8</v>
      </c>
      <c r="F5737">
        <f t="shared" ca="1" si="180"/>
        <v>1.2055555555555555</v>
      </c>
      <c r="G5737">
        <f t="shared" ca="1" si="181"/>
        <v>0</v>
      </c>
    </row>
    <row r="5738" spans="1:7">
      <c r="A5738">
        <v>7970</v>
      </c>
      <c r="B5738" t="s">
        <v>37</v>
      </c>
      <c r="C5738" t="s">
        <v>120</v>
      </c>
      <c r="D5738" s="9">
        <v>41569.68917824074</v>
      </c>
      <c r="E5738" t="s">
        <v>24</v>
      </c>
      <c r="F5738">
        <f t="shared" ca="1" si="180"/>
        <v>1.2694444444444444</v>
      </c>
      <c r="G5738">
        <f t="shared" ca="1" si="181"/>
        <v>0</v>
      </c>
    </row>
    <row r="5739" spans="1:7">
      <c r="A5739">
        <v>7971</v>
      </c>
      <c r="B5739" t="s">
        <v>37</v>
      </c>
      <c r="C5739" t="s">
        <v>120</v>
      </c>
      <c r="D5739" s="9">
        <v>41558.644560185188</v>
      </c>
      <c r="E5739" t="s">
        <v>14</v>
      </c>
      <c r="F5739">
        <f t="shared" ca="1" si="180"/>
        <v>1.3</v>
      </c>
      <c r="G5739">
        <f t="shared" ca="1" si="181"/>
        <v>0</v>
      </c>
    </row>
    <row r="5740" spans="1:7">
      <c r="A5740">
        <v>7972</v>
      </c>
      <c r="B5740" t="s">
        <v>14</v>
      </c>
      <c r="C5740" t="s">
        <v>120</v>
      </c>
      <c r="D5740" s="9">
        <v>41575.579050925924</v>
      </c>
      <c r="E5740" t="s">
        <v>19</v>
      </c>
      <c r="F5740">
        <f t="shared" ca="1" si="180"/>
        <v>1.2527777777777778</v>
      </c>
      <c r="G5740">
        <f t="shared" ca="1" si="181"/>
        <v>0</v>
      </c>
    </row>
    <row r="5741" spans="1:7">
      <c r="A5741">
        <v>7975</v>
      </c>
      <c r="B5741" t="s">
        <v>111</v>
      </c>
      <c r="C5741" t="s">
        <v>120</v>
      </c>
      <c r="D5741" s="9">
        <v>41570.48201388889</v>
      </c>
      <c r="E5741" t="s">
        <v>27</v>
      </c>
      <c r="F5741">
        <f t="shared" ca="1" si="180"/>
        <v>1.2666666666666666</v>
      </c>
      <c r="G5741">
        <f t="shared" ca="1" si="181"/>
        <v>0</v>
      </c>
    </row>
    <row r="5742" spans="1:7">
      <c r="A5742">
        <v>7976</v>
      </c>
      <c r="B5742" t="s">
        <v>14</v>
      </c>
      <c r="C5742" t="s">
        <v>120</v>
      </c>
      <c r="D5742" s="9">
        <v>41558.722199074073</v>
      </c>
      <c r="E5742" t="s">
        <v>24</v>
      </c>
      <c r="F5742">
        <f t="shared" ca="1" si="180"/>
        <v>1.3</v>
      </c>
      <c r="G5742">
        <f t="shared" ca="1" si="181"/>
        <v>0</v>
      </c>
    </row>
    <row r="5743" spans="1:7">
      <c r="A5743">
        <v>7977</v>
      </c>
      <c r="B5743" t="s">
        <v>14</v>
      </c>
      <c r="C5743" t="s">
        <v>120</v>
      </c>
      <c r="D5743" s="9">
        <v>41558.50371527778</v>
      </c>
      <c r="E5743" t="s">
        <v>37</v>
      </c>
      <c r="F5743">
        <f t="shared" ca="1" si="180"/>
        <v>1.3</v>
      </c>
      <c r="G5743">
        <f t="shared" ca="1" si="181"/>
        <v>0</v>
      </c>
    </row>
    <row r="5744" spans="1:7">
      <c r="A5744">
        <v>7978</v>
      </c>
      <c r="B5744" t="s">
        <v>45</v>
      </c>
      <c r="C5744" t="s">
        <v>120</v>
      </c>
      <c r="D5744" s="9">
        <v>41542.640277777777</v>
      </c>
      <c r="E5744" t="s">
        <v>11</v>
      </c>
      <c r="F5744">
        <f t="shared" ca="1" si="180"/>
        <v>1.3444444444444446</v>
      </c>
      <c r="G5744">
        <f t="shared" ca="1" si="181"/>
        <v>0</v>
      </c>
    </row>
    <row r="5745" spans="1:7">
      <c r="A5745">
        <v>7979</v>
      </c>
      <c r="B5745" t="s">
        <v>45</v>
      </c>
      <c r="C5745" t="s">
        <v>120</v>
      </c>
      <c r="D5745" s="9">
        <v>41542.632060185184</v>
      </c>
      <c r="E5745" t="s">
        <v>11</v>
      </c>
      <c r="F5745">
        <f t="shared" ca="1" si="180"/>
        <v>1.3444444444444446</v>
      </c>
      <c r="G5745">
        <f t="shared" ca="1" si="181"/>
        <v>0</v>
      </c>
    </row>
    <row r="5746" spans="1:7">
      <c r="A5746">
        <v>7985</v>
      </c>
      <c r="B5746" t="s">
        <v>24</v>
      </c>
      <c r="C5746" t="s">
        <v>120</v>
      </c>
      <c r="D5746" s="9">
        <v>41541.837187500001</v>
      </c>
      <c r="E5746" t="s">
        <v>27</v>
      </c>
      <c r="F5746">
        <f t="shared" ca="1" si="180"/>
        <v>1.3472222222222223</v>
      </c>
      <c r="G5746">
        <f t="shared" ca="1" si="181"/>
        <v>0</v>
      </c>
    </row>
    <row r="5747" spans="1:7">
      <c r="A5747">
        <v>7986</v>
      </c>
      <c r="B5747" t="s">
        <v>111</v>
      </c>
      <c r="C5747" t="s">
        <v>120</v>
      </c>
      <c r="D5747" s="9">
        <v>41570.483761574076</v>
      </c>
      <c r="E5747" t="s">
        <v>45</v>
      </c>
      <c r="F5747">
        <f t="shared" ca="1" si="180"/>
        <v>1.2666666666666666</v>
      </c>
      <c r="G5747">
        <f t="shared" ca="1" si="181"/>
        <v>0</v>
      </c>
    </row>
    <row r="5748" spans="1:7">
      <c r="A5748">
        <v>7989</v>
      </c>
      <c r="B5748" t="s">
        <v>20</v>
      </c>
      <c r="C5748" t="s">
        <v>120</v>
      </c>
      <c r="D5748" s="9">
        <v>41575.524444444447</v>
      </c>
      <c r="E5748" t="s">
        <v>32</v>
      </c>
      <c r="F5748">
        <f t="shared" ca="1" si="180"/>
        <v>1.2527777777777778</v>
      </c>
      <c r="G5748">
        <f t="shared" ca="1" si="181"/>
        <v>0</v>
      </c>
    </row>
    <row r="5749" spans="1:7">
      <c r="A5749">
        <v>7990</v>
      </c>
      <c r="B5749" t="s">
        <v>111</v>
      </c>
      <c r="C5749" t="s">
        <v>120</v>
      </c>
      <c r="D5749" s="9">
        <v>41570.485474537039</v>
      </c>
      <c r="E5749" t="s">
        <v>14</v>
      </c>
      <c r="F5749">
        <f t="shared" ca="1" si="180"/>
        <v>1.2666666666666666</v>
      </c>
      <c r="G5749">
        <f t="shared" ca="1" si="181"/>
        <v>0</v>
      </c>
    </row>
    <row r="5750" spans="1:7">
      <c r="A5750">
        <v>7992</v>
      </c>
      <c r="B5750" t="s">
        <v>20</v>
      </c>
      <c r="C5750" t="s">
        <v>120</v>
      </c>
      <c r="D5750" s="9">
        <v>41540.751817129632</v>
      </c>
      <c r="E5750" t="s">
        <v>27</v>
      </c>
      <c r="F5750">
        <f t="shared" ca="1" si="180"/>
        <v>1.35</v>
      </c>
      <c r="G5750">
        <f t="shared" ca="1" si="181"/>
        <v>0</v>
      </c>
    </row>
    <row r="5751" spans="1:7">
      <c r="A5751">
        <v>7994</v>
      </c>
      <c r="B5751" t="s">
        <v>8</v>
      </c>
      <c r="C5751" t="s">
        <v>120</v>
      </c>
      <c r="D5751" s="9">
        <v>41558.805983796294</v>
      </c>
      <c r="E5751" t="s">
        <v>11</v>
      </c>
      <c r="F5751">
        <f t="shared" ca="1" si="180"/>
        <v>1.3</v>
      </c>
      <c r="G5751">
        <f t="shared" ca="1" si="181"/>
        <v>0</v>
      </c>
    </row>
    <row r="5752" spans="1:7">
      <c r="A5752">
        <v>7996</v>
      </c>
      <c r="B5752" t="s">
        <v>52</v>
      </c>
      <c r="C5752" t="s">
        <v>120</v>
      </c>
      <c r="D5752" s="9">
        <v>41544.582430555558</v>
      </c>
      <c r="E5752" t="s">
        <v>32</v>
      </c>
      <c r="F5752">
        <f t="shared" ca="1" si="180"/>
        <v>1.3388888888888888</v>
      </c>
      <c r="G5752">
        <f t="shared" ca="1" si="181"/>
        <v>0</v>
      </c>
    </row>
    <row r="5753" spans="1:7">
      <c r="A5753">
        <v>7997</v>
      </c>
      <c r="B5753" t="s">
        <v>20</v>
      </c>
      <c r="C5753" t="s">
        <v>120</v>
      </c>
      <c r="D5753" s="9">
        <v>41542.410092592596</v>
      </c>
      <c r="E5753" t="s">
        <v>18</v>
      </c>
      <c r="F5753">
        <f t="shared" ca="1" si="180"/>
        <v>1.3444444444444446</v>
      </c>
      <c r="G5753">
        <f t="shared" ca="1" si="181"/>
        <v>0</v>
      </c>
    </row>
    <row r="5754" spans="1:7">
      <c r="A5754">
        <v>7998</v>
      </c>
      <c r="B5754" t="s">
        <v>24</v>
      </c>
      <c r="C5754" t="s">
        <v>120</v>
      </c>
      <c r="D5754" s="9">
        <v>41551.602696759262</v>
      </c>
      <c r="E5754" t="s">
        <v>17</v>
      </c>
      <c r="F5754">
        <f t="shared" ca="1" si="180"/>
        <v>1.3194444444444444</v>
      </c>
      <c r="G5754">
        <f t="shared" ca="1" si="181"/>
        <v>0</v>
      </c>
    </row>
    <row r="5755" spans="1:7">
      <c r="A5755">
        <v>8003</v>
      </c>
      <c r="B5755" t="s">
        <v>24</v>
      </c>
      <c r="C5755" t="s">
        <v>120</v>
      </c>
      <c r="D5755" s="9">
        <v>41544.683148148149</v>
      </c>
      <c r="E5755" t="s">
        <v>17</v>
      </c>
      <c r="F5755">
        <f t="shared" ca="1" si="180"/>
        <v>1.3388888888888888</v>
      </c>
      <c r="G5755">
        <f t="shared" ca="1" si="181"/>
        <v>0</v>
      </c>
    </row>
    <row r="5756" spans="1:7">
      <c r="A5756">
        <v>8009</v>
      </c>
      <c r="B5756" t="s">
        <v>38</v>
      </c>
      <c r="C5756" t="s">
        <v>120</v>
      </c>
      <c r="D5756" s="9">
        <v>41572.800798611112</v>
      </c>
      <c r="E5756" t="s">
        <v>36</v>
      </c>
      <c r="F5756">
        <f t="shared" ca="1" si="180"/>
        <v>1.2611111111111111</v>
      </c>
      <c r="G5756">
        <f t="shared" ca="1" si="181"/>
        <v>0</v>
      </c>
    </row>
    <row r="5757" spans="1:7">
      <c r="A5757">
        <v>8010</v>
      </c>
      <c r="B5757" t="s">
        <v>14</v>
      </c>
      <c r="C5757" t="s">
        <v>120</v>
      </c>
      <c r="D5757" s="9">
        <v>41551.515682870369</v>
      </c>
      <c r="E5757" t="s">
        <v>17</v>
      </c>
      <c r="F5757">
        <f t="shared" ca="1" si="180"/>
        <v>1.3194444444444444</v>
      </c>
      <c r="G5757">
        <f t="shared" ca="1" si="181"/>
        <v>0</v>
      </c>
    </row>
    <row r="5758" spans="1:7">
      <c r="A5758">
        <v>8015</v>
      </c>
      <c r="B5758" t="s">
        <v>14</v>
      </c>
      <c r="C5758" t="s">
        <v>120</v>
      </c>
      <c r="D5758" s="9">
        <v>41544.682291666664</v>
      </c>
      <c r="E5758" t="s">
        <v>17</v>
      </c>
      <c r="F5758">
        <f t="shared" ca="1" si="180"/>
        <v>1.3388888888888888</v>
      </c>
      <c r="G5758">
        <f t="shared" ca="1" si="181"/>
        <v>0</v>
      </c>
    </row>
    <row r="5759" spans="1:7">
      <c r="A5759">
        <v>8017</v>
      </c>
      <c r="B5759" t="s">
        <v>34</v>
      </c>
      <c r="C5759" t="s">
        <v>120</v>
      </c>
      <c r="D5759" s="9">
        <v>41570.66679398148</v>
      </c>
      <c r="E5759" t="s">
        <v>20</v>
      </c>
      <c r="F5759">
        <f t="shared" ca="1" si="180"/>
        <v>1.2666666666666666</v>
      </c>
      <c r="G5759">
        <f t="shared" ca="1" si="181"/>
        <v>0</v>
      </c>
    </row>
    <row r="5760" spans="1:7">
      <c r="A5760">
        <v>8019</v>
      </c>
      <c r="B5760" t="s">
        <v>21</v>
      </c>
      <c r="C5760" t="s">
        <v>120</v>
      </c>
      <c r="D5760" s="9">
        <v>41570.484050925923</v>
      </c>
      <c r="E5760" t="s">
        <v>20</v>
      </c>
      <c r="F5760">
        <f t="shared" ca="1" si="180"/>
        <v>1.2666666666666666</v>
      </c>
      <c r="G5760">
        <f t="shared" ca="1" si="181"/>
        <v>0</v>
      </c>
    </row>
    <row r="5761" spans="1:7">
      <c r="A5761">
        <v>8020</v>
      </c>
      <c r="B5761" t="s">
        <v>18</v>
      </c>
      <c r="C5761" t="s">
        <v>118</v>
      </c>
      <c r="D5761" s="9">
        <v>41696.552986111114</v>
      </c>
      <c r="E5761" t="s">
        <v>44</v>
      </c>
      <c r="F5761">
        <f t="shared" ca="1" si="180"/>
        <v>0.92500000000000004</v>
      </c>
      <c r="G5761">
        <f t="shared" ca="1" si="181"/>
        <v>1</v>
      </c>
    </row>
    <row r="5762" spans="1:7">
      <c r="A5762">
        <v>8021</v>
      </c>
      <c r="B5762" t="s">
        <v>14</v>
      </c>
      <c r="C5762" t="s">
        <v>120</v>
      </c>
      <c r="D5762" s="9">
        <v>41544.675023148149</v>
      </c>
      <c r="E5762" t="s">
        <v>37</v>
      </c>
      <c r="F5762">
        <f t="shared" ca="1" si="180"/>
        <v>1.3388888888888888</v>
      </c>
      <c r="G5762">
        <f t="shared" ca="1" si="181"/>
        <v>0</v>
      </c>
    </row>
    <row r="5763" spans="1:7">
      <c r="A5763">
        <v>8022</v>
      </c>
      <c r="B5763" t="s">
        <v>27</v>
      </c>
      <c r="C5763" t="s">
        <v>120</v>
      </c>
      <c r="D5763" s="9">
        <v>41550.931643518517</v>
      </c>
      <c r="E5763" t="s">
        <v>11</v>
      </c>
      <c r="F5763">
        <f t="shared" ca="1" si="180"/>
        <v>1.3222222222222222</v>
      </c>
      <c r="G5763">
        <f t="shared" ca="1" si="181"/>
        <v>0</v>
      </c>
    </row>
    <row r="5764" spans="1:7">
      <c r="A5764">
        <v>8023</v>
      </c>
      <c r="B5764" t="s">
        <v>20</v>
      </c>
      <c r="C5764" t="s">
        <v>120</v>
      </c>
      <c r="D5764" s="9">
        <v>41558.901192129626</v>
      </c>
      <c r="E5764" t="s">
        <v>36</v>
      </c>
      <c r="F5764">
        <f t="shared" ca="1" si="180"/>
        <v>1.3</v>
      </c>
      <c r="G5764">
        <f t="shared" ca="1" si="181"/>
        <v>0</v>
      </c>
    </row>
    <row r="5765" spans="1:7">
      <c r="A5765">
        <v>8025</v>
      </c>
      <c r="B5765" t="s">
        <v>20</v>
      </c>
      <c r="C5765" t="s">
        <v>120</v>
      </c>
      <c r="D5765" s="9">
        <v>41570.484988425924</v>
      </c>
      <c r="E5765" t="s">
        <v>11</v>
      </c>
      <c r="F5765">
        <f t="shared" ca="1" si="180"/>
        <v>1.2666666666666666</v>
      </c>
      <c r="G5765">
        <f t="shared" ca="1" si="181"/>
        <v>0</v>
      </c>
    </row>
    <row r="5766" spans="1:7">
      <c r="A5766">
        <v>8028</v>
      </c>
      <c r="B5766" t="s">
        <v>37</v>
      </c>
      <c r="C5766" t="s">
        <v>120</v>
      </c>
      <c r="D5766" s="9">
        <v>41550.650833333333</v>
      </c>
      <c r="E5766" t="s">
        <v>11</v>
      </c>
      <c r="F5766">
        <f t="shared" ca="1" si="180"/>
        <v>1.3222222222222222</v>
      </c>
      <c r="G5766">
        <f t="shared" ca="1" si="181"/>
        <v>0</v>
      </c>
    </row>
    <row r="5767" spans="1:7">
      <c r="A5767">
        <v>8030</v>
      </c>
      <c r="B5767" t="s">
        <v>18</v>
      </c>
      <c r="C5767" t="s">
        <v>118</v>
      </c>
      <c r="D5767" s="9">
        <v>41715.599398148152</v>
      </c>
      <c r="E5767" t="s">
        <v>44</v>
      </c>
      <c r="F5767">
        <f t="shared" ref="F5767:F5830" ca="1" si="182">YEARFRAC(TODAY(),$D5767)</f>
        <v>0.8666666666666667</v>
      </c>
      <c r="G5767">
        <f t="shared" ref="G5767:G5830" ca="1" si="183">IF($F5767&lt;1,1,0)</f>
        <v>1</v>
      </c>
    </row>
    <row r="5768" spans="1:7">
      <c r="A5768">
        <v>8031</v>
      </c>
      <c r="B5768" t="s">
        <v>29</v>
      </c>
      <c r="C5768" t="s">
        <v>119</v>
      </c>
      <c r="D5768" s="9">
        <v>41600.614560185182</v>
      </c>
      <c r="E5768" t="s">
        <v>30</v>
      </c>
      <c r="F5768">
        <f t="shared" ca="1" si="182"/>
        <v>1.1861111111111111</v>
      </c>
      <c r="G5768">
        <f t="shared" ca="1" si="183"/>
        <v>0</v>
      </c>
    </row>
    <row r="5769" spans="1:7">
      <c r="A5769">
        <v>8034</v>
      </c>
      <c r="B5769" t="s">
        <v>19</v>
      </c>
      <c r="C5769" t="s">
        <v>120</v>
      </c>
      <c r="D5769" s="9">
        <v>41551.643090277779</v>
      </c>
      <c r="E5769" t="s">
        <v>17</v>
      </c>
      <c r="F5769">
        <f t="shared" ca="1" si="182"/>
        <v>1.3194444444444444</v>
      </c>
      <c r="G5769">
        <f t="shared" ca="1" si="183"/>
        <v>0</v>
      </c>
    </row>
    <row r="5770" spans="1:7">
      <c r="A5770">
        <v>8041</v>
      </c>
      <c r="B5770" t="s">
        <v>14</v>
      </c>
      <c r="C5770" t="s">
        <v>120</v>
      </c>
      <c r="D5770" s="9">
        <v>41570.488506944443</v>
      </c>
      <c r="E5770" t="s">
        <v>17</v>
      </c>
      <c r="F5770">
        <f t="shared" ca="1" si="182"/>
        <v>1.2666666666666666</v>
      </c>
      <c r="G5770">
        <f t="shared" ca="1" si="183"/>
        <v>0</v>
      </c>
    </row>
    <row r="5771" spans="1:7">
      <c r="A5771">
        <v>8042</v>
      </c>
      <c r="B5771" t="s">
        <v>19</v>
      </c>
      <c r="C5771" t="s">
        <v>120</v>
      </c>
      <c r="D5771" s="9">
        <v>41558.594409722224</v>
      </c>
      <c r="E5771" t="s">
        <v>24</v>
      </c>
      <c r="F5771">
        <f t="shared" ca="1" si="182"/>
        <v>1.3</v>
      </c>
      <c r="G5771">
        <f t="shared" ca="1" si="183"/>
        <v>0</v>
      </c>
    </row>
    <row r="5772" spans="1:7">
      <c r="A5772">
        <v>8044</v>
      </c>
      <c r="B5772" t="s">
        <v>23</v>
      </c>
      <c r="C5772" t="s">
        <v>120</v>
      </c>
      <c r="D5772" s="9">
        <v>41575.448263888888</v>
      </c>
      <c r="F5772">
        <f t="shared" ca="1" si="182"/>
        <v>1.2527777777777778</v>
      </c>
      <c r="G5772">
        <f t="shared" ca="1" si="183"/>
        <v>0</v>
      </c>
    </row>
    <row r="5773" spans="1:7">
      <c r="A5773">
        <v>8045</v>
      </c>
      <c r="B5773" t="s">
        <v>52</v>
      </c>
      <c r="C5773" t="s">
        <v>120</v>
      </c>
      <c r="D5773" s="9">
        <v>41570.487291666665</v>
      </c>
      <c r="E5773" t="s">
        <v>29</v>
      </c>
      <c r="F5773">
        <f t="shared" ca="1" si="182"/>
        <v>1.2666666666666666</v>
      </c>
      <c r="G5773">
        <f t="shared" ca="1" si="183"/>
        <v>0</v>
      </c>
    </row>
    <row r="5774" spans="1:7">
      <c r="A5774">
        <v>8049</v>
      </c>
      <c r="B5774" t="s">
        <v>24</v>
      </c>
      <c r="C5774" t="s">
        <v>120</v>
      </c>
      <c r="D5774" s="9">
        <v>41547.581886574073</v>
      </c>
      <c r="E5774" t="s">
        <v>8</v>
      </c>
      <c r="F5774">
        <f t="shared" ca="1" si="182"/>
        <v>1.3305555555555555</v>
      </c>
      <c r="G5774">
        <f t="shared" ca="1" si="183"/>
        <v>0</v>
      </c>
    </row>
    <row r="5775" spans="1:7">
      <c r="A5775">
        <v>8052</v>
      </c>
      <c r="B5775" t="s">
        <v>24</v>
      </c>
      <c r="C5775" t="s">
        <v>120</v>
      </c>
      <c r="D5775" s="9">
        <v>41558.644305555557</v>
      </c>
      <c r="E5775" t="s">
        <v>8</v>
      </c>
      <c r="F5775">
        <f t="shared" ca="1" si="182"/>
        <v>1.3</v>
      </c>
      <c r="G5775">
        <f t="shared" ca="1" si="183"/>
        <v>0</v>
      </c>
    </row>
    <row r="5776" spans="1:7">
      <c r="A5776">
        <v>8053</v>
      </c>
      <c r="B5776" t="s">
        <v>30</v>
      </c>
      <c r="C5776" t="s">
        <v>119</v>
      </c>
      <c r="D5776" s="9">
        <v>41607.605925925927</v>
      </c>
      <c r="E5776" t="s">
        <v>24</v>
      </c>
      <c r="F5776">
        <f t="shared" ca="1" si="182"/>
        <v>1.1666666666666667</v>
      </c>
      <c r="G5776">
        <f t="shared" ca="1" si="183"/>
        <v>0</v>
      </c>
    </row>
    <row r="5777" spans="1:7">
      <c r="A5777">
        <v>8054</v>
      </c>
      <c r="B5777" t="s">
        <v>24</v>
      </c>
      <c r="C5777" t="s">
        <v>120</v>
      </c>
      <c r="D5777" s="9">
        <v>41551.499039351853</v>
      </c>
      <c r="E5777" t="s">
        <v>8</v>
      </c>
      <c r="F5777">
        <f t="shared" ca="1" si="182"/>
        <v>1.3194444444444444</v>
      </c>
      <c r="G5777">
        <f t="shared" ca="1" si="183"/>
        <v>0</v>
      </c>
    </row>
    <row r="5778" spans="1:7">
      <c r="A5778">
        <v>8055</v>
      </c>
      <c r="B5778" t="s">
        <v>24</v>
      </c>
      <c r="C5778" t="s">
        <v>120</v>
      </c>
      <c r="D5778" s="9">
        <v>41549.373449074075</v>
      </c>
      <c r="E5778" t="s">
        <v>8</v>
      </c>
      <c r="F5778">
        <f t="shared" ca="1" si="182"/>
        <v>1.325</v>
      </c>
      <c r="G5778">
        <f t="shared" ca="1" si="183"/>
        <v>0</v>
      </c>
    </row>
    <row r="5779" spans="1:7">
      <c r="A5779">
        <v>8057</v>
      </c>
      <c r="B5779" t="s">
        <v>8</v>
      </c>
      <c r="C5779" t="s">
        <v>120</v>
      </c>
      <c r="D5779" s="9">
        <v>41570.492488425924</v>
      </c>
      <c r="E5779" t="s">
        <v>23</v>
      </c>
      <c r="F5779">
        <f t="shared" ca="1" si="182"/>
        <v>1.2666666666666666</v>
      </c>
      <c r="G5779">
        <f t="shared" ca="1" si="183"/>
        <v>0</v>
      </c>
    </row>
    <row r="5780" spans="1:7">
      <c r="A5780">
        <v>8060</v>
      </c>
      <c r="B5780" t="s">
        <v>23</v>
      </c>
      <c r="C5780" t="s">
        <v>118</v>
      </c>
      <c r="D5780" s="9">
        <v>41765.635277777779</v>
      </c>
      <c r="E5780" t="s">
        <v>27</v>
      </c>
      <c r="F5780">
        <f t="shared" ca="1" si="182"/>
        <v>0.73055555555555551</v>
      </c>
      <c r="G5780">
        <f t="shared" ca="1" si="183"/>
        <v>1</v>
      </c>
    </row>
    <row r="5781" spans="1:7">
      <c r="A5781">
        <v>8063</v>
      </c>
      <c r="B5781" t="s">
        <v>112</v>
      </c>
      <c r="C5781" t="s">
        <v>120</v>
      </c>
      <c r="D5781" s="9">
        <v>41551.356006944443</v>
      </c>
      <c r="E5781" t="s">
        <v>19</v>
      </c>
      <c r="F5781">
        <f t="shared" ca="1" si="182"/>
        <v>1.3194444444444444</v>
      </c>
      <c r="G5781">
        <f t="shared" ca="1" si="183"/>
        <v>0</v>
      </c>
    </row>
    <row r="5782" spans="1:7">
      <c r="A5782">
        <v>8064</v>
      </c>
      <c r="B5782" t="s">
        <v>24</v>
      </c>
      <c r="C5782" t="s">
        <v>120</v>
      </c>
      <c r="D5782" s="9">
        <v>41551.57917824074</v>
      </c>
      <c r="E5782" t="s">
        <v>17</v>
      </c>
      <c r="F5782">
        <f t="shared" ca="1" si="182"/>
        <v>1.3194444444444444</v>
      </c>
      <c r="G5782">
        <f t="shared" ca="1" si="183"/>
        <v>0</v>
      </c>
    </row>
    <row r="5783" spans="1:7">
      <c r="A5783">
        <v>8065</v>
      </c>
      <c r="B5783" t="s">
        <v>11</v>
      </c>
      <c r="C5783" t="s">
        <v>120</v>
      </c>
      <c r="D5783" s="9">
        <v>41572.858055555553</v>
      </c>
      <c r="E5783" t="s">
        <v>27</v>
      </c>
      <c r="F5783">
        <f t="shared" ca="1" si="182"/>
        <v>1.2611111111111111</v>
      </c>
      <c r="G5783">
        <f t="shared" ca="1" si="183"/>
        <v>0</v>
      </c>
    </row>
    <row r="5784" spans="1:7">
      <c r="A5784">
        <v>8066</v>
      </c>
      <c r="B5784" t="s">
        <v>34</v>
      </c>
      <c r="C5784" t="s">
        <v>120</v>
      </c>
      <c r="D5784" s="9">
        <v>41575.587754629632</v>
      </c>
      <c r="E5784" t="s">
        <v>21</v>
      </c>
      <c r="F5784">
        <f t="shared" ca="1" si="182"/>
        <v>1.2527777777777778</v>
      </c>
      <c r="G5784">
        <f t="shared" ca="1" si="183"/>
        <v>0</v>
      </c>
    </row>
    <row r="5785" spans="1:7">
      <c r="A5785">
        <v>8067</v>
      </c>
      <c r="B5785" t="s">
        <v>20</v>
      </c>
      <c r="C5785" t="s">
        <v>120</v>
      </c>
      <c r="D5785" s="9">
        <v>41549.715740740743</v>
      </c>
      <c r="E5785" t="s">
        <v>11</v>
      </c>
      <c r="F5785">
        <f t="shared" ca="1" si="182"/>
        <v>1.325</v>
      </c>
      <c r="G5785">
        <f t="shared" ca="1" si="183"/>
        <v>0</v>
      </c>
    </row>
    <row r="5786" spans="1:7">
      <c r="A5786">
        <v>8070</v>
      </c>
      <c r="B5786" t="s">
        <v>52</v>
      </c>
      <c r="C5786" t="s">
        <v>120</v>
      </c>
      <c r="D5786" s="9">
        <v>41570.491296296299</v>
      </c>
      <c r="E5786" t="s">
        <v>111</v>
      </c>
      <c r="F5786">
        <f t="shared" ca="1" si="182"/>
        <v>1.2666666666666666</v>
      </c>
      <c r="G5786">
        <f t="shared" ca="1" si="183"/>
        <v>0</v>
      </c>
    </row>
    <row r="5787" spans="1:7">
      <c r="A5787">
        <v>8072</v>
      </c>
      <c r="B5787" t="s">
        <v>14</v>
      </c>
      <c r="C5787" t="s">
        <v>120</v>
      </c>
      <c r="D5787" s="9">
        <v>41558.677627314813</v>
      </c>
      <c r="E5787" t="s">
        <v>37</v>
      </c>
      <c r="F5787">
        <f t="shared" ca="1" si="182"/>
        <v>1.3</v>
      </c>
      <c r="G5787">
        <f t="shared" ca="1" si="183"/>
        <v>0</v>
      </c>
    </row>
    <row r="5788" spans="1:7">
      <c r="A5788">
        <v>8073</v>
      </c>
      <c r="B5788" t="s">
        <v>30</v>
      </c>
      <c r="C5788" t="s">
        <v>119</v>
      </c>
      <c r="D5788" s="9">
        <v>41593.580405092594</v>
      </c>
      <c r="E5788" t="s">
        <v>8</v>
      </c>
      <c r="F5788">
        <f t="shared" ca="1" si="182"/>
        <v>1.2055555555555555</v>
      </c>
      <c r="G5788">
        <f t="shared" ca="1" si="183"/>
        <v>0</v>
      </c>
    </row>
    <row r="5789" spans="1:7">
      <c r="A5789">
        <v>8074</v>
      </c>
      <c r="B5789" t="s">
        <v>20</v>
      </c>
      <c r="C5789" t="s">
        <v>120</v>
      </c>
      <c r="D5789" s="9">
        <v>41556.636250000003</v>
      </c>
      <c r="E5789" t="s">
        <v>21</v>
      </c>
      <c r="F5789">
        <f t="shared" ca="1" si="182"/>
        <v>1.3055555555555556</v>
      </c>
      <c r="G5789">
        <f t="shared" ca="1" si="183"/>
        <v>0</v>
      </c>
    </row>
    <row r="5790" spans="1:7">
      <c r="A5790">
        <v>8075</v>
      </c>
      <c r="B5790" t="s">
        <v>14</v>
      </c>
      <c r="C5790" t="s">
        <v>120</v>
      </c>
      <c r="D5790" s="9">
        <v>41558.625</v>
      </c>
      <c r="E5790" t="s">
        <v>17</v>
      </c>
      <c r="F5790">
        <f t="shared" ca="1" si="182"/>
        <v>1.3</v>
      </c>
      <c r="G5790">
        <f t="shared" ca="1" si="183"/>
        <v>0</v>
      </c>
    </row>
    <row r="5791" spans="1:7">
      <c r="A5791">
        <v>8076</v>
      </c>
      <c r="B5791" t="s">
        <v>27</v>
      </c>
      <c r="C5791" t="s">
        <v>120</v>
      </c>
      <c r="D5791" s="9">
        <v>41551.690254629626</v>
      </c>
      <c r="E5791" t="s">
        <v>23</v>
      </c>
      <c r="F5791">
        <f t="shared" ca="1" si="182"/>
        <v>1.3194444444444444</v>
      </c>
      <c r="G5791">
        <f t="shared" ca="1" si="183"/>
        <v>0</v>
      </c>
    </row>
    <row r="5792" spans="1:7">
      <c r="A5792">
        <v>8077</v>
      </c>
      <c r="B5792" t="s">
        <v>36</v>
      </c>
      <c r="C5792" t="s">
        <v>120</v>
      </c>
      <c r="D5792" s="9">
        <v>41554.556828703702</v>
      </c>
      <c r="E5792" t="s">
        <v>27</v>
      </c>
      <c r="F5792">
        <f t="shared" ca="1" si="182"/>
        <v>1.3111111111111111</v>
      </c>
      <c r="G5792">
        <f t="shared" ca="1" si="183"/>
        <v>0</v>
      </c>
    </row>
    <row r="5793" spans="1:7">
      <c r="A5793">
        <v>8082</v>
      </c>
      <c r="B5793" t="s">
        <v>52</v>
      </c>
      <c r="C5793" t="s">
        <v>120</v>
      </c>
      <c r="D5793" s="9">
        <v>41570.49113425926</v>
      </c>
      <c r="E5793" t="s">
        <v>111</v>
      </c>
      <c r="F5793">
        <f t="shared" ca="1" si="182"/>
        <v>1.2666666666666666</v>
      </c>
      <c r="G5793">
        <f t="shared" ca="1" si="183"/>
        <v>0</v>
      </c>
    </row>
    <row r="5794" spans="1:7">
      <c r="A5794">
        <v>8083</v>
      </c>
      <c r="B5794" t="s">
        <v>24</v>
      </c>
      <c r="C5794" t="s">
        <v>120</v>
      </c>
      <c r="D5794" s="9">
        <v>41556.446967592594</v>
      </c>
      <c r="E5794" t="s">
        <v>8</v>
      </c>
      <c r="F5794">
        <f t="shared" ca="1" si="182"/>
        <v>1.3055555555555556</v>
      </c>
      <c r="G5794">
        <f t="shared" ca="1" si="183"/>
        <v>0</v>
      </c>
    </row>
    <row r="5795" spans="1:7">
      <c r="A5795">
        <v>8088</v>
      </c>
      <c r="B5795" t="s">
        <v>32</v>
      </c>
      <c r="C5795" t="s">
        <v>120</v>
      </c>
      <c r="D5795" s="9">
        <v>41558.624942129631</v>
      </c>
      <c r="E5795" t="s">
        <v>14</v>
      </c>
      <c r="F5795">
        <f t="shared" ca="1" si="182"/>
        <v>1.3</v>
      </c>
      <c r="G5795">
        <f t="shared" ca="1" si="183"/>
        <v>0</v>
      </c>
    </row>
    <row r="5796" spans="1:7">
      <c r="A5796">
        <v>8089</v>
      </c>
      <c r="B5796" t="s">
        <v>21</v>
      </c>
      <c r="C5796" t="s">
        <v>119</v>
      </c>
      <c r="D5796" s="9">
        <v>41619.414444444446</v>
      </c>
      <c r="E5796" t="s">
        <v>23</v>
      </c>
      <c r="F5796">
        <f t="shared" ca="1" si="182"/>
        <v>1.1333333333333333</v>
      </c>
      <c r="G5796">
        <f t="shared" ca="1" si="183"/>
        <v>0</v>
      </c>
    </row>
    <row r="5797" spans="1:7">
      <c r="A5797">
        <v>8090</v>
      </c>
      <c r="B5797" t="s">
        <v>19</v>
      </c>
      <c r="C5797" t="s">
        <v>120</v>
      </c>
      <c r="D5797" s="9">
        <v>41570.495370370372</v>
      </c>
      <c r="E5797" t="s">
        <v>21</v>
      </c>
      <c r="F5797">
        <f t="shared" ca="1" si="182"/>
        <v>1.2666666666666666</v>
      </c>
      <c r="G5797">
        <f t="shared" ca="1" si="183"/>
        <v>0</v>
      </c>
    </row>
    <row r="5798" spans="1:7">
      <c r="A5798">
        <v>8091</v>
      </c>
      <c r="B5798" t="s">
        <v>213</v>
      </c>
      <c r="C5798" t="s">
        <v>209</v>
      </c>
      <c r="D5798" s="9">
        <v>41950.410162037035</v>
      </c>
      <c r="E5798" t="s">
        <v>211</v>
      </c>
      <c r="F5798">
        <f t="shared" ca="1" si="182"/>
        <v>0.22777777777777777</v>
      </c>
      <c r="G5798">
        <f t="shared" ca="1" si="183"/>
        <v>1</v>
      </c>
    </row>
    <row r="5799" spans="1:7">
      <c r="A5799">
        <v>8092</v>
      </c>
      <c r="B5799" t="s">
        <v>27</v>
      </c>
      <c r="C5799" t="s">
        <v>120</v>
      </c>
      <c r="D5799" s="9">
        <v>41556.705671296295</v>
      </c>
      <c r="E5799" t="s">
        <v>11</v>
      </c>
      <c r="F5799">
        <f t="shared" ca="1" si="182"/>
        <v>1.3055555555555556</v>
      </c>
      <c r="G5799">
        <f t="shared" ca="1" si="183"/>
        <v>0</v>
      </c>
    </row>
    <row r="5800" spans="1:7">
      <c r="A5800">
        <v>8093</v>
      </c>
      <c r="B5800" t="s">
        <v>32</v>
      </c>
      <c r="C5800" t="s">
        <v>120</v>
      </c>
      <c r="D5800" s="9">
        <v>41558.911481481482</v>
      </c>
      <c r="E5800" t="s">
        <v>36</v>
      </c>
      <c r="F5800">
        <f t="shared" ca="1" si="182"/>
        <v>1.3</v>
      </c>
      <c r="G5800">
        <f t="shared" ca="1" si="183"/>
        <v>0</v>
      </c>
    </row>
    <row r="5801" spans="1:7">
      <c r="A5801">
        <v>8094</v>
      </c>
      <c r="B5801" t="s">
        <v>32</v>
      </c>
      <c r="C5801" t="s">
        <v>120</v>
      </c>
      <c r="D5801" s="9">
        <v>41565.703865740739</v>
      </c>
      <c r="E5801" t="s">
        <v>29</v>
      </c>
      <c r="F5801">
        <f t="shared" ca="1" si="182"/>
        <v>1.2805555555555554</v>
      </c>
      <c r="G5801">
        <f t="shared" ca="1" si="183"/>
        <v>0</v>
      </c>
    </row>
    <row r="5802" spans="1:7">
      <c r="A5802">
        <v>8095</v>
      </c>
      <c r="B5802" t="s">
        <v>23</v>
      </c>
      <c r="C5802" t="s">
        <v>120</v>
      </c>
      <c r="D5802" s="9">
        <v>41575.512523148151</v>
      </c>
      <c r="E5802" t="s">
        <v>19</v>
      </c>
      <c r="F5802">
        <f t="shared" ca="1" si="182"/>
        <v>1.2527777777777778</v>
      </c>
      <c r="G5802">
        <f t="shared" ca="1" si="183"/>
        <v>0</v>
      </c>
    </row>
    <row r="5803" spans="1:7">
      <c r="A5803">
        <v>8096</v>
      </c>
      <c r="B5803" t="s">
        <v>21</v>
      </c>
      <c r="C5803" t="s">
        <v>120</v>
      </c>
      <c r="D5803" s="9">
        <v>41570.493206018517</v>
      </c>
      <c r="E5803" t="s">
        <v>30</v>
      </c>
      <c r="F5803">
        <f t="shared" ca="1" si="182"/>
        <v>1.2666666666666666</v>
      </c>
      <c r="G5803">
        <f t="shared" ca="1" si="183"/>
        <v>0</v>
      </c>
    </row>
    <row r="5804" spans="1:7">
      <c r="A5804">
        <v>8099</v>
      </c>
      <c r="B5804" t="s">
        <v>34</v>
      </c>
      <c r="C5804" t="s">
        <v>120</v>
      </c>
      <c r="D5804" s="9">
        <v>41572.869212962964</v>
      </c>
      <c r="E5804" t="s">
        <v>11</v>
      </c>
      <c r="F5804">
        <f t="shared" ca="1" si="182"/>
        <v>1.2611111111111111</v>
      </c>
      <c r="G5804">
        <f t="shared" ca="1" si="183"/>
        <v>0</v>
      </c>
    </row>
    <row r="5805" spans="1:7">
      <c r="A5805">
        <v>8100</v>
      </c>
      <c r="B5805" t="s">
        <v>11</v>
      </c>
      <c r="C5805" t="s">
        <v>120</v>
      </c>
      <c r="D5805" s="9">
        <v>41570.497453703705</v>
      </c>
      <c r="E5805" t="s">
        <v>36</v>
      </c>
      <c r="F5805">
        <f t="shared" ca="1" si="182"/>
        <v>1.2666666666666666</v>
      </c>
      <c r="G5805">
        <f t="shared" ca="1" si="183"/>
        <v>0</v>
      </c>
    </row>
    <row r="5806" spans="1:7">
      <c r="A5806">
        <v>8101</v>
      </c>
      <c r="B5806" t="s">
        <v>21</v>
      </c>
      <c r="C5806" t="s">
        <v>120</v>
      </c>
      <c r="D5806" s="9">
        <v>41572.686076388891</v>
      </c>
      <c r="E5806" t="s">
        <v>14</v>
      </c>
      <c r="F5806">
        <f t="shared" ca="1" si="182"/>
        <v>1.2611111111111111</v>
      </c>
      <c r="G5806">
        <f t="shared" ca="1" si="183"/>
        <v>0</v>
      </c>
    </row>
    <row r="5807" spans="1:7">
      <c r="A5807">
        <v>8103</v>
      </c>
      <c r="B5807" t="s">
        <v>36</v>
      </c>
      <c r="C5807" t="s">
        <v>120</v>
      </c>
      <c r="D5807" s="9">
        <v>41558.619895833333</v>
      </c>
      <c r="E5807" t="s">
        <v>20</v>
      </c>
      <c r="F5807">
        <f t="shared" ca="1" si="182"/>
        <v>1.3</v>
      </c>
      <c r="G5807">
        <f t="shared" ca="1" si="183"/>
        <v>0</v>
      </c>
    </row>
    <row r="5808" spans="1:7">
      <c r="A5808">
        <v>8105</v>
      </c>
      <c r="B5808" t="s">
        <v>11</v>
      </c>
      <c r="C5808" t="s">
        <v>120</v>
      </c>
      <c r="D5808" s="9">
        <v>41572.587719907409</v>
      </c>
      <c r="E5808" t="s">
        <v>27</v>
      </c>
      <c r="F5808">
        <f t="shared" ca="1" si="182"/>
        <v>1.2611111111111111</v>
      </c>
      <c r="G5808">
        <f t="shared" ca="1" si="183"/>
        <v>0</v>
      </c>
    </row>
    <row r="5809" spans="1:7">
      <c r="A5809">
        <v>8109</v>
      </c>
      <c r="B5809" t="s">
        <v>21</v>
      </c>
      <c r="C5809" t="s">
        <v>120</v>
      </c>
      <c r="D5809" s="9">
        <v>41570.497037037036</v>
      </c>
      <c r="E5809" t="s">
        <v>32</v>
      </c>
      <c r="F5809">
        <f t="shared" ca="1" si="182"/>
        <v>1.2666666666666666</v>
      </c>
      <c r="G5809">
        <f t="shared" ca="1" si="183"/>
        <v>0</v>
      </c>
    </row>
    <row r="5810" spans="1:7">
      <c r="A5810">
        <v>8113</v>
      </c>
      <c r="B5810" t="s">
        <v>32</v>
      </c>
      <c r="C5810" t="s">
        <v>120</v>
      </c>
      <c r="D5810" s="9">
        <v>41558.867731481485</v>
      </c>
      <c r="E5810" t="s">
        <v>11</v>
      </c>
      <c r="F5810">
        <f t="shared" ca="1" si="182"/>
        <v>1.3</v>
      </c>
      <c r="G5810">
        <f t="shared" ca="1" si="183"/>
        <v>0</v>
      </c>
    </row>
    <row r="5811" spans="1:7">
      <c r="A5811">
        <v>8118</v>
      </c>
      <c r="B5811" t="s">
        <v>32</v>
      </c>
      <c r="C5811" t="s">
        <v>120</v>
      </c>
      <c r="D5811" s="9">
        <v>41565.709305555552</v>
      </c>
      <c r="E5811" t="s">
        <v>21</v>
      </c>
      <c r="F5811">
        <f t="shared" ca="1" si="182"/>
        <v>1.2805555555555554</v>
      </c>
      <c r="G5811">
        <f t="shared" ca="1" si="183"/>
        <v>0</v>
      </c>
    </row>
    <row r="5812" spans="1:7">
      <c r="A5812">
        <v>8120</v>
      </c>
      <c r="B5812" t="s">
        <v>32</v>
      </c>
      <c r="C5812" t="s">
        <v>120</v>
      </c>
      <c r="D5812" s="9">
        <v>41565.594629629632</v>
      </c>
      <c r="E5812" t="s">
        <v>14</v>
      </c>
      <c r="F5812">
        <f t="shared" ca="1" si="182"/>
        <v>1.2805555555555554</v>
      </c>
      <c r="G5812">
        <f t="shared" ca="1" si="183"/>
        <v>0</v>
      </c>
    </row>
    <row r="5813" spans="1:7">
      <c r="A5813">
        <v>8121</v>
      </c>
      <c r="B5813" t="s">
        <v>32</v>
      </c>
      <c r="C5813" t="s">
        <v>120</v>
      </c>
      <c r="D5813" s="9">
        <v>41725.380960648145</v>
      </c>
      <c r="E5813" t="s">
        <v>36</v>
      </c>
      <c r="F5813">
        <f t="shared" ca="1" si="182"/>
        <v>0.83888888888888891</v>
      </c>
      <c r="G5813">
        <f t="shared" ca="1" si="183"/>
        <v>1</v>
      </c>
    </row>
    <row r="5814" spans="1:7">
      <c r="A5814">
        <v>8124</v>
      </c>
      <c r="B5814" t="s">
        <v>19</v>
      </c>
      <c r="C5814" t="s">
        <v>120</v>
      </c>
      <c r="D5814" s="9">
        <v>41562.570127314815</v>
      </c>
      <c r="E5814" t="s">
        <v>24</v>
      </c>
      <c r="F5814">
        <f t="shared" ca="1" si="182"/>
        <v>1.288888888888889</v>
      </c>
      <c r="G5814">
        <f t="shared" ca="1" si="183"/>
        <v>0</v>
      </c>
    </row>
    <row r="5815" spans="1:7">
      <c r="A5815">
        <v>8125</v>
      </c>
      <c r="B5815" t="s">
        <v>19</v>
      </c>
      <c r="C5815" t="s">
        <v>120</v>
      </c>
      <c r="D5815" s="9">
        <v>41575.379803240743</v>
      </c>
      <c r="E5815" t="s">
        <v>24</v>
      </c>
      <c r="F5815">
        <f t="shared" ca="1" si="182"/>
        <v>1.2527777777777778</v>
      </c>
      <c r="G5815">
        <f t="shared" ca="1" si="183"/>
        <v>0</v>
      </c>
    </row>
    <row r="5816" spans="1:7">
      <c r="A5816">
        <v>8127</v>
      </c>
      <c r="B5816" t="s">
        <v>32</v>
      </c>
      <c r="C5816" t="s">
        <v>120</v>
      </c>
      <c r="D5816" s="9">
        <v>41564.610613425924</v>
      </c>
      <c r="E5816" t="s">
        <v>21</v>
      </c>
      <c r="F5816">
        <f t="shared" ca="1" si="182"/>
        <v>1.2833333333333334</v>
      </c>
      <c r="G5816">
        <f t="shared" ca="1" si="183"/>
        <v>0</v>
      </c>
    </row>
    <row r="5817" spans="1:7">
      <c r="A5817">
        <v>8134</v>
      </c>
      <c r="B5817" t="s">
        <v>19</v>
      </c>
      <c r="C5817" t="s">
        <v>120</v>
      </c>
      <c r="D5817" s="9">
        <v>41575.673900462964</v>
      </c>
      <c r="E5817" t="s">
        <v>24</v>
      </c>
      <c r="F5817">
        <f t="shared" ca="1" si="182"/>
        <v>1.2527777777777778</v>
      </c>
      <c r="G5817">
        <f t="shared" ca="1" si="183"/>
        <v>0</v>
      </c>
    </row>
    <row r="5818" spans="1:7">
      <c r="A5818">
        <v>8135</v>
      </c>
      <c r="B5818" t="s">
        <v>8</v>
      </c>
      <c r="C5818" t="s">
        <v>119</v>
      </c>
      <c r="D5818" s="9">
        <v>41666.562407407408</v>
      </c>
      <c r="E5818" t="s">
        <v>112</v>
      </c>
      <c r="F5818">
        <f t="shared" ca="1" si="182"/>
        <v>1.0055555555555555</v>
      </c>
      <c r="G5818">
        <f t="shared" ca="1" si="183"/>
        <v>0</v>
      </c>
    </row>
    <row r="5819" spans="1:7">
      <c r="A5819">
        <v>8136</v>
      </c>
      <c r="B5819" t="s">
        <v>52</v>
      </c>
      <c r="C5819" t="s">
        <v>120</v>
      </c>
      <c r="D5819" s="9">
        <v>41570.497303240743</v>
      </c>
      <c r="F5819">
        <f t="shared" ca="1" si="182"/>
        <v>1.2666666666666666</v>
      </c>
      <c r="G5819">
        <f t="shared" ca="1" si="183"/>
        <v>0</v>
      </c>
    </row>
    <row r="5820" spans="1:7">
      <c r="A5820">
        <v>8137</v>
      </c>
      <c r="B5820" t="s">
        <v>19</v>
      </c>
      <c r="C5820" t="s">
        <v>120</v>
      </c>
      <c r="D5820" s="9">
        <v>41575.572997685187</v>
      </c>
      <c r="E5820" t="s">
        <v>112</v>
      </c>
      <c r="F5820">
        <f t="shared" ca="1" si="182"/>
        <v>1.2527777777777778</v>
      </c>
      <c r="G5820">
        <f t="shared" ca="1" si="183"/>
        <v>0</v>
      </c>
    </row>
    <row r="5821" spans="1:7">
      <c r="A5821">
        <v>8140</v>
      </c>
      <c r="B5821" t="s">
        <v>14</v>
      </c>
      <c r="C5821" t="s">
        <v>119</v>
      </c>
      <c r="D5821" s="9">
        <v>41710.476331018515</v>
      </c>
      <c r="E5821" t="s">
        <v>34</v>
      </c>
      <c r="F5821">
        <f t="shared" ca="1" si="182"/>
        <v>0.88055555555555554</v>
      </c>
      <c r="G5821">
        <f t="shared" ca="1" si="183"/>
        <v>1</v>
      </c>
    </row>
    <row r="5822" spans="1:7">
      <c r="A5822">
        <v>8141</v>
      </c>
      <c r="B5822" t="s">
        <v>111</v>
      </c>
      <c r="C5822" t="s">
        <v>120</v>
      </c>
      <c r="D5822" s="9">
        <v>41565.587592592594</v>
      </c>
      <c r="E5822" t="s">
        <v>17</v>
      </c>
      <c r="F5822">
        <f t="shared" ca="1" si="182"/>
        <v>1.2805555555555554</v>
      </c>
      <c r="G5822">
        <f t="shared" ca="1" si="183"/>
        <v>0</v>
      </c>
    </row>
    <row r="5823" spans="1:7">
      <c r="A5823">
        <v>8143</v>
      </c>
      <c r="B5823" t="s">
        <v>20</v>
      </c>
      <c r="C5823" t="s">
        <v>120</v>
      </c>
      <c r="D5823" s="9">
        <v>41568.840810185182</v>
      </c>
      <c r="E5823" t="s">
        <v>11</v>
      </c>
      <c r="F5823">
        <f t="shared" ca="1" si="182"/>
        <v>1.2722222222222221</v>
      </c>
      <c r="G5823">
        <f t="shared" ca="1" si="183"/>
        <v>0</v>
      </c>
    </row>
    <row r="5824" spans="1:7">
      <c r="A5824">
        <v>8144</v>
      </c>
      <c r="B5824" t="s">
        <v>17</v>
      </c>
      <c r="C5824" t="s">
        <v>120</v>
      </c>
      <c r="D5824" s="9">
        <v>41564.587534722225</v>
      </c>
      <c r="E5824" t="s">
        <v>8</v>
      </c>
      <c r="F5824">
        <f t="shared" ca="1" si="182"/>
        <v>1.2833333333333334</v>
      </c>
      <c r="G5824">
        <f t="shared" ca="1" si="183"/>
        <v>0</v>
      </c>
    </row>
    <row r="5825" spans="1:7">
      <c r="A5825">
        <v>8146</v>
      </c>
      <c r="B5825" t="s">
        <v>14</v>
      </c>
      <c r="C5825" t="s">
        <v>120</v>
      </c>
      <c r="D5825" s="9">
        <v>41575.328668981485</v>
      </c>
      <c r="E5825" t="s">
        <v>24</v>
      </c>
      <c r="F5825">
        <f t="shared" ca="1" si="182"/>
        <v>1.2527777777777778</v>
      </c>
      <c r="G5825">
        <f t="shared" ca="1" si="183"/>
        <v>0</v>
      </c>
    </row>
    <row r="5826" spans="1:7">
      <c r="A5826">
        <v>8147</v>
      </c>
      <c r="B5826" t="s">
        <v>24</v>
      </c>
      <c r="C5826" t="s">
        <v>120</v>
      </c>
      <c r="D5826" s="9">
        <v>41575.335266203707</v>
      </c>
      <c r="E5826" t="s">
        <v>14</v>
      </c>
      <c r="F5826">
        <f t="shared" ca="1" si="182"/>
        <v>1.2527777777777778</v>
      </c>
      <c r="G5826">
        <f t="shared" ca="1" si="183"/>
        <v>0</v>
      </c>
    </row>
    <row r="5827" spans="1:7">
      <c r="A5827">
        <v>8152</v>
      </c>
      <c r="B5827" t="s">
        <v>17</v>
      </c>
      <c r="C5827" t="s">
        <v>119</v>
      </c>
      <c r="D5827" s="9">
        <v>41666.562349537038</v>
      </c>
      <c r="E5827" t="s">
        <v>24</v>
      </c>
      <c r="F5827">
        <f t="shared" ca="1" si="182"/>
        <v>1.0055555555555555</v>
      </c>
      <c r="G5827">
        <f t="shared" ca="1" si="183"/>
        <v>0</v>
      </c>
    </row>
    <row r="5828" spans="1:7">
      <c r="A5828">
        <v>8159</v>
      </c>
      <c r="B5828" t="s">
        <v>11</v>
      </c>
      <c r="C5828" t="s">
        <v>120</v>
      </c>
      <c r="D5828" s="9">
        <v>41568.644189814811</v>
      </c>
      <c r="E5828" t="s">
        <v>20</v>
      </c>
      <c r="F5828">
        <f t="shared" ca="1" si="182"/>
        <v>1.2722222222222221</v>
      </c>
      <c r="G5828">
        <f t="shared" ca="1" si="183"/>
        <v>0</v>
      </c>
    </row>
    <row r="5829" spans="1:7">
      <c r="A5829">
        <v>8164</v>
      </c>
      <c r="B5829" t="s">
        <v>38</v>
      </c>
      <c r="C5829" t="s">
        <v>120</v>
      </c>
      <c r="D5829" s="9">
        <v>41571.596331018518</v>
      </c>
      <c r="E5829" t="s">
        <v>112</v>
      </c>
      <c r="F5829">
        <f t="shared" ca="1" si="182"/>
        <v>1.2638888888888888</v>
      </c>
      <c r="G5829">
        <f t="shared" ca="1" si="183"/>
        <v>0</v>
      </c>
    </row>
    <row r="5830" spans="1:7">
      <c r="A5830">
        <v>8166</v>
      </c>
      <c r="B5830" t="s">
        <v>52</v>
      </c>
      <c r="C5830" t="s">
        <v>120</v>
      </c>
      <c r="D5830" s="9">
        <v>41576.742777777778</v>
      </c>
      <c r="F5830">
        <f t="shared" ca="1" si="182"/>
        <v>1.25</v>
      </c>
      <c r="G5830">
        <f t="shared" ca="1" si="183"/>
        <v>0</v>
      </c>
    </row>
    <row r="5831" spans="1:7">
      <c r="A5831">
        <v>8168</v>
      </c>
      <c r="B5831" t="s">
        <v>20</v>
      </c>
      <c r="C5831" t="s">
        <v>120</v>
      </c>
      <c r="D5831" s="9">
        <v>41575.590324074074</v>
      </c>
      <c r="E5831" t="s">
        <v>32</v>
      </c>
      <c r="F5831">
        <f t="shared" ref="F5831:F5894" ca="1" si="184">YEARFRAC(TODAY(),$D5831)</f>
        <v>1.2527777777777778</v>
      </c>
      <c r="G5831">
        <f t="shared" ref="G5831:G5894" ca="1" si="185">IF($F5831&lt;1,1,0)</f>
        <v>0</v>
      </c>
    </row>
    <row r="5832" spans="1:7">
      <c r="A5832">
        <v>8170</v>
      </c>
      <c r="B5832" t="s">
        <v>14</v>
      </c>
      <c r="C5832" t="s">
        <v>120</v>
      </c>
      <c r="D5832" s="9">
        <v>41575.421076388891</v>
      </c>
      <c r="E5832" t="s">
        <v>34</v>
      </c>
      <c r="F5832">
        <f t="shared" ca="1" si="184"/>
        <v>1.2527777777777778</v>
      </c>
      <c r="G5832">
        <f t="shared" ca="1" si="185"/>
        <v>0</v>
      </c>
    </row>
    <row r="5833" spans="1:7">
      <c r="A5833">
        <v>8173</v>
      </c>
      <c r="B5833" t="s">
        <v>14</v>
      </c>
      <c r="C5833" t="s">
        <v>120</v>
      </c>
      <c r="D5833" s="9">
        <v>41571.469953703701</v>
      </c>
      <c r="E5833" t="s">
        <v>30</v>
      </c>
      <c r="F5833">
        <f t="shared" ca="1" si="184"/>
        <v>1.2638888888888888</v>
      </c>
      <c r="G5833">
        <f t="shared" ca="1" si="185"/>
        <v>0</v>
      </c>
    </row>
    <row r="5834" spans="1:7">
      <c r="A5834">
        <v>8174</v>
      </c>
      <c r="B5834" t="s">
        <v>14</v>
      </c>
      <c r="C5834" t="s">
        <v>120</v>
      </c>
      <c r="D5834" s="9">
        <v>41571.477326388886</v>
      </c>
      <c r="E5834" t="s">
        <v>30</v>
      </c>
      <c r="F5834">
        <f t="shared" ca="1" si="184"/>
        <v>1.2638888888888888</v>
      </c>
      <c r="G5834">
        <f t="shared" ca="1" si="185"/>
        <v>0</v>
      </c>
    </row>
    <row r="5835" spans="1:7">
      <c r="A5835">
        <v>8176</v>
      </c>
      <c r="B5835" t="s">
        <v>14</v>
      </c>
      <c r="C5835" t="s">
        <v>119</v>
      </c>
      <c r="D5835" s="9">
        <v>41642.609525462962</v>
      </c>
      <c r="E5835" t="s">
        <v>30</v>
      </c>
      <c r="F5835">
        <f t="shared" ca="1" si="184"/>
        <v>1.0722222222222222</v>
      </c>
      <c r="G5835">
        <f t="shared" ca="1" si="185"/>
        <v>0</v>
      </c>
    </row>
    <row r="5836" spans="1:7">
      <c r="A5836">
        <v>8177</v>
      </c>
      <c r="B5836" t="s">
        <v>8</v>
      </c>
      <c r="C5836" t="s">
        <v>120</v>
      </c>
      <c r="D5836" s="9">
        <v>41570.732870370368</v>
      </c>
      <c r="E5836" t="s">
        <v>18</v>
      </c>
      <c r="F5836">
        <f t="shared" ca="1" si="184"/>
        <v>1.2666666666666666</v>
      </c>
      <c r="G5836">
        <f t="shared" ca="1" si="185"/>
        <v>0</v>
      </c>
    </row>
    <row r="5837" spans="1:7">
      <c r="A5837">
        <v>8184</v>
      </c>
      <c r="B5837" t="s">
        <v>11</v>
      </c>
      <c r="C5837" t="s">
        <v>119</v>
      </c>
      <c r="D5837" s="9">
        <v>41607.573981481481</v>
      </c>
      <c r="E5837" t="s">
        <v>14</v>
      </c>
      <c r="F5837">
        <f t="shared" ca="1" si="184"/>
        <v>1.1666666666666667</v>
      </c>
      <c r="G5837">
        <f t="shared" ca="1" si="185"/>
        <v>0</v>
      </c>
    </row>
    <row r="5838" spans="1:7">
      <c r="A5838">
        <v>8188</v>
      </c>
      <c r="B5838" t="s">
        <v>14</v>
      </c>
      <c r="C5838" t="s">
        <v>120</v>
      </c>
      <c r="D5838" s="9">
        <v>41572.693206018521</v>
      </c>
      <c r="E5838" t="s">
        <v>34</v>
      </c>
      <c r="F5838">
        <f t="shared" ca="1" si="184"/>
        <v>1.2611111111111111</v>
      </c>
      <c r="G5838">
        <f t="shared" ca="1" si="185"/>
        <v>0</v>
      </c>
    </row>
    <row r="5839" spans="1:7">
      <c r="A5839">
        <v>8190</v>
      </c>
      <c r="B5839" t="s">
        <v>23</v>
      </c>
      <c r="C5839" t="s">
        <v>120</v>
      </c>
      <c r="D5839" s="9">
        <v>41572.588414351849</v>
      </c>
      <c r="E5839" t="s">
        <v>29</v>
      </c>
      <c r="F5839">
        <f t="shared" ca="1" si="184"/>
        <v>1.2611111111111111</v>
      </c>
      <c r="G5839">
        <f t="shared" ca="1" si="185"/>
        <v>0</v>
      </c>
    </row>
    <row r="5840" spans="1:7">
      <c r="A5840">
        <v>8192</v>
      </c>
      <c r="B5840" t="s">
        <v>17</v>
      </c>
      <c r="C5840" t="s">
        <v>119</v>
      </c>
      <c r="D5840" s="9">
        <v>41920.48909722222</v>
      </c>
      <c r="E5840" t="s">
        <v>112</v>
      </c>
      <c r="F5840">
        <f t="shared" ca="1" si="184"/>
        <v>0.30833333333333335</v>
      </c>
      <c r="G5840">
        <f t="shared" ca="1" si="185"/>
        <v>1</v>
      </c>
    </row>
    <row r="5841" spans="1:7">
      <c r="A5841">
        <v>8197</v>
      </c>
      <c r="B5841" t="s">
        <v>19</v>
      </c>
      <c r="C5841" t="s">
        <v>120</v>
      </c>
      <c r="D5841" s="9">
        <v>41571.648449074077</v>
      </c>
      <c r="E5841" t="s">
        <v>112</v>
      </c>
      <c r="F5841">
        <f t="shared" ca="1" si="184"/>
        <v>1.2638888888888888</v>
      </c>
      <c r="G5841">
        <f t="shared" ca="1" si="185"/>
        <v>0</v>
      </c>
    </row>
    <row r="5842" spans="1:7">
      <c r="A5842">
        <v>8198</v>
      </c>
      <c r="B5842" t="s">
        <v>211</v>
      </c>
      <c r="C5842" t="s">
        <v>209</v>
      </c>
      <c r="D5842" s="9">
        <v>41887.639120370368</v>
      </c>
      <c r="E5842" t="s">
        <v>34</v>
      </c>
      <c r="F5842">
        <f t="shared" ca="1" si="184"/>
        <v>0.4</v>
      </c>
      <c r="G5842">
        <f t="shared" ca="1" si="185"/>
        <v>1</v>
      </c>
    </row>
    <row r="5843" spans="1:7">
      <c r="A5843">
        <v>8208</v>
      </c>
      <c r="B5843" t="s">
        <v>32</v>
      </c>
      <c r="C5843" t="s">
        <v>119</v>
      </c>
      <c r="D5843" s="9">
        <v>41670.581504629627</v>
      </c>
      <c r="E5843" t="s">
        <v>20</v>
      </c>
      <c r="F5843">
        <f t="shared" ca="1" si="184"/>
        <v>0.99722222222222223</v>
      </c>
      <c r="G5843">
        <f t="shared" ca="1" si="185"/>
        <v>1</v>
      </c>
    </row>
    <row r="5844" spans="1:7">
      <c r="A5844">
        <v>8214</v>
      </c>
      <c r="B5844" t="s">
        <v>44</v>
      </c>
      <c r="C5844" t="s">
        <v>209</v>
      </c>
      <c r="D5844" s="9">
        <v>41894.58284722222</v>
      </c>
      <c r="E5844" t="s">
        <v>8</v>
      </c>
      <c r="F5844">
        <f t="shared" ca="1" si="184"/>
        <v>0.38055555555555554</v>
      </c>
      <c r="G5844">
        <f t="shared" ca="1" si="185"/>
        <v>1</v>
      </c>
    </row>
    <row r="5845" spans="1:7">
      <c r="A5845">
        <v>8225</v>
      </c>
      <c r="B5845" t="s">
        <v>14</v>
      </c>
      <c r="C5845" t="s">
        <v>120</v>
      </c>
      <c r="D5845" s="9">
        <v>41575.638506944444</v>
      </c>
      <c r="E5845" t="s">
        <v>37</v>
      </c>
      <c r="F5845">
        <f t="shared" ca="1" si="184"/>
        <v>1.2527777777777778</v>
      </c>
      <c r="G5845">
        <f t="shared" ca="1" si="185"/>
        <v>0</v>
      </c>
    </row>
    <row r="5846" spans="1:7">
      <c r="A5846">
        <v>8227</v>
      </c>
      <c r="B5846" t="s">
        <v>30</v>
      </c>
      <c r="C5846" t="s">
        <v>118</v>
      </c>
      <c r="D5846" s="9">
        <v>41680.762800925928</v>
      </c>
      <c r="E5846" t="s">
        <v>11</v>
      </c>
      <c r="F5846">
        <f t="shared" ca="1" si="184"/>
        <v>0.96944444444444444</v>
      </c>
      <c r="G5846">
        <f t="shared" ca="1" si="185"/>
        <v>1</v>
      </c>
    </row>
    <row r="5847" spans="1:7">
      <c r="A5847">
        <v>8228</v>
      </c>
      <c r="B5847" t="s">
        <v>34</v>
      </c>
      <c r="C5847" t="s">
        <v>120</v>
      </c>
      <c r="D5847" s="9">
        <v>41575.608854166669</v>
      </c>
      <c r="E5847" t="s">
        <v>21</v>
      </c>
      <c r="F5847">
        <f t="shared" ca="1" si="184"/>
        <v>1.2527777777777778</v>
      </c>
      <c r="G5847">
        <f t="shared" ca="1" si="185"/>
        <v>0</v>
      </c>
    </row>
    <row r="5848" spans="1:7">
      <c r="A5848">
        <v>8230</v>
      </c>
      <c r="B5848" t="s">
        <v>17</v>
      </c>
      <c r="C5848" t="s">
        <v>119</v>
      </c>
      <c r="D5848" s="9">
        <v>41666.562430555554</v>
      </c>
      <c r="E5848" t="s">
        <v>23</v>
      </c>
      <c r="F5848">
        <f t="shared" ca="1" si="184"/>
        <v>1.0055555555555555</v>
      </c>
      <c r="G5848">
        <f t="shared" ca="1" si="185"/>
        <v>0</v>
      </c>
    </row>
    <row r="5849" spans="1:7">
      <c r="A5849">
        <v>8231</v>
      </c>
      <c r="B5849" t="s">
        <v>19</v>
      </c>
      <c r="C5849" t="s">
        <v>120</v>
      </c>
      <c r="D5849" s="9">
        <v>41572.716365740744</v>
      </c>
      <c r="E5849" t="s">
        <v>36</v>
      </c>
      <c r="F5849">
        <f t="shared" ca="1" si="184"/>
        <v>1.2611111111111111</v>
      </c>
      <c r="G5849">
        <f t="shared" ca="1" si="185"/>
        <v>0</v>
      </c>
    </row>
    <row r="5850" spans="1:7">
      <c r="A5850">
        <v>8241</v>
      </c>
      <c r="B5850" t="s">
        <v>32</v>
      </c>
      <c r="C5850" t="s">
        <v>119</v>
      </c>
      <c r="D5850" s="9">
        <v>41666.562442129631</v>
      </c>
      <c r="E5850" t="s">
        <v>30</v>
      </c>
      <c r="F5850">
        <f t="shared" ca="1" si="184"/>
        <v>1.0055555555555555</v>
      </c>
      <c r="G5850">
        <f t="shared" ca="1" si="185"/>
        <v>0</v>
      </c>
    </row>
    <row r="5851" spans="1:7">
      <c r="A5851">
        <v>8244</v>
      </c>
      <c r="B5851" t="s">
        <v>17</v>
      </c>
      <c r="C5851" t="s">
        <v>119</v>
      </c>
      <c r="D5851" s="9">
        <v>41666.562372685185</v>
      </c>
      <c r="E5851" t="s">
        <v>34</v>
      </c>
      <c r="F5851">
        <f t="shared" ca="1" si="184"/>
        <v>1.0055555555555555</v>
      </c>
      <c r="G5851">
        <f t="shared" ca="1" si="185"/>
        <v>0</v>
      </c>
    </row>
    <row r="5852" spans="1:7">
      <c r="A5852">
        <v>8247</v>
      </c>
      <c r="B5852" t="s">
        <v>14</v>
      </c>
      <c r="C5852" t="s">
        <v>120</v>
      </c>
      <c r="D5852" s="9">
        <v>41575.692777777775</v>
      </c>
      <c r="E5852" t="s">
        <v>37</v>
      </c>
      <c r="F5852">
        <f t="shared" ca="1" si="184"/>
        <v>1.2527777777777778</v>
      </c>
      <c r="G5852">
        <f t="shared" ca="1" si="185"/>
        <v>0</v>
      </c>
    </row>
    <row r="5853" spans="1:7">
      <c r="A5853">
        <v>8250</v>
      </c>
      <c r="B5853" t="s">
        <v>21</v>
      </c>
      <c r="C5853" t="s">
        <v>119</v>
      </c>
      <c r="D5853" s="9">
        <v>41666.562488425923</v>
      </c>
      <c r="E5853" t="s">
        <v>32</v>
      </c>
      <c r="F5853">
        <f t="shared" ca="1" si="184"/>
        <v>1.0055555555555555</v>
      </c>
      <c r="G5853">
        <f t="shared" ca="1" si="185"/>
        <v>0</v>
      </c>
    </row>
    <row r="5854" spans="1:7">
      <c r="A5854">
        <v>8251</v>
      </c>
      <c r="B5854" t="s">
        <v>32</v>
      </c>
      <c r="C5854" t="s">
        <v>119</v>
      </c>
      <c r="D5854" s="9">
        <v>41621.909062500003</v>
      </c>
      <c r="E5854" t="s">
        <v>21</v>
      </c>
      <c r="F5854">
        <f t="shared" ca="1" si="184"/>
        <v>1.1277777777777778</v>
      </c>
      <c r="G5854">
        <f t="shared" ca="1" si="185"/>
        <v>0</v>
      </c>
    </row>
    <row r="5855" spans="1:7">
      <c r="A5855">
        <v>8259</v>
      </c>
      <c r="B5855" t="s">
        <v>11</v>
      </c>
      <c r="C5855" t="s">
        <v>120</v>
      </c>
      <c r="D5855" s="9">
        <v>41576.368101851855</v>
      </c>
      <c r="E5855" t="s">
        <v>112</v>
      </c>
      <c r="F5855">
        <f t="shared" ca="1" si="184"/>
        <v>1.25</v>
      </c>
      <c r="G5855">
        <f t="shared" ca="1" si="185"/>
        <v>0</v>
      </c>
    </row>
    <row r="5856" spans="1:7">
      <c r="A5856">
        <v>8261</v>
      </c>
      <c r="B5856" t="s">
        <v>220</v>
      </c>
      <c r="C5856" t="s">
        <v>209</v>
      </c>
      <c r="D5856" s="9">
        <v>41934.604097222225</v>
      </c>
      <c r="E5856" t="s">
        <v>44</v>
      </c>
      <c r="F5856">
        <f t="shared" ca="1" si="184"/>
        <v>0.26944444444444443</v>
      </c>
      <c r="G5856">
        <f t="shared" ca="1" si="185"/>
        <v>1</v>
      </c>
    </row>
    <row r="5857" spans="1:7">
      <c r="A5857">
        <v>8263</v>
      </c>
      <c r="B5857" t="s">
        <v>30</v>
      </c>
      <c r="C5857" t="s">
        <v>119</v>
      </c>
      <c r="D5857" s="9">
        <v>41620.625127314815</v>
      </c>
      <c r="E5857" t="s">
        <v>44</v>
      </c>
      <c r="F5857">
        <f t="shared" ca="1" si="184"/>
        <v>1.1305555555555555</v>
      </c>
      <c r="G5857">
        <f t="shared" ca="1" si="185"/>
        <v>0</v>
      </c>
    </row>
    <row r="5858" spans="1:7">
      <c r="A5858">
        <v>8264</v>
      </c>
      <c r="B5858" t="s">
        <v>17</v>
      </c>
      <c r="C5858" t="s">
        <v>118</v>
      </c>
      <c r="D5858" s="9">
        <v>41708.369166666664</v>
      </c>
      <c r="E5858" t="s">
        <v>14</v>
      </c>
      <c r="F5858">
        <f t="shared" ca="1" si="184"/>
        <v>0.88611111111111107</v>
      </c>
      <c r="G5858">
        <f t="shared" ca="1" si="185"/>
        <v>1</v>
      </c>
    </row>
    <row r="5859" spans="1:7">
      <c r="A5859">
        <v>8266</v>
      </c>
      <c r="B5859" t="s">
        <v>20</v>
      </c>
      <c r="C5859" t="s">
        <v>120</v>
      </c>
      <c r="D5859" s="9">
        <v>41578.493414351855</v>
      </c>
      <c r="E5859" t="s">
        <v>8</v>
      </c>
      <c r="F5859">
        <f t="shared" ca="1" si="184"/>
        <v>1.2472222222222222</v>
      </c>
      <c r="G5859">
        <f t="shared" ca="1" si="185"/>
        <v>0</v>
      </c>
    </row>
    <row r="5860" spans="1:7">
      <c r="A5860">
        <v>8271</v>
      </c>
      <c r="B5860" t="s">
        <v>17</v>
      </c>
      <c r="C5860" t="s">
        <v>119</v>
      </c>
      <c r="D5860" s="9">
        <v>41656.527199074073</v>
      </c>
      <c r="E5860" t="s">
        <v>18</v>
      </c>
      <c r="F5860">
        <f t="shared" ca="1" si="184"/>
        <v>1.0333333333333334</v>
      </c>
      <c r="G5860">
        <f t="shared" ca="1" si="185"/>
        <v>0</v>
      </c>
    </row>
    <row r="5861" spans="1:7">
      <c r="A5861">
        <v>8274</v>
      </c>
      <c r="B5861" t="s">
        <v>17</v>
      </c>
      <c r="C5861" t="s">
        <v>119</v>
      </c>
      <c r="D5861" s="9">
        <v>41666.562361111108</v>
      </c>
      <c r="E5861" t="s">
        <v>24</v>
      </c>
      <c r="F5861">
        <f t="shared" ca="1" si="184"/>
        <v>1.0055555555555555</v>
      </c>
      <c r="G5861">
        <f t="shared" ca="1" si="185"/>
        <v>0</v>
      </c>
    </row>
    <row r="5862" spans="1:7">
      <c r="A5862">
        <v>8275</v>
      </c>
      <c r="B5862" t="s">
        <v>18</v>
      </c>
      <c r="C5862" t="s">
        <v>120</v>
      </c>
      <c r="D5862" s="9">
        <v>41578.661122685182</v>
      </c>
      <c r="E5862" t="s">
        <v>37</v>
      </c>
      <c r="F5862">
        <f t="shared" ca="1" si="184"/>
        <v>1.2472222222222222</v>
      </c>
      <c r="G5862">
        <f t="shared" ca="1" si="185"/>
        <v>0</v>
      </c>
    </row>
    <row r="5863" spans="1:7">
      <c r="A5863">
        <v>8276</v>
      </c>
      <c r="B5863" t="s">
        <v>14</v>
      </c>
      <c r="C5863" t="s">
        <v>120</v>
      </c>
      <c r="D5863" s="9">
        <v>41576.661203703705</v>
      </c>
      <c r="E5863" t="s">
        <v>34</v>
      </c>
      <c r="F5863">
        <f t="shared" ca="1" si="184"/>
        <v>1.25</v>
      </c>
      <c r="G5863">
        <f t="shared" ca="1" si="185"/>
        <v>0</v>
      </c>
    </row>
    <row r="5864" spans="1:7">
      <c r="A5864">
        <v>8286</v>
      </c>
      <c r="B5864" t="s">
        <v>14</v>
      </c>
      <c r="C5864" t="s">
        <v>120</v>
      </c>
      <c r="D5864" s="9">
        <v>41577.530891203707</v>
      </c>
      <c r="E5864" t="s">
        <v>8</v>
      </c>
      <c r="F5864">
        <f t="shared" ca="1" si="184"/>
        <v>1.2472222222222222</v>
      </c>
      <c r="G5864">
        <f t="shared" ca="1" si="185"/>
        <v>0</v>
      </c>
    </row>
    <row r="5865" spans="1:7">
      <c r="A5865">
        <v>8291</v>
      </c>
      <c r="B5865" t="s">
        <v>21</v>
      </c>
      <c r="C5865" t="s">
        <v>118</v>
      </c>
      <c r="D5865" s="9">
        <v>41711.577291666668</v>
      </c>
      <c r="E5865" t="s">
        <v>11</v>
      </c>
      <c r="F5865">
        <f t="shared" ca="1" si="184"/>
        <v>0.87777777777777777</v>
      </c>
      <c r="G5865">
        <f t="shared" ca="1" si="185"/>
        <v>1</v>
      </c>
    </row>
    <row r="5866" spans="1:7">
      <c r="A5866">
        <v>8292</v>
      </c>
      <c r="B5866" t="s">
        <v>14</v>
      </c>
      <c r="C5866" t="s">
        <v>119</v>
      </c>
      <c r="D5866" s="9">
        <v>41593.64298611111</v>
      </c>
      <c r="E5866" t="s">
        <v>8</v>
      </c>
      <c r="F5866">
        <f t="shared" ca="1" si="184"/>
        <v>1.2055555555555555</v>
      </c>
      <c r="G5866">
        <f t="shared" ca="1" si="185"/>
        <v>0</v>
      </c>
    </row>
    <row r="5867" spans="1:7">
      <c r="A5867">
        <v>8296</v>
      </c>
      <c r="B5867" t="s">
        <v>17</v>
      </c>
      <c r="C5867" t="s">
        <v>119</v>
      </c>
      <c r="D5867" s="9">
        <v>41600.588946759257</v>
      </c>
      <c r="E5867" t="s">
        <v>8</v>
      </c>
      <c r="F5867">
        <f t="shared" ca="1" si="184"/>
        <v>1.1861111111111111</v>
      </c>
      <c r="G5867">
        <f t="shared" ca="1" si="185"/>
        <v>0</v>
      </c>
    </row>
    <row r="5868" spans="1:7">
      <c r="A5868">
        <v>8304</v>
      </c>
      <c r="B5868" t="s">
        <v>8</v>
      </c>
      <c r="C5868" t="s">
        <v>118</v>
      </c>
      <c r="D5868" s="9">
        <v>41698.687013888892</v>
      </c>
      <c r="E5868" t="s">
        <v>36</v>
      </c>
      <c r="F5868">
        <f t="shared" ca="1" si="184"/>
        <v>0.91388888888888886</v>
      </c>
      <c r="G5868">
        <f t="shared" ca="1" si="185"/>
        <v>1</v>
      </c>
    </row>
    <row r="5869" spans="1:7">
      <c r="A5869">
        <v>8309</v>
      </c>
      <c r="B5869" t="s">
        <v>14</v>
      </c>
      <c r="C5869" t="s">
        <v>120</v>
      </c>
      <c r="D5869" s="9">
        <v>41578.645590277774</v>
      </c>
      <c r="E5869" t="s">
        <v>37</v>
      </c>
      <c r="F5869">
        <f t="shared" ca="1" si="184"/>
        <v>1.2472222222222222</v>
      </c>
      <c r="G5869">
        <f t="shared" ca="1" si="185"/>
        <v>0</v>
      </c>
    </row>
    <row r="5870" spans="1:7">
      <c r="A5870">
        <v>8313</v>
      </c>
      <c r="B5870" t="s">
        <v>24</v>
      </c>
      <c r="C5870" t="s">
        <v>119</v>
      </c>
      <c r="D5870" s="9">
        <v>41590.394930555558</v>
      </c>
      <c r="E5870" t="s">
        <v>37</v>
      </c>
      <c r="F5870">
        <f t="shared" ca="1" si="184"/>
        <v>1.2138888888888888</v>
      </c>
      <c r="G5870">
        <f t="shared" ca="1" si="185"/>
        <v>0</v>
      </c>
    </row>
    <row r="5871" spans="1:7">
      <c r="A5871">
        <v>8315</v>
      </c>
      <c r="B5871" t="s">
        <v>37</v>
      </c>
      <c r="C5871" t="s">
        <v>119</v>
      </c>
      <c r="D5871" s="9">
        <v>41656.543634259258</v>
      </c>
      <c r="E5871" t="s">
        <v>18</v>
      </c>
      <c r="F5871">
        <f t="shared" ca="1" si="184"/>
        <v>1.0333333333333334</v>
      </c>
      <c r="G5871">
        <f t="shared" ca="1" si="185"/>
        <v>0</v>
      </c>
    </row>
    <row r="5872" spans="1:7">
      <c r="A5872">
        <v>8332</v>
      </c>
      <c r="B5872" t="s">
        <v>21</v>
      </c>
      <c r="C5872" t="s">
        <v>119</v>
      </c>
      <c r="D5872" s="9">
        <v>41596.575810185182</v>
      </c>
      <c r="E5872" t="s">
        <v>19</v>
      </c>
      <c r="F5872">
        <f t="shared" ca="1" si="184"/>
        <v>1.1972222222222222</v>
      </c>
      <c r="G5872">
        <f t="shared" ca="1" si="185"/>
        <v>0</v>
      </c>
    </row>
    <row r="5873" spans="1:7">
      <c r="A5873">
        <v>8333</v>
      </c>
      <c r="B5873" t="s">
        <v>14</v>
      </c>
      <c r="C5873" t="s">
        <v>118</v>
      </c>
      <c r="D5873" s="9">
        <v>41733.659270833334</v>
      </c>
      <c r="E5873" t="s">
        <v>34</v>
      </c>
      <c r="F5873">
        <f t="shared" ca="1" si="184"/>
        <v>0.81944444444444442</v>
      </c>
      <c r="G5873">
        <f t="shared" ca="1" si="185"/>
        <v>1</v>
      </c>
    </row>
    <row r="5874" spans="1:7">
      <c r="A5874">
        <v>8336</v>
      </c>
      <c r="B5874" t="s">
        <v>211</v>
      </c>
      <c r="C5874" t="s">
        <v>209</v>
      </c>
      <c r="D5874" s="9">
        <v>41894.585405092592</v>
      </c>
      <c r="E5874" t="s">
        <v>30</v>
      </c>
      <c r="F5874">
        <f t="shared" ca="1" si="184"/>
        <v>0.38055555555555554</v>
      </c>
      <c r="G5874">
        <f t="shared" ca="1" si="185"/>
        <v>1</v>
      </c>
    </row>
    <row r="5875" spans="1:7">
      <c r="A5875">
        <v>8338</v>
      </c>
      <c r="B5875" t="s">
        <v>11</v>
      </c>
      <c r="C5875" t="s">
        <v>120</v>
      </c>
      <c r="D5875" s="9">
        <v>41582.639837962961</v>
      </c>
      <c r="F5875">
        <f t="shared" ca="1" si="184"/>
        <v>1.2361111111111112</v>
      </c>
      <c r="G5875">
        <f t="shared" ca="1" si="185"/>
        <v>0</v>
      </c>
    </row>
    <row r="5876" spans="1:7">
      <c r="A5876">
        <v>8341</v>
      </c>
      <c r="B5876" t="s">
        <v>24</v>
      </c>
      <c r="C5876" t="s">
        <v>119</v>
      </c>
      <c r="D5876" s="9">
        <v>41589.428831018522</v>
      </c>
      <c r="E5876" t="s">
        <v>37</v>
      </c>
      <c r="F5876">
        <f t="shared" ca="1" si="184"/>
        <v>1.2166666666666666</v>
      </c>
      <c r="G5876">
        <f t="shared" ca="1" si="185"/>
        <v>0</v>
      </c>
    </row>
    <row r="5877" spans="1:7">
      <c r="A5877">
        <v>8342</v>
      </c>
      <c r="B5877" t="s">
        <v>11</v>
      </c>
      <c r="C5877" t="s">
        <v>118</v>
      </c>
      <c r="D5877" s="9">
        <v>41813.668182870373</v>
      </c>
      <c r="E5877" t="s">
        <v>32</v>
      </c>
      <c r="F5877">
        <f t="shared" ca="1" si="184"/>
        <v>0.6</v>
      </c>
      <c r="G5877">
        <f t="shared" ca="1" si="185"/>
        <v>1</v>
      </c>
    </row>
    <row r="5878" spans="1:7">
      <c r="A5878">
        <v>8343</v>
      </c>
      <c r="B5878" t="s">
        <v>14</v>
      </c>
      <c r="C5878" t="s">
        <v>119</v>
      </c>
      <c r="D5878" s="9">
        <v>41593.656493055554</v>
      </c>
      <c r="E5878" t="s">
        <v>24</v>
      </c>
      <c r="F5878">
        <f t="shared" ca="1" si="184"/>
        <v>1.2055555555555555</v>
      </c>
      <c r="G5878">
        <f t="shared" ca="1" si="185"/>
        <v>0</v>
      </c>
    </row>
    <row r="5879" spans="1:7">
      <c r="A5879">
        <v>8346</v>
      </c>
      <c r="B5879" t="s">
        <v>14</v>
      </c>
      <c r="C5879" t="s">
        <v>119</v>
      </c>
      <c r="D5879" s="9">
        <v>41642.606805555559</v>
      </c>
      <c r="E5879" t="s">
        <v>34</v>
      </c>
      <c r="F5879">
        <f t="shared" ca="1" si="184"/>
        <v>1.0722222222222222</v>
      </c>
      <c r="G5879">
        <f t="shared" ca="1" si="185"/>
        <v>0</v>
      </c>
    </row>
    <row r="5880" spans="1:7">
      <c r="A5880">
        <v>8347</v>
      </c>
      <c r="B5880" t="s">
        <v>14</v>
      </c>
      <c r="C5880" t="s">
        <v>119</v>
      </c>
      <c r="D5880" s="9">
        <v>41670.590185185189</v>
      </c>
      <c r="E5880" t="s">
        <v>34</v>
      </c>
      <c r="F5880">
        <f t="shared" ca="1" si="184"/>
        <v>0.99722222222222223</v>
      </c>
      <c r="G5880">
        <f t="shared" ca="1" si="185"/>
        <v>1</v>
      </c>
    </row>
    <row r="5881" spans="1:7">
      <c r="A5881">
        <v>8352</v>
      </c>
      <c r="B5881" t="s">
        <v>20</v>
      </c>
      <c r="C5881" t="s">
        <v>119</v>
      </c>
      <c r="D5881" s="9">
        <v>41585.825092592589</v>
      </c>
      <c r="E5881" t="s">
        <v>38</v>
      </c>
      <c r="F5881">
        <f t="shared" ca="1" si="184"/>
        <v>1.2277777777777779</v>
      </c>
      <c r="G5881">
        <f t="shared" ca="1" si="185"/>
        <v>0</v>
      </c>
    </row>
    <row r="5882" spans="1:7">
      <c r="A5882">
        <v>8354</v>
      </c>
      <c r="B5882" t="s">
        <v>37</v>
      </c>
      <c r="C5882" t="s">
        <v>118</v>
      </c>
      <c r="D5882" s="9">
        <v>41677.638437499998</v>
      </c>
      <c r="E5882" t="s">
        <v>8</v>
      </c>
      <c r="F5882">
        <f t="shared" ca="1" si="184"/>
        <v>0.97777777777777775</v>
      </c>
      <c r="G5882">
        <f t="shared" ca="1" si="185"/>
        <v>1</v>
      </c>
    </row>
    <row r="5883" spans="1:7">
      <c r="A5883">
        <v>8355</v>
      </c>
      <c r="B5883" t="s">
        <v>20</v>
      </c>
      <c r="C5883" t="s">
        <v>119</v>
      </c>
      <c r="D5883" s="9">
        <v>41593.647476851853</v>
      </c>
      <c r="E5883" t="s">
        <v>27</v>
      </c>
      <c r="F5883">
        <f t="shared" ca="1" si="184"/>
        <v>1.2055555555555555</v>
      </c>
      <c r="G5883">
        <f t="shared" ca="1" si="185"/>
        <v>0</v>
      </c>
    </row>
    <row r="5884" spans="1:7">
      <c r="A5884">
        <v>8356</v>
      </c>
      <c r="B5884" t="s">
        <v>11</v>
      </c>
      <c r="C5884" t="s">
        <v>118</v>
      </c>
      <c r="D5884" s="9">
        <v>41711.482789351852</v>
      </c>
      <c r="E5884" t="s">
        <v>8</v>
      </c>
      <c r="F5884">
        <f t="shared" ca="1" si="184"/>
        <v>0.87777777777777777</v>
      </c>
      <c r="G5884">
        <f t="shared" ca="1" si="185"/>
        <v>1</v>
      </c>
    </row>
    <row r="5885" spans="1:7">
      <c r="A5885">
        <v>8357</v>
      </c>
      <c r="B5885" t="s">
        <v>11</v>
      </c>
      <c r="C5885" t="s">
        <v>118</v>
      </c>
      <c r="D5885" s="9">
        <v>41731.657870370371</v>
      </c>
      <c r="E5885" t="s">
        <v>8</v>
      </c>
      <c r="F5885">
        <f t="shared" ca="1" si="184"/>
        <v>0.82499999999999996</v>
      </c>
      <c r="G5885">
        <f t="shared" ca="1" si="185"/>
        <v>1</v>
      </c>
    </row>
    <row r="5886" spans="1:7">
      <c r="A5886">
        <v>8358</v>
      </c>
      <c r="B5886" t="s">
        <v>11</v>
      </c>
      <c r="C5886" t="s">
        <v>118</v>
      </c>
      <c r="D5886" s="9">
        <v>41761.65116898148</v>
      </c>
      <c r="E5886" t="s">
        <v>21</v>
      </c>
      <c r="F5886">
        <f t="shared" ca="1" si="184"/>
        <v>0.7416666666666667</v>
      </c>
      <c r="G5886">
        <f t="shared" ca="1" si="185"/>
        <v>1</v>
      </c>
    </row>
    <row r="5887" spans="1:7">
      <c r="A5887">
        <v>8359</v>
      </c>
      <c r="B5887" t="s">
        <v>11</v>
      </c>
      <c r="C5887" t="s">
        <v>118</v>
      </c>
      <c r="D5887" s="9">
        <v>41691.770277777781</v>
      </c>
      <c r="E5887" t="s">
        <v>21</v>
      </c>
      <c r="F5887">
        <f t="shared" ca="1" si="184"/>
        <v>0.93888888888888888</v>
      </c>
      <c r="G5887">
        <f t="shared" ca="1" si="185"/>
        <v>1</v>
      </c>
    </row>
    <row r="5888" spans="1:7">
      <c r="A5888">
        <v>8360</v>
      </c>
      <c r="B5888" t="s">
        <v>11</v>
      </c>
      <c r="C5888" t="s">
        <v>118</v>
      </c>
      <c r="D5888" s="9">
        <v>41722.754571759258</v>
      </c>
      <c r="E5888" t="s">
        <v>20</v>
      </c>
      <c r="F5888">
        <f t="shared" ca="1" si="184"/>
        <v>0.84722222222222221</v>
      </c>
      <c r="G5888">
        <f t="shared" ca="1" si="185"/>
        <v>1</v>
      </c>
    </row>
    <row r="5889" spans="1:7">
      <c r="A5889">
        <v>8361</v>
      </c>
      <c r="B5889" t="s">
        <v>11</v>
      </c>
      <c r="C5889" t="s">
        <v>118</v>
      </c>
      <c r="D5889" s="9">
        <v>41775.793935185182</v>
      </c>
      <c r="E5889" t="s">
        <v>21</v>
      </c>
      <c r="F5889">
        <f t="shared" ca="1" si="184"/>
        <v>0.70277777777777772</v>
      </c>
      <c r="G5889">
        <f t="shared" ca="1" si="185"/>
        <v>1</v>
      </c>
    </row>
    <row r="5890" spans="1:7">
      <c r="A5890">
        <v>8362</v>
      </c>
      <c r="B5890" t="s">
        <v>11</v>
      </c>
      <c r="C5890" t="s">
        <v>118</v>
      </c>
      <c r="D5890" s="9">
        <v>41768.564189814817</v>
      </c>
      <c r="E5890" t="s">
        <v>19</v>
      </c>
      <c r="F5890">
        <f t="shared" ca="1" si="184"/>
        <v>0.72222222222222221</v>
      </c>
      <c r="G5890">
        <f t="shared" ca="1" si="185"/>
        <v>1</v>
      </c>
    </row>
    <row r="5891" spans="1:7">
      <c r="A5891">
        <v>8363</v>
      </c>
      <c r="B5891" t="s">
        <v>8</v>
      </c>
      <c r="C5891" t="s">
        <v>119</v>
      </c>
      <c r="D5891" s="9">
        <v>41586.562789351854</v>
      </c>
      <c r="E5891" t="s">
        <v>27</v>
      </c>
      <c r="F5891">
        <f t="shared" ca="1" si="184"/>
        <v>1.2250000000000001</v>
      </c>
      <c r="G5891">
        <f t="shared" ca="1" si="185"/>
        <v>0</v>
      </c>
    </row>
    <row r="5892" spans="1:7">
      <c r="A5892">
        <v>8365</v>
      </c>
      <c r="B5892" t="s">
        <v>50</v>
      </c>
      <c r="C5892" t="s">
        <v>118</v>
      </c>
      <c r="D5892" s="9">
        <v>41821.709097222221</v>
      </c>
      <c r="E5892" t="s">
        <v>8</v>
      </c>
      <c r="F5892">
        <f t="shared" ca="1" si="184"/>
        <v>0.57777777777777772</v>
      </c>
      <c r="G5892">
        <f t="shared" ca="1" si="185"/>
        <v>1</v>
      </c>
    </row>
    <row r="5893" spans="1:7">
      <c r="A5893">
        <v>8375</v>
      </c>
      <c r="B5893" t="s">
        <v>112</v>
      </c>
      <c r="C5893" t="s">
        <v>119</v>
      </c>
      <c r="D5893" s="9">
        <v>41585.918124999997</v>
      </c>
      <c r="E5893" t="s">
        <v>27</v>
      </c>
      <c r="F5893">
        <f t="shared" ca="1" si="184"/>
        <v>1.2277777777777779</v>
      </c>
      <c r="G5893">
        <f t="shared" ca="1" si="185"/>
        <v>0</v>
      </c>
    </row>
    <row r="5894" spans="1:7">
      <c r="A5894">
        <v>8376</v>
      </c>
      <c r="B5894" t="s">
        <v>19</v>
      </c>
      <c r="C5894" t="s">
        <v>118</v>
      </c>
      <c r="D5894" s="9">
        <v>41695.7969212963</v>
      </c>
      <c r="E5894" t="s">
        <v>27</v>
      </c>
      <c r="F5894">
        <f t="shared" ca="1" si="184"/>
        <v>0.92777777777777781</v>
      </c>
      <c r="G5894">
        <f t="shared" ca="1" si="185"/>
        <v>1</v>
      </c>
    </row>
    <row r="5895" spans="1:7">
      <c r="A5895">
        <v>8379</v>
      </c>
      <c r="B5895" t="s">
        <v>14</v>
      </c>
      <c r="C5895" t="s">
        <v>119</v>
      </c>
      <c r="D5895" s="9">
        <v>41593.632222222222</v>
      </c>
      <c r="E5895" t="s">
        <v>17</v>
      </c>
      <c r="F5895">
        <f t="shared" ref="F5895:F5958" ca="1" si="186">YEARFRAC(TODAY(),$D5895)</f>
        <v>1.2055555555555555</v>
      </c>
      <c r="G5895">
        <f t="shared" ref="G5895:G5958" ca="1" si="187">IF($F5895&lt;1,1,0)</f>
        <v>0</v>
      </c>
    </row>
    <row r="5896" spans="1:7">
      <c r="A5896">
        <v>8381</v>
      </c>
      <c r="B5896" t="s">
        <v>19</v>
      </c>
      <c r="C5896" t="s">
        <v>119</v>
      </c>
      <c r="D5896" s="9">
        <v>41596.385277777779</v>
      </c>
      <c r="E5896" t="s">
        <v>8</v>
      </c>
      <c r="F5896">
        <f t="shared" ca="1" si="186"/>
        <v>1.1972222222222222</v>
      </c>
      <c r="G5896">
        <f t="shared" ca="1" si="187"/>
        <v>0</v>
      </c>
    </row>
    <row r="5897" spans="1:7">
      <c r="A5897">
        <v>8382</v>
      </c>
      <c r="B5897" t="s">
        <v>112</v>
      </c>
      <c r="C5897" t="s">
        <v>119</v>
      </c>
      <c r="D5897" s="9">
        <v>41593.781099537038</v>
      </c>
      <c r="E5897" t="s">
        <v>11</v>
      </c>
      <c r="F5897">
        <f t="shared" ca="1" si="186"/>
        <v>1.2055555555555555</v>
      </c>
      <c r="G5897">
        <f t="shared" ca="1" si="187"/>
        <v>0</v>
      </c>
    </row>
    <row r="5898" spans="1:7">
      <c r="A5898">
        <v>8384</v>
      </c>
      <c r="B5898" t="s">
        <v>27</v>
      </c>
      <c r="C5898" t="s">
        <v>119</v>
      </c>
      <c r="D5898" s="9">
        <v>41592.864224537036</v>
      </c>
      <c r="E5898" t="s">
        <v>20</v>
      </c>
      <c r="F5898">
        <f t="shared" ca="1" si="186"/>
        <v>1.2083333333333333</v>
      </c>
      <c r="G5898">
        <f t="shared" ca="1" si="187"/>
        <v>0</v>
      </c>
    </row>
    <row r="5899" spans="1:7">
      <c r="A5899">
        <v>8385</v>
      </c>
      <c r="B5899" t="s">
        <v>14</v>
      </c>
      <c r="C5899" t="s">
        <v>119</v>
      </c>
      <c r="D5899" s="9">
        <v>41591.627627314818</v>
      </c>
      <c r="E5899" t="s">
        <v>29</v>
      </c>
      <c r="F5899">
        <f t="shared" ca="1" si="186"/>
        <v>1.211111111111111</v>
      </c>
      <c r="G5899">
        <f t="shared" ca="1" si="187"/>
        <v>0</v>
      </c>
    </row>
    <row r="5900" spans="1:7">
      <c r="A5900">
        <v>8387</v>
      </c>
      <c r="B5900" t="s">
        <v>14</v>
      </c>
      <c r="C5900" t="s">
        <v>119</v>
      </c>
      <c r="D5900" s="9">
        <v>41596.415763888886</v>
      </c>
      <c r="E5900" t="s">
        <v>34</v>
      </c>
      <c r="F5900">
        <f t="shared" ca="1" si="186"/>
        <v>1.1972222222222222</v>
      </c>
      <c r="G5900">
        <f t="shared" ca="1" si="187"/>
        <v>0</v>
      </c>
    </row>
    <row r="5901" spans="1:7">
      <c r="A5901">
        <v>8388</v>
      </c>
      <c r="B5901" t="s">
        <v>14</v>
      </c>
      <c r="C5901" t="s">
        <v>119</v>
      </c>
      <c r="D5901" s="9">
        <v>41596.626481481479</v>
      </c>
      <c r="E5901" t="s">
        <v>23</v>
      </c>
      <c r="F5901">
        <f t="shared" ca="1" si="186"/>
        <v>1.1972222222222222</v>
      </c>
      <c r="G5901">
        <f t="shared" ca="1" si="187"/>
        <v>0</v>
      </c>
    </row>
    <row r="5902" spans="1:7">
      <c r="A5902">
        <v>8389</v>
      </c>
      <c r="B5902" t="s">
        <v>14</v>
      </c>
      <c r="C5902" t="s">
        <v>119</v>
      </c>
      <c r="D5902" s="9">
        <v>41607.662662037037</v>
      </c>
      <c r="E5902" t="s">
        <v>112</v>
      </c>
      <c r="F5902">
        <f t="shared" ca="1" si="186"/>
        <v>1.1666666666666667</v>
      </c>
      <c r="G5902">
        <f t="shared" ca="1" si="187"/>
        <v>0</v>
      </c>
    </row>
    <row r="5903" spans="1:7">
      <c r="A5903">
        <v>8391</v>
      </c>
      <c r="B5903" t="s">
        <v>14</v>
      </c>
      <c r="C5903" t="s">
        <v>119</v>
      </c>
      <c r="D5903" s="9">
        <v>41670.372060185182</v>
      </c>
      <c r="E5903" t="s">
        <v>34</v>
      </c>
      <c r="F5903">
        <f t="shared" ca="1" si="186"/>
        <v>0.99722222222222223</v>
      </c>
      <c r="G5903">
        <f t="shared" ca="1" si="187"/>
        <v>1</v>
      </c>
    </row>
    <row r="5904" spans="1:7">
      <c r="A5904">
        <v>8392</v>
      </c>
      <c r="B5904" t="s">
        <v>14</v>
      </c>
      <c r="C5904" t="s">
        <v>119</v>
      </c>
      <c r="D5904" s="9">
        <v>41670.641574074078</v>
      </c>
      <c r="E5904" t="s">
        <v>37</v>
      </c>
      <c r="F5904">
        <f t="shared" ca="1" si="186"/>
        <v>0.99722222222222223</v>
      </c>
      <c r="G5904">
        <f t="shared" ca="1" si="187"/>
        <v>1</v>
      </c>
    </row>
    <row r="5905" spans="1:7">
      <c r="A5905">
        <v>8393</v>
      </c>
      <c r="B5905" t="s">
        <v>14</v>
      </c>
      <c r="C5905" t="s">
        <v>119</v>
      </c>
      <c r="D5905" s="9">
        <v>41607.512928240743</v>
      </c>
      <c r="E5905" t="s">
        <v>17</v>
      </c>
      <c r="F5905">
        <f t="shared" ca="1" si="186"/>
        <v>1.1666666666666667</v>
      </c>
      <c r="G5905">
        <f t="shared" ca="1" si="187"/>
        <v>0</v>
      </c>
    </row>
    <row r="5906" spans="1:7">
      <c r="A5906">
        <v>8395</v>
      </c>
      <c r="B5906" t="s">
        <v>24</v>
      </c>
      <c r="C5906" t="s">
        <v>119</v>
      </c>
      <c r="D5906" s="9">
        <v>41596.645648148151</v>
      </c>
      <c r="E5906" t="s">
        <v>37</v>
      </c>
      <c r="F5906">
        <f t="shared" ca="1" si="186"/>
        <v>1.1972222222222222</v>
      </c>
      <c r="G5906">
        <f t="shared" ca="1" si="187"/>
        <v>0</v>
      </c>
    </row>
    <row r="5907" spans="1:7">
      <c r="A5907">
        <v>8396</v>
      </c>
      <c r="B5907" t="s">
        <v>30</v>
      </c>
      <c r="C5907" t="s">
        <v>119</v>
      </c>
      <c r="D5907" s="9">
        <v>41642.485555555555</v>
      </c>
      <c r="E5907" t="s">
        <v>21</v>
      </c>
      <c r="F5907">
        <f t="shared" ca="1" si="186"/>
        <v>1.0722222222222222</v>
      </c>
      <c r="G5907">
        <f t="shared" ca="1" si="187"/>
        <v>0</v>
      </c>
    </row>
    <row r="5908" spans="1:7">
      <c r="A5908">
        <v>8397</v>
      </c>
      <c r="B5908" t="s">
        <v>30</v>
      </c>
      <c r="C5908" t="s">
        <v>119</v>
      </c>
      <c r="D5908" s="9">
        <v>41604.075046296297</v>
      </c>
      <c r="E5908" t="s">
        <v>21</v>
      </c>
      <c r="F5908">
        <f t="shared" ca="1" si="186"/>
        <v>1.175</v>
      </c>
      <c r="G5908">
        <f t="shared" ca="1" si="187"/>
        <v>0</v>
      </c>
    </row>
    <row r="5909" spans="1:7">
      <c r="A5909">
        <v>8398</v>
      </c>
      <c r="B5909" t="s">
        <v>30</v>
      </c>
      <c r="C5909" t="s">
        <v>119</v>
      </c>
      <c r="D5909" s="9">
        <v>41646.634039351855</v>
      </c>
      <c r="E5909" t="s">
        <v>44</v>
      </c>
      <c r="F5909">
        <f t="shared" ca="1" si="186"/>
        <v>1.0611111111111111</v>
      </c>
      <c r="G5909">
        <f t="shared" ca="1" si="187"/>
        <v>0</v>
      </c>
    </row>
    <row r="5910" spans="1:7">
      <c r="A5910">
        <v>8400</v>
      </c>
      <c r="B5910" t="s">
        <v>30</v>
      </c>
      <c r="C5910" t="s">
        <v>119</v>
      </c>
      <c r="D5910" s="9">
        <v>41647.677731481483</v>
      </c>
      <c r="E5910" t="s">
        <v>21</v>
      </c>
      <c r="F5910">
        <f t="shared" ca="1" si="186"/>
        <v>1.0583333333333333</v>
      </c>
      <c r="G5910">
        <f t="shared" ca="1" si="187"/>
        <v>0</v>
      </c>
    </row>
    <row r="5911" spans="1:7">
      <c r="A5911">
        <v>8401</v>
      </c>
      <c r="B5911" t="s">
        <v>17</v>
      </c>
      <c r="C5911" t="s">
        <v>119</v>
      </c>
      <c r="D5911" s="9">
        <v>41666.562384259261</v>
      </c>
      <c r="E5911" t="s">
        <v>24</v>
      </c>
      <c r="F5911">
        <f t="shared" ca="1" si="186"/>
        <v>1.0055555555555555</v>
      </c>
      <c r="G5911">
        <f t="shared" ca="1" si="187"/>
        <v>0</v>
      </c>
    </row>
    <row r="5912" spans="1:7">
      <c r="A5912">
        <v>8402</v>
      </c>
      <c r="B5912" t="s">
        <v>30</v>
      </c>
      <c r="C5912" t="s">
        <v>119</v>
      </c>
      <c r="D5912" s="9">
        <v>41656.639467592591</v>
      </c>
      <c r="E5912" t="s">
        <v>21</v>
      </c>
      <c r="F5912">
        <f t="shared" ca="1" si="186"/>
        <v>1.0333333333333334</v>
      </c>
      <c r="G5912">
        <f t="shared" ca="1" si="187"/>
        <v>0</v>
      </c>
    </row>
    <row r="5913" spans="1:7">
      <c r="A5913">
        <v>8403</v>
      </c>
      <c r="B5913" t="s">
        <v>30</v>
      </c>
      <c r="C5913" t="s">
        <v>119</v>
      </c>
      <c r="D5913" s="9">
        <v>41648.781493055554</v>
      </c>
      <c r="E5913" t="s">
        <v>21</v>
      </c>
      <c r="F5913">
        <f t="shared" ca="1" si="186"/>
        <v>1.0555555555555556</v>
      </c>
      <c r="G5913">
        <f t="shared" ca="1" si="187"/>
        <v>0</v>
      </c>
    </row>
    <row r="5914" spans="1:7">
      <c r="A5914">
        <v>8404</v>
      </c>
      <c r="B5914" t="s">
        <v>30</v>
      </c>
      <c r="C5914" t="s">
        <v>119</v>
      </c>
      <c r="D5914" s="9">
        <v>41670.583101851851</v>
      </c>
      <c r="E5914" t="s">
        <v>21</v>
      </c>
      <c r="F5914">
        <f t="shared" ca="1" si="186"/>
        <v>0.99722222222222223</v>
      </c>
      <c r="G5914">
        <f t="shared" ca="1" si="187"/>
        <v>1</v>
      </c>
    </row>
    <row r="5915" spans="1:7">
      <c r="A5915">
        <v>8405</v>
      </c>
      <c r="B5915" t="s">
        <v>21</v>
      </c>
      <c r="C5915" t="s">
        <v>119</v>
      </c>
      <c r="D5915" s="9">
        <v>41666.562361111108</v>
      </c>
      <c r="E5915" t="s">
        <v>36</v>
      </c>
      <c r="F5915">
        <f t="shared" ca="1" si="186"/>
        <v>1.0055555555555555</v>
      </c>
      <c r="G5915">
        <f t="shared" ca="1" si="187"/>
        <v>0</v>
      </c>
    </row>
    <row r="5916" spans="1:7">
      <c r="A5916">
        <v>8410</v>
      </c>
      <c r="B5916" t="s">
        <v>20</v>
      </c>
      <c r="C5916" t="s">
        <v>119</v>
      </c>
      <c r="D5916" s="9">
        <v>41620.717800925922</v>
      </c>
      <c r="E5916" t="s">
        <v>11</v>
      </c>
      <c r="F5916">
        <f t="shared" ca="1" si="186"/>
        <v>1.1305555555555555</v>
      </c>
      <c r="G5916">
        <f t="shared" ca="1" si="187"/>
        <v>0</v>
      </c>
    </row>
    <row r="5917" spans="1:7">
      <c r="A5917">
        <v>8412</v>
      </c>
      <c r="B5917" t="s">
        <v>8</v>
      </c>
      <c r="C5917" t="s">
        <v>119</v>
      </c>
      <c r="D5917" s="9">
        <v>41593.69253472222</v>
      </c>
      <c r="E5917" t="s">
        <v>18</v>
      </c>
      <c r="F5917">
        <f t="shared" ca="1" si="186"/>
        <v>1.2055555555555555</v>
      </c>
      <c r="G5917">
        <f t="shared" ca="1" si="187"/>
        <v>0</v>
      </c>
    </row>
    <row r="5918" spans="1:7">
      <c r="A5918">
        <v>8418</v>
      </c>
      <c r="B5918" t="s">
        <v>112</v>
      </c>
      <c r="C5918" t="s">
        <v>119</v>
      </c>
      <c r="D5918" s="9">
        <v>41596.388784722221</v>
      </c>
      <c r="E5918" t="s">
        <v>14</v>
      </c>
      <c r="F5918">
        <f t="shared" ca="1" si="186"/>
        <v>1.1972222222222222</v>
      </c>
      <c r="G5918">
        <f t="shared" ca="1" si="187"/>
        <v>0</v>
      </c>
    </row>
    <row r="5919" spans="1:7">
      <c r="A5919">
        <v>8419</v>
      </c>
      <c r="B5919" t="s">
        <v>213</v>
      </c>
      <c r="C5919" t="s">
        <v>209</v>
      </c>
      <c r="D5919" s="9">
        <v>41928.417997685188</v>
      </c>
      <c r="E5919" t="s">
        <v>44</v>
      </c>
      <c r="F5919">
        <f t="shared" ca="1" si="186"/>
        <v>0.28611111111111109</v>
      </c>
      <c r="G5919">
        <f t="shared" ca="1" si="187"/>
        <v>1</v>
      </c>
    </row>
    <row r="5920" spans="1:7">
      <c r="A5920">
        <v>8425</v>
      </c>
      <c r="B5920" t="s">
        <v>8</v>
      </c>
      <c r="C5920" t="s">
        <v>119</v>
      </c>
      <c r="D5920" s="9">
        <v>41590.672835648147</v>
      </c>
      <c r="E5920" t="s">
        <v>17</v>
      </c>
      <c r="F5920">
        <f t="shared" ca="1" si="186"/>
        <v>1.2138888888888888</v>
      </c>
      <c r="G5920">
        <f t="shared" ca="1" si="187"/>
        <v>0</v>
      </c>
    </row>
    <row r="5921" spans="1:7">
      <c r="A5921">
        <v>8427</v>
      </c>
      <c r="B5921" t="s">
        <v>21</v>
      </c>
      <c r="C5921" t="s">
        <v>119</v>
      </c>
      <c r="D5921" s="9">
        <v>41628.829872685186</v>
      </c>
      <c r="E5921" t="s">
        <v>36</v>
      </c>
      <c r="F5921">
        <f t="shared" ca="1" si="186"/>
        <v>1.1083333333333334</v>
      </c>
      <c r="G5921">
        <f t="shared" ca="1" si="187"/>
        <v>0</v>
      </c>
    </row>
    <row r="5922" spans="1:7">
      <c r="A5922">
        <v>8428</v>
      </c>
      <c r="B5922" t="s">
        <v>19</v>
      </c>
      <c r="C5922" t="s">
        <v>119</v>
      </c>
      <c r="D5922" s="9">
        <v>41597.360833333332</v>
      </c>
      <c r="E5922" t="s">
        <v>8</v>
      </c>
      <c r="F5922">
        <f t="shared" ca="1" si="186"/>
        <v>1.1944444444444444</v>
      </c>
      <c r="G5922">
        <f t="shared" ca="1" si="187"/>
        <v>0</v>
      </c>
    </row>
    <row r="5923" spans="1:7">
      <c r="A5923">
        <v>8431</v>
      </c>
      <c r="B5923" t="s">
        <v>14</v>
      </c>
      <c r="C5923" t="s">
        <v>119</v>
      </c>
      <c r="D5923" s="9">
        <v>41593.583564814813</v>
      </c>
      <c r="E5923" t="s">
        <v>27</v>
      </c>
      <c r="F5923">
        <f t="shared" ca="1" si="186"/>
        <v>1.2055555555555555</v>
      </c>
      <c r="G5923">
        <f t="shared" ca="1" si="187"/>
        <v>0</v>
      </c>
    </row>
    <row r="5924" spans="1:7">
      <c r="A5924">
        <v>8434</v>
      </c>
      <c r="B5924" t="s">
        <v>52</v>
      </c>
      <c r="C5924" t="s">
        <v>119</v>
      </c>
      <c r="D5924" s="9">
        <v>41670.584120370368</v>
      </c>
      <c r="F5924">
        <f t="shared" ca="1" si="186"/>
        <v>0.99722222222222223</v>
      </c>
      <c r="G5924">
        <f t="shared" ca="1" si="187"/>
        <v>1</v>
      </c>
    </row>
    <row r="5925" spans="1:7">
      <c r="A5925">
        <v>8435</v>
      </c>
      <c r="B5925" t="s">
        <v>24</v>
      </c>
      <c r="C5925" t="s">
        <v>119</v>
      </c>
      <c r="D5925" s="9">
        <v>41604.579189814816</v>
      </c>
      <c r="E5925" t="s">
        <v>37</v>
      </c>
      <c r="F5925">
        <f t="shared" ca="1" si="186"/>
        <v>1.175</v>
      </c>
      <c r="G5925">
        <f t="shared" ca="1" si="187"/>
        <v>0</v>
      </c>
    </row>
    <row r="5926" spans="1:7">
      <c r="A5926">
        <v>8436</v>
      </c>
      <c r="B5926" t="s">
        <v>34</v>
      </c>
      <c r="C5926" t="s">
        <v>119</v>
      </c>
      <c r="D5926" s="9">
        <v>41666.562430555554</v>
      </c>
      <c r="E5926" t="s">
        <v>14</v>
      </c>
      <c r="F5926">
        <f t="shared" ca="1" si="186"/>
        <v>1.0055555555555555</v>
      </c>
      <c r="G5926">
        <f t="shared" ca="1" si="187"/>
        <v>0</v>
      </c>
    </row>
    <row r="5927" spans="1:7">
      <c r="A5927">
        <v>8437</v>
      </c>
      <c r="B5927" t="s">
        <v>112</v>
      </c>
      <c r="C5927" t="s">
        <v>119</v>
      </c>
      <c r="D5927" s="9">
        <v>41596.428773148145</v>
      </c>
      <c r="E5927" t="s">
        <v>14</v>
      </c>
      <c r="F5927">
        <f t="shared" ca="1" si="186"/>
        <v>1.1972222222222222</v>
      </c>
      <c r="G5927">
        <f t="shared" ca="1" si="187"/>
        <v>0</v>
      </c>
    </row>
    <row r="5928" spans="1:7">
      <c r="A5928">
        <v>8438</v>
      </c>
      <c r="B5928" t="s">
        <v>24</v>
      </c>
      <c r="C5928" t="s">
        <v>119</v>
      </c>
      <c r="D5928" s="9">
        <v>41600.653738425928</v>
      </c>
      <c r="E5928" t="s">
        <v>44</v>
      </c>
      <c r="F5928">
        <f t="shared" ca="1" si="186"/>
        <v>1.1861111111111111</v>
      </c>
      <c r="G5928">
        <f t="shared" ca="1" si="187"/>
        <v>0</v>
      </c>
    </row>
    <row r="5929" spans="1:7">
      <c r="A5929">
        <v>8440</v>
      </c>
      <c r="B5929" t="s">
        <v>8</v>
      </c>
      <c r="C5929" t="s">
        <v>119</v>
      </c>
      <c r="D5929" s="9">
        <v>41593.578888888886</v>
      </c>
      <c r="E5929" t="s">
        <v>112</v>
      </c>
      <c r="F5929">
        <f t="shared" ca="1" si="186"/>
        <v>1.2055555555555555</v>
      </c>
      <c r="G5929">
        <f t="shared" ca="1" si="187"/>
        <v>0</v>
      </c>
    </row>
    <row r="5930" spans="1:7">
      <c r="A5930">
        <v>8441</v>
      </c>
      <c r="B5930" t="s">
        <v>8</v>
      </c>
      <c r="C5930" t="s">
        <v>119</v>
      </c>
      <c r="D5930" s="9">
        <v>41669.472627314812</v>
      </c>
      <c r="E5930" t="s">
        <v>17</v>
      </c>
      <c r="F5930">
        <f t="shared" ca="1" si="186"/>
        <v>0.99722222222222223</v>
      </c>
      <c r="G5930">
        <f t="shared" ca="1" si="187"/>
        <v>1</v>
      </c>
    </row>
    <row r="5931" spans="1:7">
      <c r="A5931">
        <v>8442</v>
      </c>
      <c r="B5931" t="s">
        <v>17</v>
      </c>
      <c r="C5931" t="s">
        <v>119</v>
      </c>
      <c r="D5931" s="9">
        <v>41666.5625</v>
      </c>
      <c r="E5931" t="s">
        <v>11</v>
      </c>
      <c r="F5931">
        <f t="shared" ca="1" si="186"/>
        <v>1.0055555555555555</v>
      </c>
      <c r="G5931">
        <f t="shared" ca="1" si="187"/>
        <v>0</v>
      </c>
    </row>
    <row r="5932" spans="1:7">
      <c r="A5932">
        <v>8443</v>
      </c>
      <c r="B5932" t="s">
        <v>24</v>
      </c>
      <c r="C5932" t="s">
        <v>119</v>
      </c>
      <c r="D5932" s="9">
        <v>41604.596759259257</v>
      </c>
      <c r="E5932" t="s">
        <v>37</v>
      </c>
      <c r="F5932">
        <f t="shared" ca="1" si="186"/>
        <v>1.175</v>
      </c>
      <c r="G5932">
        <f t="shared" ca="1" si="187"/>
        <v>0</v>
      </c>
    </row>
    <row r="5933" spans="1:7">
      <c r="A5933">
        <v>8444</v>
      </c>
      <c r="B5933" t="s">
        <v>24</v>
      </c>
      <c r="C5933" t="s">
        <v>119</v>
      </c>
      <c r="D5933" s="9">
        <v>41612.402569444443</v>
      </c>
      <c r="E5933" t="s">
        <v>37</v>
      </c>
      <c r="F5933">
        <f t="shared" ca="1" si="186"/>
        <v>1.1527777777777777</v>
      </c>
      <c r="G5933">
        <f t="shared" ca="1" si="187"/>
        <v>0</v>
      </c>
    </row>
    <row r="5934" spans="1:7">
      <c r="A5934">
        <v>8445</v>
      </c>
      <c r="B5934" t="s">
        <v>17</v>
      </c>
      <c r="C5934" t="s">
        <v>119</v>
      </c>
      <c r="D5934" s="9">
        <v>41666.562384259261</v>
      </c>
      <c r="E5934" t="s">
        <v>14</v>
      </c>
      <c r="F5934">
        <f t="shared" ca="1" si="186"/>
        <v>1.0055555555555555</v>
      </c>
      <c r="G5934">
        <f t="shared" ca="1" si="187"/>
        <v>0</v>
      </c>
    </row>
    <row r="5935" spans="1:7">
      <c r="A5935">
        <v>8449</v>
      </c>
      <c r="B5935" t="s">
        <v>43</v>
      </c>
      <c r="C5935" t="s">
        <v>119</v>
      </c>
      <c r="D5935" s="9">
        <v>41670.584236111114</v>
      </c>
      <c r="E5935" t="s">
        <v>30</v>
      </c>
      <c r="F5935">
        <f t="shared" ca="1" si="186"/>
        <v>0.99722222222222223</v>
      </c>
      <c r="G5935">
        <f t="shared" ca="1" si="187"/>
        <v>1</v>
      </c>
    </row>
    <row r="5936" spans="1:7">
      <c r="A5936">
        <v>8450</v>
      </c>
      <c r="B5936" t="s">
        <v>112</v>
      </c>
      <c r="C5936" t="s">
        <v>119</v>
      </c>
      <c r="D5936" s="9">
        <v>41670.584317129629</v>
      </c>
      <c r="E5936" t="s">
        <v>29</v>
      </c>
      <c r="F5936">
        <f t="shared" ca="1" si="186"/>
        <v>0.99722222222222223</v>
      </c>
      <c r="G5936">
        <f t="shared" ca="1" si="187"/>
        <v>1</v>
      </c>
    </row>
    <row r="5937" spans="1:7">
      <c r="A5937">
        <v>8455</v>
      </c>
      <c r="B5937" t="s">
        <v>24</v>
      </c>
      <c r="C5937" t="s">
        <v>119</v>
      </c>
      <c r="D5937" s="9">
        <v>41607.622106481482</v>
      </c>
      <c r="E5937" t="s">
        <v>37</v>
      </c>
      <c r="F5937">
        <f t="shared" ca="1" si="186"/>
        <v>1.1666666666666667</v>
      </c>
      <c r="G5937">
        <f t="shared" ca="1" si="187"/>
        <v>0</v>
      </c>
    </row>
    <row r="5938" spans="1:7">
      <c r="A5938">
        <v>8461</v>
      </c>
      <c r="B5938" t="s">
        <v>24</v>
      </c>
      <c r="C5938" t="s">
        <v>119</v>
      </c>
      <c r="D5938" s="9">
        <v>41613.513796296298</v>
      </c>
      <c r="E5938" t="s">
        <v>37</v>
      </c>
      <c r="F5938">
        <f t="shared" ca="1" si="186"/>
        <v>1.1499999999999999</v>
      </c>
      <c r="G5938">
        <f t="shared" ca="1" si="187"/>
        <v>0</v>
      </c>
    </row>
    <row r="5939" spans="1:7">
      <c r="A5939">
        <v>8462</v>
      </c>
      <c r="B5939" t="s">
        <v>17</v>
      </c>
      <c r="C5939" t="s">
        <v>119</v>
      </c>
      <c r="D5939" s="9">
        <v>41593.67596064815</v>
      </c>
      <c r="E5939" t="s">
        <v>24</v>
      </c>
      <c r="F5939">
        <f t="shared" ca="1" si="186"/>
        <v>1.2055555555555555</v>
      </c>
      <c r="G5939">
        <f t="shared" ca="1" si="187"/>
        <v>0</v>
      </c>
    </row>
    <row r="5940" spans="1:7">
      <c r="A5940">
        <v>8464</v>
      </c>
      <c r="B5940" t="s">
        <v>8</v>
      </c>
      <c r="C5940" t="s">
        <v>119</v>
      </c>
      <c r="D5940" s="9">
        <v>41597.618298611109</v>
      </c>
      <c r="E5940" t="s">
        <v>43</v>
      </c>
      <c r="F5940">
        <f t="shared" ca="1" si="186"/>
        <v>1.1944444444444444</v>
      </c>
      <c r="G5940">
        <f t="shared" ca="1" si="187"/>
        <v>0</v>
      </c>
    </row>
    <row r="5941" spans="1:7">
      <c r="A5941">
        <v>8466</v>
      </c>
      <c r="B5941" t="s">
        <v>112</v>
      </c>
      <c r="C5941" t="s">
        <v>119</v>
      </c>
      <c r="D5941" s="9">
        <v>41597.478113425925</v>
      </c>
      <c r="E5941" t="s">
        <v>8</v>
      </c>
      <c r="F5941">
        <f t="shared" ca="1" si="186"/>
        <v>1.1944444444444444</v>
      </c>
      <c r="G5941">
        <f t="shared" ca="1" si="187"/>
        <v>0</v>
      </c>
    </row>
    <row r="5942" spans="1:7">
      <c r="A5942">
        <v>8471</v>
      </c>
      <c r="B5942" t="s">
        <v>32</v>
      </c>
      <c r="C5942" t="s">
        <v>119</v>
      </c>
      <c r="D5942" s="9">
        <v>41613.796886574077</v>
      </c>
      <c r="E5942" t="s">
        <v>27</v>
      </c>
      <c r="F5942">
        <f t="shared" ca="1" si="186"/>
        <v>1.1499999999999999</v>
      </c>
      <c r="G5942">
        <f t="shared" ca="1" si="187"/>
        <v>0</v>
      </c>
    </row>
    <row r="5943" spans="1:7">
      <c r="A5943">
        <v>8472</v>
      </c>
      <c r="B5943" t="s">
        <v>21</v>
      </c>
      <c r="C5943" t="s">
        <v>119</v>
      </c>
      <c r="D5943" s="9">
        <v>41621.691550925927</v>
      </c>
      <c r="E5943" t="s">
        <v>32</v>
      </c>
      <c r="F5943">
        <f t="shared" ca="1" si="186"/>
        <v>1.1277777777777778</v>
      </c>
      <c r="G5943">
        <f t="shared" ca="1" si="187"/>
        <v>0</v>
      </c>
    </row>
    <row r="5944" spans="1:7">
      <c r="A5944">
        <v>8474</v>
      </c>
      <c r="B5944" t="s">
        <v>8</v>
      </c>
      <c r="C5944" t="s">
        <v>119</v>
      </c>
      <c r="D5944" s="9">
        <v>41597.616539351853</v>
      </c>
      <c r="E5944" t="s">
        <v>112</v>
      </c>
      <c r="F5944">
        <f t="shared" ca="1" si="186"/>
        <v>1.1944444444444444</v>
      </c>
      <c r="G5944">
        <f t="shared" ca="1" si="187"/>
        <v>0</v>
      </c>
    </row>
    <row r="5945" spans="1:7">
      <c r="A5945">
        <v>8478</v>
      </c>
      <c r="B5945" t="s">
        <v>112</v>
      </c>
      <c r="C5945" t="s">
        <v>119</v>
      </c>
      <c r="D5945" s="9">
        <v>41600.687141203707</v>
      </c>
      <c r="E5945" t="s">
        <v>19</v>
      </c>
      <c r="F5945">
        <f t="shared" ca="1" si="186"/>
        <v>1.1861111111111111</v>
      </c>
      <c r="G5945">
        <f t="shared" ca="1" si="187"/>
        <v>0</v>
      </c>
    </row>
    <row r="5946" spans="1:7">
      <c r="A5946">
        <v>8480</v>
      </c>
      <c r="B5946" t="s">
        <v>23</v>
      </c>
      <c r="C5946" t="s">
        <v>119</v>
      </c>
      <c r="D5946" s="9">
        <v>41606.374120370368</v>
      </c>
      <c r="E5946" t="s">
        <v>8</v>
      </c>
      <c r="F5946">
        <f t="shared" ca="1" si="186"/>
        <v>1.1694444444444445</v>
      </c>
      <c r="G5946">
        <f t="shared" ca="1" si="187"/>
        <v>0</v>
      </c>
    </row>
    <row r="5947" spans="1:7">
      <c r="A5947">
        <v>8481</v>
      </c>
      <c r="B5947" t="s">
        <v>8</v>
      </c>
      <c r="C5947" t="s">
        <v>119</v>
      </c>
      <c r="D5947" s="9">
        <v>41600.592280092591</v>
      </c>
      <c r="E5947" t="s">
        <v>23</v>
      </c>
      <c r="F5947">
        <f t="shared" ca="1" si="186"/>
        <v>1.1861111111111111</v>
      </c>
      <c r="G5947">
        <f t="shared" ca="1" si="187"/>
        <v>0</v>
      </c>
    </row>
    <row r="5948" spans="1:7">
      <c r="A5948">
        <v>8482</v>
      </c>
      <c r="B5948" t="s">
        <v>213</v>
      </c>
      <c r="C5948" t="s">
        <v>209</v>
      </c>
      <c r="D5948" s="9">
        <v>41964.456238425926</v>
      </c>
      <c r="E5948" t="s">
        <v>214</v>
      </c>
      <c r="F5948">
        <f t="shared" ca="1" si="186"/>
        <v>0.18888888888888888</v>
      </c>
      <c r="G5948">
        <f t="shared" ca="1" si="187"/>
        <v>1</v>
      </c>
    </row>
    <row r="5949" spans="1:7">
      <c r="A5949">
        <v>8483</v>
      </c>
      <c r="B5949" t="s">
        <v>11</v>
      </c>
      <c r="C5949" t="s">
        <v>118</v>
      </c>
      <c r="D5949" s="9">
        <v>41712.424664351849</v>
      </c>
      <c r="E5949" t="s">
        <v>17</v>
      </c>
      <c r="F5949">
        <f t="shared" ca="1" si="186"/>
        <v>0.875</v>
      </c>
      <c r="G5949">
        <f t="shared" ca="1" si="187"/>
        <v>1</v>
      </c>
    </row>
    <row r="5950" spans="1:7">
      <c r="A5950">
        <v>8487</v>
      </c>
      <c r="B5950" t="s">
        <v>11</v>
      </c>
      <c r="C5950" t="s">
        <v>118</v>
      </c>
      <c r="D5950" s="9">
        <v>41705.576562499999</v>
      </c>
      <c r="E5950" t="s">
        <v>112</v>
      </c>
      <c r="F5950">
        <f t="shared" ca="1" si="186"/>
        <v>0.89444444444444449</v>
      </c>
      <c r="G5950">
        <f t="shared" ca="1" si="187"/>
        <v>1</v>
      </c>
    </row>
    <row r="5951" spans="1:7">
      <c r="A5951">
        <v>8488</v>
      </c>
      <c r="B5951" t="s">
        <v>23</v>
      </c>
      <c r="C5951" t="s">
        <v>119</v>
      </c>
      <c r="D5951" s="9">
        <v>41654.863506944443</v>
      </c>
      <c r="E5951" t="s">
        <v>36</v>
      </c>
      <c r="F5951">
        <f t="shared" ca="1" si="186"/>
        <v>1.038888888888889</v>
      </c>
      <c r="G5951">
        <f t="shared" ca="1" si="187"/>
        <v>0</v>
      </c>
    </row>
    <row r="5952" spans="1:7">
      <c r="A5952">
        <v>8489</v>
      </c>
      <c r="B5952" t="s">
        <v>11</v>
      </c>
      <c r="C5952" t="s">
        <v>118</v>
      </c>
      <c r="D5952" s="9">
        <v>41678.522268518522</v>
      </c>
      <c r="E5952" t="s">
        <v>37</v>
      </c>
      <c r="F5952">
        <f t="shared" ca="1" si="186"/>
        <v>0.97499999999999998</v>
      </c>
      <c r="G5952">
        <f t="shared" ca="1" si="187"/>
        <v>1</v>
      </c>
    </row>
    <row r="5953" spans="1:7">
      <c r="A5953">
        <v>8490</v>
      </c>
      <c r="B5953" t="s">
        <v>11</v>
      </c>
      <c r="C5953" t="s">
        <v>118</v>
      </c>
      <c r="D5953" s="9">
        <v>41711.442083333335</v>
      </c>
      <c r="E5953" t="s">
        <v>17</v>
      </c>
      <c r="F5953">
        <f t="shared" ca="1" si="186"/>
        <v>0.87777777777777777</v>
      </c>
      <c r="G5953">
        <f t="shared" ca="1" si="187"/>
        <v>1</v>
      </c>
    </row>
    <row r="5954" spans="1:7">
      <c r="A5954">
        <v>8494</v>
      </c>
      <c r="B5954" t="s">
        <v>18</v>
      </c>
      <c r="C5954" t="s">
        <v>118</v>
      </c>
      <c r="D5954" s="9">
        <v>41698.727361111109</v>
      </c>
      <c r="E5954" t="s">
        <v>24</v>
      </c>
      <c r="F5954">
        <f t="shared" ca="1" si="186"/>
        <v>0.91388888888888886</v>
      </c>
      <c r="G5954">
        <f t="shared" ca="1" si="187"/>
        <v>1</v>
      </c>
    </row>
    <row r="5955" spans="1:7">
      <c r="A5955">
        <v>8495</v>
      </c>
      <c r="B5955" t="s">
        <v>20</v>
      </c>
      <c r="C5955" t="s">
        <v>118</v>
      </c>
      <c r="D5955" s="9">
        <v>41726.574189814812</v>
      </c>
      <c r="E5955" t="s">
        <v>32</v>
      </c>
      <c r="F5955">
        <f t="shared" ca="1" si="186"/>
        <v>0.83611111111111114</v>
      </c>
      <c r="G5955">
        <f t="shared" ca="1" si="187"/>
        <v>1</v>
      </c>
    </row>
    <row r="5956" spans="1:7">
      <c r="A5956">
        <v>8496</v>
      </c>
      <c r="B5956" t="s">
        <v>32</v>
      </c>
      <c r="C5956" t="s">
        <v>119</v>
      </c>
      <c r="D5956" s="9">
        <v>41670.585682870369</v>
      </c>
      <c r="E5956" t="s">
        <v>20</v>
      </c>
      <c r="F5956">
        <f t="shared" ca="1" si="186"/>
        <v>0.99722222222222223</v>
      </c>
      <c r="G5956">
        <f t="shared" ca="1" si="187"/>
        <v>1</v>
      </c>
    </row>
    <row r="5957" spans="1:7">
      <c r="A5957">
        <v>8497</v>
      </c>
      <c r="B5957" t="s">
        <v>20</v>
      </c>
      <c r="C5957" t="s">
        <v>119</v>
      </c>
      <c r="D5957" s="9">
        <v>41621.616574074076</v>
      </c>
      <c r="E5957" t="s">
        <v>27</v>
      </c>
      <c r="F5957">
        <f t="shared" ca="1" si="186"/>
        <v>1.1277777777777778</v>
      </c>
      <c r="G5957">
        <f t="shared" ca="1" si="187"/>
        <v>0</v>
      </c>
    </row>
    <row r="5958" spans="1:7">
      <c r="A5958">
        <v>8501</v>
      </c>
      <c r="B5958" t="s">
        <v>11</v>
      </c>
      <c r="C5958" t="s">
        <v>118</v>
      </c>
      <c r="D5958" s="9">
        <v>41809.697789351849</v>
      </c>
      <c r="E5958" t="s">
        <v>20</v>
      </c>
      <c r="F5958">
        <f t="shared" ca="1" si="186"/>
        <v>0.61111111111111116</v>
      </c>
      <c r="G5958">
        <f t="shared" ca="1" si="187"/>
        <v>1</v>
      </c>
    </row>
    <row r="5959" spans="1:7">
      <c r="A5959">
        <v>8502</v>
      </c>
      <c r="B5959" t="s">
        <v>32</v>
      </c>
      <c r="C5959" t="s">
        <v>119</v>
      </c>
      <c r="D5959" s="9">
        <v>41670.585578703707</v>
      </c>
      <c r="E5959" t="s">
        <v>19</v>
      </c>
      <c r="F5959">
        <f t="shared" ref="F5959:F6022" ca="1" si="188">YEARFRAC(TODAY(),$D5959)</f>
        <v>0.99722222222222223</v>
      </c>
      <c r="G5959">
        <f t="shared" ref="G5959:G6022" ca="1" si="189">IF($F5959&lt;1,1,0)</f>
        <v>1</v>
      </c>
    </row>
    <row r="5960" spans="1:7">
      <c r="A5960">
        <v>8505</v>
      </c>
      <c r="B5960" t="s">
        <v>24</v>
      </c>
      <c r="C5960" t="s">
        <v>119</v>
      </c>
      <c r="D5960" s="9">
        <v>41612.633101851854</v>
      </c>
      <c r="E5960" t="s">
        <v>37</v>
      </c>
      <c r="F5960">
        <f t="shared" ca="1" si="188"/>
        <v>1.1527777777777777</v>
      </c>
      <c r="G5960">
        <f t="shared" ca="1" si="189"/>
        <v>0</v>
      </c>
    </row>
    <row r="5961" spans="1:7">
      <c r="A5961">
        <v>8506</v>
      </c>
      <c r="B5961" t="s">
        <v>18</v>
      </c>
      <c r="C5961" t="s">
        <v>119</v>
      </c>
      <c r="D5961" s="9">
        <v>41607.670624999999</v>
      </c>
      <c r="E5961" t="s">
        <v>30</v>
      </c>
      <c r="F5961">
        <f t="shared" ca="1" si="188"/>
        <v>1.1666666666666667</v>
      </c>
      <c r="G5961">
        <f t="shared" ca="1" si="189"/>
        <v>0</v>
      </c>
    </row>
    <row r="5962" spans="1:7">
      <c r="A5962">
        <v>8512</v>
      </c>
      <c r="B5962" t="s">
        <v>14</v>
      </c>
      <c r="C5962" t="s">
        <v>119</v>
      </c>
      <c r="D5962" s="9">
        <v>41621.631967592592</v>
      </c>
      <c r="E5962" t="s">
        <v>37</v>
      </c>
      <c r="F5962">
        <f t="shared" ca="1" si="188"/>
        <v>1.1277777777777778</v>
      </c>
      <c r="G5962">
        <f t="shared" ca="1" si="189"/>
        <v>0</v>
      </c>
    </row>
    <row r="5963" spans="1:7">
      <c r="A5963">
        <v>8513</v>
      </c>
      <c r="B5963" t="s">
        <v>211</v>
      </c>
      <c r="C5963" t="s">
        <v>209</v>
      </c>
      <c r="D5963" s="9">
        <v>41834.689502314817</v>
      </c>
      <c r="E5963" t="s">
        <v>36</v>
      </c>
      <c r="F5963">
        <f t="shared" ca="1" si="188"/>
        <v>0.54166666666666663</v>
      </c>
      <c r="G5963">
        <f t="shared" ca="1" si="189"/>
        <v>1</v>
      </c>
    </row>
    <row r="5964" spans="1:7">
      <c r="A5964">
        <v>8515</v>
      </c>
      <c r="B5964" t="s">
        <v>14</v>
      </c>
      <c r="C5964" t="s">
        <v>119</v>
      </c>
      <c r="D5964" s="9">
        <v>41607.572905092595</v>
      </c>
      <c r="E5964" t="s">
        <v>17</v>
      </c>
      <c r="F5964">
        <f t="shared" ca="1" si="188"/>
        <v>1.1666666666666667</v>
      </c>
      <c r="G5964">
        <f t="shared" ca="1" si="189"/>
        <v>0</v>
      </c>
    </row>
    <row r="5965" spans="1:7">
      <c r="A5965">
        <v>8516</v>
      </c>
      <c r="B5965" t="s">
        <v>19</v>
      </c>
      <c r="C5965" t="s">
        <v>119</v>
      </c>
      <c r="D5965" s="9">
        <v>41607.628171296295</v>
      </c>
      <c r="E5965" t="s">
        <v>24</v>
      </c>
      <c r="F5965">
        <f t="shared" ca="1" si="188"/>
        <v>1.1666666666666667</v>
      </c>
      <c r="G5965">
        <f t="shared" ca="1" si="189"/>
        <v>0</v>
      </c>
    </row>
    <row r="5966" spans="1:7">
      <c r="A5966">
        <v>8518</v>
      </c>
      <c r="B5966" t="s">
        <v>21</v>
      </c>
      <c r="C5966" t="s">
        <v>119</v>
      </c>
      <c r="D5966" s="9">
        <v>41670.585462962961</v>
      </c>
      <c r="E5966" t="s">
        <v>11</v>
      </c>
      <c r="F5966">
        <f t="shared" ca="1" si="188"/>
        <v>0.99722222222222223</v>
      </c>
      <c r="G5966">
        <f t="shared" ca="1" si="189"/>
        <v>1</v>
      </c>
    </row>
    <row r="5967" spans="1:7">
      <c r="A5967">
        <v>8526</v>
      </c>
      <c r="B5967" t="s">
        <v>50</v>
      </c>
      <c r="C5967" t="s">
        <v>119</v>
      </c>
      <c r="D5967" s="9">
        <v>41621.643773148149</v>
      </c>
      <c r="E5967" t="s">
        <v>14</v>
      </c>
      <c r="F5967">
        <f t="shared" ca="1" si="188"/>
        <v>1.1277777777777778</v>
      </c>
      <c r="G5967">
        <f t="shared" ca="1" si="189"/>
        <v>0</v>
      </c>
    </row>
    <row r="5968" spans="1:7">
      <c r="A5968">
        <v>8528</v>
      </c>
      <c r="B5968" t="s">
        <v>24</v>
      </c>
      <c r="C5968" t="s">
        <v>119</v>
      </c>
      <c r="D5968" s="9">
        <v>41612.634201388886</v>
      </c>
      <c r="E5968" t="s">
        <v>37</v>
      </c>
      <c r="F5968">
        <f t="shared" ca="1" si="188"/>
        <v>1.1527777777777777</v>
      </c>
      <c r="G5968">
        <f t="shared" ca="1" si="189"/>
        <v>0</v>
      </c>
    </row>
    <row r="5969" spans="1:7">
      <c r="A5969">
        <v>8531</v>
      </c>
      <c r="B5969" t="s">
        <v>29</v>
      </c>
      <c r="C5969" t="s">
        <v>119</v>
      </c>
      <c r="D5969" s="9">
        <v>41617.455787037034</v>
      </c>
      <c r="E5969" t="s">
        <v>19</v>
      </c>
      <c r="F5969">
        <f t="shared" ca="1" si="188"/>
        <v>1.1388888888888888</v>
      </c>
      <c r="G5969">
        <f t="shared" ca="1" si="189"/>
        <v>0</v>
      </c>
    </row>
    <row r="5970" spans="1:7">
      <c r="A5970">
        <v>8532</v>
      </c>
      <c r="B5970" t="s">
        <v>29</v>
      </c>
      <c r="C5970" t="s">
        <v>119</v>
      </c>
      <c r="D5970" s="9">
        <v>41617.676261574074</v>
      </c>
      <c r="E5970" t="s">
        <v>19</v>
      </c>
      <c r="F5970">
        <f t="shared" ca="1" si="188"/>
        <v>1.1388888888888888</v>
      </c>
      <c r="G5970">
        <f t="shared" ca="1" si="189"/>
        <v>0</v>
      </c>
    </row>
    <row r="5971" spans="1:7">
      <c r="A5971">
        <v>8533</v>
      </c>
      <c r="B5971" t="s">
        <v>8</v>
      </c>
      <c r="C5971" t="s">
        <v>119</v>
      </c>
      <c r="D5971" s="9">
        <v>41607.393923611111</v>
      </c>
      <c r="F5971">
        <f t="shared" ca="1" si="188"/>
        <v>1.1666666666666667</v>
      </c>
      <c r="G5971">
        <f t="shared" ca="1" si="189"/>
        <v>0</v>
      </c>
    </row>
    <row r="5972" spans="1:7">
      <c r="A5972">
        <v>8534</v>
      </c>
      <c r="B5972" t="s">
        <v>18</v>
      </c>
      <c r="C5972" t="s">
        <v>119</v>
      </c>
      <c r="D5972" s="9">
        <v>41613.432037037041</v>
      </c>
      <c r="E5972" t="s">
        <v>44</v>
      </c>
      <c r="F5972">
        <f t="shared" ca="1" si="188"/>
        <v>1.1499999999999999</v>
      </c>
      <c r="G5972">
        <f t="shared" ca="1" si="189"/>
        <v>0</v>
      </c>
    </row>
    <row r="5973" spans="1:7">
      <c r="A5973">
        <v>8535</v>
      </c>
      <c r="B5973" t="s">
        <v>24</v>
      </c>
      <c r="C5973" t="s">
        <v>119</v>
      </c>
      <c r="D5973" s="9">
        <v>41613.463356481479</v>
      </c>
      <c r="E5973" t="s">
        <v>37</v>
      </c>
      <c r="F5973">
        <f t="shared" ca="1" si="188"/>
        <v>1.1499999999999999</v>
      </c>
      <c r="G5973">
        <f t="shared" ca="1" si="189"/>
        <v>0</v>
      </c>
    </row>
    <row r="5974" spans="1:7">
      <c r="A5974">
        <v>8536</v>
      </c>
      <c r="B5974" t="s">
        <v>20</v>
      </c>
      <c r="C5974" t="s">
        <v>119</v>
      </c>
      <c r="D5974" s="9">
        <v>41618.885497685187</v>
      </c>
      <c r="E5974" t="s">
        <v>21</v>
      </c>
      <c r="F5974">
        <f t="shared" ca="1" si="188"/>
        <v>1.1361111111111111</v>
      </c>
      <c r="G5974">
        <f t="shared" ca="1" si="189"/>
        <v>0</v>
      </c>
    </row>
    <row r="5975" spans="1:7">
      <c r="A5975">
        <v>8537</v>
      </c>
      <c r="B5975" t="s">
        <v>17</v>
      </c>
      <c r="C5975" t="s">
        <v>119</v>
      </c>
      <c r="D5975" s="9">
        <v>41655.664942129632</v>
      </c>
      <c r="E5975" t="s">
        <v>37</v>
      </c>
      <c r="F5975">
        <f t="shared" ca="1" si="188"/>
        <v>1.0361111111111112</v>
      </c>
      <c r="G5975">
        <f t="shared" ca="1" si="189"/>
        <v>0</v>
      </c>
    </row>
    <row r="5976" spans="1:7">
      <c r="A5976">
        <v>8541</v>
      </c>
      <c r="B5976" t="s">
        <v>44</v>
      </c>
      <c r="C5976" t="s">
        <v>119</v>
      </c>
      <c r="D5976" s="9">
        <v>41612.480891203704</v>
      </c>
      <c r="E5976" t="s">
        <v>18</v>
      </c>
      <c r="F5976">
        <f t="shared" ca="1" si="188"/>
        <v>1.1527777777777777</v>
      </c>
      <c r="G5976">
        <f t="shared" ca="1" si="189"/>
        <v>0</v>
      </c>
    </row>
    <row r="5977" spans="1:7">
      <c r="A5977">
        <v>8545</v>
      </c>
      <c r="B5977" t="s">
        <v>24</v>
      </c>
      <c r="C5977" t="s">
        <v>119</v>
      </c>
      <c r="D5977" s="9">
        <v>41613.694432870368</v>
      </c>
      <c r="E5977" t="s">
        <v>37</v>
      </c>
      <c r="F5977">
        <f t="shared" ca="1" si="188"/>
        <v>1.1499999999999999</v>
      </c>
      <c r="G5977">
        <f t="shared" ca="1" si="189"/>
        <v>0</v>
      </c>
    </row>
    <row r="5978" spans="1:7">
      <c r="A5978">
        <v>8546</v>
      </c>
      <c r="B5978" t="s">
        <v>30</v>
      </c>
      <c r="C5978" t="s">
        <v>119</v>
      </c>
      <c r="D5978" s="9">
        <v>41620.543229166666</v>
      </c>
      <c r="E5978" t="s">
        <v>44</v>
      </c>
      <c r="F5978">
        <f t="shared" ca="1" si="188"/>
        <v>1.1305555555555555</v>
      </c>
      <c r="G5978">
        <f t="shared" ca="1" si="189"/>
        <v>0</v>
      </c>
    </row>
    <row r="5979" spans="1:7">
      <c r="A5979">
        <v>8548</v>
      </c>
      <c r="B5979" t="s">
        <v>24</v>
      </c>
      <c r="C5979" t="s">
        <v>119</v>
      </c>
      <c r="D5979" s="9">
        <v>41612.627175925925</v>
      </c>
      <c r="E5979" t="s">
        <v>37</v>
      </c>
      <c r="F5979">
        <f t="shared" ca="1" si="188"/>
        <v>1.1527777777777777</v>
      </c>
      <c r="G5979">
        <f t="shared" ca="1" si="189"/>
        <v>0</v>
      </c>
    </row>
    <row r="5980" spans="1:7">
      <c r="A5980">
        <v>8550</v>
      </c>
      <c r="B5980" t="s">
        <v>18</v>
      </c>
      <c r="C5980" t="s">
        <v>119</v>
      </c>
      <c r="D5980" s="9">
        <v>41619.465833333335</v>
      </c>
      <c r="F5980">
        <f t="shared" ca="1" si="188"/>
        <v>1.1333333333333333</v>
      </c>
      <c r="G5980">
        <f t="shared" ca="1" si="189"/>
        <v>0</v>
      </c>
    </row>
    <row r="5981" spans="1:7">
      <c r="A5981">
        <v>8554</v>
      </c>
      <c r="B5981" t="s">
        <v>20</v>
      </c>
      <c r="C5981" t="s">
        <v>119</v>
      </c>
      <c r="D5981" s="9">
        <v>41666.562442129631</v>
      </c>
      <c r="E5981" t="s">
        <v>32</v>
      </c>
      <c r="F5981">
        <f t="shared" ca="1" si="188"/>
        <v>1.0055555555555555</v>
      </c>
      <c r="G5981">
        <f t="shared" ca="1" si="189"/>
        <v>0</v>
      </c>
    </row>
    <row r="5982" spans="1:7">
      <c r="A5982">
        <v>8555</v>
      </c>
      <c r="B5982" t="s">
        <v>34</v>
      </c>
      <c r="C5982" t="s">
        <v>119</v>
      </c>
      <c r="D5982" s="9">
        <v>41621.615046296298</v>
      </c>
      <c r="E5982" t="s">
        <v>14</v>
      </c>
      <c r="F5982">
        <f t="shared" ca="1" si="188"/>
        <v>1.1277777777777778</v>
      </c>
      <c r="G5982">
        <f t="shared" ca="1" si="189"/>
        <v>0</v>
      </c>
    </row>
    <row r="5983" spans="1:7">
      <c r="A5983">
        <v>8557</v>
      </c>
      <c r="B5983" t="s">
        <v>23</v>
      </c>
      <c r="C5983" t="s">
        <v>118</v>
      </c>
      <c r="D5983" s="9">
        <v>41705.628032407411</v>
      </c>
      <c r="E5983" t="s">
        <v>112</v>
      </c>
      <c r="F5983">
        <f t="shared" ca="1" si="188"/>
        <v>0.89444444444444449</v>
      </c>
      <c r="G5983">
        <f t="shared" ca="1" si="189"/>
        <v>1</v>
      </c>
    </row>
    <row r="5984" spans="1:7">
      <c r="A5984">
        <v>8558</v>
      </c>
      <c r="B5984" t="s">
        <v>24</v>
      </c>
      <c r="C5984" t="s">
        <v>119</v>
      </c>
      <c r="D5984" s="9">
        <v>41614.80300925926</v>
      </c>
      <c r="E5984" t="s">
        <v>11</v>
      </c>
      <c r="F5984">
        <f t="shared" ca="1" si="188"/>
        <v>1.1472222222222221</v>
      </c>
      <c r="G5984">
        <f t="shared" ca="1" si="189"/>
        <v>0</v>
      </c>
    </row>
    <row r="5985" spans="1:7">
      <c r="A5985">
        <v>8561</v>
      </c>
      <c r="B5985" t="s">
        <v>19</v>
      </c>
      <c r="C5985" t="s">
        <v>119</v>
      </c>
      <c r="D5985" s="9">
        <v>41649.703287037039</v>
      </c>
      <c r="E5985" t="s">
        <v>32</v>
      </c>
      <c r="F5985">
        <f t="shared" ca="1" si="188"/>
        <v>1.0527777777777778</v>
      </c>
      <c r="G5985">
        <f t="shared" ca="1" si="189"/>
        <v>0</v>
      </c>
    </row>
    <row r="5986" spans="1:7">
      <c r="A5986">
        <v>8563</v>
      </c>
      <c r="B5986" t="s">
        <v>18</v>
      </c>
      <c r="C5986" t="s">
        <v>119</v>
      </c>
      <c r="D5986" s="9">
        <v>41614.648831018516</v>
      </c>
      <c r="E5986" t="s">
        <v>36</v>
      </c>
      <c r="F5986">
        <f t="shared" ca="1" si="188"/>
        <v>1.1472222222222221</v>
      </c>
      <c r="G5986">
        <f t="shared" ca="1" si="189"/>
        <v>0</v>
      </c>
    </row>
    <row r="5987" spans="1:7">
      <c r="A5987">
        <v>8565</v>
      </c>
      <c r="B5987" t="s">
        <v>20</v>
      </c>
      <c r="C5987" t="s">
        <v>119</v>
      </c>
      <c r="D5987" s="9">
        <v>41617.678344907406</v>
      </c>
      <c r="E5987" t="s">
        <v>32</v>
      </c>
      <c r="F5987">
        <f t="shared" ca="1" si="188"/>
        <v>1.1388888888888888</v>
      </c>
      <c r="G5987">
        <f t="shared" ca="1" si="189"/>
        <v>0</v>
      </c>
    </row>
    <row r="5988" spans="1:7">
      <c r="A5988">
        <v>8566</v>
      </c>
      <c r="B5988" t="s">
        <v>20</v>
      </c>
      <c r="C5988" t="s">
        <v>119</v>
      </c>
      <c r="D5988" s="9">
        <v>41617.860300925924</v>
      </c>
      <c r="E5988" t="s">
        <v>32</v>
      </c>
      <c r="F5988">
        <f t="shared" ca="1" si="188"/>
        <v>1.1388888888888888</v>
      </c>
      <c r="G5988">
        <f t="shared" ca="1" si="189"/>
        <v>0</v>
      </c>
    </row>
    <row r="5989" spans="1:7">
      <c r="A5989">
        <v>8568</v>
      </c>
      <c r="B5989" t="s">
        <v>34</v>
      </c>
      <c r="C5989" t="s">
        <v>118</v>
      </c>
      <c r="D5989" s="9">
        <v>41718.510162037041</v>
      </c>
      <c r="E5989" t="s">
        <v>32</v>
      </c>
      <c r="F5989">
        <f t="shared" ca="1" si="188"/>
        <v>0.85833333333333328</v>
      </c>
      <c r="G5989">
        <f t="shared" ca="1" si="189"/>
        <v>1</v>
      </c>
    </row>
    <row r="5990" spans="1:7">
      <c r="A5990">
        <v>8569</v>
      </c>
      <c r="B5990" t="s">
        <v>34</v>
      </c>
      <c r="C5990" t="s">
        <v>119</v>
      </c>
      <c r="D5990" s="9">
        <v>41642.561956018515</v>
      </c>
      <c r="E5990" t="s">
        <v>19</v>
      </c>
      <c r="F5990">
        <f t="shared" ca="1" si="188"/>
        <v>1.0722222222222222</v>
      </c>
      <c r="G5990">
        <f t="shared" ca="1" si="189"/>
        <v>0</v>
      </c>
    </row>
    <row r="5991" spans="1:7">
      <c r="A5991">
        <v>8571</v>
      </c>
      <c r="B5991" t="s">
        <v>32</v>
      </c>
      <c r="C5991" t="s">
        <v>119</v>
      </c>
      <c r="D5991" s="9">
        <v>41670.585902777777</v>
      </c>
      <c r="E5991" t="s">
        <v>19</v>
      </c>
      <c r="F5991">
        <f t="shared" ca="1" si="188"/>
        <v>0.99722222222222223</v>
      </c>
      <c r="G5991">
        <f t="shared" ca="1" si="189"/>
        <v>1</v>
      </c>
    </row>
    <row r="5992" spans="1:7">
      <c r="A5992">
        <v>8572</v>
      </c>
      <c r="B5992" t="s">
        <v>32</v>
      </c>
      <c r="C5992" t="s">
        <v>119</v>
      </c>
      <c r="D5992" s="9">
        <v>41670.586053240739</v>
      </c>
      <c r="E5992" t="s">
        <v>36</v>
      </c>
      <c r="F5992">
        <f t="shared" ca="1" si="188"/>
        <v>0.99722222222222223</v>
      </c>
      <c r="G5992">
        <f t="shared" ca="1" si="189"/>
        <v>1</v>
      </c>
    </row>
    <row r="5993" spans="1:7">
      <c r="A5993">
        <v>8575</v>
      </c>
      <c r="B5993" t="s">
        <v>8</v>
      </c>
      <c r="C5993" t="s">
        <v>119</v>
      </c>
      <c r="D5993" s="9">
        <v>41628.693229166667</v>
      </c>
      <c r="E5993" t="s">
        <v>11</v>
      </c>
      <c r="F5993">
        <f t="shared" ca="1" si="188"/>
        <v>1.1083333333333334</v>
      </c>
      <c r="G5993">
        <f t="shared" ca="1" si="189"/>
        <v>0</v>
      </c>
    </row>
    <row r="5994" spans="1:7">
      <c r="A5994">
        <v>8579</v>
      </c>
      <c r="B5994" t="s">
        <v>20</v>
      </c>
      <c r="C5994" t="s">
        <v>119</v>
      </c>
      <c r="D5994" s="9">
        <v>41617.866516203707</v>
      </c>
      <c r="E5994" t="s">
        <v>32</v>
      </c>
      <c r="F5994">
        <f t="shared" ca="1" si="188"/>
        <v>1.1388888888888888</v>
      </c>
      <c r="G5994">
        <f t="shared" ca="1" si="189"/>
        <v>0</v>
      </c>
    </row>
    <row r="5995" spans="1:7">
      <c r="A5995">
        <v>8580</v>
      </c>
      <c r="B5995" t="s">
        <v>34</v>
      </c>
      <c r="C5995" t="s">
        <v>119</v>
      </c>
      <c r="D5995" s="9">
        <v>41642.591562499998</v>
      </c>
      <c r="E5995" t="s">
        <v>19</v>
      </c>
      <c r="F5995">
        <f t="shared" ca="1" si="188"/>
        <v>1.0722222222222222</v>
      </c>
      <c r="G5995">
        <f t="shared" ca="1" si="189"/>
        <v>0</v>
      </c>
    </row>
    <row r="5996" spans="1:7">
      <c r="A5996">
        <v>8581</v>
      </c>
      <c r="B5996" t="s">
        <v>17</v>
      </c>
      <c r="C5996" t="s">
        <v>119</v>
      </c>
      <c r="D5996" s="9">
        <v>41666.5624537037</v>
      </c>
      <c r="E5996" t="s">
        <v>8</v>
      </c>
      <c r="F5996">
        <f t="shared" ca="1" si="188"/>
        <v>1.0055555555555555</v>
      </c>
      <c r="G5996">
        <f t="shared" ca="1" si="189"/>
        <v>0</v>
      </c>
    </row>
    <row r="5997" spans="1:7">
      <c r="A5997">
        <v>8585</v>
      </c>
      <c r="B5997" t="s">
        <v>14</v>
      </c>
      <c r="C5997" t="s">
        <v>119</v>
      </c>
      <c r="D5997" s="9">
        <v>41670.5862037037</v>
      </c>
      <c r="E5997" t="s">
        <v>23</v>
      </c>
      <c r="F5997">
        <f t="shared" ca="1" si="188"/>
        <v>0.99722222222222223</v>
      </c>
      <c r="G5997">
        <f t="shared" ca="1" si="189"/>
        <v>1</v>
      </c>
    </row>
    <row r="5998" spans="1:7">
      <c r="A5998">
        <v>8586</v>
      </c>
      <c r="B5998" t="s">
        <v>20</v>
      </c>
      <c r="C5998" t="s">
        <v>119</v>
      </c>
      <c r="D5998" s="9">
        <v>41621.694039351853</v>
      </c>
      <c r="E5998" t="s">
        <v>21</v>
      </c>
      <c r="F5998">
        <f t="shared" ca="1" si="188"/>
        <v>1.1277777777777778</v>
      </c>
      <c r="G5998">
        <f t="shared" ca="1" si="189"/>
        <v>0</v>
      </c>
    </row>
    <row r="5999" spans="1:7">
      <c r="A5999">
        <v>8587</v>
      </c>
      <c r="B5999" t="s">
        <v>14</v>
      </c>
      <c r="C5999" t="s">
        <v>119</v>
      </c>
      <c r="D5999" s="9">
        <v>41670.62908564815</v>
      </c>
      <c r="E5999" t="s">
        <v>34</v>
      </c>
      <c r="F5999">
        <f t="shared" ca="1" si="188"/>
        <v>0.99722222222222223</v>
      </c>
      <c r="G5999">
        <f t="shared" ca="1" si="189"/>
        <v>1</v>
      </c>
    </row>
    <row r="6000" spans="1:7">
      <c r="A6000">
        <v>8588</v>
      </c>
      <c r="B6000" t="s">
        <v>19</v>
      </c>
      <c r="C6000" t="s">
        <v>119</v>
      </c>
      <c r="D6000" s="9">
        <v>41621.418067129627</v>
      </c>
      <c r="E6000" t="s">
        <v>37</v>
      </c>
      <c r="F6000">
        <f t="shared" ca="1" si="188"/>
        <v>1.1277777777777778</v>
      </c>
      <c r="G6000">
        <f t="shared" ca="1" si="189"/>
        <v>0</v>
      </c>
    </row>
    <row r="6001" spans="1:7">
      <c r="A6001">
        <v>8592</v>
      </c>
      <c r="B6001" t="s">
        <v>20</v>
      </c>
      <c r="C6001" t="s">
        <v>119</v>
      </c>
      <c r="D6001" s="9">
        <v>41619.533032407409</v>
      </c>
      <c r="E6001" t="s">
        <v>32</v>
      </c>
      <c r="F6001">
        <f t="shared" ca="1" si="188"/>
        <v>1.1333333333333333</v>
      </c>
      <c r="G6001">
        <f t="shared" ca="1" si="189"/>
        <v>0</v>
      </c>
    </row>
    <row r="6002" spans="1:7">
      <c r="A6002">
        <v>8594</v>
      </c>
      <c r="B6002" t="s">
        <v>14</v>
      </c>
      <c r="C6002" t="s">
        <v>118</v>
      </c>
      <c r="D6002" s="9">
        <v>41774.788993055554</v>
      </c>
      <c r="E6002" t="s">
        <v>27</v>
      </c>
      <c r="F6002">
        <f t="shared" ca="1" si="188"/>
        <v>0.7055555555555556</v>
      </c>
      <c r="G6002">
        <f t="shared" ca="1" si="189"/>
        <v>1</v>
      </c>
    </row>
    <row r="6003" spans="1:7">
      <c r="A6003">
        <v>8595</v>
      </c>
      <c r="B6003" t="s">
        <v>21</v>
      </c>
      <c r="C6003" t="s">
        <v>119</v>
      </c>
      <c r="D6003" s="9">
        <v>41670.50509259259</v>
      </c>
      <c r="E6003" t="s">
        <v>112</v>
      </c>
      <c r="F6003">
        <f t="shared" ca="1" si="188"/>
        <v>0.99722222222222223</v>
      </c>
      <c r="G6003">
        <f t="shared" ca="1" si="189"/>
        <v>1</v>
      </c>
    </row>
    <row r="6004" spans="1:7">
      <c r="A6004">
        <v>8597</v>
      </c>
      <c r="B6004" t="s">
        <v>18</v>
      </c>
      <c r="C6004" t="s">
        <v>119</v>
      </c>
      <c r="D6004" s="9">
        <v>41620.693854166668</v>
      </c>
      <c r="E6004" t="s">
        <v>34</v>
      </c>
      <c r="F6004">
        <f t="shared" ca="1" si="188"/>
        <v>1.1305555555555555</v>
      </c>
      <c r="G6004">
        <f t="shared" ca="1" si="189"/>
        <v>0</v>
      </c>
    </row>
    <row r="6005" spans="1:7">
      <c r="A6005">
        <v>8599</v>
      </c>
      <c r="B6005" t="s">
        <v>17</v>
      </c>
      <c r="C6005" t="s">
        <v>119</v>
      </c>
      <c r="D6005" s="9">
        <v>41621.616990740738</v>
      </c>
      <c r="E6005" t="s">
        <v>37</v>
      </c>
      <c r="F6005">
        <f t="shared" ca="1" si="188"/>
        <v>1.1277777777777778</v>
      </c>
      <c r="G6005">
        <f t="shared" ca="1" si="189"/>
        <v>0</v>
      </c>
    </row>
    <row r="6006" spans="1:7">
      <c r="A6006">
        <v>8600</v>
      </c>
      <c r="B6006" t="s">
        <v>32</v>
      </c>
      <c r="C6006" t="s">
        <v>119</v>
      </c>
      <c r="D6006" s="9">
        <v>41621.766793981478</v>
      </c>
      <c r="E6006" t="s">
        <v>21</v>
      </c>
      <c r="F6006">
        <f t="shared" ca="1" si="188"/>
        <v>1.1277777777777778</v>
      </c>
      <c r="G6006">
        <f t="shared" ca="1" si="189"/>
        <v>0</v>
      </c>
    </row>
    <row r="6007" spans="1:7">
      <c r="A6007">
        <v>8601</v>
      </c>
      <c r="B6007" t="s">
        <v>21</v>
      </c>
      <c r="C6007" t="s">
        <v>118</v>
      </c>
      <c r="D6007" s="9">
        <v>41705.691863425927</v>
      </c>
      <c r="E6007" t="s">
        <v>34</v>
      </c>
      <c r="F6007">
        <f t="shared" ca="1" si="188"/>
        <v>0.89444444444444449</v>
      </c>
      <c r="G6007">
        <f t="shared" ca="1" si="189"/>
        <v>1</v>
      </c>
    </row>
    <row r="6008" spans="1:7">
      <c r="A6008">
        <v>8602</v>
      </c>
      <c r="B6008" t="s">
        <v>34</v>
      </c>
      <c r="C6008" t="s">
        <v>119</v>
      </c>
      <c r="D6008" s="9">
        <v>41670.509606481479</v>
      </c>
      <c r="E6008" t="s">
        <v>112</v>
      </c>
      <c r="F6008">
        <f t="shared" ca="1" si="188"/>
        <v>0.99722222222222223</v>
      </c>
      <c r="G6008">
        <f t="shared" ca="1" si="189"/>
        <v>1</v>
      </c>
    </row>
    <row r="6009" spans="1:7">
      <c r="A6009">
        <v>8609</v>
      </c>
      <c r="B6009" t="s">
        <v>23</v>
      </c>
      <c r="C6009" t="s">
        <v>119</v>
      </c>
      <c r="D6009" s="9">
        <v>41634.839259259257</v>
      </c>
      <c r="E6009" t="s">
        <v>43</v>
      </c>
      <c r="F6009">
        <f t="shared" ca="1" si="188"/>
        <v>1.0916666666666666</v>
      </c>
      <c r="G6009">
        <f t="shared" ca="1" si="189"/>
        <v>0</v>
      </c>
    </row>
    <row r="6010" spans="1:7">
      <c r="A6010">
        <v>8610</v>
      </c>
      <c r="B6010" t="s">
        <v>18</v>
      </c>
      <c r="C6010" t="s">
        <v>118</v>
      </c>
      <c r="D6010" s="9">
        <v>41684.655601851853</v>
      </c>
      <c r="E6010" t="s">
        <v>44</v>
      </c>
      <c r="F6010">
        <f t="shared" ca="1" si="188"/>
        <v>0.95833333333333337</v>
      </c>
      <c r="G6010">
        <f t="shared" ca="1" si="189"/>
        <v>1</v>
      </c>
    </row>
    <row r="6011" spans="1:7">
      <c r="A6011">
        <v>8611</v>
      </c>
      <c r="B6011" t="s">
        <v>32</v>
      </c>
      <c r="C6011" t="s">
        <v>119</v>
      </c>
      <c r="D6011" s="9">
        <v>41670.588333333333</v>
      </c>
      <c r="E6011" t="s">
        <v>36</v>
      </c>
      <c r="F6011">
        <f t="shared" ca="1" si="188"/>
        <v>0.99722222222222223</v>
      </c>
      <c r="G6011">
        <f t="shared" ca="1" si="189"/>
        <v>1</v>
      </c>
    </row>
    <row r="6012" spans="1:7">
      <c r="A6012">
        <v>8613</v>
      </c>
      <c r="B6012" t="s">
        <v>11</v>
      </c>
      <c r="C6012" t="s">
        <v>119</v>
      </c>
      <c r="D6012" s="9">
        <v>41621.634722222225</v>
      </c>
      <c r="E6012" t="s">
        <v>27</v>
      </c>
      <c r="F6012">
        <f t="shared" ca="1" si="188"/>
        <v>1.1277777777777778</v>
      </c>
      <c r="G6012">
        <f t="shared" ca="1" si="189"/>
        <v>0</v>
      </c>
    </row>
    <row r="6013" spans="1:7">
      <c r="A6013">
        <v>8614</v>
      </c>
      <c r="B6013" t="s">
        <v>23</v>
      </c>
      <c r="C6013" t="s">
        <v>164</v>
      </c>
      <c r="D6013" s="9">
        <v>41697.644502314812</v>
      </c>
      <c r="F6013">
        <f t="shared" ca="1" si="188"/>
        <v>0.92222222222222228</v>
      </c>
      <c r="G6013">
        <f t="shared" ca="1" si="189"/>
        <v>1</v>
      </c>
    </row>
    <row r="6014" spans="1:7">
      <c r="A6014">
        <v>8617</v>
      </c>
      <c r="B6014" t="s">
        <v>19</v>
      </c>
      <c r="C6014" t="s">
        <v>119</v>
      </c>
      <c r="D6014" s="9">
        <v>41631.420567129629</v>
      </c>
      <c r="E6014" t="s">
        <v>30</v>
      </c>
      <c r="F6014">
        <f t="shared" ca="1" si="188"/>
        <v>1.1000000000000001</v>
      </c>
      <c r="G6014">
        <f t="shared" ca="1" si="189"/>
        <v>0</v>
      </c>
    </row>
    <row r="6015" spans="1:7">
      <c r="A6015">
        <v>8619</v>
      </c>
      <c r="B6015" t="s">
        <v>19</v>
      </c>
      <c r="C6015" t="s">
        <v>119</v>
      </c>
      <c r="D6015" s="9">
        <v>41647.863703703704</v>
      </c>
      <c r="E6015" t="s">
        <v>27</v>
      </c>
      <c r="F6015">
        <f t="shared" ca="1" si="188"/>
        <v>1.0583333333333333</v>
      </c>
      <c r="G6015">
        <f t="shared" ca="1" si="189"/>
        <v>0</v>
      </c>
    </row>
    <row r="6016" spans="1:7">
      <c r="A6016">
        <v>8622</v>
      </c>
      <c r="B6016" t="s">
        <v>32</v>
      </c>
      <c r="C6016" t="s">
        <v>119</v>
      </c>
      <c r="D6016" s="9">
        <v>41628.705555555556</v>
      </c>
      <c r="E6016" t="s">
        <v>36</v>
      </c>
      <c r="F6016">
        <f t="shared" ca="1" si="188"/>
        <v>1.1083333333333334</v>
      </c>
      <c r="G6016">
        <f t="shared" ca="1" si="189"/>
        <v>0</v>
      </c>
    </row>
    <row r="6017" spans="1:7">
      <c r="A6017">
        <v>8623</v>
      </c>
      <c r="B6017" t="s">
        <v>20</v>
      </c>
      <c r="C6017" t="s">
        <v>119</v>
      </c>
      <c r="D6017" s="9">
        <v>41647.849675925929</v>
      </c>
      <c r="E6017" t="s">
        <v>36</v>
      </c>
      <c r="F6017">
        <f t="shared" ca="1" si="188"/>
        <v>1.0583333333333333</v>
      </c>
      <c r="G6017">
        <f t="shared" ca="1" si="189"/>
        <v>0</v>
      </c>
    </row>
    <row r="6018" spans="1:7">
      <c r="A6018">
        <v>8624</v>
      </c>
      <c r="B6018" t="s">
        <v>43</v>
      </c>
      <c r="C6018" t="s">
        <v>119</v>
      </c>
      <c r="D6018" s="9">
        <v>41675.029236111113</v>
      </c>
      <c r="E6018" t="s">
        <v>34</v>
      </c>
      <c r="F6018">
        <f t="shared" ca="1" si="188"/>
        <v>0.98333333333333328</v>
      </c>
      <c r="G6018">
        <f t="shared" ca="1" si="189"/>
        <v>1</v>
      </c>
    </row>
    <row r="6019" spans="1:7">
      <c r="A6019">
        <v>8626</v>
      </c>
      <c r="B6019" t="s">
        <v>36</v>
      </c>
      <c r="C6019" t="s">
        <v>119</v>
      </c>
      <c r="D6019" s="9">
        <v>41642.857662037037</v>
      </c>
      <c r="E6019" t="s">
        <v>38</v>
      </c>
      <c r="F6019">
        <f t="shared" ca="1" si="188"/>
        <v>1.0722222222222222</v>
      </c>
      <c r="G6019">
        <f t="shared" ca="1" si="189"/>
        <v>0</v>
      </c>
    </row>
    <row r="6020" spans="1:7">
      <c r="A6020">
        <v>8628</v>
      </c>
      <c r="B6020" t="s">
        <v>19</v>
      </c>
      <c r="C6020" t="s">
        <v>119</v>
      </c>
      <c r="D6020" s="9">
        <v>41666.562476851854</v>
      </c>
      <c r="E6020" t="s">
        <v>8</v>
      </c>
      <c r="F6020">
        <f t="shared" ca="1" si="188"/>
        <v>1.0055555555555555</v>
      </c>
      <c r="G6020">
        <f t="shared" ca="1" si="189"/>
        <v>0</v>
      </c>
    </row>
    <row r="6021" spans="1:7">
      <c r="A6021">
        <v>8630</v>
      </c>
      <c r="B6021" t="s">
        <v>20</v>
      </c>
      <c r="C6021" t="s">
        <v>119</v>
      </c>
      <c r="D6021" s="9">
        <v>41635.653043981481</v>
      </c>
      <c r="E6021" t="s">
        <v>36</v>
      </c>
      <c r="F6021">
        <f t="shared" ca="1" si="188"/>
        <v>1.0888888888888888</v>
      </c>
      <c r="G6021">
        <f t="shared" ca="1" si="189"/>
        <v>0</v>
      </c>
    </row>
    <row r="6022" spans="1:7">
      <c r="A6022">
        <v>8631</v>
      </c>
      <c r="B6022" t="s">
        <v>43</v>
      </c>
      <c r="C6022" t="s">
        <v>119</v>
      </c>
      <c r="D6022" s="9">
        <v>41675.029386574075</v>
      </c>
      <c r="E6022" t="s">
        <v>11</v>
      </c>
      <c r="F6022">
        <f t="shared" ca="1" si="188"/>
        <v>0.98333333333333328</v>
      </c>
      <c r="G6022">
        <f t="shared" ca="1" si="189"/>
        <v>1</v>
      </c>
    </row>
    <row r="6023" spans="1:7">
      <c r="A6023">
        <v>8632</v>
      </c>
      <c r="B6023" t="s">
        <v>27</v>
      </c>
      <c r="C6023" t="s">
        <v>119</v>
      </c>
      <c r="D6023" s="9">
        <v>41646.939398148148</v>
      </c>
      <c r="E6023" t="s">
        <v>11</v>
      </c>
      <c r="F6023">
        <f t="shared" ref="F6023:F6086" ca="1" si="190">YEARFRAC(TODAY(),$D6023)</f>
        <v>1.0611111111111111</v>
      </c>
      <c r="G6023">
        <f t="shared" ref="G6023:G6086" ca="1" si="191">IF($F6023&lt;1,1,0)</f>
        <v>0</v>
      </c>
    </row>
    <row r="6024" spans="1:7">
      <c r="A6024">
        <v>8634</v>
      </c>
      <c r="B6024" t="s">
        <v>11</v>
      </c>
      <c r="C6024" t="s">
        <v>119</v>
      </c>
      <c r="D6024" s="9">
        <v>41631.649768518517</v>
      </c>
      <c r="E6024" t="s">
        <v>20</v>
      </c>
      <c r="F6024">
        <f t="shared" ca="1" si="190"/>
        <v>1.1000000000000001</v>
      </c>
      <c r="G6024">
        <f t="shared" ca="1" si="191"/>
        <v>0</v>
      </c>
    </row>
    <row r="6025" spans="1:7">
      <c r="A6025">
        <v>8635</v>
      </c>
      <c r="B6025" t="s">
        <v>20</v>
      </c>
      <c r="C6025" t="s">
        <v>119</v>
      </c>
      <c r="D6025" s="9">
        <v>41631.935844907406</v>
      </c>
      <c r="E6025" t="s">
        <v>11</v>
      </c>
      <c r="F6025">
        <f t="shared" ca="1" si="190"/>
        <v>1.1000000000000001</v>
      </c>
      <c r="G6025">
        <f t="shared" ca="1" si="191"/>
        <v>0</v>
      </c>
    </row>
    <row r="6026" spans="1:7">
      <c r="A6026">
        <v>8637</v>
      </c>
      <c r="B6026" t="s">
        <v>11</v>
      </c>
      <c r="C6026" t="s">
        <v>119</v>
      </c>
      <c r="D6026" s="9">
        <v>41673.716979166667</v>
      </c>
      <c r="E6026" t="s">
        <v>36</v>
      </c>
      <c r="F6026">
        <f t="shared" ca="1" si="190"/>
        <v>0.98888888888888893</v>
      </c>
      <c r="G6026">
        <f t="shared" ca="1" si="191"/>
        <v>1</v>
      </c>
    </row>
    <row r="6027" spans="1:7">
      <c r="A6027">
        <v>8640</v>
      </c>
      <c r="B6027" t="s">
        <v>23</v>
      </c>
      <c r="C6027" t="s">
        <v>119</v>
      </c>
      <c r="D6027" s="9">
        <v>41675.800578703704</v>
      </c>
      <c r="E6027" t="s">
        <v>8</v>
      </c>
      <c r="F6027">
        <f t="shared" ca="1" si="190"/>
        <v>0.98333333333333328</v>
      </c>
      <c r="G6027">
        <f t="shared" ca="1" si="191"/>
        <v>1</v>
      </c>
    </row>
    <row r="6028" spans="1:7">
      <c r="A6028">
        <v>8642</v>
      </c>
      <c r="B6028" t="s">
        <v>20</v>
      </c>
      <c r="C6028" t="s">
        <v>119</v>
      </c>
      <c r="D6028" s="9">
        <v>41631.921284722222</v>
      </c>
      <c r="E6028" t="s">
        <v>36</v>
      </c>
      <c r="F6028">
        <f t="shared" ca="1" si="190"/>
        <v>1.1000000000000001</v>
      </c>
      <c r="G6028">
        <f t="shared" ca="1" si="191"/>
        <v>0</v>
      </c>
    </row>
    <row r="6029" spans="1:7">
      <c r="A6029">
        <v>8646</v>
      </c>
      <c r="B6029" t="s">
        <v>21</v>
      </c>
      <c r="C6029" t="s">
        <v>119</v>
      </c>
      <c r="D6029" s="9">
        <v>41670.737662037034</v>
      </c>
      <c r="E6029" t="s">
        <v>32</v>
      </c>
      <c r="F6029">
        <f t="shared" ca="1" si="190"/>
        <v>0.99722222222222223</v>
      </c>
      <c r="G6029">
        <f t="shared" ca="1" si="191"/>
        <v>1</v>
      </c>
    </row>
    <row r="6030" spans="1:7">
      <c r="A6030">
        <v>8648</v>
      </c>
      <c r="B6030" t="s">
        <v>23</v>
      </c>
      <c r="C6030" t="s">
        <v>119</v>
      </c>
      <c r="D6030" s="9">
        <v>41635.657824074071</v>
      </c>
      <c r="E6030" t="s">
        <v>36</v>
      </c>
      <c r="F6030">
        <f t="shared" ca="1" si="190"/>
        <v>1.0888888888888888</v>
      </c>
      <c r="G6030">
        <f t="shared" ca="1" si="191"/>
        <v>0</v>
      </c>
    </row>
    <row r="6031" spans="1:7">
      <c r="A6031">
        <v>8649</v>
      </c>
      <c r="B6031" t="s">
        <v>32</v>
      </c>
      <c r="C6031" t="s">
        <v>119</v>
      </c>
      <c r="D6031" s="9">
        <v>41670.58898148148</v>
      </c>
      <c r="E6031" t="s">
        <v>20</v>
      </c>
      <c r="F6031">
        <f t="shared" ca="1" si="190"/>
        <v>0.99722222222222223</v>
      </c>
      <c r="G6031">
        <f t="shared" ca="1" si="191"/>
        <v>1</v>
      </c>
    </row>
    <row r="6032" spans="1:7">
      <c r="A6032">
        <v>8650</v>
      </c>
      <c r="B6032" t="s">
        <v>20</v>
      </c>
      <c r="C6032" t="s">
        <v>119</v>
      </c>
      <c r="D6032" s="9">
        <v>41667.667175925926</v>
      </c>
      <c r="E6032" t="s">
        <v>36</v>
      </c>
      <c r="F6032">
        <f t="shared" ca="1" si="190"/>
        <v>1.0027777777777778</v>
      </c>
      <c r="G6032">
        <f t="shared" ca="1" si="191"/>
        <v>0</v>
      </c>
    </row>
    <row r="6033" spans="1:7">
      <c r="A6033">
        <v>8651</v>
      </c>
      <c r="B6033" t="s">
        <v>32</v>
      </c>
      <c r="C6033" t="s">
        <v>119</v>
      </c>
      <c r="D6033" s="9">
        <v>41666.5625</v>
      </c>
      <c r="E6033" t="s">
        <v>20</v>
      </c>
      <c r="F6033">
        <f t="shared" ca="1" si="190"/>
        <v>1.0055555555555555</v>
      </c>
      <c r="G6033">
        <f t="shared" ca="1" si="191"/>
        <v>0</v>
      </c>
    </row>
    <row r="6034" spans="1:7">
      <c r="A6034">
        <v>8655</v>
      </c>
      <c r="B6034" t="s">
        <v>21</v>
      </c>
      <c r="C6034" t="s">
        <v>118</v>
      </c>
      <c r="D6034" s="9">
        <v>41754.651053240741</v>
      </c>
      <c r="E6034" t="s">
        <v>32</v>
      </c>
      <c r="F6034">
        <f t="shared" ca="1" si="190"/>
        <v>0.76111111111111107</v>
      </c>
      <c r="G6034">
        <f t="shared" ca="1" si="191"/>
        <v>1</v>
      </c>
    </row>
    <row r="6035" spans="1:7">
      <c r="A6035">
        <v>8662</v>
      </c>
      <c r="B6035" t="s">
        <v>38</v>
      </c>
      <c r="C6035" t="s">
        <v>119</v>
      </c>
      <c r="D6035" s="9">
        <v>41666.5625</v>
      </c>
      <c r="E6035" t="s">
        <v>36</v>
      </c>
      <c r="F6035">
        <f t="shared" ca="1" si="190"/>
        <v>1.0055555555555555</v>
      </c>
      <c r="G6035">
        <f t="shared" ca="1" si="191"/>
        <v>0</v>
      </c>
    </row>
    <row r="6036" spans="1:7">
      <c r="A6036">
        <v>8667</v>
      </c>
      <c r="B6036" t="s">
        <v>44</v>
      </c>
      <c r="C6036" t="s">
        <v>119</v>
      </c>
      <c r="D6036" s="9">
        <v>41649.670925925922</v>
      </c>
      <c r="E6036" t="s">
        <v>11</v>
      </c>
      <c r="F6036">
        <f t="shared" ca="1" si="190"/>
        <v>1.0527777777777778</v>
      </c>
      <c r="G6036">
        <f t="shared" ca="1" si="191"/>
        <v>0</v>
      </c>
    </row>
    <row r="6037" spans="1:7">
      <c r="A6037">
        <v>8669</v>
      </c>
      <c r="B6037" t="s">
        <v>11</v>
      </c>
      <c r="C6037" t="s">
        <v>119</v>
      </c>
      <c r="D6037" s="9">
        <v>41648.841168981482</v>
      </c>
      <c r="E6037" t="s">
        <v>27</v>
      </c>
      <c r="F6037">
        <f t="shared" ca="1" si="190"/>
        <v>1.0555555555555556</v>
      </c>
      <c r="G6037">
        <f t="shared" ca="1" si="191"/>
        <v>0</v>
      </c>
    </row>
    <row r="6038" spans="1:7">
      <c r="A6038">
        <v>8673</v>
      </c>
      <c r="B6038" t="s">
        <v>19</v>
      </c>
      <c r="C6038" t="s">
        <v>119</v>
      </c>
      <c r="D6038" s="9">
        <v>41645.878449074073</v>
      </c>
      <c r="E6038" t="s">
        <v>20</v>
      </c>
      <c r="F6038">
        <f t="shared" ca="1" si="190"/>
        <v>1.0638888888888889</v>
      </c>
      <c r="G6038">
        <f t="shared" ca="1" si="191"/>
        <v>0</v>
      </c>
    </row>
    <row r="6039" spans="1:7">
      <c r="A6039">
        <v>8674</v>
      </c>
      <c r="B6039" t="s">
        <v>36</v>
      </c>
      <c r="C6039" t="s">
        <v>119</v>
      </c>
      <c r="D6039" s="9">
        <v>41646.562025462961</v>
      </c>
      <c r="E6039" t="s">
        <v>20</v>
      </c>
      <c r="F6039">
        <f t="shared" ca="1" si="190"/>
        <v>1.0611111111111111</v>
      </c>
      <c r="G6039">
        <f t="shared" ca="1" si="191"/>
        <v>0</v>
      </c>
    </row>
    <row r="6040" spans="1:7">
      <c r="A6040">
        <v>8675</v>
      </c>
      <c r="B6040" t="s">
        <v>20</v>
      </c>
      <c r="C6040" t="s">
        <v>118</v>
      </c>
      <c r="D6040" s="9">
        <v>41726.59097222222</v>
      </c>
      <c r="E6040" t="s">
        <v>32</v>
      </c>
      <c r="F6040">
        <f t="shared" ca="1" si="190"/>
        <v>0.83611111111111114</v>
      </c>
      <c r="G6040">
        <f t="shared" ca="1" si="191"/>
        <v>1</v>
      </c>
    </row>
    <row r="6041" spans="1:7">
      <c r="A6041">
        <v>8676</v>
      </c>
      <c r="B6041" t="s">
        <v>21</v>
      </c>
      <c r="C6041" t="s">
        <v>119</v>
      </c>
      <c r="D6041" s="9">
        <v>41648.603761574072</v>
      </c>
      <c r="E6041" t="s">
        <v>20</v>
      </c>
      <c r="F6041">
        <f t="shared" ca="1" si="190"/>
        <v>1.0555555555555556</v>
      </c>
      <c r="G6041">
        <f t="shared" ca="1" si="191"/>
        <v>0</v>
      </c>
    </row>
    <row r="6042" spans="1:7">
      <c r="A6042">
        <v>8677</v>
      </c>
      <c r="B6042" t="s">
        <v>18</v>
      </c>
      <c r="C6042" t="s">
        <v>119</v>
      </c>
      <c r="D6042" s="9">
        <v>41654.68377314815</v>
      </c>
      <c r="E6042" t="s">
        <v>44</v>
      </c>
      <c r="F6042">
        <f t="shared" ca="1" si="190"/>
        <v>1.038888888888889</v>
      </c>
      <c r="G6042">
        <f t="shared" ca="1" si="191"/>
        <v>0</v>
      </c>
    </row>
    <row r="6043" spans="1:7">
      <c r="A6043">
        <v>8682</v>
      </c>
      <c r="B6043" t="s">
        <v>32</v>
      </c>
      <c r="C6043" t="s">
        <v>119</v>
      </c>
      <c r="D6043" s="9">
        <v>41670.589074074072</v>
      </c>
      <c r="E6043" t="s">
        <v>36</v>
      </c>
      <c r="F6043">
        <f t="shared" ca="1" si="190"/>
        <v>0.99722222222222223</v>
      </c>
      <c r="G6043">
        <f t="shared" ca="1" si="191"/>
        <v>1</v>
      </c>
    </row>
    <row r="6044" spans="1:7">
      <c r="A6044">
        <v>8684</v>
      </c>
      <c r="B6044" t="s">
        <v>19</v>
      </c>
      <c r="C6044" t="s">
        <v>119</v>
      </c>
      <c r="D6044" s="9">
        <v>41663.649884259263</v>
      </c>
      <c r="E6044" t="s">
        <v>18</v>
      </c>
      <c r="F6044">
        <f t="shared" ca="1" si="190"/>
        <v>1.0138888888888888</v>
      </c>
      <c r="G6044">
        <f t="shared" ca="1" si="191"/>
        <v>0</v>
      </c>
    </row>
    <row r="6045" spans="1:7">
      <c r="A6045">
        <v>8685</v>
      </c>
      <c r="B6045" t="s">
        <v>21</v>
      </c>
      <c r="C6045" t="s">
        <v>118</v>
      </c>
      <c r="D6045" s="9">
        <v>41744.77715277778</v>
      </c>
      <c r="E6045" t="s">
        <v>36</v>
      </c>
      <c r="F6045">
        <f t="shared" ca="1" si="190"/>
        <v>0.78888888888888886</v>
      </c>
      <c r="G6045">
        <f t="shared" ca="1" si="191"/>
        <v>1</v>
      </c>
    </row>
    <row r="6046" spans="1:7">
      <c r="A6046">
        <v>8686</v>
      </c>
      <c r="B6046" t="s">
        <v>20</v>
      </c>
      <c r="C6046" t="s">
        <v>119</v>
      </c>
      <c r="D6046" s="9">
        <v>41648.71471064815</v>
      </c>
      <c r="E6046" t="s">
        <v>8</v>
      </c>
      <c r="F6046">
        <f t="shared" ca="1" si="190"/>
        <v>1.0555555555555556</v>
      </c>
      <c r="G6046">
        <f t="shared" ca="1" si="191"/>
        <v>0</v>
      </c>
    </row>
    <row r="6047" spans="1:7">
      <c r="A6047">
        <v>8689</v>
      </c>
      <c r="B6047" t="s">
        <v>19</v>
      </c>
      <c r="C6047" t="s">
        <v>119</v>
      </c>
      <c r="D6047" s="9">
        <v>41649.694513888891</v>
      </c>
      <c r="E6047" t="s">
        <v>11</v>
      </c>
      <c r="F6047">
        <f t="shared" ca="1" si="190"/>
        <v>1.0527777777777778</v>
      </c>
      <c r="G6047">
        <f t="shared" ca="1" si="191"/>
        <v>0</v>
      </c>
    </row>
    <row r="6048" spans="1:7">
      <c r="A6048">
        <v>8698</v>
      </c>
      <c r="B6048" t="s">
        <v>214</v>
      </c>
      <c r="C6048" t="s">
        <v>209</v>
      </c>
      <c r="D6048" s="9">
        <v>41936.693483796298</v>
      </c>
      <c r="E6048" t="s">
        <v>220</v>
      </c>
      <c r="F6048">
        <f t="shared" ca="1" si="190"/>
        <v>0.2638888888888889</v>
      </c>
      <c r="G6048">
        <f t="shared" ca="1" si="191"/>
        <v>1</v>
      </c>
    </row>
    <row r="6049" spans="1:7">
      <c r="A6049">
        <v>8700</v>
      </c>
      <c r="B6049" t="s">
        <v>18</v>
      </c>
      <c r="C6049" t="s">
        <v>119</v>
      </c>
      <c r="D6049" s="9">
        <v>41666.562511574077</v>
      </c>
      <c r="E6049" t="s">
        <v>14</v>
      </c>
      <c r="F6049">
        <f t="shared" ca="1" si="190"/>
        <v>1.0055555555555555</v>
      </c>
      <c r="G6049">
        <f t="shared" ca="1" si="191"/>
        <v>0</v>
      </c>
    </row>
    <row r="6050" spans="1:7">
      <c r="A6050">
        <v>8702</v>
      </c>
      <c r="B6050" t="s">
        <v>18</v>
      </c>
      <c r="C6050" t="s">
        <v>118</v>
      </c>
      <c r="D6050" s="9">
        <v>41695.608067129629</v>
      </c>
      <c r="E6050" t="s">
        <v>8</v>
      </c>
      <c r="F6050">
        <f t="shared" ca="1" si="190"/>
        <v>0.92777777777777781</v>
      </c>
      <c r="G6050">
        <f t="shared" ca="1" si="191"/>
        <v>1</v>
      </c>
    </row>
    <row r="6051" spans="1:7">
      <c r="A6051">
        <v>8703</v>
      </c>
      <c r="B6051" t="s">
        <v>11</v>
      </c>
      <c r="C6051" t="s">
        <v>119</v>
      </c>
      <c r="D6051" s="9">
        <v>41674.688877314817</v>
      </c>
      <c r="E6051" t="s">
        <v>36</v>
      </c>
      <c r="F6051">
        <f t="shared" ca="1" si="190"/>
        <v>0.98611111111111116</v>
      </c>
      <c r="G6051">
        <f t="shared" ca="1" si="191"/>
        <v>1</v>
      </c>
    </row>
    <row r="6052" spans="1:7">
      <c r="A6052">
        <v>8704</v>
      </c>
      <c r="B6052" t="s">
        <v>44</v>
      </c>
      <c r="C6052" t="s">
        <v>119</v>
      </c>
      <c r="D6052" s="9">
        <v>41654.616689814815</v>
      </c>
      <c r="E6052" t="s">
        <v>36</v>
      </c>
      <c r="F6052">
        <f t="shared" ca="1" si="190"/>
        <v>1.038888888888889</v>
      </c>
      <c r="G6052">
        <f t="shared" ca="1" si="191"/>
        <v>0</v>
      </c>
    </row>
    <row r="6053" spans="1:7">
      <c r="A6053">
        <v>8705</v>
      </c>
      <c r="B6053" t="s">
        <v>30</v>
      </c>
      <c r="C6053" t="s">
        <v>119</v>
      </c>
      <c r="D6053" s="9">
        <v>41654.662604166668</v>
      </c>
      <c r="E6053" t="s">
        <v>44</v>
      </c>
      <c r="F6053">
        <f t="shared" ca="1" si="190"/>
        <v>1.038888888888889</v>
      </c>
      <c r="G6053">
        <f t="shared" ca="1" si="191"/>
        <v>0</v>
      </c>
    </row>
    <row r="6054" spans="1:7">
      <c r="A6054">
        <v>8706</v>
      </c>
      <c r="B6054" t="s">
        <v>36</v>
      </c>
      <c r="C6054" t="s">
        <v>119</v>
      </c>
      <c r="D6054" s="9">
        <v>41653.847766203704</v>
      </c>
      <c r="F6054">
        <f t="shared" ca="1" si="190"/>
        <v>1.0416666666666667</v>
      </c>
      <c r="G6054">
        <f t="shared" ca="1" si="191"/>
        <v>0</v>
      </c>
    </row>
    <row r="6055" spans="1:7">
      <c r="A6055">
        <v>8707</v>
      </c>
      <c r="B6055" t="s">
        <v>36</v>
      </c>
      <c r="C6055" t="s">
        <v>119</v>
      </c>
      <c r="D6055" s="9">
        <v>41654.602060185185</v>
      </c>
      <c r="E6055" t="s">
        <v>43</v>
      </c>
      <c r="F6055">
        <f t="shared" ca="1" si="190"/>
        <v>1.038888888888889</v>
      </c>
      <c r="G6055">
        <f t="shared" ca="1" si="191"/>
        <v>0</v>
      </c>
    </row>
    <row r="6056" spans="1:7">
      <c r="A6056">
        <v>8709</v>
      </c>
      <c r="B6056" t="s">
        <v>44</v>
      </c>
      <c r="C6056" t="s">
        <v>119</v>
      </c>
      <c r="D6056" s="9">
        <v>41670.615567129629</v>
      </c>
      <c r="E6056" t="s">
        <v>30</v>
      </c>
      <c r="F6056">
        <f t="shared" ca="1" si="190"/>
        <v>0.99722222222222223</v>
      </c>
      <c r="G6056">
        <f t="shared" ca="1" si="191"/>
        <v>1</v>
      </c>
    </row>
    <row r="6057" spans="1:7">
      <c r="A6057">
        <v>8710</v>
      </c>
      <c r="B6057" t="s">
        <v>50</v>
      </c>
      <c r="C6057" t="s">
        <v>119</v>
      </c>
      <c r="D6057" s="9">
        <v>41666.562511574077</v>
      </c>
      <c r="E6057" t="s">
        <v>29</v>
      </c>
      <c r="F6057">
        <f t="shared" ca="1" si="190"/>
        <v>1.0055555555555555</v>
      </c>
      <c r="G6057">
        <f t="shared" ca="1" si="191"/>
        <v>0</v>
      </c>
    </row>
    <row r="6058" spans="1:7">
      <c r="A6058">
        <v>8711</v>
      </c>
      <c r="B6058" t="s">
        <v>32</v>
      </c>
      <c r="C6058" t="s">
        <v>119</v>
      </c>
      <c r="D6058" s="9">
        <v>41670.589733796296</v>
      </c>
      <c r="E6058" t="s">
        <v>36</v>
      </c>
      <c r="F6058">
        <f t="shared" ca="1" si="190"/>
        <v>0.99722222222222223</v>
      </c>
      <c r="G6058">
        <f t="shared" ca="1" si="191"/>
        <v>1</v>
      </c>
    </row>
    <row r="6059" spans="1:7">
      <c r="A6059">
        <v>8713</v>
      </c>
      <c r="B6059" t="s">
        <v>29</v>
      </c>
      <c r="C6059" t="s">
        <v>119</v>
      </c>
      <c r="D6059" s="9">
        <v>41663.878148148149</v>
      </c>
      <c r="E6059" t="s">
        <v>43</v>
      </c>
      <c r="F6059">
        <f t="shared" ca="1" si="190"/>
        <v>1.0138888888888888</v>
      </c>
      <c r="G6059">
        <f t="shared" ca="1" si="191"/>
        <v>0</v>
      </c>
    </row>
    <row r="6060" spans="1:7">
      <c r="A6060">
        <v>8716</v>
      </c>
      <c r="B6060" t="s">
        <v>18</v>
      </c>
      <c r="C6060" t="s">
        <v>119</v>
      </c>
      <c r="D6060" s="9">
        <v>41667.664814814816</v>
      </c>
      <c r="E6060" t="s">
        <v>17</v>
      </c>
      <c r="F6060">
        <f t="shared" ca="1" si="190"/>
        <v>1.0027777777777778</v>
      </c>
      <c r="G6060">
        <f t="shared" ca="1" si="191"/>
        <v>0</v>
      </c>
    </row>
    <row r="6061" spans="1:7">
      <c r="A6061">
        <v>8718</v>
      </c>
      <c r="B6061" t="s">
        <v>43</v>
      </c>
      <c r="C6061" t="s">
        <v>119</v>
      </c>
      <c r="D6061" s="9">
        <v>41654.823055555556</v>
      </c>
      <c r="E6061" t="s">
        <v>36</v>
      </c>
      <c r="F6061">
        <f t="shared" ca="1" si="190"/>
        <v>1.038888888888889</v>
      </c>
      <c r="G6061">
        <f t="shared" ca="1" si="191"/>
        <v>0</v>
      </c>
    </row>
    <row r="6062" spans="1:7">
      <c r="A6062">
        <v>8723</v>
      </c>
      <c r="B6062" t="s">
        <v>32</v>
      </c>
      <c r="C6062" t="s">
        <v>118</v>
      </c>
      <c r="D6062" s="9">
        <v>41705.670034722221</v>
      </c>
      <c r="E6062" t="s">
        <v>21</v>
      </c>
      <c r="F6062">
        <f t="shared" ca="1" si="190"/>
        <v>0.89444444444444449</v>
      </c>
      <c r="G6062">
        <f t="shared" ca="1" si="191"/>
        <v>1</v>
      </c>
    </row>
    <row r="6063" spans="1:7">
      <c r="A6063">
        <v>8724</v>
      </c>
      <c r="B6063" t="s">
        <v>30</v>
      </c>
      <c r="C6063" t="s">
        <v>119</v>
      </c>
      <c r="D6063" s="9">
        <v>41670.813240740739</v>
      </c>
      <c r="E6063" t="s">
        <v>21</v>
      </c>
      <c r="F6063">
        <f t="shared" ca="1" si="190"/>
        <v>0.99722222222222223</v>
      </c>
      <c r="G6063">
        <f t="shared" ca="1" si="191"/>
        <v>1</v>
      </c>
    </row>
    <row r="6064" spans="1:7">
      <c r="A6064">
        <v>8726</v>
      </c>
      <c r="B6064" t="s">
        <v>44</v>
      </c>
      <c r="C6064" t="s">
        <v>119</v>
      </c>
      <c r="D6064" s="9">
        <v>41656.644918981481</v>
      </c>
      <c r="E6064" t="s">
        <v>30</v>
      </c>
      <c r="F6064">
        <f t="shared" ca="1" si="190"/>
        <v>1.0333333333333334</v>
      </c>
      <c r="G6064">
        <f t="shared" ca="1" si="191"/>
        <v>0</v>
      </c>
    </row>
    <row r="6065" spans="1:7">
      <c r="A6065">
        <v>8730</v>
      </c>
      <c r="B6065" t="s">
        <v>17</v>
      </c>
      <c r="C6065" t="s">
        <v>119</v>
      </c>
      <c r="D6065" s="9">
        <v>41660.681956018518</v>
      </c>
      <c r="E6065" t="s">
        <v>18</v>
      </c>
      <c r="F6065">
        <f t="shared" ca="1" si="190"/>
        <v>1.0222222222222221</v>
      </c>
      <c r="G6065">
        <f t="shared" ca="1" si="191"/>
        <v>0</v>
      </c>
    </row>
    <row r="6066" spans="1:7">
      <c r="A6066">
        <v>8733</v>
      </c>
      <c r="B6066" t="s">
        <v>19</v>
      </c>
      <c r="C6066" t="s">
        <v>119</v>
      </c>
      <c r="D6066" s="9">
        <v>41673.705474537041</v>
      </c>
      <c r="E6066" t="s">
        <v>29</v>
      </c>
      <c r="F6066">
        <f t="shared" ca="1" si="190"/>
        <v>0.98888888888888893</v>
      </c>
      <c r="G6066">
        <f t="shared" ca="1" si="191"/>
        <v>1</v>
      </c>
    </row>
    <row r="6067" spans="1:7">
      <c r="A6067">
        <v>8739</v>
      </c>
      <c r="B6067" t="s">
        <v>14</v>
      </c>
      <c r="C6067" t="s">
        <v>118</v>
      </c>
      <c r="D6067" s="9">
        <v>41726.853171296294</v>
      </c>
      <c r="E6067" t="s">
        <v>37</v>
      </c>
      <c r="F6067">
        <f t="shared" ca="1" si="190"/>
        <v>0.83611111111111114</v>
      </c>
      <c r="G6067">
        <f t="shared" ca="1" si="191"/>
        <v>1</v>
      </c>
    </row>
    <row r="6068" spans="1:7">
      <c r="A6068">
        <v>8742</v>
      </c>
      <c r="B6068" t="s">
        <v>17</v>
      </c>
      <c r="C6068" t="s">
        <v>119</v>
      </c>
      <c r="D6068" s="9">
        <v>41673.412777777776</v>
      </c>
      <c r="E6068" t="s">
        <v>14</v>
      </c>
      <c r="F6068">
        <f t="shared" ca="1" si="190"/>
        <v>0.98888888888888893</v>
      </c>
      <c r="G6068">
        <f t="shared" ca="1" si="191"/>
        <v>1</v>
      </c>
    </row>
    <row r="6069" spans="1:7">
      <c r="A6069">
        <v>8743</v>
      </c>
      <c r="B6069" t="s">
        <v>32</v>
      </c>
      <c r="C6069" t="s">
        <v>119</v>
      </c>
      <c r="D6069" s="9">
        <v>41670.673182870371</v>
      </c>
      <c r="E6069" t="s">
        <v>21</v>
      </c>
      <c r="F6069">
        <f t="shared" ca="1" si="190"/>
        <v>0.99722222222222223</v>
      </c>
      <c r="G6069">
        <f t="shared" ca="1" si="191"/>
        <v>1</v>
      </c>
    </row>
    <row r="6070" spans="1:7">
      <c r="A6070">
        <v>8747</v>
      </c>
      <c r="B6070" t="s">
        <v>29</v>
      </c>
      <c r="C6070" t="s">
        <v>119</v>
      </c>
      <c r="D6070" s="9">
        <v>41669.52616898148</v>
      </c>
      <c r="E6070" t="s">
        <v>17</v>
      </c>
      <c r="F6070">
        <f t="shared" ca="1" si="190"/>
        <v>0.99722222222222223</v>
      </c>
      <c r="G6070">
        <f t="shared" ca="1" si="191"/>
        <v>1</v>
      </c>
    </row>
    <row r="6071" spans="1:7">
      <c r="A6071">
        <v>8748</v>
      </c>
      <c r="B6071" t="s">
        <v>19</v>
      </c>
      <c r="C6071" t="s">
        <v>119</v>
      </c>
      <c r="D6071" s="9">
        <v>41663.850497685184</v>
      </c>
      <c r="E6071" t="s">
        <v>36</v>
      </c>
      <c r="F6071">
        <f t="shared" ca="1" si="190"/>
        <v>1.0138888888888888</v>
      </c>
      <c r="G6071">
        <f t="shared" ca="1" si="191"/>
        <v>0</v>
      </c>
    </row>
    <row r="6072" spans="1:7">
      <c r="A6072">
        <v>8749</v>
      </c>
      <c r="B6072" t="s">
        <v>21</v>
      </c>
      <c r="C6072" t="s">
        <v>119</v>
      </c>
      <c r="D6072" s="9">
        <v>41669.659421296295</v>
      </c>
      <c r="E6072" t="s">
        <v>36</v>
      </c>
      <c r="F6072">
        <f t="shared" ca="1" si="190"/>
        <v>0.99722222222222223</v>
      </c>
      <c r="G6072">
        <f t="shared" ca="1" si="191"/>
        <v>1</v>
      </c>
    </row>
    <row r="6073" spans="1:7">
      <c r="A6073">
        <v>8753</v>
      </c>
      <c r="B6073" t="s">
        <v>24</v>
      </c>
      <c r="C6073" t="s">
        <v>119</v>
      </c>
      <c r="D6073" s="9">
        <v>41673.357303240744</v>
      </c>
      <c r="E6073" t="s">
        <v>14</v>
      </c>
      <c r="F6073">
        <f t="shared" ca="1" si="190"/>
        <v>0.98888888888888893</v>
      </c>
      <c r="G6073">
        <f t="shared" ca="1" si="191"/>
        <v>1</v>
      </c>
    </row>
    <row r="6074" spans="1:7">
      <c r="A6074">
        <v>8760</v>
      </c>
      <c r="B6074" t="s">
        <v>8</v>
      </c>
      <c r="C6074" t="s">
        <v>118</v>
      </c>
      <c r="D6074" s="9">
        <v>41810.472650462965</v>
      </c>
      <c r="E6074" t="s">
        <v>14</v>
      </c>
      <c r="F6074">
        <f t="shared" ca="1" si="190"/>
        <v>0.60833333333333328</v>
      </c>
      <c r="G6074">
        <f t="shared" ca="1" si="191"/>
        <v>1</v>
      </c>
    </row>
    <row r="6075" spans="1:7">
      <c r="A6075">
        <v>8761</v>
      </c>
      <c r="B6075" t="s">
        <v>32</v>
      </c>
      <c r="C6075" t="s">
        <v>119</v>
      </c>
      <c r="D6075" s="9">
        <v>41670.789907407408</v>
      </c>
      <c r="E6075" t="s">
        <v>36</v>
      </c>
      <c r="F6075">
        <f t="shared" ca="1" si="190"/>
        <v>0.99722222222222223</v>
      </c>
      <c r="G6075">
        <f t="shared" ca="1" si="191"/>
        <v>1</v>
      </c>
    </row>
    <row r="6076" spans="1:7">
      <c r="A6076">
        <v>8762</v>
      </c>
      <c r="B6076" t="s">
        <v>20</v>
      </c>
      <c r="C6076" t="s">
        <v>119</v>
      </c>
      <c r="D6076" s="9">
        <v>41669.896469907406</v>
      </c>
      <c r="E6076" t="s">
        <v>36</v>
      </c>
      <c r="F6076">
        <f t="shared" ca="1" si="190"/>
        <v>0.99722222222222223</v>
      </c>
      <c r="G6076">
        <f t="shared" ca="1" si="191"/>
        <v>1</v>
      </c>
    </row>
    <row r="6077" spans="1:7">
      <c r="A6077">
        <v>8765</v>
      </c>
      <c r="B6077" t="s">
        <v>19</v>
      </c>
      <c r="C6077" t="s">
        <v>119</v>
      </c>
      <c r="D6077" s="9">
        <v>41669.450289351851</v>
      </c>
      <c r="E6077" t="s">
        <v>29</v>
      </c>
      <c r="F6077">
        <f t="shared" ca="1" si="190"/>
        <v>0.99722222222222223</v>
      </c>
      <c r="G6077">
        <f t="shared" ca="1" si="191"/>
        <v>1</v>
      </c>
    </row>
    <row r="6078" spans="1:7">
      <c r="A6078">
        <v>8768</v>
      </c>
      <c r="B6078" t="s">
        <v>14</v>
      </c>
      <c r="C6078" t="s">
        <v>119</v>
      </c>
      <c r="D6078" s="9">
        <v>41669.48741898148</v>
      </c>
      <c r="E6078" t="s">
        <v>17</v>
      </c>
      <c r="F6078">
        <f t="shared" ca="1" si="190"/>
        <v>0.99722222222222223</v>
      </c>
      <c r="G6078">
        <f t="shared" ca="1" si="191"/>
        <v>1</v>
      </c>
    </row>
    <row r="6079" spans="1:7">
      <c r="A6079">
        <v>8770</v>
      </c>
      <c r="B6079" t="s">
        <v>23</v>
      </c>
      <c r="C6079" t="s">
        <v>119</v>
      </c>
      <c r="D6079" s="9">
        <v>41670.563171296293</v>
      </c>
      <c r="E6079" t="s">
        <v>14</v>
      </c>
      <c r="F6079">
        <f t="shared" ca="1" si="190"/>
        <v>0.99722222222222223</v>
      </c>
      <c r="G6079">
        <f t="shared" ca="1" si="191"/>
        <v>1</v>
      </c>
    </row>
    <row r="6080" spans="1:7">
      <c r="A6080">
        <v>8775</v>
      </c>
      <c r="B6080" t="s">
        <v>34</v>
      </c>
      <c r="C6080" t="s">
        <v>118</v>
      </c>
      <c r="D6080" s="9">
        <v>41684.606030092589</v>
      </c>
      <c r="E6080" t="s">
        <v>24</v>
      </c>
      <c r="F6080">
        <f t="shared" ca="1" si="190"/>
        <v>0.95833333333333337</v>
      </c>
      <c r="G6080">
        <f t="shared" ca="1" si="191"/>
        <v>1</v>
      </c>
    </row>
    <row r="6081" spans="1:7">
      <c r="A6081">
        <v>8776</v>
      </c>
      <c r="B6081" t="s">
        <v>18</v>
      </c>
      <c r="C6081" t="s">
        <v>119</v>
      </c>
      <c r="D6081" s="9">
        <v>41670.417534722219</v>
      </c>
      <c r="E6081" t="s">
        <v>17</v>
      </c>
      <c r="F6081">
        <f t="shared" ca="1" si="190"/>
        <v>0.99722222222222223</v>
      </c>
      <c r="G6081">
        <f t="shared" ca="1" si="191"/>
        <v>1</v>
      </c>
    </row>
    <row r="6082" spans="1:7">
      <c r="A6082">
        <v>8778</v>
      </c>
      <c r="B6082" t="s">
        <v>43</v>
      </c>
      <c r="C6082" t="s">
        <v>118</v>
      </c>
      <c r="D6082" s="9">
        <v>41696.897245370368</v>
      </c>
      <c r="E6082" t="s">
        <v>27</v>
      </c>
      <c r="F6082">
        <f t="shared" ca="1" si="190"/>
        <v>0.92500000000000004</v>
      </c>
      <c r="G6082">
        <f t="shared" ca="1" si="191"/>
        <v>1</v>
      </c>
    </row>
    <row r="6083" spans="1:7">
      <c r="A6083">
        <v>8780</v>
      </c>
      <c r="B6083" t="s">
        <v>19</v>
      </c>
      <c r="C6083" t="s">
        <v>119</v>
      </c>
      <c r="D6083" s="9">
        <v>41670.399930555555</v>
      </c>
      <c r="E6083" t="s">
        <v>29</v>
      </c>
      <c r="F6083">
        <f t="shared" ca="1" si="190"/>
        <v>0.99722222222222223</v>
      </c>
      <c r="G6083">
        <f t="shared" ca="1" si="191"/>
        <v>1</v>
      </c>
    </row>
    <row r="6084" spans="1:7">
      <c r="A6084">
        <v>8782</v>
      </c>
      <c r="B6084" t="s">
        <v>36</v>
      </c>
      <c r="C6084" t="s">
        <v>119</v>
      </c>
      <c r="D6084" s="9">
        <v>41670.67695601852</v>
      </c>
      <c r="E6084" t="s">
        <v>21</v>
      </c>
      <c r="F6084">
        <f t="shared" ca="1" si="190"/>
        <v>0.99722222222222223</v>
      </c>
      <c r="G6084">
        <f t="shared" ca="1" si="191"/>
        <v>1</v>
      </c>
    </row>
    <row r="6085" spans="1:7">
      <c r="A6085">
        <v>8784</v>
      </c>
      <c r="B6085" t="s">
        <v>8</v>
      </c>
      <c r="C6085" t="s">
        <v>118</v>
      </c>
      <c r="D6085" s="9">
        <v>41687.64984953704</v>
      </c>
      <c r="E6085" t="s">
        <v>37</v>
      </c>
      <c r="F6085">
        <f t="shared" ca="1" si="190"/>
        <v>0.95</v>
      </c>
      <c r="G6085">
        <f t="shared" ca="1" si="191"/>
        <v>1</v>
      </c>
    </row>
    <row r="6086" spans="1:7">
      <c r="A6086">
        <v>8791</v>
      </c>
      <c r="B6086" t="s">
        <v>112</v>
      </c>
      <c r="C6086" t="s">
        <v>119</v>
      </c>
      <c r="D6086" s="9">
        <v>41670.561030092591</v>
      </c>
      <c r="E6086" t="s">
        <v>14</v>
      </c>
      <c r="F6086">
        <f t="shared" ca="1" si="190"/>
        <v>0.99722222222222223</v>
      </c>
      <c r="G6086">
        <f t="shared" ca="1" si="191"/>
        <v>1</v>
      </c>
    </row>
    <row r="6087" spans="1:7">
      <c r="A6087">
        <v>8792</v>
      </c>
      <c r="B6087" t="s">
        <v>27</v>
      </c>
      <c r="C6087" t="s">
        <v>119</v>
      </c>
      <c r="D6087" s="9">
        <v>41670.864953703705</v>
      </c>
      <c r="E6087" t="s">
        <v>36</v>
      </c>
      <c r="F6087">
        <f t="shared" ref="F6087:F6150" ca="1" si="192">YEARFRAC(TODAY(),$D6087)</f>
        <v>0.99722222222222223</v>
      </c>
      <c r="G6087">
        <f t="shared" ref="G6087:G6150" ca="1" si="193">IF($F6087&lt;1,1,0)</f>
        <v>1</v>
      </c>
    </row>
    <row r="6088" spans="1:7">
      <c r="A6088">
        <v>8794</v>
      </c>
      <c r="B6088" t="s">
        <v>23</v>
      </c>
      <c r="C6088" t="s">
        <v>119</v>
      </c>
      <c r="D6088" s="9">
        <v>41670.678553240738</v>
      </c>
      <c r="E6088" t="s">
        <v>34</v>
      </c>
      <c r="F6088">
        <f t="shared" ca="1" si="192"/>
        <v>0.99722222222222223</v>
      </c>
      <c r="G6088">
        <f t="shared" ca="1" si="193"/>
        <v>1</v>
      </c>
    </row>
    <row r="6089" spans="1:7">
      <c r="A6089">
        <v>8798</v>
      </c>
      <c r="B6089" t="s">
        <v>14</v>
      </c>
      <c r="C6089" t="s">
        <v>119</v>
      </c>
      <c r="D6089" s="9">
        <v>41670.566481481481</v>
      </c>
      <c r="E6089" t="s">
        <v>34</v>
      </c>
      <c r="F6089">
        <f t="shared" ca="1" si="192"/>
        <v>0.99722222222222223</v>
      </c>
      <c r="G6089">
        <f t="shared" ca="1" si="193"/>
        <v>1</v>
      </c>
    </row>
    <row r="6090" spans="1:7">
      <c r="A6090">
        <v>8800</v>
      </c>
      <c r="B6090" t="s">
        <v>14</v>
      </c>
      <c r="C6090" t="s">
        <v>118</v>
      </c>
      <c r="D6090" s="9">
        <v>41691.659155092595</v>
      </c>
      <c r="E6090" t="s">
        <v>34</v>
      </c>
      <c r="F6090">
        <f t="shared" ca="1" si="192"/>
        <v>0.93888888888888888</v>
      </c>
      <c r="G6090">
        <f t="shared" ca="1" si="193"/>
        <v>1</v>
      </c>
    </row>
    <row r="6091" spans="1:7">
      <c r="A6091">
        <v>8801</v>
      </c>
      <c r="B6091" t="s">
        <v>14</v>
      </c>
      <c r="C6091" t="s">
        <v>118</v>
      </c>
      <c r="D6091" s="9">
        <v>41757.565462962964</v>
      </c>
      <c r="E6091" t="s">
        <v>23</v>
      </c>
      <c r="F6091">
        <f t="shared" ca="1" si="192"/>
        <v>0.75277777777777777</v>
      </c>
      <c r="G6091">
        <f t="shared" ca="1" si="193"/>
        <v>1</v>
      </c>
    </row>
    <row r="6092" spans="1:7">
      <c r="A6092">
        <v>8802</v>
      </c>
      <c r="B6092" t="s">
        <v>211</v>
      </c>
      <c r="C6092" t="s">
        <v>209</v>
      </c>
      <c r="D6092" s="9">
        <v>41927.930995370371</v>
      </c>
      <c r="E6092" t="s">
        <v>43</v>
      </c>
      <c r="F6092">
        <f t="shared" ca="1" si="192"/>
        <v>0.28888888888888886</v>
      </c>
      <c r="G6092">
        <f t="shared" ca="1" si="193"/>
        <v>1</v>
      </c>
    </row>
    <row r="6093" spans="1:7">
      <c r="A6093">
        <v>8804</v>
      </c>
      <c r="B6093" t="s">
        <v>23</v>
      </c>
      <c r="C6093" t="s">
        <v>118</v>
      </c>
      <c r="D6093" s="9">
        <v>41719.419363425928</v>
      </c>
      <c r="E6093" t="s">
        <v>8</v>
      </c>
      <c r="F6093">
        <f t="shared" ca="1" si="192"/>
        <v>0.85555555555555551</v>
      </c>
      <c r="G6093">
        <f t="shared" ca="1" si="193"/>
        <v>1</v>
      </c>
    </row>
    <row r="6094" spans="1:7">
      <c r="A6094">
        <v>8805</v>
      </c>
      <c r="B6094" t="s">
        <v>112</v>
      </c>
      <c r="C6094" t="s">
        <v>119</v>
      </c>
      <c r="D6094" s="9">
        <v>41670.596284722225</v>
      </c>
      <c r="E6094" t="s">
        <v>14</v>
      </c>
      <c r="F6094">
        <f t="shared" ca="1" si="192"/>
        <v>0.99722222222222223</v>
      </c>
      <c r="G6094">
        <f t="shared" ca="1" si="193"/>
        <v>1</v>
      </c>
    </row>
    <row r="6095" spans="1:7">
      <c r="A6095">
        <v>8806</v>
      </c>
      <c r="B6095" t="s">
        <v>14</v>
      </c>
      <c r="C6095" t="s">
        <v>118</v>
      </c>
      <c r="D6095" s="9">
        <v>41691.635393518518</v>
      </c>
      <c r="E6095" t="s">
        <v>34</v>
      </c>
      <c r="F6095">
        <f t="shared" ca="1" si="192"/>
        <v>0.93888888888888888</v>
      </c>
      <c r="G6095">
        <f t="shared" ca="1" si="193"/>
        <v>1</v>
      </c>
    </row>
    <row r="6096" spans="1:7">
      <c r="A6096">
        <v>8807</v>
      </c>
      <c r="B6096" t="s">
        <v>14</v>
      </c>
      <c r="C6096" t="s">
        <v>118</v>
      </c>
      <c r="D6096" s="9">
        <v>41687.480902777781</v>
      </c>
      <c r="E6096" t="s">
        <v>8</v>
      </c>
      <c r="F6096">
        <f t="shared" ca="1" si="192"/>
        <v>0.95</v>
      </c>
      <c r="G6096">
        <f t="shared" ca="1" si="193"/>
        <v>1</v>
      </c>
    </row>
    <row r="6097" spans="1:7">
      <c r="A6097">
        <v>8809</v>
      </c>
      <c r="B6097" t="s">
        <v>112</v>
      </c>
      <c r="C6097" t="s">
        <v>119</v>
      </c>
      <c r="D6097" s="9">
        <v>41670.665636574071</v>
      </c>
      <c r="F6097">
        <f t="shared" ca="1" si="192"/>
        <v>0.99722222222222223</v>
      </c>
      <c r="G6097">
        <f t="shared" ca="1" si="193"/>
        <v>1</v>
      </c>
    </row>
    <row r="6098" spans="1:7">
      <c r="A6098">
        <v>8810</v>
      </c>
      <c r="B6098" t="s">
        <v>23</v>
      </c>
      <c r="C6098" t="s">
        <v>119</v>
      </c>
      <c r="D6098" s="9">
        <v>41673.776331018518</v>
      </c>
      <c r="E6098" t="s">
        <v>36</v>
      </c>
      <c r="F6098">
        <f t="shared" ca="1" si="192"/>
        <v>0.98888888888888893</v>
      </c>
      <c r="G6098">
        <f t="shared" ca="1" si="193"/>
        <v>1</v>
      </c>
    </row>
    <row r="6099" spans="1:7">
      <c r="A6099">
        <v>8816</v>
      </c>
      <c r="B6099" t="s">
        <v>32</v>
      </c>
      <c r="C6099" t="s">
        <v>118</v>
      </c>
      <c r="D6099" s="9">
        <v>41705.69494212963</v>
      </c>
      <c r="E6099" t="s">
        <v>21</v>
      </c>
      <c r="F6099">
        <f t="shared" ca="1" si="192"/>
        <v>0.89444444444444449</v>
      </c>
      <c r="G6099">
        <f t="shared" ca="1" si="193"/>
        <v>1</v>
      </c>
    </row>
    <row r="6100" spans="1:7">
      <c r="A6100">
        <v>8828</v>
      </c>
      <c r="B6100" t="s">
        <v>215</v>
      </c>
      <c r="C6100" t="s">
        <v>209</v>
      </c>
      <c r="D6100" s="9">
        <v>41838.642789351848</v>
      </c>
      <c r="E6100" t="s">
        <v>37</v>
      </c>
      <c r="F6100">
        <f t="shared" ca="1" si="192"/>
        <v>0.53055555555555556</v>
      </c>
      <c r="G6100">
        <f t="shared" ca="1" si="193"/>
        <v>1</v>
      </c>
    </row>
    <row r="6101" spans="1:7">
      <c r="A6101">
        <v>8832</v>
      </c>
      <c r="B6101" t="s">
        <v>14</v>
      </c>
      <c r="C6101" t="s">
        <v>118</v>
      </c>
      <c r="D6101" s="9">
        <v>41694.810370370367</v>
      </c>
      <c r="E6101" t="s">
        <v>27</v>
      </c>
      <c r="F6101">
        <f t="shared" ca="1" si="192"/>
        <v>0.93055555555555558</v>
      </c>
      <c r="G6101">
        <f t="shared" ca="1" si="193"/>
        <v>1</v>
      </c>
    </row>
    <row r="6102" spans="1:7">
      <c r="A6102">
        <v>8835</v>
      </c>
      <c r="B6102" t="s">
        <v>18</v>
      </c>
      <c r="C6102" t="s">
        <v>118</v>
      </c>
      <c r="D6102" s="9">
        <v>41691.640509259261</v>
      </c>
      <c r="E6102" t="s">
        <v>34</v>
      </c>
      <c r="F6102">
        <f t="shared" ca="1" si="192"/>
        <v>0.93888888888888888</v>
      </c>
      <c r="G6102">
        <f t="shared" ca="1" si="193"/>
        <v>1</v>
      </c>
    </row>
    <row r="6103" spans="1:7">
      <c r="A6103">
        <v>8839</v>
      </c>
      <c r="B6103" t="s">
        <v>18</v>
      </c>
      <c r="C6103" t="s">
        <v>118</v>
      </c>
      <c r="D6103" s="9">
        <v>41687.606261574074</v>
      </c>
      <c r="E6103" t="s">
        <v>30</v>
      </c>
      <c r="F6103">
        <f t="shared" ca="1" si="192"/>
        <v>0.95</v>
      </c>
      <c r="G6103">
        <f t="shared" ca="1" si="193"/>
        <v>1</v>
      </c>
    </row>
    <row r="6104" spans="1:7">
      <c r="A6104">
        <v>8842</v>
      </c>
      <c r="B6104" t="s">
        <v>14</v>
      </c>
      <c r="C6104" t="s">
        <v>118</v>
      </c>
      <c r="D6104" s="9">
        <v>41789.528912037036</v>
      </c>
      <c r="E6104" t="s">
        <v>17</v>
      </c>
      <c r="F6104">
        <f t="shared" ca="1" si="192"/>
        <v>0.66388888888888886</v>
      </c>
      <c r="G6104">
        <f t="shared" ca="1" si="193"/>
        <v>1</v>
      </c>
    </row>
    <row r="6105" spans="1:7">
      <c r="A6105">
        <v>8855</v>
      </c>
      <c r="B6105" t="s">
        <v>18</v>
      </c>
      <c r="C6105" t="s">
        <v>118</v>
      </c>
      <c r="D6105" s="9">
        <v>41698.58965277778</v>
      </c>
      <c r="E6105" t="s">
        <v>34</v>
      </c>
      <c r="F6105">
        <f t="shared" ca="1" si="192"/>
        <v>0.91388888888888886</v>
      </c>
      <c r="G6105">
        <f t="shared" ca="1" si="193"/>
        <v>1</v>
      </c>
    </row>
    <row r="6106" spans="1:7">
      <c r="A6106">
        <v>8860</v>
      </c>
      <c r="B6106" t="s">
        <v>18</v>
      </c>
      <c r="C6106" t="s">
        <v>118</v>
      </c>
      <c r="D6106" s="9">
        <v>41698.595625000002</v>
      </c>
      <c r="E6106" t="s">
        <v>30</v>
      </c>
      <c r="F6106">
        <f t="shared" ca="1" si="192"/>
        <v>0.91388888888888886</v>
      </c>
      <c r="G6106">
        <f t="shared" ca="1" si="193"/>
        <v>1</v>
      </c>
    </row>
    <row r="6107" spans="1:7">
      <c r="A6107">
        <v>8863</v>
      </c>
      <c r="B6107" t="s">
        <v>18</v>
      </c>
      <c r="C6107" t="s">
        <v>118</v>
      </c>
      <c r="D6107" s="9">
        <v>41698.597233796296</v>
      </c>
      <c r="E6107" t="s">
        <v>44</v>
      </c>
      <c r="F6107">
        <f t="shared" ca="1" si="192"/>
        <v>0.91388888888888886</v>
      </c>
      <c r="G6107">
        <f t="shared" ca="1" si="193"/>
        <v>1</v>
      </c>
    </row>
    <row r="6108" spans="1:7">
      <c r="A6108">
        <v>8869</v>
      </c>
      <c r="B6108" t="s">
        <v>17</v>
      </c>
      <c r="C6108" t="s">
        <v>119</v>
      </c>
      <c r="D6108" s="9">
        <v>41674.606435185182</v>
      </c>
      <c r="E6108" t="s">
        <v>112</v>
      </c>
      <c r="F6108">
        <f t="shared" ca="1" si="192"/>
        <v>0.98611111111111116</v>
      </c>
      <c r="G6108">
        <f t="shared" ca="1" si="193"/>
        <v>1</v>
      </c>
    </row>
    <row r="6109" spans="1:7">
      <c r="A6109">
        <v>8875</v>
      </c>
      <c r="B6109" t="s">
        <v>17</v>
      </c>
      <c r="C6109" t="s">
        <v>118</v>
      </c>
      <c r="D6109" s="9">
        <v>41691.651944444442</v>
      </c>
      <c r="E6109" t="s">
        <v>37</v>
      </c>
      <c r="F6109">
        <f t="shared" ca="1" si="192"/>
        <v>0.93888888888888888</v>
      </c>
      <c r="G6109">
        <f t="shared" ca="1" si="193"/>
        <v>1</v>
      </c>
    </row>
    <row r="6110" spans="1:7">
      <c r="A6110">
        <v>8876</v>
      </c>
      <c r="B6110" t="s">
        <v>14</v>
      </c>
      <c r="C6110" t="s">
        <v>119</v>
      </c>
      <c r="D6110" s="9">
        <v>41675.364641203705</v>
      </c>
      <c r="E6110" t="s">
        <v>34</v>
      </c>
      <c r="F6110">
        <f t="shared" ca="1" si="192"/>
        <v>0.98333333333333328</v>
      </c>
      <c r="G6110">
        <f t="shared" ca="1" si="193"/>
        <v>1</v>
      </c>
    </row>
    <row r="6111" spans="1:7">
      <c r="A6111">
        <v>8879</v>
      </c>
      <c r="B6111" t="s">
        <v>24</v>
      </c>
      <c r="C6111" t="s">
        <v>119</v>
      </c>
      <c r="D6111" s="9">
        <v>41675.62427083333</v>
      </c>
      <c r="E6111" t="s">
        <v>27</v>
      </c>
      <c r="F6111">
        <f t="shared" ca="1" si="192"/>
        <v>0.98333333333333328</v>
      </c>
      <c r="G6111">
        <f t="shared" ca="1" si="193"/>
        <v>1</v>
      </c>
    </row>
    <row r="6112" spans="1:7">
      <c r="A6112">
        <v>8891</v>
      </c>
      <c r="B6112" t="s">
        <v>213</v>
      </c>
      <c r="C6112" t="s">
        <v>209</v>
      </c>
      <c r="D6112" s="9">
        <v>41922.76934027778</v>
      </c>
      <c r="E6112" t="s">
        <v>21</v>
      </c>
      <c r="F6112">
        <f t="shared" ca="1" si="192"/>
        <v>0.30277777777777776</v>
      </c>
      <c r="G6112">
        <f t="shared" ca="1" si="193"/>
        <v>1</v>
      </c>
    </row>
    <row r="6113" spans="1:7">
      <c r="A6113">
        <v>8900</v>
      </c>
      <c r="B6113" t="s">
        <v>17</v>
      </c>
      <c r="C6113" t="s">
        <v>118</v>
      </c>
      <c r="D6113" s="9">
        <v>41691.675057870372</v>
      </c>
      <c r="E6113" t="s">
        <v>14</v>
      </c>
      <c r="F6113">
        <f t="shared" ca="1" si="192"/>
        <v>0.93888888888888888</v>
      </c>
      <c r="G6113">
        <f t="shared" ca="1" si="193"/>
        <v>1</v>
      </c>
    </row>
    <row r="6114" spans="1:7">
      <c r="A6114">
        <v>8901</v>
      </c>
      <c r="B6114" t="s">
        <v>14</v>
      </c>
      <c r="C6114" t="s">
        <v>118</v>
      </c>
      <c r="D6114" s="9">
        <v>41723.843553240738</v>
      </c>
      <c r="E6114" t="s">
        <v>43</v>
      </c>
      <c r="F6114">
        <f t="shared" ca="1" si="192"/>
        <v>0.84444444444444444</v>
      </c>
      <c r="G6114">
        <f t="shared" ca="1" si="193"/>
        <v>1</v>
      </c>
    </row>
    <row r="6115" spans="1:7">
      <c r="A6115">
        <v>8905</v>
      </c>
      <c r="B6115" t="s">
        <v>43</v>
      </c>
      <c r="C6115" t="s">
        <v>118</v>
      </c>
      <c r="D6115" s="9">
        <v>41681.641134259262</v>
      </c>
      <c r="E6115" t="s">
        <v>36</v>
      </c>
      <c r="F6115">
        <f t="shared" ca="1" si="192"/>
        <v>0.96666666666666667</v>
      </c>
      <c r="G6115">
        <f t="shared" ca="1" si="193"/>
        <v>1</v>
      </c>
    </row>
    <row r="6116" spans="1:7">
      <c r="A6116">
        <v>8908</v>
      </c>
      <c r="B6116" t="s">
        <v>34</v>
      </c>
      <c r="C6116" t="s">
        <v>118</v>
      </c>
      <c r="D6116" s="9">
        <v>41680.496770833335</v>
      </c>
      <c r="E6116" t="s">
        <v>37</v>
      </c>
      <c r="F6116">
        <f t="shared" ca="1" si="192"/>
        <v>0.96944444444444444</v>
      </c>
      <c r="G6116">
        <f t="shared" ca="1" si="193"/>
        <v>1</v>
      </c>
    </row>
    <row r="6117" spans="1:7">
      <c r="A6117">
        <v>8909</v>
      </c>
      <c r="B6117" t="s">
        <v>34</v>
      </c>
      <c r="C6117" t="s">
        <v>118</v>
      </c>
      <c r="D6117" s="9">
        <v>41824.560810185183</v>
      </c>
      <c r="E6117" t="s">
        <v>14</v>
      </c>
      <c r="F6117">
        <f t="shared" ca="1" si="192"/>
        <v>0.56944444444444442</v>
      </c>
      <c r="G6117">
        <f t="shared" ca="1" si="193"/>
        <v>1</v>
      </c>
    </row>
    <row r="6118" spans="1:7">
      <c r="A6118">
        <v>8910</v>
      </c>
      <c r="B6118" t="s">
        <v>37</v>
      </c>
      <c r="C6118" t="s">
        <v>118</v>
      </c>
      <c r="D6118" s="9">
        <v>41814.557662037034</v>
      </c>
      <c r="E6118" t="s">
        <v>34</v>
      </c>
      <c r="F6118">
        <f t="shared" ca="1" si="192"/>
        <v>0.59722222222222221</v>
      </c>
      <c r="G6118">
        <f t="shared" ca="1" si="193"/>
        <v>1</v>
      </c>
    </row>
    <row r="6119" spans="1:7">
      <c r="A6119">
        <v>8911</v>
      </c>
      <c r="B6119" t="s">
        <v>34</v>
      </c>
      <c r="C6119" t="s">
        <v>209</v>
      </c>
      <c r="D6119" s="9">
        <v>41962.38</v>
      </c>
      <c r="E6119" t="s">
        <v>211</v>
      </c>
      <c r="F6119">
        <f t="shared" ca="1" si="192"/>
        <v>0.19444444444444445</v>
      </c>
      <c r="G6119">
        <f t="shared" ca="1" si="193"/>
        <v>1</v>
      </c>
    </row>
    <row r="6120" spans="1:7">
      <c r="A6120">
        <v>8913</v>
      </c>
      <c r="B6120" t="s">
        <v>14</v>
      </c>
      <c r="C6120" t="s">
        <v>118</v>
      </c>
      <c r="D6120" s="9">
        <v>41771.720069444447</v>
      </c>
      <c r="E6120" t="s">
        <v>44</v>
      </c>
      <c r="F6120">
        <f t="shared" ca="1" si="192"/>
        <v>0.71388888888888891</v>
      </c>
      <c r="G6120">
        <f t="shared" ca="1" si="193"/>
        <v>1</v>
      </c>
    </row>
    <row r="6121" spans="1:7">
      <c r="A6121">
        <v>8917</v>
      </c>
      <c r="B6121" t="s">
        <v>30</v>
      </c>
      <c r="C6121" t="s">
        <v>118</v>
      </c>
      <c r="D6121" s="9">
        <v>41815.548819444448</v>
      </c>
      <c r="E6121" t="s">
        <v>112</v>
      </c>
      <c r="F6121">
        <f t="shared" ca="1" si="192"/>
        <v>0.59444444444444444</v>
      </c>
      <c r="G6121">
        <f t="shared" ca="1" si="193"/>
        <v>1</v>
      </c>
    </row>
    <row r="6122" spans="1:7">
      <c r="A6122">
        <v>8922</v>
      </c>
      <c r="B6122" t="s">
        <v>14</v>
      </c>
      <c r="C6122" t="s">
        <v>118</v>
      </c>
      <c r="D6122" s="9">
        <v>41789.39335648148</v>
      </c>
      <c r="E6122" t="s">
        <v>34</v>
      </c>
      <c r="F6122">
        <f t="shared" ca="1" si="192"/>
        <v>0.66388888888888886</v>
      </c>
      <c r="G6122">
        <f t="shared" ca="1" si="193"/>
        <v>1</v>
      </c>
    </row>
    <row r="6123" spans="1:7">
      <c r="A6123">
        <v>8923</v>
      </c>
      <c r="B6123" t="s">
        <v>8</v>
      </c>
      <c r="C6123" t="s">
        <v>118</v>
      </c>
      <c r="D6123" s="9">
        <v>41813.390196759261</v>
      </c>
      <c r="E6123" t="s">
        <v>112</v>
      </c>
      <c r="F6123">
        <f t="shared" ca="1" si="192"/>
        <v>0.6</v>
      </c>
      <c r="G6123">
        <f t="shared" ca="1" si="193"/>
        <v>1</v>
      </c>
    </row>
    <row r="6124" spans="1:7">
      <c r="A6124">
        <v>8932</v>
      </c>
      <c r="B6124" t="s">
        <v>222</v>
      </c>
      <c r="C6124" t="s">
        <v>118</v>
      </c>
      <c r="D6124" s="9">
        <v>41814.792731481481</v>
      </c>
      <c r="E6124" t="s">
        <v>111</v>
      </c>
      <c r="F6124">
        <f t="shared" ca="1" si="192"/>
        <v>0.59722222222222221</v>
      </c>
      <c r="G6124">
        <f t="shared" ca="1" si="193"/>
        <v>1</v>
      </c>
    </row>
    <row r="6125" spans="1:7">
      <c r="A6125">
        <v>8938</v>
      </c>
      <c r="B6125" t="s">
        <v>17</v>
      </c>
      <c r="C6125" t="s">
        <v>118</v>
      </c>
      <c r="D6125" s="9">
        <v>41711.569780092592</v>
      </c>
      <c r="E6125" t="s">
        <v>14</v>
      </c>
      <c r="F6125">
        <f t="shared" ca="1" si="192"/>
        <v>0.87777777777777777</v>
      </c>
      <c r="G6125">
        <f t="shared" ca="1" si="193"/>
        <v>1</v>
      </c>
    </row>
    <row r="6126" spans="1:7">
      <c r="A6126">
        <v>8940</v>
      </c>
      <c r="B6126" t="s">
        <v>8</v>
      </c>
      <c r="C6126" t="s">
        <v>118</v>
      </c>
      <c r="D6126" s="9">
        <v>41683.881145833337</v>
      </c>
      <c r="E6126" t="s">
        <v>11</v>
      </c>
      <c r="F6126">
        <f t="shared" ca="1" si="192"/>
        <v>0.96111111111111114</v>
      </c>
      <c r="G6126">
        <f t="shared" ca="1" si="193"/>
        <v>1</v>
      </c>
    </row>
    <row r="6127" spans="1:7">
      <c r="A6127">
        <v>8942</v>
      </c>
      <c r="B6127" t="s">
        <v>215</v>
      </c>
      <c r="C6127" t="s">
        <v>209</v>
      </c>
      <c r="D6127" s="9">
        <v>41926.728576388887</v>
      </c>
      <c r="F6127">
        <f t="shared" ca="1" si="192"/>
        <v>0.29166666666666669</v>
      </c>
      <c r="G6127">
        <f t="shared" ca="1" si="193"/>
        <v>1</v>
      </c>
    </row>
    <row r="6128" spans="1:7">
      <c r="A6128">
        <v>8947</v>
      </c>
      <c r="B6128" t="s">
        <v>8</v>
      </c>
      <c r="C6128" t="s">
        <v>118</v>
      </c>
      <c r="D6128" s="9">
        <v>41702.977222222224</v>
      </c>
      <c r="E6128" t="s">
        <v>43</v>
      </c>
      <c r="F6128">
        <f t="shared" ca="1" si="192"/>
        <v>0.90277777777777779</v>
      </c>
      <c r="G6128">
        <f t="shared" ca="1" si="193"/>
        <v>1</v>
      </c>
    </row>
    <row r="6129" spans="1:7">
      <c r="A6129">
        <v>8949</v>
      </c>
      <c r="B6129" t="s">
        <v>24</v>
      </c>
      <c r="C6129" t="s">
        <v>118</v>
      </c>
      <c r="D6129" s="9">
        <v>41682.632025462961</v>
      </c>
      <c r="E6129" t="s">
        <v>17</v>
      </c>
      <c r="F6129">
        <f t="shared" ca="1" si="192"/>
        <v>0.96388888888888891</v>
      </c>
      <c r="G6129">
        <f t="shared" ca="1" si="193"/>
        <v>1</v>
      </c>
    </row>
    <row r="6130" spans="1:7">
      <c r="A6130">
        <v>8951</v>
      </c>
      <c r="B6130" t="s">
        <v>19</v>
      </c>
      <c r="C6130" t="s">
        <v>164</v>
      </c>
      <c r="D6130" s="9">
        <v>41695.84884259259</v>
      </c>
      <c r="E6130" t="s">
        <v>24</v>
      </c>
      <c r="F6130">
        <f t="shared" ca="1" si="192"/>
        <v>0.92777777777777781</v>
      </c>
      <c r="G6130">
        <f t="shared" ca="1" si="193"/>
        <v>1</v>
      </c>
    </row>
    <row r="6131" spans="1:7">
      <c r="A6131">
        <v>8953</v>
      </c>
      <c r="B6131" t="s">
        <v>37</v>
      </c>
      <c r="C6131" t="s">
        <v>164</v>
      </c>
      <c r="D6131" s="9">
        <v>41696.752939814818</v>
      </c>
      <c r="F6131">
        <f t="shared" ca="1" si="192"/>
        <v>0.92500000000000004</v>
      </c>
      <c r="G6131">
        <f t="shared" ca="1" si="193"/>
        <v>1</v>
      </c>
    </row>
    <row r="6132" spans="1:7">
      <c r="A6132">
        <v>8957</v>
      </c>
      <c r="B6132" t="s">
        <v>44</v>
      </c>
      <c r="C6132" t="s">
        <v>209</v>
      </c>
      <c r="D6132" s="9">
        <v>41836.680196759262</v>
      </c>
      <c r="E6132" t="s">
        <v>30</v>
      </c>
      <c r="F6132">
        <f t="shared" ca="1" si="192"/>
        <v>0.53611111111111109</v>
      </c>
      <c r="G6132">
        <f t="shared" ca="1" si="193"/>
        <v>1</v>
      </c>
    </row>
    <row r="6133" spans="1:7">
      <c r="A6133">
        <v>8958</v>
      </c>
      <c r="B6133" t="s">
        <v>29</v>
      </c>
      <c r="C6133" t="s">
        <v>118</v>
      </c>
      <c r="D6133" s="9">
        <v>41710.681250000001</v>
      </c>
      <c r="E6133" t="s">
        <v>34</v>
      </c>
      <c r="F6133">
        <f t="shared" ca="1" si="192"/>
        <v>0.88055555555555554</v>
      </c>
      <c r="G6133">
        <f t="shared" ca="1" si="193"/>
        <v>1</v>
      </c>
    </row>
    <row r="6134" spans="1:7">
      <c r="A6134">
        <v>8960</v>
      </c>
      <c r="B6134" t="s">
        <v>29</v>
      </c>
      <c r="C6134" t="s">
        <v>118</v>
      </c>
      <c r="D6134" s="9">
        <v>41726.669745370367</v>
      </c>
      <c r="E6134" t="s">
        <v>14</v>
      </c>
      <c r="F6134">
        <f t="shared" ca="1" si="192"/>
        <v>0.83611111111111114</v>
      </c>
      <c r="G6134">
        <f t="shared" ca="1" si="193"/>
        <v>1</v>
      </c>
    </row>
    <row r="6135" spans="1:7">
      <c r="A6135">
        <v>8961</v>
      </c>
      <c r="B6135" t="s">
        <v>219</v>
      </c>
      <c r="C6135" t="s">
        <v>209</v>
      </c>
      <c r="D6135" s="9">
        <v>41963.657870370371</v>
      </c>
      <c r="E6135" t="s">
        <v>214</v>
      </c>
      <c r="F6135">
        <f t="shared" ca="1" si="192"/>
        <v>0.19166666666666668</v>
      </c>
      <c r="G6135">
        <f t="shared" ca="1" si="193"/>
        <v>1</v>
      </c>
    </row>
    <row r="6136" spans="1:7">
      <c r="A6136">
        <v>8970</v>
      </c>
      <c r="B6136" t="s">
        <v>24</v>
      </c>
      <c r="C6136" t="s">
        <v>164</v>
      </c>
      <c r="D6136" s="9">
        <v>41695.804016203707</v>
      </c>
      <c r="E6136" t="s">
        <v>37</v>
      </c>
      <c r="F6136">
        <f t="shared" ca="1" si="192"/>
        <v>0.92777777777777781</v>
      </c>
      <c r="G6136">
        <f t="shared" ca="1" si="193"/>
        <v>1</v>
      </c>
    </row>
    <row r="6137" spans="1:7">
      <c r="A6137">
        <v>8974</v>
      </c>
      <c r="B6137" t="s">
        <v>30</v>
      </c>
      <c r="C6137" t="s">
        <v>118</v>
      </c>
      <c r="D6137" s="9">
        <v>41730.624872685185</v>
      </c>
      <c r="E6137" t="s">
        <v>21</v>
      </c>
      <c r="F6137">
        <f t="shared" ca="1" si="192"/>
        <v>0.82777777777777772</v>
      </c>
      <c r="G6137">
        <f t="shared" ca="1" si="193"/>
        <v>1</v>
      </c>
    </row>
    <row r="6138" spans="1:7">
      <c r="A6138">
        <v>8978</v>
      </c>
      <c r="B6138" t="s">
        <v>112</v>
      </c>
      <c r="C6138" t="s">
        <v>118</v>
      </c>
      <c r="D6138" s="9">
        <v>41719.441770833335</v>
      </c>
      <c r="E6138" t="s">
        <v>14</v>
      </c>
      <c r="F6138">
        <f t="shared" ca="1" si="192"/>
        <v>0.85555555555555551</v>
      </c>
      <c r="G6138">
        <f t="shared" ca="1" si="193"/>
        <v>1</v>
      </c>
    </row>
    <row r="6139" spans="1:7">
      <c r="A6139">
        <v>8979</v>
      </c>
      <c r="B6139" t="s">
        <v>20</v>
      </c>
      <c r="C6139" t="s">
        <v>118</v>
      </c>
      <c r="D6139" s="9">
        <v>41684.580833333333</v>
      </c>
      <c r="E6139" t="s">
        <v>8</v>
      </c>
      <c r="F6139">
        <f t="shared" ca="1" si="192"/>
        <v>0.95833333333333337</v>
      </c>
      <c r="G6139">
        <f t="shared" ca="1" si="193"/>
        <v>1</v>
      </c>
    </row>
    <row r="6140" spans="1:7">
      <c r="A6140">
        <v>8981</v>
      </c>
      <c r="B6140" t="s">
        <v>30</v>
      </c>
      <c r="C6140" t="s">
        <v>118</v>
      </c>
      <c r="D6140" s="9">
        <v>41684.207604166666</v>
      </c>
      <c r="E6140" t="s">
        <v>21</v>
      </c>
      <c r="F6140">
        <f t="shared" ca="1" si="192"/>
        <v>0.95833333333333337</v>
      </c>
      <c r="G6140">
        <f t="shared" ca="1" si="193"/>
        <v>1</v>
      </c>
    </row>
    <row r="6141" spans="1:7">
      <c r="A6141">
        <v>8983</v>
      </c>
      <c r="B6141" t="s">
        <v>8</v>
      </c>
      <c r="C6141" t="s">
        <v>118</v>
      </c>
      <c r="D6141" s="9">
        <v>41701.846886574072</v>
      </c>
      <c r="E6141" t="s">
        <v>20</v>
      </c>
      <c r="F6141">
        <f t="shared" ca="1" si="192"/>
        <v>0.90555555555555556</v>
      </c>
      <c r="G6141">
        <f t="shared" ca="1" si="193"/>
        <v>1</v>
      </c>
    </row>
    <row r="6142" spans="1:7">
      <c r="A6142">
        <v>8985</v>
      </c>
      <c r="B6142" t="s">
        <v>18</v>
      </c>
      <c r="C6142" t="s">
        <v>118</v>
      </c>
      <c r="D6142" s="9">
        <v>41691.641030092593</v>
      </c>
      <c r="E6142" t="s">
        <v>44</v>
      </c>
      <c r="F6142">
        <f t="shared" ca="1" si="192"/>
        <v>0.93888888888888888</v>
      </c>
      <c r="G6142">
        <f t="shared" ca="1" si="193"/>
        <v>1</v>
      </c>
    </row>
    <row r="6143" spans="1:7">
      <c r="A6143">
        <v>8993</v>
      </c>
      <c r="B6143" t="s">
        <v>27</v>
      </c>
      <c r="C6143" t="s">
        <v>164</v>
      </c>
      <c r="D6143" s="9">
        <v>41694.893576388888</v>
      </c>
      <c r="E6143" t="s">
        <v>38</v>
      </c>
      <c r="F6143">
        <f t="shared" ca="1" si="192"/>
        <v>0.93055555555555558</v>
      </c>
      <c r="G6143">
        <f t="shared" ca="1" si="193"/>
        <v>1</v>
      </c>
    </row>
    <row r="6144" spans="1:7">
      <c r="A6144">
        <v>9004</v>
      </c>
      <c r="B6144" t="s">
        <v>30</v>
      </c>
      <c r="C6144" t="s">
        <v>118</v>
      </c>
      <c r="D6144" s="9">
        <v>41813.406423611108</v>
      </c>
      <c r="E6144" t="s">
        <v>112</v>
      </c>
      <c r="F6144">
        <f t="shared" ca="1" si="192"/>
        <v>0.6</v>
      </c>
      <c r="G6144">
        <f t="shared" ca="1" si="193"/>
        <v>1</v>
      </c>
    </row>
    <row r="6145" spans="1:7">
      <c r="A6145">
        <v>9005</v>
      </c>
      <c r="B6145" t="s">
        <v>30</v>
      </c>
      <c r="C6145" t="s">
        <v>118</v>
      </c>
      <c r="D6145" s="9">
        <v>41813.402777777781</v>
      </c>
      <c r="E6145" t="s">
        <v>112</v>
      </c>
      <c r="F6145">
        <f t="shared" ca="1" si="192"/>
        <v>0.6</v>
      </c>
      <c r="G6145">
        <f t="shared" ca="1" si="193"/>
        <v>1</v>
      </c>
    </row>
    <row r="6146" spans="1:7">
      <c r="A6146">
        <v>9006</v>
      </c>
      <c r="B6146" t="s">
        <v>11</v>
      </c>
      <c r="C6146" t="s">
        <v>118</v>
      </c>
      <c r="D6146" s="9">
        <v>41761.595567129632</v>
      </c>
      <c r="E6146" t="s">
        <v>14</v>
      </c>
      <c r="F6146">
        <f t="shared" ca="1" si="192"/>
        <v>0.7416666666666667</v>
      </c>
      <c r="G6146">
        <f t="shared" ca="1" si="193"/>
        <v>1</v>
      </c>
    </row>
    <row r="6147" spans="1:7">
      <c r="A6147">
        <v>9007</v>
      </c>
      <c r="B6147" t="s">
        <v>14</v>
      </c>
      <c r="C6147" t="s">
        <v>118</v>
      </c>
      <c r="D6147" s="9">
        <v>41726.627175925925</v>
      </c>
      <c r="E6147" t="s">
        <v>29</v>
      </c>
      <c r="F6147">
        <f t="shared" ca="1" si="192"/>
        <v>0.83611111111111114</v>
      </c>
      <c r="G6147">
        <f t="shared" ca="1" si="193"/>
        <v>1</v>
      </c>
    </row>
    <row r="6148" spans="1:7">
      <c r="A6148">
        <v>9014</v>
      </c>
      <c r="B6148" t="s">
        <v>24</v>
      </c>
      <c r="C6148" t="s">
        <v>118</v>
      </c>
      <c r="D6148" s="9">
        <v>41702.450775462959</v>
      </c>
      <c r="E6148" t="s">
        <v>37</v>
      </c>
      <c r="F6148">
        <f t="shared" ca="1" si="192"/>
        <v>0.90277777777777779</v>
      </c>
      <c r="G6148">
        <f t="shared" ca="1" si="193"/>
        <v>1</v>
      </c>
    </row>
    <row r="6149" spans="1:7">
      <c r="A6149">
        <v>9017</v>
      </c>
      <c r="B6149" t="s">
        <v>34</v>
      </c>
      <c r="C6149" t="s">
        <v>118</v>
      </c>
      <c r="D6149" s="9">
        <v>41711.789375</v>
      </c>
      <c r="E6149" t="s">
        <v>20</v>
      </c>
      <c r="F6149">
        <f t="shared" ca="1" si="192"/>
        <v>0.87777777777777777</v>
      </c>
      <c r="G6149">
        <f t="shared" ca="1" si="193"/>
        <v>1</v>
      </c>
    </row>
    <row r="6150" spans="1:7">
      <c r="A6150">
        <v>9018</v>
      </c>
      <c r="B6150" t="s">
        <v>20</v>
      </c>
      <c r="C6150" t="s">
        <v>118</v>
      </c>
      <c r="D6150" s="9">
        <v>41698.782256944447</v>
      </c>
      <c r="E6150" t="s">
        <v>21</v>
      </c>
      <c r="F6150">
        <f t="shared" ca="1" si="192"/>
        <v>0.91388888888888886</v>
      </c>
      <c r="G6150">
        <f t="shared" ca="1" si="193"/>
        <v>1</v>
      </c>
    </row>
    <row r="6151" spans="1:7">
      <c r="A6151">
        <v>9021</v>
      </c>
      <c r="B6151" t="s">
        <v>27</v>
      </c>
      <c r="C6151" t="s">
        <v>164</v>
      </c>
      <c r="D6151" s="9">
        <v>41695.821608796294</v>
      </c>
      <c r="E6151" t="s">
        <v>38</v>
      </c>
      <c r="F6151">
        <f t="shared" ref="F6151:F6214" ca="1" si="194">YEARFRAC(TODAY(),$D6151)</f>
        <v>0.92777777777777781</v>
      </c>
      <c r="G6151">
        <f t="shared" ref="G6151:G6214" ca="1" si="195">IF($F6151&lt;1,1,0)</f>
        <v>1</v>
      </c>
    </row>
    <row r="6152" spans="1:7">
      <c r="A6152">
        <v>9022</v>
      </c>
      <c r="B6152" t="s">
        <v>23</v>
      </c>
      <c r="C6152" t="s">
        <v>118</v>
      </c>
      <c r="D6152" s="9">
        <v>41737.540162037039</v>
      </c>
      <c r="E6152" t="s">
        <v>8</v>
      </c>
      <c r="F6152">
        <f t="shared" ca="1" si="194"/>
        <v>0.80833333333333335</v>
      </c>
      <c r="G6152">
        <f t="shared" ca="1" si="195"/>
        <v>1</v>
      </c>
    </row>
    <row r="6153" spans="1:7">
      <c r="A6153">
        <v>9024</v>
      </c>
      <c r="B6153" t="s">
        <v>211</v>
      </c>
      <c r="C6153" t="s">
        <v>209</v>
      </c>
      <c r="D6153" s="9">
        <v>41845.708310185182</v>
      </c>
      <c r="E6153" t="s">
        <v>34</v>
      </c>
      <c r="F6153">
        <f t="shared" ca="1" si="194"/>
        <v>0.51111111111111107</v>
      </c>
      <c r="G6153">
        <f t="shared" ca="1" si="195"/>
        <v>1</v>
      </c>
    </row>
    <row r="6154" spans="1:7">
      <c r="A6154">
        <v>9026</v>
      </c>
      <c r="B6154" t="s">
        <v>17</v>
      </c>
      <c r="C6154" t="s">
        <v>118</v>
      </c>
      <c r="D6154" s="9">
        <v>41696.488819444443</v>
      </c>
      <c r="E6154" t="s">
        <v>37</v>
      </c>
      <c r="F6154">
        <f t="shared" ca="1" si="194"/>
        <v>0.92500000000000004</v>
      </c>
      <c r="G6154">
        <f t="shared" ca="1" si="195"/>
        <v>1</v>
      </c>
    </row>
    <row r="6155" spans="1:7">
      <c r="A6155">
        <v>9027</v>
      </c>
      <c r="B6155" t="s">
        <v>20</v>
      </c>
      <c r="C6155" t="s">
        <v>118</v>
      </c>
      <c r="D6155" s="9">
        <v>41687.812569444446</v>
      </c>
      <c r="E6155" t="s">
        <v>21</v>
      </c>
      <c r="F6155">
        <f t="shared" ca="1" si="194"/>
        <v>0.95</v>
      </c>
      <c r="G6155">
        <f t="shared" ca="1" si="195"/>
        <v>1</v>
      </c>
    </row>
    <row r="6156" spans="1:7">
      <c r="A6156">
        <v>9028</v>
      </c>
      <c r="B6156" t="s">
        <v>20</v>
      </c>
      <c r="C6156" t="s">
        <v>118</v>
      </c>
      <c r="D6156" s="9">
        <v>41729.419421296298</v>
      </c>
      <c r="E6156" t="s">
        <v>21</v>
      </c>
      <c r="F6156">
        <f t="shared" ca="1" si="194"/>
        <v>0.8305555555555556</v>
      </c>
      <c r="G6156">
        <f t="shared" ca="1" si="195"/>
        <v>1</v>
      </c>
    </row>
    <row r="6157" spans="1:7">
      <c r="A6157">
        <v>9030</v>
      </c>
      <c r="B6157" t="s">
        <v>34</v>
      </c>
      <c r="C6157" t="s">
        <v>118</v>
      </c>
      <c r="D6157" s="9">
        <v>41761.408888888887</v>
      </c>
      <c r="E6157" t="s">
        <v>21</v>
      </c>
      <c r="F6157">
        <f t="shared" ca="1" si="194"/>
        <v>0.7416666666666667</v>
      </c>
      <c r="G6157">
        <f t="shared" ca="1" si="195"/>
        <v>1</v>
      </c>
    </row>
    <row r="6158" spans="1:7">
      <c r="A6158">
        <v>9031</v>
      </c>
      <c r="B6158" t="s">
        <v>111</v>
      </c>
      <c r="C6158" t="s">
        <v>164</v>
      </c>
      <c r="D6158" s="9">
        <v>41694.929340277777</v>
      </c>
      <c r="E6158" t="s">
        <v>17</v>
      </c>
      <c r="F6158">
        <f t="shared" ca="1" si="194"/>
        <v>0.93055555555555558</v>
      </c>
      <c r="G6158">
        <f t="shared" ca="1" si="195"/>
        <v>1</v>
      </c>
    </row>
    <row r="6159" spans="1:7">
      <c r="A6159">
        <v>9032</v>
      </c>
      <c r="B6159" t="s">
        <v>24</v>
      </c>
      <c r="C6159" t="s">
        <v>164</v>
      </c>
      <c r="D6159" s="9">
        <v>41695.804398148146</v>
      </c>
      <c r="E6159" t="s">
        <v>37</v>
      </c>
      <c r="F6159">
        <f t="shared" ca="1" si="194"/>
        <v>0.92777777777777781</v>
      </c>
      <c r="G6159">
        <f t="shared" ca="1" si="195"/>
        <v>1</v>
      </c>
    </row>
    <row r="6160" spans="1:7">
      <c r="A6160">
        <v>9035</v>
      </c>
      <c r="B6160" t="s">
        <v>45</v>
      </c>
      <c r="C6160" t="s">
        <v>118</v>
      </c>
      <c r="D6160" s="9">
        <v>41810.475868055553</v>
      </c>
      <c r="E6160" t="s">
        <v>30</v>
      </c>
      <c r="F6160">
        <f t="shared" ca="1" si="194"/>
        <v>0.60833333333333328</v>
      </c>
      <c r="G6160">
        <f t="shared" ca="1" si="195"/>
        <v>1</v>
      </c>
    </row>
    <row r="6161" spans="1:7">
      <c r="A6161">
        <v>9042</v>
      </c>
      <c r="B6161" t="s">
        <v>29</v>
      </c>
      <c r="C6161" t="s">
        <v>118</v>
      </c>
      <c r="D6161" s="9">
        <v>41726.589201388888</v>
      </c>
      <c r="E6161" t="s">
        <v>112</v>
      </c>
      <c r="F6161">
        <f t="shared" ca="1" si="194"/>
        <v>0.83611111111111114</v>
      </c>
      <c r="G6161">
        <f t="shared" ca="1" si="195"/>
        <v>1</v>
      </c>
    </row>
    <row r="6162" spans="1:7">
      <c r="A6162">
        <v>9047</v>
      </c>
      <c r="B6162" t="s">
        <v>30</v>
      </c>
      <c r="C6162" t="s">
        <v>118</v>
      </c>
      <c r="D6162" s="9">
        <v>41729.628055555557</v>
      </c>
      <c r="E6162" t="s">
        <v>112</v>
      </c>
      <c r="F6162">
        <f t="shared" ca="1" si="194"/>
        <v>0.8305555555555556</v>
      </c>
      <c r="G6162">
        <f t="shared" ca="1" si="195"/>
        <v>1</v>
      </c>
    </row>
    <row r="6163" spans="1:7">
      <c r="A6163">
        <v>9048</v>
      </c>
      <c r="B6163" t="s">
        <v>23</v>
      </c>
      <c r="C6163" t="s">
        <v>118</v>
      </c>
      <c r="D6163" s="9">
        <v>41698.682314814818</v>
      </c>
      <c r="E6163" t="s">
        <v>112</v>
      </c>
      <c r="F6163">
        <f t="shared" ca="1" si="194"/>
        <v>0.91388888888888886</v>
      </c>
      <c r="G6163">
        <f t="shared" ca="1" si="195"/>
        <v>1</v>
      </c>
    </row>
    <row r="6164" spans="1:7">
      <c r="A6164">
        <v>9051</v>
      </c>
      <c r="B6164" t="s">
        <v>18</v>
      </c>
      <c r="C6164" t="s">
        <v>118</v>
      </c>
      <c r="D6164" s="9">
        <v>41705.616342592592</v>
      </c>
      <c r="E6164" t="s">
        <v>14</v>
      </c>
      <c r="F6164">
        <f t="shared" ca="1" si="194"/>
        <v>0.89444444444444449</v>
      </c>
      <c r="G6164">
        <f t="shared" ca="1" si="195"/>
        <v>1</v>
      </c>
    </row>
    <row r="6165" spans="1:7">
      <c r="A6165">
        <v>9056</v>
      </c>
      <c r="B6165" t="s">
        <v>18</v>
      </c>
      <c r="C6165" t="s">
        <v>118</v>
      </c>
      <c r="D6165" s="9">
        <v>41705.64439814815</v>
      </c>
      <c r="E6165" t="s">
        <v>24</v>
      </c>
      <c r="F6165">
        <f t="shared" ca="1" si="194"/>
        <v>0.89444444444444449</v>
      </c>
      <c r="G6165">
        <f t="shared" ca="1" si="195"/>
        <v>1</v>
      </c>
    </row>
    <row r="6166" spans="1:7">
      <c r="A6166">
        <v>9058</v>
      </c>
      <c r="B6166" t="s">
        <v>18</v>
      </c>
      <c r="C6166" t="s">
        <v>118</v>
      </c>
      <c r="D6166" s="9">
        <v>41703.627395833333</v>
      </c>
      <c r="E6166" t="s">
        <v>17</v>
      </c>
      <c r="F6166">
        <f t="shared" ca="1" si="194"/>
        <v>0.9</v>
      </c>
      <c r="G6166">
        <f t="shared" ca="1" si="195"/>
        <v>1</v>
      </c>
    </row>
    <row r="6167" spans="1:7">
      <c r="A6167">
        <v>9059</v>
      </c>
      <c r="B6167" t="s">
        <v>8</v>
      </c>
      <c r="C6167" t="s">
        <v>118</v>
      </c>
      <c r="D6167" s="9">
        <v>41729.338287037041</v>
      </c>
      <c r="E6167" t="s">
        <v>112</v>
      </c>
      <c r="F6167">
        <f t="shared" ca="1" si="194"/>
        <v>0.8305555555555556</v>
      </c>
      <c r="G6167">
        <f t="shared" ca="1" si="195"/>
        <v>1</v>
      </c>
    </row>
    <row r="6168" spans="1:7">
      <c r="A6168">
        <v>9060</v>
      </c>
      <c r="B6168" t="s">
        <v>8</v>
      </c>
      <c r="C6168" t="s">
        <v>118</v>
      </c>
      <c r="D6168" s="9">
        <v>41726.641851851855</v>
      </c>
      <c r="E6168" t="s">
        <v>27</v>
      </c>
      <c r="F6168">
        <f t="shared" ca="1" si="194"/>
        <v>0.83611111111111114</v>
      </c>
      <c r="G6168">
        <f t="shared" ca="1" si="195"/>
        <v>1</v>
      </c>
    </row>
    <row r="6169" spans="1:7">
      <c r="A6169">
        <v>9061</v>
      </c>
      <c r="B6169" t="s">
        <v>23</v>
      </c>
      <c r="C6169" t="s">
        <v>164</v>
      </c>
      <c r="D6169" s="9">
        <v>41697.644502314812</v>
      </c>
      <c r="E6169" t="s">
        <v>112</v>
      </c>
      <c r="F6169">
        <f t="shared" ca="1" si="194"/>
        <v>0.92222222222222228</v>
      </c>
      <c r="G6169">
        <f t="shared" ca="1" si="195"/>
        <v>1</v>
      </c>
    </row>
    <row r="6170" spans="1:7">
      <c r="A6170">
        <v>9064</v>
      </c>
      <c r="B6170" t="s">
        <v>112</v>
      </c>
      <c r="C6170" t="s">
        <v>118</v>
      </c>
      <c r="D6170" s="9">
        <v>41705.713159722225</v>
      </c>
      <c r="E6170" t="s">
        <v>21</v>
      </c>
      <c r="F6170">
        <f t="shared" ca="1" si="194"/>
        <v>0.89444444444444449</v>
      </c>
      <c r="G6170">
        <f t="shared" ca="1" si="195"/>
        <v>1</v>
      </c>
    </row>
    <row r="6171" spans="1:7">
      <c r="A6171">
        <v>9068</v>
      </c>
      <c r="B6171" t="s">
        <v>27</v>
      </c>
      <c r="C6171" t="s">
        <v>164</v>
      </c>
      <c r="D6171" s="9">
        <v>41696.776377314818</v>
      </c>
      <c r="E6171" t="s">
        <v>19</v>
      </c>
      <c r="F6171">
        <f t="shared" ca="1" si="194"/>
        <v>0.92500000000000004</v>
      </c>
      <c r="G6171">
        <f t="shared" ca="1" si="195"/>
        <v>1</v>
      </c>
    </row>
    <row r="6172" spans="1:7">
      <c r="A6172">
        <v>9069</v>
      </c>
      <c r="B6172" t="s">
        <v>17</v>
      </c>
      <c r="C6172" t="s">
        <v>118</v>
      </c>
      <c r="D6172" s="9">
        <v>41719.521111111113</v>
      </c>
      <c r="E6172" t="s">
        <v>8</v>
      </c>
      <c r="F6172">
        <f t="shared" ca="1" si="194"/>
        <v>0.85555555555555551</v>
      </c>
      <c r="G6172">
        <f t="shared" ca="1" si="195"/>
        <v>1</v>
      </c>
    </row>
    <row r="6173" spans="1:7">
      <c r="A6173">
        <v>9070</v>
      </c>
      <c r="B6173" t="s">
        <v>14</v>
      </c>
      <c r="C6173" t="s">
        <v>118</v>
      </c>
      <c r="D6173" s="9">
        <v>41695.563819444447</v>
      </c>
      <c r="E6173" t="s">
        <v>17</v>
      </c>
      <c r="F6173">
        <f t="shared" ca="1" si="194"/>
        <v>0.92777777777777781</v>
      </c>
      <c r="G6173">
        <f t="shared" ca="1" si="195"/>
        <v>1</v>
      </c>
    </row>
    <row r="6174" spans="1:7">
      <c r="A6174">
        <v>9072</v>
      </c>
      <c r="B6174" t="s">
        <v>112</v>
      </c>
      <c r="C6174" t="s">
        <v>164</v>
      </c>
      <c r="D6174" s="9">
        <v>41694.934629629628</v>
      </c>
      <c r="E6174" t="s">
        <v>14</v>
      </c>
      <c r="F6174">
        <f t="shared" ca="1" si="194"/>
        <v>0.93055555555555558</v>
      </c>
      <c r="G6174">
        <f t="shared" ca="1" si="195"/>
        <v>1</v>
      </c>
    </row>
    <row r="6175" spans="1:7">
      <c r="A6175">
        <v>9074</v>
      </c>
      <c r="B6175" t="s">
        <v>27</v>
      </c>
      <c r="C6175" t="s">
        <v>118</v>
      </c>
      <c r="D6175" s="9">
        <v>41696.904178240744</v>
      </c>
      <c r="E6175" t="s">
        <v>20</v>
      </c>
      <c r="F6175">
        <f t="shared" ca="1" si="194"/>
        <v>0.92500000000000004</v>
      </c>
      <c r="G6175">
        <f t="shared" ca="1" si="195"/>
        <v>1</v>
      </c>
    </row>
    <row r="6176" spans="1:7">
      <c r="A6176">
        <v>9078</v>
      </c>
      <c r="B6176" t="s">
        <v>8</v>
      </c>
      <c r="C6176" t="s">
        <v>164</v>
      </c>
      <c r="D6176" s="9">
        <v>41696.835023148145</v>
      </c>
      <c r="E6176" t="s">
        <v>27</v>
      </c>
      <c r="F6176">
        <f t="shared" ca="1" si="194"/>
        <v>0.92500000000000004</v>
      </c>
      <c r="G6176">
        <f t="shared" ca="1" si="195"/>
        <v>1</v>
      </c>
    </row>
    <row r="6177" spans="1:7">
      <c r="A6177">
        <v>9081</v>
      </c>
      <c r="B6177" t="s">
        <v>43</v>
      </c>
      <c r="C6177" t="s">
        <v>118</v>
      </c>
      <c r="D6177" s="9">
        <v>41709.565787037034</v>
      </c>
      <c r="E6177" t="s">
        <v>32</v>
      </c>
      <c r="F6177">
        <f t="shared" ca="1" si="194"/>
        <v>0.8833333333333333</v>
      </c>
      <c r="G6177">
        <f t="shared" ca="1" si="195"/>
        <v>1</v>
      </c>
    </row>
    <row r="6178" spans="1:7">
      <c r="A6178">
        <v>9084</v>
      </c>
      <c r="B6178" t="s">
        <v>17</v>
      </c>
      <c r="C6178" t="s">
        <v>118</v>
      </c>
      <c r="D6178" s="9">
        <v>41704.856817129628</v>
      </c>
      <c r="E6178" t="s">
        <v>37</v>
      </c>
      <c r="F6178">
        <f t="shared" ca="1" si="194"/>
        <v>0.89722222222222225</v>
      </c>
      <c r="G6178">
        <f t="shared" ca="1" si="195"/>
        <v>1</v>
      </c>
    </row>
    <row r="6179" spans="1:7">
      <c r="A6179">
        <v>9089</v>
      </c>
      <c r="B6179" t="s">
        <v>17</v>
      </c>
      <c r="C6179" t="s">
        <v>118</v>
      </c>
      <c r="D6179" s="9">
        <v>41729.425023148149</v>
      </c>
      <c r="E6179" t="s">
        <v>8</v>
      </c>
      <c r="F6179">
        <f t="shared" ca="1" si="194"/>
        <v>0.8305555555555556</v>
      </c>
      <c r="G6179">
        <f t="shared" ca="1" si="195"/>
        <v>1</v>
      </c>
    </row>
    <row r="6180" spans="1:7">
      <c r="A6180">
        <v>9095</v>
      </c>
      <c r="B6180" t="s">
        <v>21</v>
      </c>
      <c r="C6180" t="s">
        <v>118</v>
      </c>
      <c r="D6180" s="9">
        <v>41782.697268518517</v>
      </c>
      <c r="E6180" t="s">
        <v>32</v>
      </c>
      <c r="F6180">
        <f t="shared" ca="1" si="194"/>
        <v>0.68333333333333335</v>
      </c>
      <c r="G6180">
        <f t="shared" ca="1" si="195"/>
        <v>1</v>
      </c>
    </row>
    <row r="6181" spans="1:7">
      <c r="A6181">
        <v>9097</v>
      </c>
      <c r="B6181" t="s">
        <v>37</v>
      </c>
      <c r="C6181" t="s">
        <v>118</v>
      </c>
      <c r="D6181" s="9">
        <v>41705.687013888892</v>
      </c>
      <c r="E6181" t="s">
        <v>34</v>
      </c>
      <c r="F6181">
        <f t="shared" ca="1" si="194"/>
        <v>0.89444444444444449</v>
      </c>
      <c r="G6181">
        <f t="shared" ca="1" si="195"/>
        <v>1</v>
      </c>
    </row>
    <row r="6182" spans="1:7">
      <c r="A6182">
        <v>9098</v>
      </c>
      <c r="B6182" t="s">
        <v>14</v>
      </c>
      <c r="C6182" t="s">
        <v>118</v>
      </c>
      <c r="D6182" s="9">
        <v>41754.635127314818</v>
      </c>
      <c r="E6182" t="s">
        <v>37</v>
      </c>
      <c r="F6182">
        <f t="shared" ca="1" si="194"/>
        <v>0.76111111111111107</v>
      </c>
      <c r="G6182">
        <f t="shared" ca="1" si="195"/>
        <v>1</v>
      </c>
    </row>
    <row r="6183" spans="1:7">
      <c r="A6183">
        <v>9099</v>
      </c>
      <c r="B6183" t="s">
        <v>32</v>
      </c>
      <c r="C6183" t="s">
        <v>118</v>
      </c>
      <c r="D6183" s="9">
        <v>41698.609861111108</v>
      </c>
      <c r="E6183" t="s">
        <v>112</v>
      </c>
      <c r="F6183">
        <f t="shared" ca="1" si="194"/>
        <v>0.91388888888888886</v>
      </c>
      <c r="G6183">
        <f t="shared" ca="1" si="195"/>
        <v>1</v>
      </c>
    </row>
    <row r="6184" spans="1:7">
      <c r="A6184">
        <v>9101</v>
      </c>
      <c r="B6184" t="s">
        <v>21</v>
      </c>
      <c r="C6184" t="s">
        <v>118</v>
      </c>
      <c r="D6184" s="9">
        <v>41722.864849537036</v>
      </c>
      <c r="E6184" t="s">
        <v>20</v>
      </c>
      <c r="F6184">
        <f t="shared" ca="1" si="194"/>
        <v>0.84722222222222221</v>
      </c>
      <c r="G6184">
        <f t="shared" ca="1" si="195"/>
        <v>1</v>
      </c>
    </row>
    <row r="6185" spans="1:7">
      <c r="A6185">
        <v>9102</v>
      </c>
      <c r="B6185" t="s">
        <v>30</v>
      </c>
      <c r="C6185" t="s">
        <v>118</v>
      </c>
      <c r="D6185" s="9">
        <v>41729.628229166665</v>
      </c>
      <c r="E6185" t="s">
        <v>18</v>
      </c>
      <c r="F6185">
        <f t="shared" ca="1" si="194"/>
        <v>0.8305555555555556</v>
      </c>
      <c r="G6185">
        <f t="shared" ca="1" si="195"/>
        <v>1</v>
      </c>
    </row>
    <row r="6186" spans="1:7">
      <c r="A6186">
        <v>9104</v>
      </c>
      <c r="B6186" t="s">
        <v>18</v>
      </c>
      <c r="C6186" t="s">
        <v>118</v>
      </c>
      <c r="D6186" s="9">
        <v>41717.408333333333</v>
      </c>
      <c r="E6186" t="s">
        <v>8</v>
      </c>
      <c r="F6186">
        <f t="shared" ca="1" si="194"/>
        <v>0.86111111111111116</v>
      </c>
      <c r="G6186">
        <f t="shared" ca="1" si="195"/>
        <v>1</v>
      </c>
    </row>
    <row r="6187" spans="1:7">
      <c r="A6187">
        <v>9108</v>
      </c>
      <c r="B6187" t="s">
        <v>32</v>
      </c>
      <c r="C6187" t="s">
        <v>118</v>
      </c>
      <c r="D6187" s="9">
        <v>41705.361956018518</v>
      </c>
      <c r="E6187" t="s">
        <v>20</v>
      </c>
      <c r="F6187">
        <f t="shared" ca="1" si="194"/>
        <v>0.89444444444444449</v>
      </c>
      <c r="G6187">
        <f t="shared" ca="1" si="195"/>
        <v>1</v>
      </c>
    </row>
    <row r="6188" spans="1:7">
      <c r="A6188">
        <v>9110</v>
      </c>
      <c r="B6188" t="s">
        <v>18</v>
      </c>
      <c r="C6188" t="s">
        <v>118</v>
      </c>
      <c r="D6188" s="9">
        <v>41718.409282407411</v>
      </c>
      <c r="E6188" t="s">
        <v>8</v>
      </c>
      <c r="F6188">
        <f t="shared" ca="1" si="194"/>
        <v>0.85833333333333328</v>
      </c>
      <c r="G6188">
        <f t="shared" ca="1" si="195"/>
        <v>1</v>
      </c>
    </row>
    <row r="6189" spans="1:7">
      <c r="A6189">
        <v>9112</v>
      </c>
      <c r="B6189" t="s">
        <v>17</v>
      </c>
      <c r="C6189" t="s">
        <v>118</v>
      </c>
      <c r="D6189" s="9">
        <v>41726.707789351851</v>
      </c>
      <c r="E6189" t="s">
        <v>112</v>
      </c>
      <c r="F6189">
        <f t="shared" ca="1" si="194"/>
        <v>0.83611111111111114</v>
      </c>
      <c r="G6189">
        <f t="shared" ca="1" si="195"/>
        <v>1</v>
      </c>
    </row>
    <row r="6190" spans="1:7">
      <c r="A6190">
        <v>9113</v>
      </c>
      <c r="B6190" t="s">
        <v>37</v>
      </c>
      <c r="C6190" t="s">
        <v>118</v>
      </c>
      <c r="D6190" s="9">
        <v>41775.382534722223</v>
      </c>
      <c r="E6190" t="s">
        <v>17</v>
      </c>
      <c r="F6190">
        <f t="shared" ca="1" si="194"/>
        <v>0.70277777777777772</v>
      </c>
      <c r="G6190">
        <f t="shared" ca="1" si="195"/>
        <v>1</v>
      </c>
    </row>
    <row r="6191" spans="1:7">
      <c r="A6191">
        <v>9114</v>
      </c>
      <c r="B6191" t="s">
        <v>44</v>
      </c>
      <c r="C6191" t="s">
        <v>118</v>
      </c>
      <c r="D6191" s="9">
        <v>41809.184027777781</v>
      </c>
      <c r="E6191" t="s">
        <v>37</v>
      </c>
      <c r="F6191">
        <f t="shared" ca="1" si="194"/>
        <v>0.61111111111111116</v>
      </c>
      <c r="G6191">
        <f t="shared" ca="1" si="195"/>
        <v>1</v>
      </c>
    </row>
    <row r="6192" spans="1:7">
      <c r="A6192">
        <v>9115</v>
      </c>
      <c r="B6192" t="s">
        <v>19</v>
      </c>
      <c r="C6192" t="s">
        <v>118</v>
      </c>
      <c r="D6192" s="9">
        <v>41723.49013888889</v>
      </c>
      <c r="E6192" t="s">
        <v>8</v>
      </c>
      <c r="F6192">
        <f t="shared" ca="1" si="194"/>
        <v>0.84444444444444444</v>
      </c>
      <c r="G6192">
        <f t="shared" ca="1" si="195"/>
        <v>1</v>
      </c>
    </row>
    <row r="6193" spans="1:7">
      <c r="A6193">
        <v>9116</v>
      </c>
      <c r="B6193" t="s">
        <v>44</v>
      </c>
      <c r="C6193" t="s">
        <v>118</v>
      </c>
      <c r="D6193" s="9">
        <v>41809.185636574075</v>
      </c>
      <c r="E6193" t="s">
        <v>30</v>
      </c>
      <c r="F6193">
        <f t="shared" ca="1" si="194"/>
        <v>0.61111111111111116</v>
      </c>
      <c r="G6193">
        <f t="shared" ca="1" si="195"/>
        <v>1</v>
      </c>
    </row>
    <row r="6194" spans="1:7">
      <c r="A6194">
        <v>9117</v>
      </c>
      <c r="B6194" t="s">
        <v>37</v>
      </c>
      <c r="C6194" t="s">
        <v>118</v>
      </c>
      <c r="D6194" s="9">
        <v>41708.423182870371</v>
      </c>
      <c r="E6194" t="s">
        <v>30</v>
      </c>
      <c r="F6194">
        <f t="shared" ca="1" si="194"/>
        <v>0.88611111111111107</v>
      </c>
      <c r="G6194">
        <f t="shared" ca="1" si="195"/>
        <v>1</v>
      </c>
    </row>
    <row r="6195" spans="1:7">
      <c r="A6195">
        <v>9118</v>
      </c>
      <c r="B6195" t="s">
        <v>11</v>
      </c>
      <c r="C6195" t="s">
        <v>118</v>
      </c>
      <c r="D6195" s="9">
        <v>41704.665034722224</v>
      </c>
      <c r="E6195" t="s">
        <v>19</v>
      </c>
      <c r="F6195">
        <f t="shared" ca="1" si="194"/>
        <v>0.89722222222222225</v>
      </c>
      <c r="G6195">
        <f t="shared" ca="1" si="195"/>
        <v>1</v>
      </c>
    </row>
    <row r="6196" spans="1:7">
      <c r="A6196">
        <v>9119</v>
      </c>
      <c r="B6196" t="s">
        <v>18</v>
      </c>
      <c r="C6196" t="s">
        <v>118</v>
      </c>
      <c r="D6196" s="9">
        <v>41705.734571759262</v>
      </c>
      <c r="E6196" t="s">
        <v>11</v>
      </c>
      <c r="F6196">
        <f t="shared" ca="1" si="194"/>
        <v>0.89444444444444449</v>
      </c>
      <c r="G6196">
        <f t="shared" ca="1" si="195"/>
        <v>1</v>
      </c>
    </row>
    <row r="6197" spans="1:7">
      <c r="A6197">
        <v>9120</v>
      </c>
      <c r="B6197" t="s">
        <v>18</v>
      </c>
      <c r="C6197" t="s">
        <v>118</v>
      </c>
      <c r="D6197" s="9">
        <v>41703.703611111108</v>
      </c>
      <c r="E6197" t="s">
        <v>17</v>
      </c>
      <c r="F6197">
        <f t="shared" ca="1" si="194"/>
        <v>0.9</v>
      </c>
      <c r="G6197">
        <f t="shared" ca="1" si="195"/>
        <v>1</v>
      </c>
    </row>
    <row r="6198" spans="1:7">
      <c r="A6198">
        <v>9121</v>
      </c>
      <c r="B6198" t="s">
        <v>20</v>
      </c>
      <c r="C6198" t="s">
        <v>118</v>
      </c>
      <c r="D6198" s="9">
        <v>41709.871481481481</v>
      </c>
      <c r="E6198" t="s">
        <v>21</v>
      </c>
      <c r="F6198">
        <f t="shared" ca="1" si="194"/>
        <v>0.8833333333333333</v>
      </c>
      <c r="G6198">
        <f t="shared" ca="1" si="195"/>
        <v>1</v>
      </c>
    </row>
    <row r="6199" spans="1:7">
      <c r="A6199">
        <v>9125</v>
      </c>
      <c r="B6199" t="s">
        <v>32</v>
      </c>
      <c r="C6199" t="s">
        <v>118</v>
      </c>
      <c r="D6199" s="9">
        <v>41810.674756944441</v>
      </c>
      <c r="E6199" t="s">
        <v>30</v>
      </c>
      <c r="F6199">
        <f t="shared" ca="1" si="194"/>
        <v>0.60833333333333328</v>
      </c>
      <c r="G6199">
        <f t="shared" ca="1" si="195"/>
        <v>1</v>
      </c>
    </row>
    <row r="6200" spans="1:7">
      <c r="A6200">
        <v>9127</v>
      </c>
      <c r="B6200" t="s">
        <v>27</v>
      </c>
      <c r="C6200" t="s">
        <v>118</v>
      </c>
      <c r="D6200" s="9">
        <v>41711.901388888888</v>
      </c>
      <c r="E6200" t="s">
        <v>36</v>
      </c>
      <c r="F6200">
        <f t="shared" ca="1" si="194"/>
        <v>0.87777777777777777</v>
      </c>
      <c r="G6200">
        <f t="shared" ca="1" si="195"/>
        <v>1</v>
      </c>
    </row>
    <row r="6201" spans="1:7">
      <c r="A6201">
        <v>9128</v>
      </c>
      <c r="B6201" t="s">
        <v>111</v>
      </c>
      <c r="C6201" t="s">
        <v>118</v>
      </c>
      <c r="D6201" s="9">
        <v>41816.459444444445</v>
      </c>
      <c r="E6201" t="s">
        <v>37</v>
      </c>
      <c r="F6201">
        <f t="shared" ca="1" si="194"/>
        <v>0.59166666666666667</v>
      </c>
      <c r="G6201">
        <f t="shared" ca="1" si="195"/>
        <v>1</v>
      </c>
    </row>
    <row r="6202" spans="1:7">
      <c r="A6202">
        <v>9129</v>
      </c>
      <c r="B6202" t="s">
        <v>18</v>
      </c>
      <c r="C6202" t="s">
        <v>118</v>
      </c>
      <c r="D6202" s="9">
        <v>41717.384884259256</v>
      </c>
      <c r="E6202" t="s">
        <v>8</v>
      </c>
      <c r="F6202">
        <f t="shared" ca="1" si="194"/>
        <v>0.86111111111111116</v>
      </c>
      <c r="G6202">
        <f t="shared" ca="1" si="195"/>
        <v>1</v>
      </c>
    </row>
    <row r="6203" spans="1:7">
      <c r="A6203">
        <v>9133</v>
      </c>
      <c r="B6203" t="s">
        <v>44</v>
      </c>
      <c r="C6203" t="s">
        <v>118</v>
      </c>
      <c r="D6203" s="9">
        <v>41809.187951388885</v>
      </c>
      <c r="E6203" t="s">
        <v>30</v>
      </c>
      <c r="F6203">
        <f t="shared" ca="1" si="194"/>
        <v>0.61111111111111116</v>
      </c>
      <c r="G6203">
        <f t="shared" ca="1" si="195"/>
        <v>1</v>
      </c>
    </row>
    <row r="6204" spans="1:7">
      <c r="A6204">
        <v>9135</v>
      </c>
      <c r="B6204" t="s">
        <v>23</v>
      </c>
      <c r="C6204" t="s">
        <v>118</v>
      </c>
      <c r="D6204" s="9">
        <v>41761.64162037037</v>
      </c>
      <c r="E6204" t="s">
        <v>44</v>
      </c>
      <c r="F6204">
        <f t="shared" ca="1" si="194"/>
        <v>0.7416666666666667</v>
      </c>
      <c r="G6204">
        <f t="shared" ca="1" si="195"/>
        <v>1</v>
      </c>
    </row>
    <row r="6205" spans="1:7">
      <c r="A6205">
        <v>9136</v>
      </c>
      <c r="B6205" t="s">
        <v>18</v>
      </c>
      <c r="C6205" t="s">
        <v>118</v>
      </c>
      <c r="D6205" s="9">
        <v>41725.668020833335</v>
      </c>
      <c r="E6205" t="s">
        <v>44</v>
      </c>
      <c r="F6205">
        <f t="shared" ca="1" si="194"/>
        <v>0.83888888888888891</v>
      </c>
      <c r="G6205">
        <f t="shared" ca="1" si="195"/>
        <v>1</v>
      </c>
    </row>
    <row r="6206" spans="1:7">
      <c r="A6206">
        <v>9137</v>
      </c>
      <c r="B6206" t="s">
        <v>44</v>
      </c>
      <c r="C6206" t="s">
        <v>118</v>
      </c>
      <c r="D6206" s="9">
        <v>41809.226747685185</v>
      </c>
      <c r="E6206" t="s">
        <v>8</v>
      </c>
      <c r="F6206">
        <f t="shared" ca="1" si="194"/>
        <v>0.61111111111111116</v>
      </c>
      <c r="G6206">
        <f t="shared" ca="1" si="195"/>
        <v>1</v>
      </c>
    </row>
    <row r="6207" spans="1:7">
      <c r="A6207">
        <v>9144</v>
      </c>
      <c r="B6207" t="s">
        <v>215</v>
      </c>
      <c r="C6207" t="s">
        <v>209</v>
      </c>
      <c r="D6207" s="9">
        <v>41852.569664351853</v>
      </c>
      <c r="E6207" t="s">
        <v>30</v>
      </c>
      <c r="F6207">
        <f t="shared" ca="1" si="194"/>
        <v>0.49444444444444446</v>
      </c>
      <c r="G6207">
        <f t="shared" ca="1" si="195"/>
        <v>1</v>
      </c>
    </row>
    <row r="6208" spans="1:7">
      <c r="A6208">
        <v>9147</v>
      </c>
      <c r="B6208" t="s">
        <v>34</v>
      </c>
      <c r="C6208" t="s">
        <v>118</v>
      </c>
      <c r="D6208" s="9">
        <v>41726.771134259259</v>
      </c>
      <c r="E6208" t="s">
        <v>21</v>
      </c>
      <c r="F6208">
        <f t="shared" ca="1" si="194"/>
        <v>0.83611111111111114</v>
      </c>
      <c r="G6208">
        <f t="shared" ca="1" si="195"/>
        <v>1</v>
      </c>
    </row>
    <row r="6209" spans="1:7">
      <c r="A6209">
        <v>9154</v>
      </c>
      <c r="B6209" t="s">
        <v>19</v>
      </c>
      <c r="C6209" t="s">
        <v>118</v>
      </c>
      <c r="D6209" s="9">
        <v>41754.624814814815</v>
      </c>
      <c r="E6209" t="s">
        <v>27</v>
      </c>
      <c r="F6209">
        <f t="shared" ca="1" si="194"/>
        <v>0.76111111111111107</v>
      </c>
      <c r="G6209">
        <f t="shared" ca="1" si="195"/>
        <v>1</v>
      </c>
    </row>
    <row r="6210" spans="1:7">
      <c r="A6210">
        <v>9155</v>
      </c>
      <c r="B6210" t="s">
        <v>27</v>
      </c>
      <c r="C6210" t="s">
        <v>118</v>
      </c>
      <c r="D6210" s="9">
        <v>41712.61146990741</v>
      </c>
      <c r="E6210" t="s">
        <v>30</v>
      </c>
      <c r="F6210">
        <f t="shared" ca="1" si="194"/>
        <v>0.875</v>
      </c>
      <c r="G6210">
        <f t="shared" ca="1" si="195"/>
        <v>1</v>
      </c>
    </row>
    <row r="6211" spans="1:7">
      <c r="A6211">
        <v>9157</v>
      </c>
      <c r="B6211" t="s">
        <v>20</v>
      </c>
      <c r="C6211" t="s">
        <v>118</v>
      </c>
      <c r="D6211" s="9">
        <v>41711.632291666669</v>
      </c>
      <c r="E6211" t="s">
        <v>32</v>
      </c>
      <c r="F6211">
        <f t="shared" ca="1" si="194"/>
        <v>0.87777777777777777</v>
      </c>
      <c r="G6211">
        <f t="shared" ca="1" si="195"/>
        <v>1</v>
      </c>
    </row>
    <row r="6212" spans="1:7">
      <c r="A6212">
        <v>9159</v>
      </c>
      <c r="B6212" t="s">
        <v>111</v>
      </c>
      <c r="C6212" t="s">
        <v>118</v>
      </c>
      <c r="D6212" s="9">
        <v>41712.710138888891</v>
      </c>
      <c r="E6212" t="s">
        <v>27</v>
      </c>
      <c r="F6212">
        <f t="shared" ca="1" si="194"/>
        <v>0.875</v>
      </c>
      <c r="G6212">
        <f t="shared" ca="1" si="195"/>
        <v>1</v>
      </c>
    </row>
    <row r="6213" spans="1:7">
      <c r="A6213">
        <v>9160</v>
      </c>
      <c r="B6213" t="s">
        <v>32</v>
      </c>
      <c r="C6213" t="s">
        <v>118</v>
      </c>
      <c r="D6213" s="9">
        <v>41710.561608796299</v>
      </c>
      <c r="E6213" t="s">
        <v>20</v>
      </c>
      <c r="F6213">
        <f t="shared" ca="1" si="194"/>
        <v>0.88055555555555554</v>
      </c>
      <c r="G6213">
        <f t="shared" ca="1" si="195"/>
        <v>1</v>
      </c>
    </row>
    <row r="6214" spans="1:7">
      <c r="A6214">
        <v>9162</v>
      </c>
      <c r="B6214" t="s">
        <v>14</v>
      </c>
      <c r="C6214" t="s">
        <v>118</v>
      </c>
      <c r="D6214" s="9">
        <v>41760.467314814814</v>
      </c>
      <c r="E6214" t="s">
        <v>34</v>
      </c>
      <c r="F6214">
        <f t="shared" ca="1" si="194"/>
        <v>0.74444444444444446</v>
      </c>
      <c r="G6214">
        <f t="shared" ca="1" si="195"/>
        <v>1</v>
      </c>
    </row>
    <row r="6215" spans="1:7">
      <c r="A6215">
        <v>9163</v>
      </c>
      <c r="B6215" t="s">
        <v>45</v>
      </c>
      <c r="C6215" t="s">
        <v>118</v>
      </c>
      <c r="D6215" s="9">
        <v>41752.825833333336</v>
      </c>
      <c r="E6215" t="s">
        <v>11</v>
      </c>
      <c r="F6215">
        <f t="shared" ref="F6215:F6278" ca="1" si="196">YEARFRAC(TODAY(),$D6215)</f>
        <v>0.76666666666666672</v>
      </c>
      <c r="G6215">
        <f t="shared" ref="G6215:G6278" ca="1" si="197">IF($F6215&lt;1,1,0)</f>
        <v>1</v>
      </c>
    </row>
    <row r="6216" spans="1:7">
      <c r="A6216">
        <v>9165</v>
      </c>
      <c r="B6216" t="s">
        <v>27</v>
      </c>
      <c r="C6216" t="s">
        <v>118</v>
      </c>
      <c r="D6216" s="9">
        <v>41717.386782407404</v>
      </c>
      <c r="E6216" t="s">
        <v>8</v>
      </c>
      <c r="F6216">
        <f t="shared" ca="1" si="196"/>
        <v>0.86111111111111116</v>
      </c>
      <c r="G6216">
        <f t="shared" ca="1" si="197"/>
        <v>1</v>
      </c>
    </row>
    <row r="6217" spans="1:7">
      <c r="A6217">
        <v>9167</v>
      </c>
      <c r="B6217" t="s">
        <v>29</v>
      </c>
      <c r="C6217" t="s">
        <v>118</v>
      </c>
      <c r="D6217" s="9">
        <v>41752.368136574078</v>
      </c>
      <c r="E6217" t="s">
        <v>19</v>
      </c>
      <c r="F6217">
        <f t="shared" ca="1" si="196"/>
        <v>0.76666666666666672</v>
      </c>
      <c r="G6217">
        <f t="shared" ca="1" si="197"/>
        <v>1</v>
      </c>
    </row>
    <row r="6218" spans="1:7">
      <c r="A6218">
        <v>9170</v>
      </c>
      <c r="B6218" t="s">
        <v>29</v>
      </c>
      <c r="C6218" t="s">
        <v>118</v>
      </c>
      <c r="D6218" s="9">
        <v>41722.374918981484</v>
      </c>
      <c r="E6218" t="s">
        <v>8</v>
      </c>
      <c r="F6218">
        <f t="shared" ca="1" si="196"/>
        <v>0.84722222222222221</v>
      </c>
      <c r="G6218">
        <f t="shared" ca="1" si="197"/>
        <v>1</v>
      </c>
    </row>
    <row r="6219" spans="1:7">
      <c r="A6219">
        <v>9172</v>
      </c>
      <c r="B6219" t="s">
        <v>18</v>
      </c>
      <c r="C6219" t="s">
        <v>118</v>
      </c>
      <c r="D6219" s="9">
        <v>41712.599548611113</v>
      </c>
      <c r="E6219" t="s">
        <v>17</v>
      </c>
      <c r="F6219">
        <f t="shared" ca="1" si="196"/>
        <v>0.875</v>
      </c>
      <c r="G6219">
        <f t="shared" ca="1" si="197"/>
        <v>1</v>
      </c>
    </row>
    <row r="6220" spans="1:7">
      <c r="A6220">
        <v>9174</v>
      </c>
      <c r="B6220" t="s">
        <v>14</v>
      </c>
      <c r="C6220" t="s">
        <v>118</v>
      </c>
      <c r="D6220" s="9">
        <v>41711.662812499999</v>
      </c>
      <c r="E6220" t="s">
        <v>34</v>
      </c>
      <c r="F6220">
        <f t="shared" ca="1" si="196"/>
        <v>0.87777777777777777</v>
      </c>
      <c r="G6220">
        <f t="shared" ca="1" si="197"/>
        <v>1</v>
      </c>
    </row>
    <row r="6221" spans="1:7">
      <c r="A6221">
        <v>9175</v>
      </c>
      <c r="B6221" t="s">
        <v>21</v>
      </c>
      <c r="C6221" t="s">
        <v>118</v>
      </c>
      <c r="D6221" s="9">
        <v>41803.841273148151</v>
      </c>
      <c r="E6221" t="s">
        <v>11</v>
      </c>
      <c r="F6221">
        <f t="shared" ca="1" si="196"/>
        <v>0.62777777777777777</v>
      </c>
      <c r="G6221">
        <f t="shared" ca="1" si="197"/>
        <v>1</v>
      </c>
    </row>
    <row r="6222" spans="1:7">
      <c r="A6222">
        <v>9177</v>
      </c>
      <c r="B6222" t="s">
        <v>8</v>
      </c>
      <c r="C6222" t="s">
        <v>118</v>
      </c>
      <c r="D6222" s="9">
        <v>41711.617708333331</v>
      </c>
      <c r="E6222" t="s">
        <v>19</v>
      </c>
      <c r="F6222">
        <f t="shared" ca="1" si="196"/>
        <v>0.87777777777777777</v>
      </c>
      <c r="G6222">
        <f t="shared" ca="1" si="197"/>
        <v>1</v>
      </c>
    </row>
    <row r="6223" spans="1:7">
      <c r="A6223">
        <v>9179</v>
      </c>
      <c r="B6223" t="s">
        <v>111</v>
      </c>
      <c r="C6223" t="s">
        <v>118</v>
      </c>
      <c r="D6223" s="9">
        <v>41803.900821759256</v>
      </c>
      <c r="E6223" t="s">
        <v>20</v>
      </c>
      <c r="F6223">
        <f t="shared" ca="1" si="196"/>
        <v>0.62777777777777777</v>
      </c>
      <c r="G6223">
        <f t="shared" ca="1" si="197"/>
        <v>1</v>
      </c>
    </row>
    <row r="6224" spans="1:7">
      <c r="A6224">
        <v>9182</v>
      </c>
      <c r="B6224" t="s">
        <v>30</v>
      </c>
      <c r="C6224" t="s">
        <v>118</v>
      </c>
      <c r="D6224" s="9">
        <v>41733.667604166665</v>
      </c>
      <c r="E6224" t="s">
        <v>34</v>
      </c>
      <c r="F6224">
        <f t="shared" ca="1" si="196"/>
        <v>0.81944444444444442</v>
      </c>
      <c r="G6224">
        <f t="shared" ca="1" si="197"/>
        <v>1</v>
      </c>
    </row>
    <row r="6225" spans="1:7">
      <c r="A6225">
        <v>9183</v>
      </c>
      <c r="B6225" t="s">
        <v>30</v>
      </c>
      <c r="C6225" t="s">
        <v>118</v>
      </c>
      <c r="D6225" s="9">
        <v>41737.377245370371</v>
      </c>
      <c r="F6225">
        <f t="shared" ca="1" si="196"/>
        <v>0.80833333333333335</v>
      </c>
      <c r="G6225">
        <f t="shared" ca="1" si="197"/>
        <v>1</v>
      </c>
    </row>
    <row r="6226" spans="1:7">
      <c r="A6226">
        <v>9189</v>
      </c>
      <c r="B6226" t="s">
        <v>32</v>
      </c>
      <c r="C6226" t="s">
        <v>118</v>
      </c>
      <c r="D6226" s="9">
        <v>41712.6325</v>
      </c>
      <c r="E6226" t="s">
        <v>30</v>
      </c>
      <c r="F6226">
        <f t="shared" ca="1" si="196"/>
        <v>0.875</v>
      </c>
      <c r="G6226">
        <f t="shared" ca="1" si="197"/>
        <v>1</v>
      </c>
    </row>
    <row r="6227" spans="1:7">
      <c r="A6227">
        <v>9191</v>
      </c>
      <c r="B6227" t="s">
        <v>30</v>
      </c>
      <c r="C6227" t="s">
        <v>118</v>
      </c>
      <c r="D6227" s="9">
        <v>41732.370150462964</v>
      </c>
      <c r="E6227" t="s">
        <v>8</v>
      </c>
      <c r="F6227">
        <f t="shared" ca="1" si="196"/>
        <v>0.82222222222222219</v>
      </c>
      <c r="G6227">
        <f t="shared" ca="1" si="197"/>
        <v>1</v>
      </c>
    </row>
    <row r="6228" spans="1:7">
      <c r="A6228">
        <v>9192</v>
      </c>
      <c r="B6228" t="s">
        <v>32</v>
      </c>
      <c r="C6228" t="s">
        <v>118</v>
      </c>
      <c r="D6228" s="9">
        <v>41717.844942129632</v>
      </c>
      <c r="E6228" t="s">
        <v>11</v>
      </c>
      <c r="F6228">
        <f t="shared" ca="1" si="196"/>
        <v>0.86111111111111116</v>
      </c>
      <c r="G6228">
        <f t="shared" ca="1" si="197"/>
        <v>1</v>
      </c>
    </row>
    <row r="6229" spans="1:7">
      <c r="A6229">
        <v>9193</v>
      </c>
      <c r="B6229" t="s">
        <v>50</v>
      </c>
      <c r="C6229" t="s">
        <v>118</v>
      </c>
      <c r="D6229" s="9">
        <v>41717.660266203704</v>
      </c>
      <c r="E6229" t="s">
        <v>17</v>
      </c>
      <c r="F6229">
        <f t="shared" ca="1" si="196"/>
        <v>0.86111111111111116</v>
      </c>
      <c r="G6229">
        <f t="shared" ca="1" si="197"/>
        <v>1</v>
      </c>
    </row>
    <row r="6230" spans="1:7">
      <c r="A6230">
        <v>9194</v>
      </c>
      <c r="B6230" t="s">
        <v>19</v>
      </c>
      <c r="C6230" t="s">
        <v>209</v>
      </c>
      <c r="D6230" s="9">
        <v>41733.585856481484</v>
      </c>
      <c r="E6230" t="s">
        <v>32</v>
      </c>
      <c r="F6230">
        <f t="shared" ca="1" si="196"/>
        <v>0.81944444444444442</v>
      </c>
      <c r="G6230">
        <f t="shared" ca="1" si="197"/>
        <v>1</v>
      </c>
    </row>
    <row r="6231" spans="1:7">
      <c r="A6231">
        <v>9195</v>
      </c>
      <c r="B6231" t="s">
        <v>38</v>
      </c>
      <c r="C6231" t="s">
        <v>118</v>
      </c>
      <c r="D6231" s="9">
        <v>41717.761701388888</v>
      </c>
      <c r="E6231" t="s">
        <v>11</v>
      </c>
      <c r="F6231">
        <f t="shared" ca="1" si="196"/>
        <v>0.86111111111111116</v>
      </c>
      <c r="G6231">
        <f t="shared" ca="1" si="197"/>
        <v>1</v>
      </c>
    </row>
    <row r="6232" spans="1:7">
      <c r="A6232">
        <v>9197</v>
      </c>
      <c r="B6232" t="s">
        <v>50</v>
      </c>
      <c r="C6232" t="s">
        <v>118</v>
      </c>
      <c r="D6232" s="9">
        <v>41740.60533564815</v>
      </c>
      <c r="E6232" t="s">
        <v>14</v>
      </c>
      <c r="F6232">
        <f t="shared" ca="1" si="196"/>
        <v>0.8</v>
      </c>
      <c r="G6232">
        <f t="shared" ca="1" si="197"/>
        <v>1</v>
      </c>
    </row>
    <row r="6233" spans="1:7">
      <c r="A6233">
        <v>9199</v>
      </c>
      <c r="B6233" t="s">
        <v>34</v>
      </c>
      <c r="C6233" t="s">
        <v>118</v>
      </c>
      <c r="D6233" s="9">
        <v>41732.702361111114</v>
      </c>
      <c r="E6233" t="s">
        <v>14</v>
      </c>
      <c r="F6233">
        <f t="shared" ca="1" si="196"/>
        <v>0.82222222222222219</v>
      </c>
      <c r="G6233">
        <f t="shared" ca="1" si="197"/>
        <v>1</v>
      </c>
    </row>
    <row r="6234" spans="1:7">
      <c r="A6234">
        <v>9200</v>
      </c>
      <c r="B6234" t="s">
        <v>32</v>
      </c>
      <c r="C6234" t="s">
        <v>118</v>
      </c>
      <c r="D6234" s="9">
        <v>41725.779606481483</v>
      </c>
      <c r="E6234" t="s">
        <v>20</v>
      </c>
      <c r="F6234">
        <f t="shared" ca="1" si="196"/>
        <v>0.83888888888888891</v>
      </c>
      <c r="G6234">
        <f t="shared" ca="1" si="197"/>
        <v>1</v>
      </c>
    </row>
    <row r="6235" spans="1:7">
      <c r="A6235">
        <v>9202</v>
      </c>
      <c r="B6235" t="s">
        <v>36</v>
      </c>
      <c r="C6235" t="s">
        <v>209</v>
      </c>
      <c r="D6235" s="9">
        <v>41918.629594907405</v>
      </c>
      <c r="E6235" t="s">
        <v>32</v>
      </c>
      <c r="F6235">
        <f t="shared" ca="1" si="196"/>
        <v>0.31388888888888888</v>
      </c>
      <c r="G6235">
        <f t="shared" ca="1" si="197"/>
        <v>1</v>
      </c>
    </row>
    <row r="6236" spans="1:7">
      <c r="A6236">
        <v>9209</v>
      </c>
      <c r="B6236" t="s">
        <v>14</v>
      </c>
      <c r="C6236" t="s">
        <v>118</v>
      </c>
      <c r="D6236" s="9">
        <v>41830.932118055556</v>
      </c>
      <c r="E6236" t="s">
        <v>44</v>
      </c>
      <c r="F6236">
        <f t="shared" ca="1" si="196"/>
        <v>0.55277777777777781</v>
      </c>
      <c r="G6236">
        <f t="shared" ca="1" si="197"/>
        <v>1</v>
      </c>
    </row>
    <row r="6237" spans="1:7">
      <c r="A6237">
        <v>9213</v>
      </c>
      <c r="B6237" t="s">
        <v>18</v>
      </c>
      <c r="C6237" t="s">
        <v>118</v>
      </c>
      <c r="D6237" s="9">
        <v>41779.647696759261</v>
      </c>
      <c r="E6237" t="s">
        <v>44</v>
      </c>
      <c r="F6237">
        <f t="shared" ca="1" si="196"/>
        <v>0.69166666666666665</v>
      </c>
      <c r="G6237">
        <f t="shared" ca="1" si="197"/>
        <v>1</v>
      </c>
    </row>
    <row r="6238" spans="1:7">
      <c r="A6238">
        <v>9217</v>
      </c>
      <c r="B6238" t="s">
        <v>38</v>
      </c>
      <c r="C6238" t="s">
        <v>118</v>
      </c>
      <c r="D6238" s="9">
        <v>41745.883553240739</v>
      </c>
      <c r="E6238" t="s">
        <v>27</v>
      </c>
      <c r="F6238">
        <f t="shared" ca="1" si="196"/>
        <v>0.78611111111111109</v>
      </c>
      <c r="G6238">
        <f t="shared" ca="1" si="197"/>
        <v>1</v>
      </c>
    </row>
    <row r="6239" spans="1:7">
      <c r="A6239">
        <v>9218</v>
      </c>
      <c r="B6239" t="s">
        <v>111</v>
      </c>
      <c r="C6239" t="s">
        <v>118</v>
      </c>
      <c r="D6239" s="9">
        <v>41723.787430555552</v>
      </c>
      <c r="E6239" t="s">
        <v>27</v>
      </c>
      <c r="F6239">
        <f t="shared" ca="1" si="196"/>
        <v>0.84444444444444444</v>
      </c>
      <c r="G6239">
        <f t="shared" ca="1" si="197"/>
        <v>1</v>
      </c>
    </row>
    <row r="6240" spans="1:7">
      <c r="A6240">
        <v>9219</v>
      </c>
      <c r="B6240" t="s">
        <v>20</v>
      </c>
      <c r="C6240" t="s">
        <v>118</v>
      </c>
      <c r="D6240" s="9">
        <v>41726.577557870369</v>
      </c>
      <c r="E6240" t="s">
        <v>32</v>
      </c>
      <c r="F6240">
        <f t="shared" ca="1" si="196"/>
        <v>0.83611111111111114</v>
      </c>
      <c r="G6240">
        <f t="shared" ca="1" si="197"/>
        <v>1</v>
      </c>
    </row>
    <row r="6241" spans="1:7">
      <c r="A6241">
        <v>9221</v>
      </c>
      <c r="B6241" t="s">
        <v>34</v>
      </c>
      <c r="C6241" t="s">
        <v>118</v>
      </c>
      <c r="D6241" s="9">
        <v>41772.620057870372</v>
      </c>
      <c r="E6241" t="s">
        <v>17</v>
      </c>
      <c r="F6241">
        <f t="shared" ca="1" si="196"/>
        <v>0.71111111111111114</v>
      </c>
      <c r="G6241">
        <f t="shared" ca="1" si="197"/>
        <v>1</v>
      </c>
    </row>
    <row r="6242" spans="1:7">
      <c r="A6242">
        <v>9223</v>
      </c>
      <c r="B6242" t="s">
        <v>17</v>
      </c>
      <c r="C6242" t="s">
        <v>118</v>
      </c>
      <c r="D6242" s="9">
        <v>41754.46980324074</v>
      </c>
      <c r="F6242">
        <f t="shared" ca="1" si="196"/>
        <v>0.76111111111111107</v>
      </c>
      <c r="G6242">
        <f t="shared" ca="1" si="197"/>
        <v>1</v>
      </c>
    </row>
    <row r="6243" spans="1:7">
      <c r="A6243">
        <v>9225</v>
      </c>
      <c r="B6243" t="s">
        <v>32</v>
      </c>
      <c r="C6243" t="s">
        <v>118</v>
      </c>
      <c r="D6243" s="9">
        <v>41740.929895833331</v>
      </c>
      <c r="E6243" t="s">
        <v>36</v>
      </c>
      <c r="F6243">
        <f t="shared" ca="1" si="196"/>
        <v>0.8</v>
      </c>
      <c r="G6243">
        <f t="shared" ca="1" si="197"/>
        <v>1</v>
      </c>
    </row>
    <row r="6244" spans="1:7">
      <c r="A6244">
        <v>9226</v>
      </c>
      <c r="B6244" t="s">
        <v>20</v>
      </c>
      <c r="C6244" t="s">
        <v>118</v>
      </c>
      <c r="D6244" s="9">
        <v>41726.581759259258</v>
      </c>
      <c r="E6244" t="s">
        <v>32</v>
      </c>
      <c r="F6244">
        <f t="shared" ca="1" si="196"/>
        <v>0.83611111111111114</v>
      </c>
      <c r="G6244">
        <f t="shared" ca="1" si="197"/>
        <v>1</v>
      </c>
    </row>
    <row r="6245" spans="1:7">
      <c r="A6245">
        <v>9229</v>
      </c>
      <c r="B6245" t="s">
        <v>32</v>
      </c>
      <c r="C6245" t="s">
        <v>118</v>
      </c>
      <c r="D6245" s="9">
        <v>41733.58934027778</v>
      </c>
      <c r="E6245" t="s">
        <v>19</v>
      </c>
      <c r="F6245">
        <f t="shared" ca="1" si="196"/>
        <v>0.81944444444444442</v>
      </c>
      <c r="G6245">
        <f t="shared" ca="1" si="197"/>
        <v>1</v>
      </c>
    </row>
    <row r="6246" spans="1:7">
      <c r="A6246">
        <v>9230</v>
      </c>
      <c r="B6246" t="s">
        <v>32</v>
      </c>
      <c r="C6246" t="s">
        <v>118</v>
      </c>
      <c r="D6246" s="9">
        <v>41733.822708333333</v>
      </c>
      <c r="E6246" t="s">
        <v>11</v>
      </c>
      <c r="F6246">
        <f t="shared" ca="1" si="196"/>
        <v>0.81944444444444442</v>
      </c>
      <c r="G6246">
        <f t="shared" ca="1" si="197"/>
        <v>1</v>
      </c>
    </row>
    <row r="6247" spans="1:7">
      <c r="A6247">
        <v>9235</v>
      </c>
      <c r="B6247" t="s">
        <v>43</v>
      </c>
      <c r="C6247" t="s">
        <v>118</v>
      </c>
      <c r="D6247" s="9">
        <v>41729.86482638889</v>
      </c>
      <c r="E6247" t="s">
        <v>32</v>
      </c>
      <c r="F6247">
        <f t="shared" ca="1" si="196"/>
        <v>0.8305555555555556</v>
      </c>
      <c r="G6247">
        <f t="shared" ca="1" si="197"/>
        <v>1</v>
      </c>
    </row>
    <row r="6248" spans="1:7">
      <c r="A6248">
        <v>9238</v>
      </c>
      <c r="B6248" t="s">
        <v>44</v>
      </c>
      <c r="C6248" t="s">
        <v>118</v>
      </c>
      <c r="D6248" s="9">
        <v>41743.56040509259</v>
      </c>
      <c r="E6248" t="s">
        <v>21</v>
      </c>
      <c r="F6248">
        <f t="shared" ca="1" si="196"/>
        <v>0.79166666666666663</v>
      </c>
      <c r="G6248">
        <f t="shared" ca="1" si="197"/>
        <v>1</v>
      </c>
    </row>
    <row r="6249" spans="1:7">
      <c r="A6249">
        <v>9241</v>
      </c>
      <c r="B6249" t="s">
        <v>32</v>
      </c>
      <c r="C6249" t="s">
        <v>118</v>
      </c>
      <c r="D6249" s="9">
        <v>41740.665763888886</v>
      </c>
      <c r="E6249" t="s">
        <v>23</v>
      </c>
      <c r="F6249">
        <f t="shared" ca="1" si="196"/>
        <v>0.8</v>
      </c>
      <c r="G6249">
        <f t="shared" ca="1" si="197"/>
        <v>1</v>
      </c>
    </row>
    <row r="6250" spans="1:7">
      <c r="A6250">
        <v>9244</v>
      </c>
      <c r="B6250" t="s">
        <v>21</v>
      </c>
      <c r="C6250" t="s">
        <v>118</v>
      </c>
      <c r="D6250" s="9">
        <v>41752.876747685186</v>
      </c>
      <c r="E6250" t="s">
        <v>11</v>
      </c>
      <c r="F6250">
        <f t="shared" ca="1" si="196"/>
        <v>0.76666666666666672</v>
      </c>
      <c r="G6250">
        <f t="shared" ca="1" si="197"/>
        <v>1</v>
      </c>
    </row>
    <row r="6251" spans="1:7">
      <c r="A6251">
        <v>9245</v>
      </c>
      <c r="B6251" t="s">
        <v>37</v>
      </c>
      <c r="C6251" t="s">
        <v>118</v>
      </c>
      <c r="D6251" s="9">
        <v>41789.572187500002</v>
      </c>
      <c r="E6251" t="s">
        <v>30</v>
      </c>
      <c r="F6251">
        <f t="shared" ca="1" si="196"/>
        <v>0.66388888888888886</v>
      </c>
      <c r="G6251">
        <f t="shared" ca="1" si="197"/>
        <v>1</v>
      </c>
    </row>
    <row r="6252" spans="1:7">
      <c r="A6252">
        <v>9246</v>
      </c>
      <c r="B6252" t="s">
        <v>8</v>
      </c>
      <c r="C6252" t="s">
        <v>118</v>
      </c>
      <c r="D6252" s="9">
        <v>41731.416493055556</v>
      </c>
      <c r="E6252" t="s">
        <v>34</v>
      </c>
      <c r="F6252">
        <f t="shared" ca="1" si="196"/>
        <v>0.82499999999999996</v>
      </c>
      <c r="G6252">
        <f t="shared" ca="1" si="197"/>
        <v>1</v>
      </c>
    </row>
    <row r="6253" spans="1:7">
      <c r="A6253">
        <v>9247</v>
      </c>
      <c r="B6253" t="s">
        <v>27</v>
      </c>
      <c r="C6253" t="s">
        <v>118</v>
      </c>
      <c r="D6253" s="9">
        <v>41759.69189814815</v>
      </c>
      <c r="E6253" t="s">
        <v>11</v>
      </c>
      <c r="F6253">
        <f t="shared" ca="1" si="196"/>
        <v>0.74722222222222223</v>
      </c>
      <c r="G6253">
        <f t="shared" ca="1" si="197"/>
        <v>1</v>
      </c>
    </row>
    <row r="6254" spans="1:7">
      <c r="A6254">
        <v>9249</v>
      </c>
      <c r="B6254" t="s">
        <v>50</v>
      </c>
      <c r="C6254" t="s">
        <v>118</v>
      </c>
      <c r="D6254" s="9">
        <v>41823.712048611109</v>
      </c>
      <c r="E6254" t="s">
        <v>14</v>
      </c>
      <c r="F6254">
        <f t="shared" ca="1" si="196"/>
        <v>0.57222222222222219</v>
      </c>
      <c r="G6254">
        <f t="shared" ca="1" si="197"/>
        <v>1</v>
      </c>
    </row>
    <row r="6255" spans="1:7">
      <c r="A6255">
        <v>9250</v>
      </c>
      <c r="B6255" t="s">
        <v>11</v>
      </c>
      <c r="C6255" t="s">
        <v>118</v>
      </c>
      <c r="D6255" s="9">
        <v>41732.352048611108</v>
      </c>
      <c r="E6255" t="s">
        <v>8</v>
      </c>
      <c r="F6255">
        <f t="shared" ca="1" si="196"/>
        <v>0.82222222222222219</v>
      </c>
      <c r="G6255">
        <f t="shared" ca="1" si="197"/>
        <v>1</v>
      </c>
    </row>
    <row r="6256" spans="1:7">
      <c r="A6256">
        <v>9252</v>
      </c>
      <c r="B6256" t="s">
        <v>8</v>
      </c>
      <c r="C6256" t="s">
        <v>118</v>
      </c>
      <c r="D6256" s="9">
        <v>41751.75922453704</v>
      </c>
      <c r="E6256" t="s">
        <v>20</v>
      </c>
      <c r="F6256">
        <f t="shared" ca="1" si="196"/>
        <v>0.76944444444444449</v>
      </c>
      <c r="G6256">
        <f t="shared" ca="1" si="197"/>
        <v>1</v>
      </c>
    </row>
    <row r="6257" spans="1:7">
      <c r="A6257">
        <v>9253</v>
      </c>
      <c r="B6257" t="s">
        <v>27</v>
      </c>
      <c r="C6257" t="s">
        <v>118</v>
      </c>
      <c r="D6257" s="9">
        <v>41740.887083333335</v>
      </c>
      <c r="E6257" t="s">
        <v>20</v>
      </c>
      <c r="F6257">
        <f t="shared" ca="1" si="196"/>
        <v>0.8</v>
      </c>
      <c r="G6257">
        <f t="shared" ca="1" si="197"/>
        <v>1</v>
      </c>
    </row>
    <row r="6258" spans="1:7">
      <c r="A6258">
        <v>9257</v>
      </c>
      <c r="B6258" t="s">
        <v>19</v>
      </c>
      <c r="C6258" t="s">
        <v>118</v>
      </c>
      <c r="D6258" s="9">
        <v>41752.593148148146</v>
      </c>
      <c r="E6258" t="s">
        <v>8</v>
      </c>
      <c r="F6258">
        <f t="shared" ca="1" si="196"/>
        <v>0.76666666666666672</v>
      </c>
      <c r="G6258">
        <f t="shared" ca="1" si="197"/>
        <v>1</v>
      </c>
    </row>
    <row r="6259" spans="1:7">
      <c r="A6259">
        <v>9258</v>
      </c>
      <c r="B6259" t="s">
        <v>44</v>
      </c>
      <c r="C6259" t="s">
        <v>118</v>
      </c>
      <c r="D6259" s="9">
        <v>41752.417488425926</v>
      </c>
      <c r="E6259" t="s">
        <v>18</v>
      </c>
      <c r="F6259">
        <f t="shared" ca="1" si="196"/>
        <v>0.76666666666666672</v>
      </c>
      <c r="G6259">
        <f t="shared" ca="1" si="197"/>
        <v>1</v>
      </c>
    </row>
    <row r="6260" spans="1:7">
      <c r="A6260">
        <v>9259</v>
      </c>
      <c r="B6260" t="s">
        <v>44</v>
      </c>
      <c r="C6260" t="s">
        <v>118</v>
      </c>
      <c r="D6260" s="9">
        <v>41752.425173611111</v>
      </c>
      <c r="E6260" t="s">
        <v>18</v>
      </c>
      <c r="F6260">
        <f t="shared" ca="1" si="196"/>
        <v>0.76666666666666672</v>
      </c>
      <c r="G6260">
        <f t="shared" ca="1" si="197"/>
        <v>1</v>
      </c>
    </row>
    <row r="6261" spans="1:7">
      <c r="A6261">
        <v>9260</v>
      </c>
      <c r="B6261" t="s">
        <v>30</v>
      </c>
      <c r="C6261" t="s">
        <v>118</v>
      </c>
      <c r="D6261" s="9">
        <v>41754.63894675926</v>
      </c>
      <c r="E6261" t="s">
        <v>21</v>
      </c>
      <c r="F6261">
        <f t="shared" ca="1" si="196"/>
        <v>0.76111111111111107</v>
      </c>
      <c r="G6261">
        <f t="shared" ca="1" si="197"/>
        <v>1</v>
      </c>
    </row>
    <row r="6262" spans="1:7">
      <c r="A6262">
        <v>9262</v>
      </c>
      <c r="B6262" t="s">
        <v>14</v>
      </c>
      <c r="C6262" t="s">
        <v>118</v>
      </c>
      <c r="D6262" s="9">
        <v>41740.584999999999</v>
      </c>
      <c r="E6262" t="s">
        <v>8</v>
      </c>
      <c r="F6262">
        <f t="shared" ca="1" si="196"/>
        <v>0.8</v>
      </c>
      <c r="G6262">
        <f t="shared" ca="1" si="197"/>
        <v>1</v>
      </c>
    </row>
    <row r="6263" spans="1:7">
      <c r="A6263">
        <v>9264</v>
      </c>
      <c r="B6263" t="s">
        <v>20</v>
      </c>
      <c r="C6263" t="s">
        <v>118</v>
      </c>
      <c r="D6263" s="9">
        <v>41733.570810185185</v>
      </c>
      <c r="E6263" t="s">
        <v>32</v>
      </c>
      <c r="F6263">
        <f t="shared" ca="1" si="196"/>
        <v>0.81944444444444442</v>
      </c>
      <c r="G6263">
        <f t="shared" ca="1" si="197"/>
        <v>1</v>
      </c>
    </row>
    <row r="6264" spans="1:7">
      <c r="A6264">
        <v>9265</v>
      </c>
      <c r="B6264" t="s">
        <v>8</v>
      </c>
      <c r="C6264" t="s">
        <v>118</v>
      </c>
      <c r="D6264" s="9">
        <v>41740.596145833333</v>
      </c>
      <c r="E6264" t="s">
        <v>18</v>
      </c>
      <c r="F6264">
        <f t="shared" ca="1" si="196"/>
        <v>0.8</v>
      </c>
      <c r="G6264">
        <f t="shared" ca="1" si="197"/>
        <v>1</v>
      </c>
    </row>
    <row r="6265" spans="1:7">
      <c r="A6265">
        <v>9266</v>
      </c>
      <c r="B6265" t="s">
        <v>20</v>
      </c>
      <c r="C6265" t="s">
        <v>118</v>
      </c>
      <c r="D6265" s="9">
        <v>41787.776574074072</v>
      </c>
      <c r="E6265" t="s">
        <v>27</v>
      </c>
      <c r="F6265">
        <f t="shared" ca="1" si="196"/>
        <v>0.6694444444444444</v>
      </c>
      <c r="G6265">
        <f t="shared" ca="1" si="197"/>
        <v>1</v>
      </c>
    </row>
    <row r="6266" spans="1:7">
      <c r="A6266">
        <v>9270</v>
      </c>
      <c r="B6266" t="s">
        <v>8</v>
      </c>
      <c r="C6266" t="s">
        <v>118</v>
      </c>
      <c r="D6266" s="9">
        <v>41768.638148148151</v>
      </c>
      <c r="E6266" t="s">
        <v>18</v>
      </c>
      <c r="F6266">
        <f t="shared" ca="1" si="196"/>
        <v>0.72222222222222221</v>
      </c>
      <c r="G6266">
        <f t="shared" ca="1" si="197"/>
        <v>1</v>
      </c>
    </row>
    <row r="6267" spans="1:7">
      <c r="A6267">
        <v>9312</v>
      </c>
      <c r="B6267" t="s">
        <v>23</v>
      </c>
      <c r="C6267" t="s">
        <v>118</v>
      </c>
      <c r="D6267" s="9">
        <v>41761.63890046296</v>
      </c>
      <c r="E6267" t="s">
        <v>30</v>
      </c>
      <c r="F6267">
        <f t="shared" ca="1" si="196"/>
        <v>0.7416666666666667</v>
      </c>
      <c r="G6267">
        <f t="shared" ca="1" si="197"/>
        <v>1</v>
      </c>
    </row>
    <row r="6268" spans="1:7">
      <c r="A6268">
        <v>9313</v>
      </c>
      <c r="B6268" t="s">
        <v>32</v>
      </c>
      <c r="C6268" t="s">
        <v>118</v>
      </c>
      <c r="D6268" s="9">
        <v>41740.833692129629</v>
      </c>
      <c r="E6268" t="s">
        <v>27</v>
      </c>
      <c r="F6268">
        <f t="shared" ca="1" si="196"/>
        <v>0.8</v>
      </c>
      <c r="G6268">
        <f t="shared" ca="1" si="197"/>
        <v>1</v>
      </c>
    </row>
    <row r="6269" spans="1:7">
      <c r="A6269">
        <v>9318</v>
      </c>
      <c r="B6269" t="s">
        <v>20</v>
      </c>
      <c r="C6269" t="s">
        <v>118</v>
      </c>
      <c r="D6269" s="9">
        <v>41739.831365740742</v>
      </c>
      <c r="E6269" t="s">
        <v>38</v>
      </c>
      <c r="F6269">
        <f t="shared" ca="1" si="196"/>
        <v>0.80277777777777781</v>
      </c>
      <c r="G6269">
        <f t="shared" ca="1" si="197"/>
        <v>1</v>
      </c>
    </row>
    <row r="6270" spans="1:7">
      <c r="A6270">
        <v>9319</v>
      </c>
      <c r="B6270" t="s">
        <v>8</v>
      </c>
      <c r="C6270" t="s">
        <v>118</v>
      </c>
      <c r="D6270" s="9">
        <v>41758.651400462964</v>
      </c>
      <c r="E6270" t="s">
        <v>17</v>
      </c>
      <c r="F6270">
        <f t="shared" ca="1" si="196"/>
        <v>0.75</v>
      </c>
      <c r="G6270">
        <f t="shared" ca="1" si="197"/>
        <v>1</v>
      </c>
    </row>
    <row r="6271" spans="1:7">
      <c r="A6271">
        <v>9320</v>
      </c>
      <c r="B6271" t="s">
        <v>23</v>
      </c>
      <c r="C6271" t="s">
        <v>118</v>
      </c>
      <c r="D6271" s="9">
        <v>41779.684965277775</v>
      </c>
      <c r="E6271" t="s">
        <v>29</v>
      </c>
      <c r="F6271">
        <f t="shared" ca="1" si="196"/>
        <v>0.69166666666666665</v>
      </c>
      <c r="G6271">
        <f t="shared" ca="1" si="197"/>
        <v>1</v>
      </c>
    </row>
    <row r="6272" spans="1:7">
      <c r="A6272">
        <v>9322</v>
      </c>
      <c r="B6272" t="s">
        <v>38</v>
      </c>
      <c r="C6272" t="s">
        <v>118</v>
      </c>
      <c r="D6272" s="9">
        <v>41754.560590277775</v>
      </c>
      <c r="E6272" t="s">
        <v>19</v>
      </c>
      <c r="F6272">
        <f t="shared" ca="1" si="196"/>
        <v>0.76111111111111107</v>
      </c>
      <c r="G6272">
        <f t="shared" ca="1" si="197"/>
        <v>1</v>
      </c>
    </row>
    <row r="6273" spans="1:7">
      <c r="A6273">
        <v>9323</v>
      </c>
      <c r="B6273" t="s">
        <v>20</v>
      </c>
      <c r="C6273" t="s">
        <v>118</v>
      </c>
      <c r="D6273" s="9">
        <v>41745.772650462961</v>
      </c>
      <c r="E6273" t="s">
        <v>27</v>
      </c>
      <c r="F6273">
        <f t="shared" ca="1" si="196"/>
        <v>0.78611111111111109</v>
      </c>
      <c r="G6273">
        <f t="shared" ca="1" si="197"/>
        <v>1</v>
      </c>
    </row>
    <row r="6274" spans="1:7">
      <c r="A6274">
        <v>9325</v>
      </c>
      <c r="B6274" t="s">
        <v>32</v>
      </c>
      <c r="C6274" t="s">
        <v>118</v>
      </c>
      <c r="D6274" s="9">
        <v>41754.649178240739</v>
      </c>
      <c r="E6274" t="s">
        <v>21</v>
      </c>
      <c r="F6274">
        <f t="shared" ca="1" si="196"/>
        <v>0.76111111111111107</v>
      </c>
      <c r="G6274">
        <f t="shared" ca="1" si="197"/>
        <v>1</v>
      </c>
    </row>
    <row r="6275" spans="1:7">
      <c r="A6275">
        <v>9328</v>
      </c>
      <c r="B6275" t="s">
        <v>20</v>
      </c>
      <c r="C6275" t="s">
        <v>118</v>
      </c>
      <c r="D6275" s="9">
        <v>41744.796087962961</v>
      </c>
      <c r="E6275" t="s">
        <v>38</v>
      </c>
      <c r="F6275">
        <f t="shared" ca="1" si="196"/>
        <v>0.78888888888888886</v>
      </c>
      <c r="G6275">
        <f t="shared" ca="1" si="197"/>
        <v>1</v>
      </c>
    </row>
    <row r="6276" spans="1:7">
      <c r="A6276">
        <v>9329</v>
      </c>
      <c r="B6276" t="s">
        <v>20</v>
      </c>
      <c r="C6276" t="s">
        <v>118</v>
      </c>
      <c r="D6276" s="9">
        <v>41744.795972222222</v>
      </c>
      <c r="E6276" t="s">
        <v>21</v>
      </c>
      <c r="F6276">
        <f t="shared" ca="1" si="196"/>
        <v>0.78888888888888886</v>
      </c>
      <c r="G6276">
        <f t="shared" ca="1" si="197"/>
        <v>1</v>
      </c>
    </row>
    <row r="6277" spans="1:7">
      <c r="A6277">
        <v>9332</v>
      </c>
      <c r="B6277" t="s">
        <v>17</v>
      </c>
      <c r="C6277" t="s">
        <v>118</v>
      </c>
      <c r="D6277" s="9">
        <v>41754.64303240741</v>
      </c>
      <c r="E6277" t="s">
        <v>23</v>
      </c>
      <c r="F6277">
        <f t="shared" ca="1" si="196"/>
        <v>0.76111111111111107</v>
      </c>
      <c r="G6277">
        <f t="shared" ca="1" si="197"/>
        <v>1</v>
      </c>
    </row>
    <row r="6278" spans="1:7">
      <c r="A6278">
        <v>9334</v>
      </c>
      <c r="B6278" t="s">
        <v>32</v>
      </c>
      <c r="C6278" t="s">
        <v>118</v>
      </c>
      <c r="D6278" s="9">
        <v>41746.609814814816</v>
      </c>
      <c r="E6278" t="s">
        <v>27</v>
      </c>
      <c r="F6278">
        <f t="shared" ca="1" si="196"/>
        <v>0.78333333333333333</v>
      </c>
      <c r="G6278">
        <f t="shared" ca="1" si="197"/>
        <v>1</v>
      </c>
    </row>
    <row r="6279" spans="1:7">
      <c r="A6279">
        <v>9335</v>
      </c>
      <c r="B6279" t="s">
        <v>21</v>
      </c>
      <c r="C6279" t="s">
        <v>210</v>
      </c>
      <c r="D6279" s="9">
        <v>41872.446157407408</v>
      </c>
      <c r="E6279" t="s">
        <v>34</v>
      </c>
      <c r="F6279">
        <f t="shared" ref="F6279:F6342" ca="1" si="198">YEARFRAC(TODAY(),$D6279)</f>
        <v>0.43888888888888888</v>
      </c>
      <c r="G6279">
        <f t="shared" ref="G6279:G6342" ca="1" si="199">IF($F6279&lt;1,1,0)</f>
        <v>1</v>
      </c>
    </row>
    <row r="6280" spans="1:7">
      <c r="A6280">
        <v>9337</v>
      </c>
      <c r="B6280" t="s">
        <v>14</v>
      </c>
      <c r="C6280" t="s">
        <v>118</v>
      </c>
      <c r="D6280" s="9">
        <v>41816.445787037039</v>
      </c>
      <c r="E6280" t="s">
        <v>37</v>
      </c>
      <c r="F6280">
        <f t="shared" ca="1" si="198"/>
        <v>0.59166666666666667</v>
      </c>
      <c r="G6280">
        <f t="shared" ca="1" si="199"/>
        <v>1</v>
      </c>
    </row>
    <row r="6281" spans="1:7">
      <c r="A6281">
        <v>9338</v>
      </c>
      <c r="B6281" t="s">
        <v>211</v>
      </c>
      <c r="C6281" t="s">
        <v>209</v>
      </c>
      <c r="D6281" s="9">
        <v>41918.629537037035</v>
      </c>
      <c r="E6281" t="s">
        <v>44</v>
      </c>
      <c r="F6281">
        <f t="shared" ca="1" si="198"/>
        <v>0.31388888888888888</v>
      </c>
      <c r="G6281">
        <f t="shared" ca="1" si="199"/>
        <v>1</v>
      </c>
    </row>
    <row r="6282" spans="1:7">
      <c r="A6282">
        <v>9342</v>
      </c>
      <c r="B6282" t="s">
        <v>8</v>
      </c>
      <c r="C6282" t="s">
        <v>209</v>
      </c>
      <c r="D6282" s="9">
        <v>41879.742847222224</v>
      </c>
      <c r="E6282" t="s">
        <v>20</v>
      </c>
      <c r="F6282">
        <f t="shared" ca="1" si="198"/>
        <v>0.41944444444444445</v>
      </c>
      <c r="G6282">
        <f t="shared" ca="1" si="199"/>
        <v>1</v>
      </c>
    </row>
    <row r="6283" spans="1:7">
      <c r="A6283">
        <v>9343</v>
      </c>
      <c r="B6283" t="s">
        <v>14</v>
      </c>
      <c r="C6283" t="s">
        <v>209</v>
      </c>
      <c r="D6283" s="9">
        <v>41859.52921296296</v>
      </c>
      <c r="E6283" t="s">
        <v>19</v>
      </c>
      <c r="F6283">
        <f t="shared" ca="1" si="198"/>
        <v>0.47499999999999998</v>
      </c>
      <c r="G6283">
        <f t="shared" ca="1" si="199"/>
        <v>1</v>
      </c>
    </row>
    <row r="6284" spans="1:7">
      <c r="A6284">
        <v>9345</v>
      </c>
      <c r="B6284" t="s">
        <v>211</v>
      </c>
      <c r="C6284" t="s">
        <v>209</v>
      </c>
      <c r="D6284" s="9">
        <v>41926.369618055556</v>
      </c>
      <c r="E6284" t="s">
        <v>8</v>
      </c>
      <c r="F6284">
        <f t="shared" ca="1" si="198"/>
        <v>0.29166666666666669</v>
      </c>
      <c r="G6284">
        <f t="shared" ca="1" si="199"/>
        <v>1</v>
      </c>
    </row>
    <row r="6285" spans="1:7">
      <c r="A6285">
        <v>9353</v>
      </c>
      <c r="B6285" t="s">
        <v>36</v>
      </c>
      <c r="C6285" t="s">
        <v>118</v>
      </c>
      <c r="D6285" s="9">
        <v>41767.885671296295</v>
      </c>
      <c r="E6285" t="s">
        <v>27</v>
      </c>
      <c r="F6285">
        <f t="shared" ca="1" si="198"/>
        <v>0.72499999999999998</v>
      </c>
      <c r="G6285">
        <f t="shared" ca="1" si="199"/>
        <v>1</v>
      </c>
    </row>
    <row r="6286" spans="1:7">
      <c r="A6286">
        <v>9354</v>
      </c>
      <c r="B6286" t="s">
        <v>20</v>
      </c>
      <c r="C6286" t="s">
        <v>118</v>
      </c>
      <c r="D6286" s="9">
        <v>41754.625</v>
      </c>
      <c r="E6286" t="s">
        <v>21</v>
      </c>
      <c r="F6286">
        <f t="shared" ca="1" si="198"/>
        <v>0.76111111111111107</v>
      </c>
      <c r="G6286">
        <f t="shared" ca="1" si="199"/>
        <v>1</v>
      </c>
    </row>
    <row r="6287" spans="1:7">
      <c r="A6287">
        <v>9357</v>
      </c>
      <c r="B6287" t="s">
        <v>11</v>
      </c>
      <c r="C6287" t="s">
        <v>118</v>
      </c>
      <c r="D6287" s="9">
        <v>41787.672847222224</v>
      </c>
      <c r="E6287" t="s">
        <v>27</v>
      </c>
      <c r="F6287">
        <f t="shared" ca="1" si="198"/>
        <v>0.6694444444444444</v>
      </c>
      <c r="G6287">
        <f t="shared" ca="1" si="199"/>
        <v>1</v>
      </c>
    </row>
    <row r="6288" spans="1:7">
      <c r="A6288">
        <v>9358</v>
      </c>
      <c r="B6288" t="s">
        <v>21</v>
      </c>
      <c r="C6288" t="s">
        <v>118</v>
      </c>
      <c r="D6288" s="9">
        <v>41823.712048611109</v>
      </c>
      <c r="E6288" t="s">
        <v>32</v>
      </c>
      <c r="F6288">
        <f t="shared" ca="1" si="198"/>
        <v>0.57222222222222219</v>
      </c>
      <c r="G6288">
        <f t="shared" ca="1" si="199"/>
        <v>1</v>
      </c>
    </row>
    <row r="6289" spans="1:7">
      <c r="A6289">
        <v>9359</v>
      </c>
      <c r="B6289" t="s">
        <v>37</v>
      </c>
      <c r="C6289" t="s">
        <v>118</v>
      </c>
      <c r="D6289" s="9">
        <v>41767.25371527778</v>
      </c>
      <c r="F6289">
        <f t="shared" ca="1" si="198"/>
        <v>0.72499999999999998</v>
      </c>
      <c r="G6289">
        <f t="shared" ca="1" si="199"/>
        <v>1</v>
      </c>
    </row>
    <row r="6290" spans="1:7">
      <c r="A6290">
        <v>9360</v>
      </c>
      <c r="B6290" t="s">
        <v>19</v>
      </c>
      <c r="C6290" t="s">
        <v>118</v>
      </c>
      <c r="D6290" s="9">
        <v>41754.624212962961</v>
      </c>
      <c r="E6290" t="s">
        <v>27</v>
      </c>
      <c r="F6290">
        <f t="shared" ca="1" si="198"/>
        <v>0.76111111111111107</v>
      </c>
      <c r="G6290">
        <f t="shared" ca="1" si="199"/>
        <v>1</v>
      </c>
    </row>
    <row r="6291" spans="1:7">
      <c r="A6291">
        <v>9364</v>
      </c>
      <c r="B6291" t="s">
        <v>23</v>
      </c>
      <c r="C6291" t="s">
        <v>118</v>
      </c>
      <c r="D6291" s="9">
        <v>41789.682152777779</v>
      </c>
      <c r="E6291" t="s">
        <v>112</v>
      </c>
      <c r="F6291">
        <f t="shared" ca="1" si="198"/>
        <v>0.66388888888888886</v>
      </c>
      <c r="G6291">
        <f t="shared" ca="1" si="199"/>
        <v>1</v>
      </c>
    </row>
    <row r="6292" spans="1:7">
      <c r="A6292">
        <v>9369</v>
      </c>
      <c r="B6292" t="s">
        <v>14</v>
      </c>
      <c r="C6292" t="s">
        <v>118</v>
      </c>
      <c r="D6292" s="9">
        <v>41823.712013888886</v>
      </c>
      <c r="E6292" t="s">
        <v>8</v>
      </c>
      <c r="F6292">
        <f t="shared" ca="1" si="198"/>
        <v>0.57222222222222219</v>
      </c>
      <c r="G6292">
        <f t="shared" ca="1" si="199"/>
        <v>1</v>
      </c>
    </row>
    <row r="6293" spans="1:7">
      <c r="A6293">
        <v>9370</v>
      </c>
      <c r="B6293" t="s">
        <v>14</v>
      </c>
      <c r="C6293" t="s">
        <v>118</v>
      </c>
      <c r="D6293" s="9">
        <v>41813.43074074074</v>
      </c>
      <c r="E6293" t="s">
        <v>112</v>
      </c>
      <c r="F6293">
        <f t="shared" ca="1" si="198"/>
        <v>0.6</v>
      </c>
      <c r="G6293">
        <f t="shared" ca="1" si="199"/>
        <v>1</v>
      </c>
    </row>
    <row r="6294" spans="1:7">
      <c r="A6294">
        <v>9371</v>
      </c>
      <c r="B6294" t="s">
        <v>215</v>
      </c>
      <c r="C6294" t="s">
        <v>209</v>
      </c>
      <c r="D6294" s="9">
        <v>41891.50949074074</v>
      </c>
      <c r="E6294" t="s">
        <v>19</v>
      </c>
      <c r="F6294">
        <f t="shared" ca="1" si="198"/>
        <v>0.3888888888888889</v>
      </c>
      <c r="G6294">
        <f t="shared" ca="1" si="199"/>
        <v>1</v>
      </c>
    </row>
    <row r="6295" spans="1:7">
      <c r="A6295">
        <v>9376</v>
      </c>
      <c r="B6295" t="s">
        <v>17</v>
      </c>
      <c r="C6295" t="s">
        <v>118</v>
      </c>
      <c r="D6295" s="9">
        <v>41761.71670138889</v>
      </c>
      <c r="E6295" t="s">
        <v>37</v>
      </c>
      <c r="F6295">
        <f t="shared" ca="1" si="198"/>
        <v>0.7416666666666667</v>
      </c>
      <c r="G6295">
        <f t="shared" ca="1" si="199"/>
        <v>1</v>
      </c>
    </row>
    <row r="6296" spans="1:7">
      <c r="A6296">
        <v>9377</v>
      </c>
      <c r="B6296" t="s">
        <v>32</v>
      </c>
      <c r="C6296" t="s">
        <v>118</v>
      </c>
      <c r="D6296" s="9">
        <v>41813.85491898148</v>
      </c>
      <c r="E6296" t="s">
        <v>36</v>
      </c>
      <c r="F6296">
        <f t="shared" ca="1" si="198"/>
        <v>0.6</v>
      </c>
      <c r="G6296">
        <f t="shared" ca="1" si="199"/>
        <v>1</v>
      </c>
    </row>
    <row r="6297" spans="1:7">
      <c r="A6297">
        <v>9379</v>
      </c>
      <c r="B6297" t="s">
        <v>32</v>
      </c>
      <c r="C6297" t="s">
        <v>118</v>
      </c>
      <c r="D6297" s="9">
        <v>41774.84412037037</v>
      </c>
      <c r="E6297" t="s">
        <v>27</v>
      </c>
      <c r="F6297">
        <f t="shared" ca="1" si="198"/>
        <v>0.7055555555555556</v>
      </c>
      <c r="G6297">
        <f t="shared" ca="1" si="199"/>
        <v>1</v>
      </c>
    </row>
    <row r="6298" spans="1:7">
      <c r="A6298">
        <v>9380</v>
      </c>
      <c r="B6298" t="s">
        <v>220</v>
      </c>
      <c r="C6298" t="s">
        <v>209</v>
      </c>
      <c r="D6298" s="9">
        <v>41961.500821759262</v>
      </c>
      <c r="E6298" t="s">
        <v>213</v>
      </c>
      <c r="F6298">
        <f t="shared" ca="1" si="198"/>
        <v>0.19722222222222222</v>
      </c>
      <c r="G6298">
        <f t="shared" ca="1" si="199"/>
        <v>1</v>
      </c>
    </row>
    <row r="6299" spans="1:7">
      <c r="A6299">
        <v>9381</v>
      </c>
      <c r="B6299" t="s">
        <v>27</v>
      </c>
      <c r="C6299" t="s">
        <v>118</v>
      </c>
      <c r="D6299" s="9">
        <v>41761.888148148151</v>
      </c>
      <c r="E6299" t="s">
        <v>20</v>
      </c>
      <c r="F6299">
        <f t="shared" ca="1" si="198"/>
        <v>0.7416666666666667</v>
      </c>
      <c r="G6299">
        <f t="shared" ca="1" si="199"/>
        <v>1</v>
      </c>
    </row>
    <row r="6300" spans="1:7">
      <c r="A6300">
        <v>9387</v>
      </c>
      <c r="B6300" t="s">
        <v>23</v>
      </c>
      <c r="C6300" t="s">
        <v>118</v>
      </c>
      <c r="D6300" s="9">
        <v>41768.672037037039</v>
      </c>
      <c r="E6300" t="s">
        <v>44</v>
      </c>
      <c r="F6300">
        <f t="shared" ca="1" si="198"/>
        <v>0.72222222222222221</v>
      </c>
      <c r="G6300">
        <f t="shared" ca="1" si="199"/>
        <v>1</v>
      </c>
    </row>
    <row r="6301" spans="1:7">
      <c r="A6301">
        <v>9389</v>
      </c>
      <c r="B6301" t="s">
        <v>19</v>
      </c>
      <c r="C6301" t="s">
        <v>118</v>
      </c>
      <c r="D6301" s="9">
        <v>41767.469074074077</v>
      </c>
      <c r="F6301">
        <f t="shared" ca="1" si="198"/>
        <v>0.72499999999999998</v>
      </c>
      <c r="G6301">
        <f t="shared" ca="1" si="199"/>
        <v>1</v>
      </c>
    </row>
    <row r="6302" spans="1:7">
      <c r="A6302">
        <v>9390</v>
      </c>
      <c r="B6302" t="s">
        <v>50</v>
      </c>
      <c r="C6302" t="s">
        <v>118</v>
      </c>
      <c r="D6302" s="9">
        <v>41796.777442129627</v>
      </c>
      <c r="E6302" t="s">
        <v>11</v>
      </c>
      <c r="F6302">
        <f t="shared" ca="1" si="198"/>
        <v>0.64722222222222225</v>
      </c>
      <c r="G6302">
        <f t="shared" ca="1" si="199"/>
        <v>1</v>
      </c>
    </row>
    <row r="6303" spans="1:7">
      <c r="A6303">
        <v>9392</v>
      </c>
      <c r="B6303" t="s">
        <v>20</v>
      </c>
      <c r="C6303" t="s">
        <v>209</v>
      </c>
      <c r="D6303" s="9">
        <v>41939.654513888891</v>
      </c>
      <c r="F6303">
        <f t="shared" ca="1" si="198"/>
        <v>0.25555555555555554</v>
      </c>
      <c r="G6303">
        <f t="shared" ca="1" si="199"/>
        <v>1</v>
      </c>
    </row>
    <row r="6304" spans="1:7">
      <c r="A6304">
        <v>9393</v>
      </c>
      <c r="B6304" t="s">
        <v>36</v>
      </c>
      <c r="C6304" t="s">
        <v>118</v>
      </c>
      <c r="D6304" s="9">
        <v>41765.602037037039</v>
      </c>
      <c r="E6304" t="s">
        <v>27</v>
      </c>
      <c r="F6304">
        <f t="shared" ca="1" si="198"/>
        <v>0.73055555555555551</v>
      </c>
      <c r="G6304">
        <f t="shared" ca="1" si="199"/>
        <v>1</v>
      </c>
    </row>
    <row r="6305" spans="1:7">
      <c r="A6305">
        <v>9399</v>
      </c>
      <c r="B6305" t="s">
        <v>21</v>
      </c>
      <c r="C6305" t="s">
        <v>118</v>
      </c>
      <c r="D6305" s="9">
        <v>41773.665555555555</v>
      </c>
      <c r="E6305" t="s">
        <v>20</v>
      </c>
      <c r="F6305">
        <f t="shared" ca="1" si="198"/>
        <v>0.70833333333333337</v>
      </c>
      <c r="G6305">
        <f t="shared" ca="1" si="199"/>
        <v>1</v>
      </c>
    </row>
    <row r="6306" spans="1:7">
      <c r="A6306">
        <v>9400</v>
      </c>
      <c r="B6306" t="s">
        <v>8</v>
      </c>
      <c r="C6306" t="s">
        <v>118</v>
      </c>
      <c r="D6306" s="9">
        <v>41760.492037037038</v>
      </c>
      <c r="E6306" t="s">
        <v>18</v>
      </c>
      <c r="F6306">
        <f t="shared" ca="1" si="198"/>
        <v>0.74444444444444446</v>
      </c>
      <c r="G6306">
        <f t="shared" ca="1" si="199"/>
        <v>1</v>
      </c>
    </row>
    <row r="6307" spans="1:7">
      <c r="A6307">
        <v>9402</v>
      </c>
      <c r="B6307" t="s">
        <v>8</v>
      </c>
      <c r="C6307" t="s">
        <v>118</v>
      </c>
      <c r="D6307" s="9">
        <v>41766.783692129633</v>
      </c>
      <c r="E6307" t="s">
        <v>11</v>
      </c>
      <c r="F6307">
        <f t="shared" ca="1" si="198"/>
        <v>0.72777777777777775</v>
      </c>
      <c r="G6307">
        <f t="shared" ca="1" si="199"/>
        <v>1</v>
      </c>
    </row>
    <row r="6308" spans="1:7">
      <c r="A6308">
        <v>9404</v>
      </c>
      <c r="B6308" t="s">
        <v>14</v>
      </c>
      <c r="C6308" t="s">
        <v>118</v>
      </c>
      <c r="D6308" s="9">
        <v>41796.612592592595</v>
      </c>
      <c r="E6308" t="s">
        <v>30</v>
      </c>
      <c r="F6308">
        <f t="shared" ca="1" si="198"/>
        <v>0.64722222222222225</v>
      </c>
      <c r="G6308">
        <f t="shared" ca="1" si="199"/>
        <v>1</v>
      </c>
    </row>
    <row r="6309" spans="1:7">
      <c r="A6309">
        <v>9407</v>
      </c>
      <c r="B6309" t="s">
        <v>20</v>
      </c>
      <c r="C6309" t="s">
        <v>118</v>
      </c>
      <c r="D6309" s="9">
        <v>41773.68953703704</v>
      </c>
      <c r="E6309" t="s">
        <v>21</v>
      </c>
      <c r="F6309">
        <f t="shared" ca="1" si="198"/>
        <v>0.70833333333333337</v>
      </c>
      <c r="G6309">
        <f t="shared" ca="1" si="199"/>
        <v>1</v>
      </c>
    </row>
    <row r="6310" spans="1:7">
      <c r="A6310">
        <v>9410</v>
      </c>
      <c r="B6310" t="s">
        <v>32</v>
      </c>
      <c r="C6310" t="s">
        <v>118</v>
      </c>
      <c r="D6310" s="9">
        <v>41779.605127314811</v>
      </c>
      <c r="E6310" t="s">
        <v>21</v>
      </c>
      <c r="F6310">
        <f t="shared" ca="1" si="198"/>
        <v>0.69166666666666665</v>
      </c>
      <c r="G6310">
        <f t="shared" ca="1" si="199"/>
        <v>1</v>
      </c>
    </row>
    <row r="6311" spans="1:7">
      <c r="A6311">
        <v>9412</v>
      </c>
      <c r="B6311" t="s">
        <v>32</v>
      </c>
      <c r="C6311" t="s">
        <v>118</v>
      </c>
      <c r="D6311" s="9">
        <v>41781.801400462966</v>
      </c>
      <c r="E6311" t="s">
        <v>21</v>
      </c>
      <c r="F6311">
        <f t="shared" ca="1" si="198"/>
        <v>0.68611111111111112</v>
      </c>
      <c r="G6311">
        <f t="shared" ca="1" si="199"/>
        <v>1</v>
      </c>
    </row>
    <row r="6312" spans="1:7">
      <c r="A6312">
        <v>9413</v>
      </c>
      <c r="B6312" t="s">
        <v>32</v>
      </c>
      <c r="C6312" t="s">
        <v>118</v>
      </c>
      <c r="D6312" s="9">
        <v>41781.647361111114</v>
      </c>
      <c r="E6312" t="s">
        <v>27</v>
      </c>
      <c r="F6312">
        <f t="shared" ca="1" si="198"/>
        <v>0.68611111111111112</v>
      </c>
      <c r="G6312">
        <f t="shared" ca="1" si="199"/>
        <v>1</v>
      </c>
    </row>
    <row r="6313" spans="1:7">
      <c r="A6313">
        <v>9415</v>
      </c>
      <c r="B6313" t="s">
        <v>11</v>
      </c>
      <c r="C6313" t="s">
        <v>118</v>
      </c>
      <c r="D6313" s="9">
        <v>41764.696840277778</v>
      </c>
      <c r="E6313" t="s">
        <v>21</v>
      </c>
      <c r="F6313">
        <f t="shared" ca="1" si="198"/>
        <v>0.73333333333333328</v>
      </c>
      <c r="G6313">
        <f t="shared" ca="1" si="199"/>
        <v>1</v>
      </c>
    </row>
    <row r="6314" spans="1:7">
      <c r="A6314">
        <v>9416</v>
      </c>
      <c r="B6314" t="s">
        <v>44</v>
      </c>
      <c r="C6314" t="s">
        <v>118</v>
      </c>
      <c r="D6314" s="9">
        <v>41768.604432870372</v>
      </c>
      <c r="E6314" t="s">
        <v>112</v>
      </c>
      <c r="F6314">
        <f t="shared" ca="1" si="198"/>
        <v>0.72222222222222221</v>
      </c>
      <c r="G6314">
        <f t="shared" ca="1" si="199"/>
        <v>1</v>
      </c>
    </row>
    <row r="6315" spans="1:7">
      <c r="A6315">
        <v>9417</v>
      </c>
      <c r="B6315" t="s">
        <v>44</v>
      </c>
      <c r="C6315" t="s">
        <v>118</v>
      </c>
      <c r="D6315" s="9">
        <v>41779.506018518521</v>
      </c>
      <c r="E6315" t="s">
        <v>29</v>
      </c>
      <c r="F6315">
        <f t="shared" ca="1" si="198"/>
        <v>0.69166666666666665</v>
      </c>
      <c r="G6315">
        <f t="shared" ca="1" si="199"/>
        <v>1</v>
      </c>
    </row>
    <row r="6316" spans="1:7">
      <c r="A6316">
        <v>9418</v>
      </c>
      <c r="B6316" t="s">
        <v>32</v>
      </c>
      <c r="C6316" t="s">
        <v>118</v>
      </c>
      <c r="D6316" s="9">
        <v>41773.778946759259</v>
      </c>
      <c r="E6316" t="s">
        <v>20</v>
      </c>
      <c r="F6316">
        <f t="shared" ca="1" si="198"/>
        <v>0.70833333333333337</v>
      </c>
      <c r="G6316">
        <f t="shared" ca="1" si="199"/>
        <v>1</v>
      </c>
    </row>
    <row r="6317" spans="1:7">
      <c r="A6317">
        <v>9420</v>
      </c>
      <c r="B6317" t="s">
        <v>112</v>
      </c>
      <c r="C6317" t="s">
        <v>118</v>
      </c>
      <c r="D6317" s="9">
        <v>41768.615034722221</v>
      </c>
      <c r="E6317" t="s">
        <v>14</v>
      </c>
      <c r="F6317">
        <f t="shared" ca="1" si="198"/>
        <v>0.72222222222222221</v>
      </c>
      <c r="G6317">
        <f t="shared" ca="1" si="199"/>
        <v>1</v>
      </c>
    </row>
    <row r="6318" spans="1:7">
      <c r="A6318">
        <v>9421</v>
      </c>
      <c r="B6318" t="s">
        <v>8</v>
      </c>
      <c r="C6318" t="s">
        <v>118</v>
      </c>
      <c r="D6318" s="9">
        <v>41771.781053240738</v>
      </c>
      <c r="E6318" t="s">
        <v>27</v>
      </c>
      <c r="F6318">
        <f t="shared" ca="1" si="198"/>
        <v>0.71388888888888891</v>
      </c>
      <c r="G6318">
        <f t="shared" ca="1" si="199"/>
        <v>1</v>
      </c>
    </row>
    <row r="6319" spans="1:7">
      <c r="A6319">
        <v>9423</v>
      </c>
      <c r="B6319" t="s">
        <v>34</v>
      </c>
      <c r="C6319" t="s">
        <v>118</v>
      </c>
      <c r="D6319" s="9">
        <v>41772.455266203702</v>
      </c>
      <c r="E6319" t="s">
        <v>8</v>
      </c>
      <c r="F6319">
        <f t="shared" ca="1" si="198"/>
        <v>0.71111111111111114</v>
      </c>
      <c r="G6319">
        <f t="shared" ca="1" si="199"/>
        <v>1</v>
      </c>
    </row>
    <row r="6320" spans="1:7">
      <c r="A6320">
        <v>9424</v>
      </c>
      <c r="B6320" t="s">
        <v>45</v>
      </c>
      <c r="C6320" t="s">
        <v>118</v>
      </c>
      <c r="D6320" s="9">
        <v>41775.796597222223</v>
      </c>
      <c r="E6320" t="s">
        <v>11</v>
      </c>
      <c r="F6320">
        <f t="shared" ca="1" si="198"/>
        <v>0.70277777777777772</v>
      </c>
      <c r="G6320">
        <f t="shared" ca="1" si="199"/>
        <v>1</v>
      </c>
    </row>
    <row r="6321" spans="1:7">
      <c r="A6321">
        <v>9425</v>
      </c>
      <c r="B6321" t="s">
        <v>20</v>
      </c>
      <c r="C6321" t="s">
        <v>118</v>
      </c>
      <c r="D6321" s="9">
        <v>41768.448622685188</v>
      </c>
      <c r="E6321" t="s">
        <v>17</v>
      </c>
      <c r="F6321">
        <f t="shared" ca="1" si="198"/>
        <v>0.72222222222222221</v>
      </c>
      <c r="G6321">
        <f t="shared" ca="1" si="199"/>
        <v>1</v>
      </c>
    </row>
    <row r="6322" spans="1:7">
      <c r="A6322">
        <v>9428</v>
      </c>
      <c r="B6322" t="s">
        <v>19</v>
      </c>
      <c r="C6322" t="s">
        <v>118</v>
      </c>
      <c r="D6322" s="9">
        <v>41827.440567129626</v>
      </c>
      <c r="F6322">
        <f t="shared" ca="1" si="198"/>
        <v>0.56111111111111112</v>
      </c>
      <c r="G6322">
        <f t="shared" ca="1" si="199"/>
        <v>1</v>
      </c>
    </row>
    <row r="6323" spans="1:7">
      <c r="A6323">
        <v>9429</v>
      </c>
      <c r="B6323" t="s">
        <v>37</v>
      </c>
      <c r="C6323" t="s">
        <v>118</v>
      </c>
      <c r="D6323" s="9">
        <v>41795.681296296294</v>
      </c>
      <c r="E6323" t="s">
        <v>14</v>
      </c>
      <c r="F6323">
        <f t="shared" ca="1" si="198"/>
        <v>0.65</v>
      </c>
      <c r="G6323">
        <f t="shared" ca="1" si="199"/>
        <v>1</v>
      </c>
    </row>
    <row r="6324" spans="1:7">
      <c r="A6324">
        <v>9431</v>
      </c>
      <c r="B6324" t="s">
        <v>32</v>
      </c>
      <c r="C6324" t="s">
        <v>118</v>
      </c>
      <c r="D6324" s="9">
        <v>41768.594467592593</v>
      </c>
      <c r="E6324" t="s">
        <v>27</v>
      </c>
      <c r="F6324">
        <f t="shared" ca="1" si="198"/>
        <v>0.72222222222222221</v>
      </c>
      <c r="G6324">
        <f t="shared" ca="1" si="199"/>
        <v>1</v>
      </c>
    </row>
    <row r="6325" spans="1:7">
      <c r="A6325">
        <v>9432</v>
      </c>
      <c r="B6325" t="s">
        <v>69</v>
      </c>
      <c r="C6325" t="s">
        <v>118</v>
      </c>
      <c r="D6325" s="9">
        <v>41775.603298611109</v>
      </c>
      <c r="E6325" t="s">
        <v>34</v>
      </c>
      <c r="F6325">
        <f t="shared" ca="1" si="198"/>
        <v>0.70277777777777772</v>
      </c>
      <c r="G6325">
        <f t="shared" ca="1" si="199"/>
        <v>1</v>
      </c>
    </row>
    <row r="6326" spans="1:7">
      <c r="A6326">
        <v>9434</v>
      </c>
      <c r="B6326" t="s">
        <v>8</v>
      </c>
      <c r="C6326" t="s">
        <v>118</v>
      </c>
      <c r="D6326" s="9">
        <v>41768.568136574075</v>
      </c>
      <c r="E6326" t="s">
        <v>44</v>
      </c>
      <c r="F6326">
        <f t="shared" ca="1" si="198"/>
        <v>0.72222222222222221</v>
      </c>
      <c r="G6326">
        <f t="shared" ca="1" si="199"/>
        <v>1</v>
      </c>
    </row>
    <row r="6327" spans="1:7">
      <c r="A6327">
        <v>9436</v>
      </c>
      <c r="B6327" t="s">
        <v>69</v>
      </c>
      <c r="C6327" t="s">
        <v>118</v>
      </c>
      <c r="D6327" s="9">
        <v>41863.418402777781</v>
      </c>
      <c r="E6327" t="s">
        <v>19</v>
      </c>
      <c r="F6327">
        <f t="shared" ca="1" si="198"/>
        <v>0.46388888888888891</v>
      </c>
      <c r="G6327">
        <f t="shared" ca="1" si="199"/>
        <v>1</v>
      </c>
    </row>
    <row r="6328" spans="1:7">
      <c r="A6328">
        <v>9437</v>
      </c>
      <c r="B6328" t="s">
        <v>37</v>
      </c>
      <c r="C6328" t="s">
        <v>118</v>
      </c>
      <c r="D6328" s="9">
        <v>41803.52685185185</v>
      </c>
      <c r="E6328" t="s">
        <v>112</v>
      </c>
      <c r="F6328">
        <f t="shared" ca="1" si="198"/>
        <v>0.62777777777777777</v>
      </c>
      <c r="G6328">
        <f t="shared" ca="1" si="199"/>
        <v>1</v>
      </c>
    </row>
    <row r="6329" spans="1:7">
      <c r="A6329">
        <v>9438</v>
      </c>
      <c r="B6329" t="s">
        <v>23</v>
      </c>
      <c r="C6329" t="s">
        <v>118</v>
      </c>
      <c r="D6329" s="9">
        <v>41789.606377314813</v>
      </c>
      <c r="E6329" t="s">
        <v>30</v>
      </c>
      <c r="F6329">
        <f t="shared" ca="1" si="198"/>
        <v>0.66388888888888886</v>
      </c>
      <c r="G6329">
        <f t="shared" ca="1" si="199"/>
        <v>1</v>
      </c>
    </row>
    <row r="6330" spans="1:7">
      <c r="A6330">
        <v>9439</v>
      </c>
      <c r="B6330" t="s">
        <v>34</v>
      </c>
      <c r="C6330" t="s">
        <v>118</v>
      </c>
      <c r="D6330" s="9">
        <v>41789.54546296296</v>
      </c>
      <c r="F6330">
        <f t="shared" ca="1" si="198"/>
        <v>0.66388888888888886</v>
      </c>
      <c r="G6330">
        <f t="shared" ca="1" si="199"/>
        <v>1</v>
      </c>
    </row>
    <row r="6331" spans="1:7">
      <c r="A6331">
        <v>9445</v>
      </c>
      <c r="B6331" t="s">
        <v>69</v>
      </c>
      <c r="C6331" t="s">
        <v>209</v>
      </c>
      <c r="D6331" s="9">
        <v>41863.418402777781</v>
      </c>
      <c r="E6331" t="s">
        <v>34</v>
      </c>
      <c r="F6331">
        <f t="shared" ca="1" si="198"/>
        <v>0.46388888888888891</v>
      </c>
      <c r="G6331">
        <f t="shared" ca="1" si="199"/>
        <v>1</v>
      </c>
    </row>
    <row r="6332" spans="1:7">
      <c r="A6332">
        <v>9446</v>
      </c>
      <c r="B6332" t="s">
        <v>45</v>
      </c>
      <c r="C6332" t="s">
        <v>118</v>
      </c>
      <c r="D6332" s="9">
        <v>41775.825219907405</v>
      </c>
      <c r="E6332" t="s">
        <v>11</v>
      </c>
      <c r="F6332">
        <f t="shared" ca="1" si="198"/>
        <v>0.70277777777777772</v>
      </c>
      <c r="G6332">
        <f t="shared" ca="1" si="199"/>
        <v>1</v>
      </c>
    </row>
    <row r="6333" spans="1:7">
      <c r="A6333">
        <v>9447</v>
      </c>
      <c r="B6333" t="s">
        <v>21</v>
      </c>
      <c r="C6333" t="s">
        <v>118</v>
      </c>
      <c r="D6333" s="9">
        <v>41800.670601851853</v>
      </c>
      <c r="E6333" t="s">
        <v>17</v>
      </c>
      <c r="F6333">
        <f t="shared" ca="1" si="198"/>
        <v>0.63611111111111107</v>
      </c>
      <c r="G6333">
        <f t="shared" ca="1" si="199"/>
        <v>1</v>
      </c>
    </row>
    <row r="6334" spans="1:7">
      <c r="A6334">
        <v>9448</v>
      </c>
      <c r="B6334" t="s">
        <v>69</v>
      </c>
      <c r="C6334" t="s">
        <v>118</v>
      </c>
      <c r="D6334" s="9">
        <v>41775.63140046296</v>
      </c>
      <c r="E6334" t="s">
        <v>34</v>
      </c>
      <c r="F6334">
        <f t="shared" ca="1" si="198"/>
        <v>0.70277777777777772</v>
      </c>
      <c r="G6334">
        <f t="shared" ca="1" si="199"/>
        <v>1</v>
      </c>
    </row>
    <row r="6335" spans="1:7">
      <c r="A6335">
        <v>9455</v>
      </c>
      <c r="B6335" t="s">
        <v>19</v>
      </c>
      <c r="C6335" t="s">
        <v>118</v>
      </c>
      <c r="D6335" s="9">
        <v>41775.637442129628</v>
      </c>
      <c r="E6335" t="s">
        <v>14</v>
      </c>
      <c r="F6335">
        <f t="shared" ca="1" si="198"/>
        <v>0.70277777777777772</v>
      </c>
      <c r="G6335">
        <f t="shared" ca="1" si="199"/>
        <v>1</v>
      </c>
    </row>
    <row r="6336" spans="1:7">
      <c r="A6336">
        <v>9463</v>
      </c>
      <c r="B6336" t="s">
        <v>21</v>
      </c>
      <c r="C6336" t="s">
        <v>118</v>
      </c>
      <c r="D6336" s="9">
        <v>41801.743819444448</v>
      </c>
      <c r="E6336" t="s">
        <v>20</v>
      </c>
      <c r="F6336">
        <f t="shared" ca="1" si="198"/>
        <v>0.6333333333333333</v>
      </c>
      <c r="G6336">
        <f t="shared" ca="1" si="199"/>
        <v>1</v>
      </c>
    </row>
    <row r="6337" spans="1:7">
      <c r="A6337">
        <v>9465</v>
      </c>
      <c r="B6337" t="s">
        <v>21</v>
      </c>
      <c r="C6337" t="s">
        <v>118</v>
      </c>
      <c r="D6337" s="9">
        <v>41803.85428240741</v>
      </c>
      <c r="E6337" t="s">
        <v>11</v>
      </c>
      <c r="F6337">
        <f t="shared" ca="1" si="198"/>
        <v>0.62777777777777777</v>
      </c>
      <c r="G6337">
        <f t="shared" ca="1" si="199"/>
        <v>1</v>
      </c>
    </row>
    <row r="6338" spans="1:7">
      <c r="A6338">
        <v>9466</v>
      </c>
      <c r="B6338" t="s">
        <v>20</v>
      </c>
      <c r="C6338" t="s">
        <v>118</v>
      </c>
      <c r="D6338" s="9">
        <v>41781.588935185187</v>
      </c>
      <c r="E6338" t="s">
        <v>27</v>
      </c>
      <c r="F6338">
        <f t="shared" ca="1" si="198"/>
        <v>0.68611111111111112</v>
      </c>
      <c r="G6338">
        <f t="shared" ca="1" si="199"/>
        <v>1</v>
      </c>
    </row>
    <row r="6339" spans="1:7">
      <c r="A6339">
        <v>9472</v>
      </c>
      <c r="B6339" t="s">
        <v>44</v>
      </c>
      <c r="C6339" t="s">
        <v>118</v>
      </c>
      <c r="D6339" s="9">
        <v>41779.628171296295</v>
      </c>
      <c r="E6339" t="s">
        <v>37</v>
      </c>
      <c r="F6339">
        <f t="shared" ca="1" si="198"/>
        <v>0.69166666666666665</v>
      </c>
      <c r="G6339">
        <f t="shared" ca="1" si="199"/>
        <v>1</v>
      </c>
    </row>
    <row r="6340" spans="1:7">
      <c r="A6340">
        <v>9473</v>
      </c>
      <c r="B6340" t="s">
        <v>215</v>
      </c>
      <c r="C6340" t="s">
        <v>209</v>
      </c>
      <c r="D6340" s="9">
        <v>41922.612581018519</v>
      </c>
      <c r="E6340" t="s">
        <v>19</v>
      </c>
      <c r="F6340">
        <f t="shared" ca="1" si="198"/>
        <v>0.30277777777777776</v>
      </c>
      <c r="G6340">
        <f t="shared" ca="1" si="199"/>
        <v>1</v>
      </c>
    </row>
    <row r="6341" spans="1:7">
      <c r="A6341">
        <v>9474</v>
      </c>
      <c r="B6341" t="s">
        <v>44</v>
      </c>
      <c r="C6341" t="s">
        <v>118</v>
      </c>
      <c r="D6341" s="9">
        <v>41782.739317129628</v>
      </c>
      <c r="E6341" t="s">
        <v>20</v>
      </c>
      <c r="F6341">
        <f t="shared" ca="1" si="198"/>
        <v>0.68333333333333335</v>
      </c>
      <c r="G6341">
        <f t="shared" ca="1" si="199"/>
        <v>1</v>
      </c>
    </row>
    <row r="6342" spans="1:7">
      <c r="A6342">
        <v>9476</v>
      </c>
      <c r="B6342" t="s">
        <v>37</v>
      </c>
      <c r="C6342" t="s">
        <v>118</v>
      </c>
      <c r="D6342" s="9">
        <v>41775.608761574076</v>
      </c>
      <c r="E6342" t="s">
        <v>17</v>
      </c>
      <c r="F6342">
        <f t="shared" ca="1" si="198"/>
        <v>0.70277777777777772</v>
      </c>
      <c r="G6342">
        <f t="shared" ca="1" si="199"/>
        <v>1</v>
      </c>
    </row>
    <row r="6343" spans="1:7">
      <c r="A6343">
        <v>9480</v>
      </c>
      <c r="B6343" t="s">
        <v>32</v>
      </c>
      <c r="C6343" t="s">
        <v>118</v>
      </c>
      <c r="D6343" s="9">
        <v>41781.917291666665</v>
      </c>
      <c r="E6343" t="s">
        <v>27</v>
      </c>
      <c r="F6343">
        <f t="shared" ref="F6343:F6406" ca="1" si="200">YEARFRAC(TODAY(),$D6343)</f>
        <v>0.68611111111111112</v>
      </c>
      <c r="G6343">
        <f t="shared" ref="G6343:G6406" ca="1" si="201">IF($F6343&lt;1,1,0)</f>
        <v>1</v>
      </c>
    </row>
    <row r="6344" spans="1:7">
      <c r="A6344">
        <v>9481</v>
      </c>
      <c r="B6344" t="s">
        <v>37</v>
      </c>
      <c r="C6344" t="s">
        <v>118</v>
      </c>
      <c r="D6344" s="9">
        <v>41795.40053240741</v>
      </c>
      <c r="E6344" t="s">
        <v>17</v>
      </c>
      <c r="F6344">
        <f t="shared" ca="1" si="200"/>
        <v>0.65</v>
      </c>
      <c r="G6344">
        <f t="shared" ca="1" si="201"/>
        <v>1</v>
      </c>
    </row>
    <row r="6345" spans="1:7">
      <c r="A6345">
        <v>9483</v>
      </c>
      <c r="B6345" t="s">
        <v>20</v>
      </c>
      <c r="C6345" t="s">
        <v>118</v>
      </c>
      <c r="D6345" s="9">
        <v>41779.835833333331</v>
      </c>
      <c r="E6345" t="s">
        <v>11</v>
      </c>
      <c r="F6345">
        <f t="shared" ca="1" si="200"/>
        <v>0.69166666666666665</v>
      </c>
      <c r="G6345">
        <f t="shared" ca="1" si="201"/>
        <v>1</v>
      </c>
    </row>
    <row r="6346" spans="1:7">
      <c r="A6346">
        <v>9487</v>
      </c>
      <c r="B6346" t="s">
        <v>8</v>
      </c>
      <c r="C6346" t="s">
        <v>118</v>
      </c>
      <c r="D6346" s="9">
        <v>41813.410046296296</v>
      </c>
      <c r="E6346" t="s">
        <v>37</v>
      </c>
      <c r="F6346">
        <f t="shared" ca="1" si="200"/>
        <v>0.6</v>
      </c>
      <c r="G6346">
        <f t="shared" ca="1" si="201"/>
        <v>1</v>
      </c>
    </row>
    <row r="6347" spans="1:7">
      <c r="A6347">
        <v>9488</v>
      </c>
      <c r="B6347" t="s">
        <v>8</v>
      </c>
      <c r="C6347" t="s">
        <v>118</v>
      </c>
      <c r="D6347" s="9">
        <v>41810.617152777777</v>
      </c>
      <c r="E6347" t="s">
        <v>112</v>
      </c>
      <c r="F6347">
        <f t="shared" ca="1" si="200"/>
        <v>0.60833333333333328</v>
      </c>
      <c r="G6347">
        <f t="shared" ca="1" si="201"/>
        <v>1</v>
      </c>
    </row>
    <row r="6348" spans="1:7">
      <c r="A6348">
        <v>9492</v>
      </c>
      <c r="B6348" t="s">
        <v>18</v>
      </c>
      <c r="C6348" t="s">
        <v>118</v>
      </c>
      <c r="D6348" s="9">
        <v>41782.583437499998</v>
      </c>
      <c r="E6348" t="s">
        <v>44</v>
      </c>
      <c r="F6348">
        <f t="shared" ca="1" si="200"/>
        <v>0.68333333333333335</v>
      </c>
      <c r="G6348">
        <f t="shared" ca="1" si="201"/>
        <v>1</v>
      </c>
    </row>
    <row r="6349" spans="1:7">
      <c r="A6349">
        <v>9493</v>
      </c>
      <c r="B6349" t="s">
        <v>44</v>
      </c>
      <c r="C6349" t="s">
        <v>118</v>
      </c>
      <c r="D6349" s="9">
        <v>41789.642187500001</v>
      </c>
      <c r="E6349" t="s">
        <v>19</v>
      </c>
      <c r="F6349">
        <f t="shared" ca="1" si="200"/>
        <v>0.66388888888888886</v>
      </c>
      <c r="G6349">
        <f t="shared" ca="1" si="201"/>
        <v>1</v>
      </c>
    </row>
    <row r="6350" spans="1:7">
      <c r="A6350">
        <v>9500</v>
      </c>
      <c r="B6350" t="s">
        <v>29</v>
      </c>
      <c r="C6350" t="s">
        <v>118</v>
      </c>
      <c r="D6350" s="9">
        <v>41815.434212962966</v>
      </c>
      <c r="E6350" t="s">
        <v>34</v>
      </c>
      <c r="F6350">
        <f t="shared" ca="1" si="200"/>
        <v>0.59444444444444444</v>
      </c>
      <c r="G6350">
        <f t="shared" ca="1" si="201"/>
        <v>1</v>
      </c>
    </row>
    <row r="6351" spans="1:7">
      <c r="A6351">
        <v>9508</v>
      </c>
      <c r="B6351" t="s">
        <v>112</v>
      </c>
      <c r="C6351" t="s">
        <v>118</v>
      </c>
      <c r="D6351" s="9">
        <v>41814.776423611111</v>
      </c>
      <c r="E6351" t="s">
        <v>27</v>
      </c>
      <c r="F6351">
        <f t="shared" ca="1" si="200"/>
        <v>0.59722222222222221</v>
      </c>
      <c r="G6351">
        <f t="shared" ca="1" si="201"/>
        <v>1</v>
      </c>
    </row>
    <row r="6352" spans="1:7">
      <c r="A6352">
        <v>9509</v>
      </c>
      <c r="B6352" t="s">
        <v>19</v>
      </c>
      <c r="C6352" t="s">
        <v>118</v>
      </c>
      <c r="D6352" s="9">
        <v>41806.474317129629</v>
      </c>
      <c r="E6352" t="s">
        <v>14</v>
      </c>
      <c r="F6352">
        <f t="shared" ca="1" si="200"/>
        <v>0.61944444444444446</v>
      </c>
      <c r="G6352">
        <f t="shared" ca="1" si="201"/>
        <v>1</v>
      </c>
    </row>
    <row r="6353" spans="1:7">
      <c r="A6353">
        <v>9517</v>
      </c>
      <c r="B6353" t="s">
        <v>14</v>
      </c>
      <c r="C6353" t="s">
        <v>118</v>
      </c>
      <c r="D6353" s="9">
        <v>41814.405474537038</v>
      </c>
      <c r="E6353" t="s">
        <v>112</v>
      </c>
      <c r="F6353">
        <f t="shared" ca="1" si="200"/>
        <v>0.59722222222222221</v>
      </c>
      <c r="G6353">
        <f t="shared" ca="1" si="201"/>
        <v>1</v>
      </c>
    </row>
    <row r="6354" spans="1:7">
      <c r="A6354">
        <v>9519</v>
      </c>
      <c r="B6354" t="s">
        <v>19</v>
      </c>
      <c r="C6354" t="s">
        <v>118</v>
      </c>
      <c r="D6354" s="9">
        <v>41782.634189814817</v>
      </c>
      <c r="E6354" t="s">
        <v>21</v>
      </c>
      <c r="F6354">
        <f t="shared" ca="1" si="200"/>
        <v>0.68333333333333335</v>
      </c>
      <c r="G6354">
        <f t="shared" ca="1" si="201"/>
        <v>1</v>
      </c>
    </row>
    <row r="6355" spans="1:7">
      <c r="A6355">
        <v>9527</v>
      </c>
      <c r="B6355" t="s">
        <v>44</v>
      </c>
      <c r="C6355" t="s">
        <v>118</v>
      </c>
      <c r="D6355" s="9">
        <v>41787.470219907409</v>
      </c>
      <c r="E6355" t="s">
        <v>112</v>
      </c>
      <c r="F6355">
        <f t="shared" ca="1" si="200"/>
        <v>0.6694444444444444</v>
      </c>
      <c r="G6355">
        <f t="shared" ca="1" si="201"/>
        <v>1</v>
      </c>
    </row>
    <row r="6356" spans="1:7">
      <c r="A6356">
        <v>9529</v>
      </c>
      <c r="B6356" t="s">
        <v>27</v>
      </c>
      <c r="C6356" t="s">
        <v>118</v>
      </c>
      <c r="D6356" s="9">
        <v>41816.693888888891</v>
      </c>
      <c r="E6356" t="s">
        <v>20</v>
      </c>
      <c r="F6356">
        <f t="shared" ca="1" si="200"/>
        <v>0.59166666666666667</v>
      </c>
      <c r="G6356">
        <f t="shared" ca="1" si="201"/>
        <v>1</v>
      </c>
    </row>
    <row r="6357" spans="1:7">
      <c r="A6357">
        <v>9531</v>
      </c>
      <c r="B6357" t="s">
        <v>69</v>
      </c>
      <c r="C6357" t="s">
        <v>118</v>
      </c>
      <c r="D6357" s="9">
        <v>41802.39880787037</v>
      </c>
      <c r="E6357" t="s">
        <v>34</v>
      </c>
      <c r="F6357">
        <f t="shared" ca="1" si="200"/>
        <v>0.63055555555555554</v>
      </c>
      <c r="G6357">
        <f t="shared" ca="1" si="201"/>
        <v>1</v>
      </c>
    </row>
    <row r="6358" spans="1:7">
      <c r="A6358">
        <v>9532</v>
      </c>
      <c r="B6358" t="s">
        <v>14</v>
      </c>
      <c r="C6358" t="s">
        <v>118</v>
      </c>
      <c r="D6358" s="9">
        <v>41813.687893518516</v>
      </c>
      <c r="E6358" t="s">
        <v>37</v>
      </c>
      <c r="F6358">
        <f t="shared" ca="1" si="200"/>
        <v>0.6</v>
      </c>
      <c r="G6358">
        <f t="shared" ca="1" si="201"/>
        <v>1</v>
      </c>
    </row>
    <row r="6359" spans="1:7">
      <c r="A6359">
        <v>9533</v>
      </c>
      <c r="B6359" t="s">
        <v>44</v>
      </c>
      <c r="C6359" t="s">
        <v>118</v>
      </c>
      <c r="D6359" s="9">
        <v>41789.685254629629</v>
      </c>
      <c r="E6359" t="s">
        <v>112</v>
      </c>
      <c r="F6359">
        <f t="shared" ca="1" si="200"/>
        <v>0.66388888888888886</v>
      </c>
      <c r="G6359">
        <f t="shared" ca="1" si="201"/>
        <v>1</v>
      </c>
    </row>
    <row r="6360" spans="1:7">
      <c r="A6360">
        <v>9535</v>
      </c>
      <c r="B6360" t="s">
        <v>34</v>
      </c>
      <c r="C6360" t="s">
        <v>118</v>
      </c>
      <c r="D6360" s="9">
        <v>41793.414178240739</v>
      </c>
      <c r="E6360" t="s">
        <v>8</v>
      </c>
      <c r="F6360">
        <f t="shared" ca="1" si="200"/>
        <v>0.65555555555555556</v>
      </c>
      <c r="G6360">
        <f t="shared" ca="1" si="201"/>
        <v>1</v>
      </c>
    </row>
    <row r="6361" spans="1:7">
      <c r="A6361">
        <v>9538</v>
      </c>
      <c r="B6361" t="s">
        <v>20</v>
      </c>
      <c r="C6361" t="s">
        <v>118</v>
      </c>
      <c r="D6361" s="9">
        <v>41796.648356481484</v>
      </c>
      <c r="E6361" t="s">
        <v>30</v>
      </c>
      <c r="F6361">
        <f t="shared" ca="1" si="200"/>
        <v>0.64722222222222225</v>
      </c>
      <c r="G6361">
        <f t="shared" ca="1" si="201"/>
        <v>1</v>
      </c>
    </row>
    <row r="6362" spans="1:7">
      <c r="A6362">
        <v>9544</v>
      </c>
      <c r="B6362" t="s">
        <v>11</v>
      </c>
      <c r="C6362" t="s">
        <v>118</v>
      </c>
      <c r="D6362" s="9">
        <v>41809.650914351849</v>
      </c>
      <c r="E6362" t="s">
        <v>36</v>
      </c>
      <c r="F6362">
        <f t="shared" ca="1" si="200"/>
        <v>0.61111111111111116</v>
      </c>
      <c r="G6362">
        <f t="shared" ca="1" si="201"/>
        <v>1</v>
      </c>
    </row>
    <row r="6363" spans="1:7">
      <c r="A6363">
        <v>9546</v>
      </c>
      <c r="B6363" t="s">
        <v>32</v>
      </c>
      <c r="C6363" t="s">
        <v>118</v>
      </c>
      <c r="D6363" s="9">
        <v>41789.812094907407</v>
      </c>
      <c r="E6363" t="s">
        <v>21</v>
      </c>
      <c r="F6363">
        <f t="shared" ca="1" si="200"/>
        <v>0.66388888888888886</v>
      </c>
      <c r="G6363">
        <f t="shared" ca="1" si="201"/>
        <v>1</v>
      </c>
    </row>
    <row r="6364" spans="1:7">
      <c r="A6364">
        <v>9548</v>
      </c>
      <c r="B6364" t="s">
        <v>14</v>
      </c>
      <c r="C6364" t="s">
        <v>118</v>
      </c>
      <c r="D6364" s="9">
        <v>41810.573449074072</v>
      </c>
      <c r="E6364" t="s">
        <v>69</v>
      </c>
      <c r="F6364">
        <f t="shared" ca="1" si="200"/>
        <v>0.60833333333333328</v>
      </c>
      <c r="G6364">
        <f t="shared" ca="1" si="201"/>
        <v>1</v>
      </c>
    </row>
    <row r="6365" spans="1:7">
      <c r="A6365">
        <v>9549</v>
      </c>
      <c r="B6365" t="s">
        <v>19</v>
      </c>
      <c r="C6365" t="s">
        <v>118</v>
      </c>
      <c r="D6365" s="9">
        <v>41800.368611111109</v>
      </c>
      <c r="F6365">
        <f t="shared" ca="1" si="200"/>
        <v>0.63611111111111107</v>
      </c>
      <c r="G6365">
        <f t="shared" ca="1" si="201"/>
        <v>1</v>
      </c>
    </row>
    <row r="6366" spans="1:7">
      <c r="A6366">
        <v>9563</v>
      </c>
      <c r="B6366" t="s">
        <v>45</v>
      </c>
      <c r="C6366" t="s">
        <v>118</v>
      </c>
      <c r="D6366" s="9">
        <v>41795.807743055557</v>
      </c>
      <c r="E6366" t="s">
        <v>11</v>
      </c>
      <c r="F6366">
        <f t="shared" ca="1" si="200"/>
        <v>0.65</v>
      </c>
      <c r="G6366">
        <f t="shared" ca="1" si="201"/>
        <v>1</v>
      </c>
    </row>
    <row r="6367" spans="1:7">
      <c r="A6367">
        <v>9564</v>
      </c>
      <c r="B6367" t="s">
        <v>69</v>
      </c>
      <c r="C6367" t="s">
        <v>118</v>
      </c>
      <c r="D6367" s="9">
        <v>41803.53702546296</v>
      </c>
      <c r="E6367" t="s">
        <v>112</v>
      </c>
      <c r="F6367">
        <f t="shared" ca="1" si="200"/>
        <v>0.62777777777777777</v>
      </c>
      <c r="G6367">
        <f t="shared" ca="1" si="201"/>
        <v>1</v>
      </c>
    </row>
    <row r="6368" spans="1:7">
      <c r="A6368">
        <v>9596</v>
      </c>
      <c r="B6368" t="s">
        <v>112</v>
      </c>
      <c r="C6368" t="s">
        <v>209</v>
      </c>
      <c r="D6368" s="9">
        <v>41859.561168981483</v>
      </c>
      <c r="E6368" t="s">
        <v>211</v>
      </c>
      <c r="F6368">
        <f t="shared" ca="1" si="200"/>
        <v>0.47499999999999998</v>
      </c>
      <c r="G6368">
        <f t="shared" ca="1" si="201"/>
        <v>1</v>
      </c>
    </row>
    <row r="6369" spans="1:7">
      <c r="A6369">
        <v>9599</v>
      </c>
      <c r="B6369" t="s">
        <v>8</v>
      </c>
      <c r="C6369" t="s">
        <v>118</v>
      </c>
      <c r="D6369" s="9">
        <v>41801.648460648146</v>
      </c>
      <c r="E6369" t="s">
        <v>17</v>
      </c>
      <c r="F6369">
        <f t="shared" ca="1" si="200"/>
        <v>0.6333333333333333</v>
      </c>
      <c r="G6369">
        <f t="shared" ca="1" si="201"/>
        <v>1</v>
      </c>
    </row>
    <row r="6370" spans="1:7">
      <c r="A6370">
        <v>9605</v>
      </c>
      <c r="B6370" t="s">
        <v>215</v>
      </c>
      <c r="C6370" t="s">
        <v>209</v>
      </c>
      <c r="D6370" s="9">
        <v>41845.704710648148</v>
      </c>
      <c r="E6370" t="s">
        <v>112</v>
      </c>
      <c r="F6370">
        <f t="shared" ca="1" si="200"/>
        <v>0.51111111111111107</v>
      </c>
      <c r="G6370">
        <f t="shared" ca="1" si="201"/>
        <v>1</v>
      </c>
    </row>
    <row r="6371" spans="1:7">
      <c r="A6371">
        <v>9606</v>
      </c>
      <c r="B6371" t="s">
        <v>32</v>
      </c>
      <c r="C6371" t="s">
        <v>118</v>
      </c>
      <c r="D6371" s="9">
        <v>41801.760520833333</v>
      </c>
      <c r="E6371" t="s">
        <v>20</v>
      </c>
      <c r="F6371">
        <f t="shared" ca="1" si="200"/>
        <v>0.6333333333333333</v>
      </c>
      <c r="G6371">
        <f t="shared" ca="1" si="201"/>
        <v>1</v>
      </c>
    </row>
    <row r="6372" spans="1:7">
      <c r="A6372">
        <v>9620</v>
      </c>
      <c r="B6372" t="s">
        <v>211</v>
      </c>
      <c r="C6372" t="s">
        <v>209</v>
      </c>
      <c r="D6372" s="9">
        <v>41928.562222222223</v>
      </c>
      <c r="E6372" t="s">
        <v>215</v>
      </c>
      <c r="F6372">
        <f t="shared" ca="1" si="200"/>
        <v>0.28611111111111109</v>
      </c>
      <c r="G6372">
        <f t="shared" ca="1" si="201"/>
        <v>1</v>
      </c>
    </row>
    <row r="6373" spans="1:7">
      <c r="A6373">
        <v>9622</v>
      </c>
      <c r="B6373" t="s">
        <v>69</v>
      </c>
      <c r="C6373" t="s">
        <v>118</v>
      </c>
      <c r="D6373" s="9">
        <v>41830.554293981484</v>
      </c>
      <c r="E6373" t="s">
        <v>112</v>
      </c>
      <c r="F6373">
        <f t="shared" ca="1" si="200"/>
        <v>0.55277777777777781</v>
      </c>
      <c r="G6373">
        <f t="shared" ca="1" si="201"/>
        <v>1</v>
      </c>
    </row>
    <row r="6374" spans="1:7">
      <c r="A6374">
        <v>9630</v>
      </c>
      <c r="B6374" t="s">
        <v>69</v>
      </c>
      <c r="C6374" t="s">
        <v>118</v>
      </c>
      <c r="D6374" s="9">
        <v>41863.418402777781</v>
      </c>
      <c r="E6374" t="s">
        <v>112</v>
      </c>
      <c r="F6374">
        <f t="shared" ca="1" si="200"/>
        <v>0.46388888888888891</v>
      </c>
      <c r="G6374">
        <f t="shared" ca="1" si="201"/>
        <v>1</v>
      </c>
    </row>
    <row r="6375" spans="1:7">
      <c r="A6375">
        <v>9631</v>
      </c>
      <c r="B6375" t="s">
        <v>112</v>
      </c>
      <c r="C6375" t="s">
        <v>118</v>
      </c>
      <c r="D6375" s="9">
        <v>41806.485497685186</v>
      </c>
      <c r="E6375" t="s">
        <v>14</v>
      </c>
      <c r="F6375">
        <f t="shared" ca="1" si="200"/>
        <v>0.61944444444444446</v>
      </c>
      <c r="G6375">
        <f t="shared" ca="1" si="201"/>
        <v>1</v>
      </c>
    </row>
    <row r="6376" spans="1:7">
      <c r="A6376">
        <v>9635</v>
      </c>
      <c r="B6376" t="s">
        <v>112</v>
      </c>
      <c r="C6376" t="s">
        <v>118</v>
      </c>
      <c r="D6376" s="9">
        <v>41803.3672337963</v>
      </c>
      <c r="E6376" t="s">
        <v>8</v>
      </c>
      <c r="F6376">
        <f t="shared" ca="1" si="200"/>
        <v>0.62777777777777777</v>
      </c>
      <c r="G6376">
        <f t="shared" ca="1" si="201"/>
        <v>1</v>
      </c>
    </row>
    <row r="6377" spans="1:7">
      <c r="A6377">
        <v>9637</v>
      </c>
      <c r="B6377" t="s">
        <v>27</v>
      </c>
      <c r="C6377" t="s">
        <v>118</v>
      </c>
      <c r="D6377" s="9">
        <v>41807.357037037036</v>
      </c>
      <c r="E6377" t="s">
        <v>8</v>
      </c>
      <c r="F6377">
        <f t="shared" ca="1" si="200"/>
        <v>0.6166666666666667</v>
      </c>
      <c r="G6377">
        <f t="shared" ca="1" si="201"/>
        <v>1</v>
      </c>
    </row>
    <row r="6378" spans="1:7">
      <c r="A6378">
        <v>9640</v>
      </c>
      <c r="B6378" t="s">
        <v>211</v>
      </c>
      <c r="C6378" t="s">
        <v>209</v>
      </c>
      <c r="D6378" s="9">
        <v>41891.381192129629</v>
      </c>
      <c r="E6378" t="s">
        <v>34</v>
      </c>
      <c r="F6378">
        <f t="shared" ca="1" si="200"/>
        <v>0.3888888888888889</v>
      </c>
      <c r="G6378">
        <f t="shared" ca="1" si="201"/>
        <v>1</v>
      </c>
    </row>
    <row r="6379" spans="1:7">
      <c r="A6379">
        <v>9642</v>
      </c>
      <c r="B6379" t="s">
        <v>8</v>
      </c>
      <c r="C6379" t="s">
        <v>209</v>
      </c>
      <c r="D6379" s="9">
        <v>41859.590810185182</v>
      </c>
      <c r="E6379" t="s">
        <v>30</v>
      </c>
      <c r="F6379">
        <f t="shared" ca="1" si="200"/>
        <v>0.47499999999999998</v>
      </c>
      <c r="G6379">
        <f t="shared" ca="1" si="201"/>
        <v>1</v>
      </c>
    </row>
    <row r="6380" spans="1:7">
      <c r="A6380">
        <v>9643</v>
      </c>
      <c r="B6380" t="s">
        <v>21</v>
      </c>
      <c r="C6380" t="s">
        <v>209</v>
      </c>
      <c r="D6380" s="9">
        <v>41885.781412037039</v>
      </c>
      <c r="E6380" t="s">
        <v>32</v>
      </c>
      <c r="F6380">
        <f t="shared" ca="1" si="200"/>
        <v>0.40555555555555556</v>
      </c>
      <c r="G6380">
        <f t="shared" ca="1" si="201"/>
        <v>1</v>
      </c>
    </row>
    <row r="6381" spans="1:7">
      <c r="A6381">
        <v>9645</v>
      </c>
      <c r="B6381" t="s">
        <v>112</v>
      </c>
      <c r="C6381" t="s">
        <v>118</v>
      </c>
      <c r="D6381" s="9">
        <v>41803.707280092596</v>
      </c>
      <c r="E6381" t="s">
        <v>30</v>
      </c>
      <c r="F6381">
        <f t="shared" ca="1" si="200"/>
        <v>0.62777777777777777</v>
      </c>
      <c r="G6381">
        <f t="shared" ca="1" si="201"/>
        <v>1</v>
      </c>
    </row>
    <row r="6382" spans="1:7">
      <c r="A6382">
        <v>9649</v>
      </c>
      <c r="B6382" t="s">
        <v>112</v>
      </c>
      <c r="C6382" t="s">
        <v>118</v>
      </c>
      <c r="D6382" s="9">
        <v>41803.684606481482</v>
      </c>
      <c r="E6382" t="s">
        <v>19</v>
      </c>
      <c r="F6382">
        <f t="shared" ca="1" si="200"/>
        <v>0.62777777777777777</v>
      </c>
      <c r="G6382">
        <f t="shared" ca="1" si="201"/>
        <v>1</v>
      </c>
    </row>
    <row r="6383" spans="1:7">
      <c r="A6383">
        <v>9650</v>
      </c>
      <c r="B6383" t="s">
        <v>34</v>
      </c>
      <c r="C6383" t="s">
        <v>118</v>
      </c>
      <c r="D6383" s="9">
        <v>41810.372488425928</v>
      </c>
      <c r="E6383" t="s">
        <v>69</v>
      </c>
      <c r="F6383">
        <f t="shared" ca="1" si="200"/>
        <v>0.60833333333333328</v>
      </c>
      <c r="G6383">
        <f t="shared" ca="1" si="201"/>
        <v>1</v>
      </c>
    </row>
    <row r="6384" spans="1:7">
      <c r="A6384">
        <v>9653</v>
      </c>
      <c r="B6384" t="s">
        <v>112</v>
      </c>
      <c r="C6384" t="s">
        <v>118</v>
      </c>
      <c r="D6384" s="9">
        <v>41810.51326388889</v>
      </c>
      <c r="E6384" t="s">
        <v>14</v>
      </c>
      <c r="F6384">
        <f t="shared" ca="1" si="200"/>
        <v>0.60833333333333328</v>
      </c>
      <c r="G6384">
        <f t="shared" ca="1" si="201"/>
        <v>1</v>
      </c>
    </row>
    <row r="6385" spans="1:7">
      <c r="A6385">
        <v>9658</v>
      </c>
      <c r="B6385" t="s">
        <v>111</v>
      </c>
      <c r="C6385" t="s">
        <v>118</v>
      </c>
      <c r="D6385" s="9">
        <v>41810.633402777778</v>
      </c>
      <c r="E6385" t="s">
        <v>112</v>
      </c>
      <c r="F6385">
        <f t="shared" ca="1" si="200"/>
        <v>0.60833333333333328</v>
      </c>
      <c r="G6385">
        <f t="shared" ca="1" si="201"/>
        <v>1</v>
      </c>
    </row>
    <row r="6386" spans="1:7">
      <c r="A6386">
        <v>9661</v>
      </c>
      <c r="B6386" t="s">
        <v>19</v>
      </c>
      <c r="C6386" t="s">
        <v>118</v>
      </c>
      <c r="D6386" s="9">
        <v>41810.596122685187</v>
      </c>
      <c r="E6386" t="s">
        <v>14</v>
      </c>
      <c r="F6386">
        <f t="shared" ca="1" si="200"/>
        <v>0.60833333333333328</v>
      </c>
      <c r="G6386">
        <f t="shared" ca="1" si="201"/>
        <v>1</v>
      </c>
    </row>
    <row r="6387" spans="1:7">
      <c r="A6387">
        <v>9662</v>
      </c>
      <c r="B6387" t="s">
        <v>32</v>
      </c>
      <c r="C6387" t="s">
        <v>118</v>
      </c>
      <c r="D6387" s="9">
        <v>41810.814606481479</v>
      </c>
      <c r="E6387" t="s">
        <v>27</v>
      </c>
      <c r="F6387">
        <f t="shared" ca="1" si="200"/>
        <v>0.60833333333333328</v>
      </c>
      <c r="G6387">
        <f t="shared" ca="1" si="201"/>
        <v>1</v>
      </c>
    </row>
    <row r="6388" spans="1:7">
      <c r="A6388">
        <v>9665</v>
      </c>
      <c r="B6388" t="s">
        <v>14</v>
      </c>
      <c r="C6388" t="s">
        <v>118</v>
      </c>
      <c r="D6388" s="9">
        <v>41810.694814814815</v>
      </c>
      <c r="E6388" t="s">
        <v>37</v>
      </c>
      <c r="F6388">
        <f t="shared" ca="1" si="200"/>
        <v>0.60833333333333328</v>
      </c>
      <c r="G6388">
        <f t="shared" ca="1" si="201"/>
        <v>1</v>
      </c>
    </row>
    <row r="6389" spans="1:7">
      <c r="A6389">
        <v>9681</v>
      </c>
      <c r="B6389" t="s">
        <v>8</v>
      </c>
      <c r="C6389" t="s">
        <v>118</v>
      </c>
      <c r="D6389" s="9">
        <v>41808.696793981479</v>
      </c>
      <c r="E6389" t="s">
        <v>37</v>
      </c>
      <c r="F6389">
        <f t="shared" ca="1" si="200"/>
        <v>0.61388888888888893</v>
      </c>
      <c r="G6389">
        <f t="shared" ca="1" si="201"/>
        <v>1</v>
      </c>
    </row>
    <row r="6390" spans="1:7">
      <c r="A6390">
        <v>9682</v>
      </c>
      <c r="B6390" t="s">
        <v>69</v>
      </c>
      <c r="C6390" t="s">
        <v>209</v>
      </c>
      <c r="D6390" s="9">
        <v>41855.429664351854</v>
      </c>
      <c r="E6390" t="s">
        <v>8</v>
      </c>
      <c r="F6390">
        <f t="shared" ca="1" si="200"/>
        <v>0.4861111111111111</v>
      </c>
      <c r="G6390">
        <f t="shared" ca="1" si="201"/>
        <v>1</v>
      </c>
    </row>
    <row r="6391" spans="1:7">
      <c r="A6391">
        <v>9684</v>
      </c>
      <c r="B6391" t="s">
        <v>111</v>
      </c>
      <c r="C6391" t="s">
        <v>118</v>
      </c>
      <c r="D6391" s="9">
        <v>41828.395520833335</v>
      </c>
      <c r="E6391" t="s">
        <v>112</v>
      </c>
      <c r="F6391">
        <f t="shared" ca="1" si="200"/>
        <v>0.55833333333333335</v>
      </c>
      <c r="G6391">
        <f t="shared" ca="1" si="201"/>
        <v>1</v>
      </c>
    </row>
    <row r="6392" spans="1:7">
      <c r="A6392">
        <v>9687</v>
      </c>
      <c r="B6392" t="s">
        <v>14</v>
      </c>
      <c r="C6392" t="s">
        <v>118</v>
      </c>
      <c r="D6392" s="9">
        <v>41810.606134259258</v>
      </c>
      <c r="E6392" t="s">
        <v>69</v>
      </c>
      <c r="F6392">
        <f t="shared" ca="1" si="200"/>
        <v>0.60833333333333328</v>
      </c>
      <c r="G6392">
        <f t="shared" ca="1" si="201"/>
        <v>1</v>
      </c>
    </row>
    <row r="6393" spans="1:7">
      <c r="A6393">
        <v>9688</v>
      </c>
      <c r="B6393" t="s">
        <v>14</v>
      </c>
      <c r="C6393" t="s">
        <v>118</v>
      </c>
      <c r="D6393" s="9">
        <v>41816.376701388886</v>
      </c>
      <c r="E6393" t="s">
        <v>37</v>
      </c>
      <c r="F6393">
        <f t="shared" ca="1" si="200"/>
        <v>0.59166666666666667</v>
      </c>
      <c r="G6393">
        <f t="shared" ca="1" si="201"/>
        <v>1</v>
      </c>
    </row>
    <row r="6394" spans="1:7">
      <c r="A6394">
        <v>9689</v>
      </c>
      <c r="B6394" t="s">
        <v>211</v>
      </c>
      <c r="C6394" t="s">
        <v>209</v>
      </c>
      <c r="D6394" s="9">
        <v>41926.37872685185</v>
      </c>
      <c r="E6394" t="s">
        <v>8</v>
      </c>
      <c r="F6394">
        <f t="shared" ca="1" si="200"/>
        <v>0.29166666666666669</v>
      </c>
      <c r="G6394">
        <f t="shared" ca="1" si="201"/>
        <v>1</v>
      </c>
    </row>
    <row r="6395" spans="1:7">
      <c r="A6395">
        <v>9691</v>
      </c>
      <c r="B6395" t="s">
        <v>211</v>
      </c>
      <c r="C6395" t="s">
        <v>209</v>
      </c>
      <c r="D6395" s="9">
        <v>41856.819201388891</v>
      </c>
      <c r="E6395" t="s">
        <v>21</v>
      </c>
      <c r="F6395">
        <f t="shared" ca="1" si="200"/>
        <v>0.48333333333333334</v>
      </c>
      <c r="G6395">
        <f t="shared" ca="1" si="201"/>
        <v>1</v>
      </c>
    </row>
    <row r="6396" spans="1:7">
      <c r="A6396">
        <v>9703</v>
      </c>
      <c r="B6396" t="s">
        <v>111</v>
      </c>
      <c r="C6396" t="s">
        <v>118</v>
      </c>
      <c r="D6396" s="9">
        <v>41810.622372685182</v>
      </c>
      <c r="E6396" t="s">
        <v>112</v>
      </c>
      <c r="F6396">
        <f t="shared" ca="1" si="200"/>
        <v>0.60833333333333328</v>
      </c>
      <c r="G6396">
        <f t="shared" ca="1" si="201"/>
        <v>1</v>
      </c>
    </row>
    <row r="6397" spans="1:7">
      <c r="A6397">
        <v>9706</v>
      </c>
      <c r="B6397" t="s">
        <v>21</v>
      </c>
      <c r="C6397" t="s">
        <v>209</v>
      </c>
      <c r="D6397" s="9">
        <v>41852.616770833331</v>
      </c>
      <c r="E6397" t="s">
        <v>32</v>
      </c>
      <c r="F6397">
        <f t="shared" ca="1" si="200"/>
        <v>0.49444444444444446</v>
      </c>
      <c r="G6397">
        <f t="shared" ca="1" si="201"/>
        <v>1</v>
      </c>
    </row>
    <row r="6398" spans="1:7">
      <c r="A6398">
        <v>9708</v>
      </c>
      <c r="B6398" t="s">
        <v>21</v>
      </c>
      <c r="C6398" t="s">
        <v>209</v>
      </c>
      <c r="D6398" s="9">
        <v>41852.634201388886</v>
      </c>
      <c r="E6398" t="s">
        <v>32</v>
      </c>
      <c r="F6398">
        <f t="shared" ca="1" si="200"/>
        <v>0.49444444444444446</v>
      </c>
      <c r="G6398">
        <f t="shared" ca="1" si="201"/>
        <v>1</v>
      </c>
    </row>
    <row r="6399" spans="1:7">
      <c r="A6399">
        <v>9711</v>
      </c>
      <c r="B6399" t="s">
        <v>69</v>
      </c>
      <c r="C6399" t="s">
        <v>209</v>
      </c>
      <c r="D6399" s="9">
        <v>41936.676446759258</v>
      </c>
      <c r="E6399" t="s">
        <v>34</v>
      </c>
      <c r="F6399">
        <f t="shared" ca="1" si="200"/>
        <v>0.2638888888888889</v>
      </c>
      <c r="G6399">
        <f t="shared" ca="1" si="201"/>
        <v>1</v>
      </c>
    </row>
    <row r="6400" spans="1:7">
      <c r="A6400">
        <v>9714</v>
      </c>
      <c r="B6400" t="s">
        <v>32</v>
      </c>
      <c r="C6400" t="s">
        <v>209</v>
      </c>
      <c r="D6400" s="9">
        <v>41859.644756944443</v>
      </c>
      <c r="E6400" t="s">
        <v>21</v>
      </c>
      <c r="F6400">
        <f t="shared" ca="1" si="200"/>
        <v>0.47499999999999998</v>
      </c>
      <c r="G6400">
        <f t="shared" ca="1" si="201"/>
        <v>1</v>
      </c>
    </row>
    <row r="6401" spans="1:7">
      <c r="A6401">
        <v>9734</v>
      </c>
      <c r="B6401" t="s">
        <v>112</v>
      </c>
      <c r="C6401" t="s">
        <v>118</v>
      </c>
      <c r="D6401" s="9">
        <v>41823.712060185186</v>
      </c>
      <c r="E6401" t="s">
        <v>34</v>
      </c>
      <c r="F6401">
        <f t="shared" ca="1" si="200"/>
        <v>0.57222222222222219</v>
      </c>
      <c r="G6401">
        <f t="shared" ca="1" si="201"/>
        <v>1</v>
      </c>
    </row>
    <row r="6402" spans="1:7">
      <c r="A6402">
        <v>9748</v>
      </c>
      <c r="B6402" t="s">
        <v>45</v>
      </c>
      <c r="C6402" t="s">
        <v>118</v>
      </c>
      <c r="D6402" s="9">
        <v>41816.892083333332</v>
      </c>
      <c r="E6402" t="s">
        <v>32</v>
      </c>
      <c r="F6402">
        <f t="shared" ca="1" si="200"/>
        <v>0.59166666666666667</v>
      </c>
      <c r="G6402">
        <f t="shared" ca="1" si="201"/>
        <v>1</v>
      </c>
    </row>
    <row r="6403" spans="1:7">
      <c r="A6403">
        <v>9749</v>
      </c>
      <c r="B6403" t="s">
        <v>8</v>
      </c>
      <c r="C6403" t="s">
        <v>118</v>
      </c>
      <c r="D6403" s="9">
        <v>41815.853101851855</v>
      </c>
      <c r="E6403" t="s">
        <v>20</v>
      </c>
      <c r="F6403">
        <f t="shared" ca="1" si="200"/>
        <v>0.59444444444444444</v>
      </c>
      <c r="G6403">
        <f t="shared" ca="1" si="201"/>
        <v>1</v>
      </c>
    </row>
    <row r="6404" spans="1:7">
      <c r="A6404">
        <v>9757</v>
      </c>
      <c r="B6404" t="s">
        <v>8</v>
      </c>
      <c r="C6404" t="s">
        <v>118</v>
      </c>
      <c r="D6404" s="9">
        <v>41816.598553240743</v>
      </c>
      <c r="E6404" t="s">
        <v>30</v>
      </c>
      <c r="F6404">
        <f t="shared" ca="1" si="200"/>
        <v>0.59166666666666667</v>
      </c>
      <c r="G6404">
        <f t="shared" ca="1" si="201"/>
        <v>1</v>
      </c>
    </row>
    <row r="6405" spans="1:7">
      <c r="A6405">
        <v>9762</v>
      </c>
      <c r="B6405" t="s">
        <v>34</v>
      </c>
      <c r="C6405" t="s">
        <v>118</v>
      </c>
      <c r="D6405" s="9">
        <v>41870.621377314812</v>
      </c>
      <c r="E6405" t="s">
        <v>30</v>
      </c>
      <c r="F6405">
        <f t="shared" ca="1" si="200"/>
        <v>0.44444444444444442</v>
      </c>
      <c r="G6405">
        <f t="shared" ca="1" si="201"/>
        <v>1</v>
      </c>
    </row>
    <row r="6406" spans="1:7">
      <c r="A6406">
        <v>9763</v>
      </c>
      <c r="B6406" t="s">
        <v>32</v>
      </c>
      <c r="C6406" t="s">
        <v>209</v>
      </c>
      <c r="D6406" s="9">
        <v>41852.652743055558</v>
      </c>
      <c r="E6406" t="s">
        <v>21</v>
      </c>
      <c r="F6406">
        <f t="shared" ca="1" si="200"/>
        <v>0.49444444444444446</v>
      </c>
      <c r="G6406">
        <f t="shared" ca="1" si="201"/>
        <v>1</v>
      </c>
    </row>
    <row r="6407" spans="1:7">
      <c r="A6407">
        <v>9772</v>
      </c>
      <c r="B6407" t="s">
        <v>37</v>
      </c>
      <c r="C6407" t="s">
        <v>118</v>
      </c>
      <c r="D6407" s="9">
        <v>41821.472094907411</v>
      </c>
      <c r="E6407" t="s">
        <v>44</v>
      </c>
      <c r="F6407">
        <f t="shared" ref="F6407:F6470" ca="1" si="202">YEARFRAC(TODAY(),$D6407)</f>
        <v>0.57777777777777772</v>
      </c>
      <c r="G6407">
        <f t="shared" ref="G6407:G6470" ca="1" si="203">IF($F6407&lt;1,1,0)</f>
        <v>1</v>
      </c>
    </row>
    <row r="6408" spans="1:7">
      <c r="A6408">
        <v>9774</v>
      </c>
      <c r="B6408" t="s">
        <v>215</v>
      </c>
      <c r="C6408" t="s">
        <v>209</v>
      </c>
      <c r="D6408" s="9">
        <v>41879.460543981484</v>
      </c>
      <c r="E6408" t="s">
        <v>19</v>
      </c>
      <c r="F6408">
        <f t="shared" ca="1" si="202"/>
        <v>0.41944444444444445</v>
      </c>
      <c r="G6408">
        <f t="shared" ca="1" si="203"/>
        <v>1</v>
      </c>
    </row>
    <row r="6409" spans="1:7">
      <c r="A6409">
        <v>9775</v>
      </c>
      <c r="B6409" t="s">
        <v>38</v>
      </c>
      <c r="C6409" t="s">
        <v>118</v>
      </c>
      <c r="D6409" s="9">
        <v>41817.89371527778</v>
      </c>
      <c r="F6409">
        <f t="shared" ca="1" si="202"/>
        <v>0.58888888888888891</v>
      </c>
      <c r="G6409">
        <f t="shared" ca="1" si="203"/>
        <v>1</v>
      </c>
    </row>
    <row r="6410" spans="1:7">
      <c r="A6410">
        <v>9776</v>
      </c>
      <c r="B6410" t="s">
        <v>20</v>
      </c>
      <c r="C6410" t="s">
        <v>118</v>
      </c>
      <c r="D6410" s="9">
        <v>41820.626805555556</v>
      </c>
      <c r="E6410" t="s">
        <v>36</v>
      </c>
      <c r="F6410">
        <f t="shared" ca="1" si="202"/>
        <v>0.5805555555555556</v>
      </c>
      <c r="G6410">
        <f t="shared" ca="1" si="203"/>
        <v>1</v>
      </c>
    </row>
    <row r="6411" spans="1:7">
      <c r="A6411">
        <v>9777</v>
      </c>
      <c r="B6411" t="s">
        <v>20</v>
      </c>
      <c r="C6411" t="s">
        <v>118</v>
      </c>
      <c r="D6411" s="9">
        <v>41821.834224537037</v>
      </c>
      <c r="E6411" t="s">
        <v>27</v>
      </c>
      <c r="F6411">
        <f t="shared" ca="1" si="202"/>
        <v>0.57777777777777772</v>
      </c>
      <c r="G6411">
        <f t="shared" ca="1" si="203"/>
        <v>1</v>
      </c>
    </row>
    <row r="6412" spans="1:7">
      <c r="A6412">
        <v>9778</v>
      </c>
      <c r="B6412" t="s">
        <v>23</v>
      </c>
      <c r="C6412" t="s">
        <v>209</v>
      </c>
      <c r="D6412" s="9">
        <v>41894.57167824074</v>
      </c>
      <c r="E6412" t="s">
        <v>8</v>
      </c>
      <c r="F6412">
        <f t="shared" ca="1" si="202"/>
        <v>0.38055555555555554</v>
      </c>
      <c r="G6412">
        <f t="shared" ca="1" si="203"/>
        <v>1</v>
      </c>
    </row>
    <row r="6413" spans="1:7">
      <c r="A6413">
        <v>9785</v>
      </c>
      <c r="B6413" t="s">
        <v>19</v>
      </c>
      <c r="C6413" t="s">
        <v>118</v>
      </c>
      <c r="D6413" s="9">
        <v>41822.469155092593</v>
      </c>
      <c r="E6413" t="s">
        <v>37</v>
      </c>
      <c r="F6413">
        <f t="shared" ca="1" si="202"/>
        <v>0.57499999999999996</v>
      </c>
      <c r="G6413">
        <f t="shared" ca="1" si="203"/>
        <v>1</v>
      </c>
    </row>
    <row r="6414" spans="1:7">
      <c r="A6414">
        <v>9786</v>
      </c>
      <c r="B6414" t="s">
        <v>37</v>
      </c>
      <c r="C6414" t="s">
        <v>118</v>
      </c>
      <c r="D6414" s="9">
        <v>41823.438483796293</v>
      </c>
      <c r="E6414" t="s">
        <v>112</v>
      </c>
      <c r="F6414">
        <f t="shared" ca="1" si="202"/>
        <v>0.57222222222222219</v>
      </c>
      <c r="G6414">
        <f t="shared" ca="1" si="203"/>
        <v>1</v>
      </c>
    </row>
    <row r="6415" spans="1:7">
      <c r="A6415">
        <v>9797</v>
      </c>
      <c r="B6415" t="s">
        <v>19</v>
      </c>
      <c r="C6415" t="s">
        <v>118</v>
      </c>
      <c r="D6415" s="9">
        <v>41822.483796296299</v>
      </c>
      <c r="E6415" t="s">
        <v>37</v>
      </c>
      <c r="F6415">
        <f t="shared" ca="1" si="202"/>
        <v>0.57499999999999996</v>
      </c>
      <c r="G6415">
        <f t="shared" ca="1" si="203"/>
        <v>1</v>
      </c>
    </row>
    <row r="6416" spans="1:7">
      <c r="A6416">
        <v>9800</v>
      </c>
      <c r="B6416" t="s">
        <v>36</v>
      </c>
      <c r="C6416" t="s">
        <v>118</v>
      </c>
      <c r="D6416" s="9">
        <v>41823.712083333332</v>
      </c>
      <c r="E6416" t="s">
        <v>20</v>
      </c>
      <c r="F6416">
        <f t="shared" ca="1" si="202"/>
        <v>0.57222222222222219</v>
      </c>
      <c r="G6416">
        <f t="shared" ca="1" si="203"/>
        <v>1</v>
      </c>
    </row>
    <row r="6417" spans="1:7">
      <c r="A6417">
        <v>9810</v>
      </c>
      <c r="B6417" t="s">
        <v>111</v>
      </c>
      <c r="C6417" t="s">
        <v>118</v>
      </c>
      <c r="D6417" s="9">
        <v>41828.409513888888</v>
      </c>
      <c r="E6417" t="s">
        <v>14</v>
      </c>
      <c r="F6417">
        <f t="shared" ca="1" si="202"/>
        <v>0.55833333333333335</v>
      </c>
      <c r="G6417">
        <f t="shared" ca="1" si="203"/>
        <v>1</v>
      </c>
    </row>
    <row r="6418" spans="1:7">
      <c r="A6418">
        <v>9817</v>
      </c>
      <c r="B6418" t="s">
        <v>36</v>
      </c>
      <c r="C6418" t="s">
        <v>118</v>
      </c>
      <c r="D6418" s="9">
        <v>41824.449166666665</v>
      </c>
      <c r="E6418" t="s">
        <v>19</v>
      </c>
      <c r="F6418">
        <f t="shared" ca="1" si="202"/>
        <v>0.56944444444444442</v>
      </c>
      <c r="G6418">
        <f t="shared" ca="1" si="203"/>
        <v>1</v>
      </c>
    </row>
    <row r="6419" spans="1:7">
      <c r="A6419">
        <v>9823</v>
      </c>
      <c r="B6419" t="s">
        <v>30</v>
      </c>
      <c r="C6419" t="s">
        <v>118</v>
      </c>
      <c r="D6419" s="9">
        <v>41828.620787037034</v>
      </c>
      <c r="E6419" t="s">
        <v>112</v>
      </c>
      <c r="F6419">
        <f t="shared" ca="1" si="202"/>
        <v>0.55833333333333335</v>
      </c>
      <c r="G6419">
        <f t="shared" ca="1" si="203"/>
        <v>1</v>
      </c>
    </row>
    <row r="6420" spans="1:7">
      <c r="A6420">
        <v>9829</v>
      </c>
      <c r="B6420" t="s">
        <v>211</v>
      </c>
      <c r="C6420" t="s">
        <v>209</v>
      </c>
      <c r="D6420" s="9">
        <v>41866.389675925922</v>
      </c>
      <c r="E6420" t="s">
        <v>14</v>
      </c>
      <c r="F6420">
        <f t="shared" ca="1" si="202"/>
        <v>0.45555555555555555</v>
      </c>
      <c r="G6420">
        <f t="shared" ca="1" si="203"/>
        <v>1</v>
      </c>
    </row>
    <row r="6421" spans="1:7">
      <c r="A6421">
        <v>9836</v>
      </c>
      <c r="B6421" t="s">
        <v>112</v>
      </c>
      <c r="C6421" t="s">
        <v>118</v>
      </c>
      <c r="D6421" s="9">
        <v>41830.607141203705</v>
      </c>
      <c r="E6421" t="s">
        <v>30</v>
      </c>
      <c r="F6421">
        <f t="shared" ca="1" si="202"/>
        <v>0.55277777777777781</v>
      </c>
      <c r="G6421">
        <f t="shared" ca="1" si="203"/>
        <v>1</v>
      </c>
    </row>
    <row r="6422" spans="1:7">
      <c r="A6422">
        <v>9837</v>
      </c>
      <c r="B6422" t="s">
        <v>36</v>
      </c>
      <c r="C6422" t="s">
        <v>209</v>
      </c>
      <c r="D6422" s="9">
        <v>41838.81554398148</v>
      </c>
      <c r="E6422" t="s">
        <v>20</v>
      </c>
      <c r="F6422">
        <f t="shared" ca="1" si="202"/>
        <v>0.53055555555555556</v>
      </c>
      <c r="G6422">
        <f t="shared" ca="1" si="203"/>
        <v>1</v>
      </c>
    </row>
    <row r="6423" spans="1:7">
      <c r="A6423">
        <v>9842</v>
      </c>
      <c r="B6423" t="s">
        <v>8</v>
      </c>
      <c r="C6423" t="s">
        <v>209</v>
      </c>
      <c r="D6423" s="9">
        <v>41928.900694444441</v>
      </c>
      <c r="E6423" t="s">
        <v>59</v>
      </c>
      <c r="F6423">
        <f t="shared" ca="1" si="202"/>
        <v>0.28611111111111109</v>
      </c>
      <c r="G6423">
        <f t="shared" ca="1" si="203"/>
        <v>1</v>
      </c>
    </row>
    <row r="6424" spans="1:7">
      <c r="A6424">
        <v>9845</v>
      </c>
      <c r="B6424" t="s">
        <v>34</v>
      </c>
      <c r="C6424" t="s">
        <v>118</v>
      </c>
      <c r="D6424" s="9">
        <v>41829.543796296297</v>
      </c>
      <c r="E6424" t="s">
        <v>112</v>
      </c>
      <c r="F6424">
        <f t="shared" ca="1" si="202"/>
        <v>0.55555555555555558</v>
      </c>
      <c r="G6424">
        <f t="shared" ca="1" si="203"/>
        <v>1</v>
      </c>
    </row>
    <row r="6425" spans="1:7">
      <c r="A6425">
        <v>9851</v>
      </c>
      <c r="B6425" t="s">
        <v>19</v>
      </c>
      <c r="C6425" t="s">
        <v>118</v>
      </c>
      <c r="D6425" s="9">
        <v>41829.692442129628</v>
      </c>
      <c r="E6425" t="s">
        <v>37</v>
      </c>
      <c r="F6425">
        <f t="shared" ca="1" si="202"/>
        <v>0.55555555555555558</v>
      </c>
      <c r="G6425">
        <f t="shared" ca="1" si="203"/>
        <v>1</v>
      </c>
    </row>
    <row r="6426" spans="1:7">
      <c r="A6426">
        <v>9852</v>
      </c>
      <c r="B6426" t="s">
        <v>19</v>
      </c>
      <c r="C6426" t="s">
        <v>118</v>
      </c>
      <c r="D6426" s="9">
        <v>41829.705682870372</v>
      </c>
      <c r="E6426" t="s">
        <v>37</v>
      </c>
      <c r="F6426">
        <f t="shared" ca="1" si="202"/>
        <v>0.55555555555555558</v>
      </c>
      <c r="G6426">
        <f t="shared" ca="1" si="203"/>
        <v>1</v>
      </c>
    </row>
    <row r="6427" spans="1:7">
      <c r="A6427">
        <v>9854</v>
      </c>
      <c r="B6427" t="s">
        <v>14</v>
      </c>
      <c r="C6427" t="s">
        <v>118</v>
      </c>
      <c r="D6427" s="9">
        <v>41830.476145833331</v>
      </c>
      <c r="E6427" t="s">
        <v>30</v>
      </c>
      <c r="F6427">
        <f t="shared" ca="1" si="202"/>
        <v>0.55277777777777781</v>
      </c>
      <c r="G6427">
        <f t="shared" ca="1" si="203"/>
        <v>1</v>
      </c>
    </row>
    <row r="6428" spans="1:7">
      <c r="A6428">
        <v>9860</v>
      </c>
      <c r="B6428" t="s">
        <v>8</v>
      </c>
      <c r="C6428" t="s">
        <v>209</v>
      </c>
      <c r="D6428" s="9">
        <v>41859.539363425924</v>
      </c>
      <c r="E6428" t="s">
        <v>19</v>
      </c>
      <c r="F6428">
        <f t="shared" ca="1" si="202"/>
        <v>0.47499999999999998</v>
      </c>
      <c r="G6428">
        <f t="shared" ca="1" si="203"/>
        <v>1</v>
      </c>
    </row>
    <row r="6429" spans="1:7">
      <c r="A6429">
        <v>9862</v>
      </c>
      <c r="B6429" t="s">
        <v>23</v>
      </c>
      <c r="C6429" t="s">
        <v>209</v>
      </c>
      <c r="D6429" s="9">
        <v>41926.349479166667</v>
      </c>
      <c r="E6429" t="s">
        <v>8</v>
      </c>
      <c r="F6429">
        <f t="shared" ca="1" si="202"/>
        <v>0.29166666666666669</v>
      </c>
      <c r="G6429">
        <f t="shared" ca="1" si="203"/>
        <v>1</v>
      </c>
    </row>
    <row r="6430" spans="1:7">
      <c r="A6430">
        <v>9866</v>
      </c>
      <c r="B6430" t="s">
        <v>34</v>
      </c>
      <c r="C6430" t="s">
        <v>209</v>
      </c>
      <c r="D6430" s="9">
        <v>41918.629606481481</v>
      </c>
      <c r="E6430" t="s">
        <v>23</v>
      </c>
      <c r="F6430">
        <f t="shared" ca="1" si="202"/>
        <v>0.31388888888888888</v>
      </c>
      <c r="G6430">
        <f t="shared" ca="1" si="203"/>
        <v>1</v>
      </c>
    </row>
    <row r="6431" spans="1:7">
      <c r="A6431">
        <v>9868</v>
      </c>
      <c r="B6431" t="s">
        <v>112</v>
      </c>
      <c r="C6431" t="s">
        <v>209</v>
      </c>
      <c r="D6431" s="9">
        <v>41887.487835648149</v>
      </c>
      <c r="E6431" t="s">
        <v>211</v>
      </c>
      <c r="F6431">
        <f t="shared" ca="1" si="202"/>
        <v>0.4</v>
      </c>
      <c r="G6431">
        <f t="shared" ca="1" si="203"/>
        <v>1</v>
      </c>
    </row>
    <row r="6432" spans="1:7">
      <c r="A6432">
        <v>9875</v>
      </c>
      <c r="B6432" t="s">
        <v>34</v>
      </c>
      <c r="C6432" t="s">
        <v>118</v>
      </c>
      <c r="D6432" s="9">
        <v>41831.728703703702</v>
      </c>
      <c r="E6432" t="s">
        <v>8</v>
      </c>
      <c r="F6432">
        <f t="shared" ca="1" si="202"/>
        <v>0.55000000000000004</v>
      </c>
      <c r="G6432">
        <f t="shared" ca="1" si="203"/>
        <v>1</v>
      </c>
    </row>
    <row r="6433" spans="1:7">
      <c r="A6433">
        <v>9876</v>
      </c>
      <c r="B6433" t="s">
        <v>112</v>
      </c>
      <c r="C6433" t="s">
        <v>209</v>
      </c>
      <c r="D6433" s="9">
        <v>41845.688530092593</v>
      </c>
      <c r="E6433" t="s">
        <v>37</v>
      </c>
      <c r="F6433">
        <f t="shared" ca="1" si="202"/>
        <v>0.51111111111111107</v>
      </c>
      <c r="G6433">
        <f t="shared" ca="1" si="203"/>
        <v>1</v>
      </c>
    </row>
    <row r="6434" spans="1:7">
      <c r="A6434">
        <v>9877</v>
      </c>
      <c r="B6434" t="s">
        <v>8</v>
      </c>
      <c r="C6434" t="s">
        <v>209</v>
      </c>
      <c r="D6434" s="9">
        <v>41837.878240740742</v>
      </c>
      <c r="E6434" t="s">
        <v>27</v>
      </c>
      <c r="F6434">
        <f t="shared" ca="1" si="202"/>
        <v>0.53333333333333333</v>
      </c>
      <c r="G6434">
        <f t="shared" ca="1" si="203"/>
        <v>1</v>
      </c>
    </row>
    <row r="6435" spans="1:7">
      <c r="A6435">
        <v>9878</v>
      </c>
      <c r="B6435" t="s">
        <v>30</v>
      </c>
      <c r="C6435" t="s">
        <v>209</v>
      </c>
      <c r="D6435" s="9">
        <v>41845.697129629632</v>
      </c>
      <c r="E6435" t="s">
        <v>215</v>
      </c>
      <c r="F6435">
        <f t="shared" ca="1" si="202"/>
        <v>0.51111111111111107</v>
      </c>
      <c r="G6435">
        <f t="shared" ca="1" si="203"/>
        <v>1</v>
      </c>
    </row>
    <row r="6436" spans="1:7">
      <c r="A6436">
        <v>9881</v>
      </c>
      <c r="B6436" t="s">
        <v>111</v>
      </c>
      <c r="C6436" t="s">
        <v>209</v>
      </c>
      <c r="D6436" s="9">
        <v>41852.657453703701</v>
      </c>
      <c r="E6436" t="s">
        <v>32</v>
      </c>
      <c r="F6436">
        <f t="shared" ca="1" si="202"/>
        <v>0.49444444444444446</v>
      </c>
      <c r="G6436">
        <f t="shared" ca="1" si="203"/>
        <v>1</v>
      </c>
    </row>
    <row r="6437" spans="1:7">
      <c r="A6437">
        <v>9884</v>
      </c>
      <c r="B6437" t="s">
        <v>111</v>
      </c>
      <c r="C6437" t="s">
        <v>209</v>
      </c>
      <c r="D6437" s="9">
        <v>41852.664803240739</v>
      </c>
      <c r="E6437" t="s">
        <v>32</v>
      </c>
      <c r="F6437">
        <f t="shared" ca="1" si="202"/>
        <v>0.49444444444444446</v>
      </c>
      <c r="G6437">
        <f t="shared" ca="1" si="203"/>
        <v>1</v>
      </c>
    </row>
    <row r="6438" spans="1:7">
      <c r="A6438">
        <v>9887</v>
      </c>
      <c r="B6438" t="s">
        <v>19</v>
      </c>
      <c r="C6438" t="s">
        <v>210</v>
      </c>
      <c r="D6438" s="9">
        <v>41870.508703703701</v>
      </c>
      <c r="E6438" t="s">
        <v>23</v>
      </c>
      <c r="F6438">
        <f t="shared" ca="1" si="202"/>
        <v>0.44444444444444442</v>
      </c>
      <c r="G6438">
        <f t="shared" ca="1" si="203"/>
        <v>1</v>
      </c>
    </row>
    <row r="6439" spans="1:7">
      <c r="A6439">
        <v>9888</v>
      </c>
      <c r="B6439" t="s">
        <v>19</v>
      </c>
      <c r="C6439" t="s">
        <v>209</v>
      </c>
      <c r="D6439" s="9">
        <v>41894.594143518516</v>
      </c>
      <c r="E6439" t="s">
        <v>112</v>
      </c>
      <c r="F6439">
        <f t="shared" ca="1" si="202"/>
        <v>0.38055555555555554</v>
      </c>
      <c r="G6439">
        <f t="shared" ca="1" si="203"/>
        <v>1</v>
      </c>
    </row>
    <row r="6440" spans="1:7">
      <c r="A6440">
        <v>9891</v>
      </c>
      <c r="B6440" t="s">
        <v>34</v>
      </c>
      <c r="C6440" t="s">
        <v>209</v>
      </c>
      <c r="D6440" s="9">
        <v>41939.390648148146</v>
      </c>
      <c r="E6440" t="s">
        <v>23</v>
      </c>
      <c r="F6440">
        <f t="shared" ca="1" si="202"/>
        <v>0.25555555555555554</v>
      </c>
      <c r="G6440">
        <f t="shared" ca="1" si="203"/>
        <v>1</v>
      </c>
    </row>
    <row r="6441" spans="1:7">
      <c r="A6441">
        <v>9892</v>
      </c>
      <c r="B6441" t="s">
        <v>43</v>
      </c>
      <c r="C6441" t="s">
        <v>209</v>
      </c>
      <c r="D6441" s="9">
        <v>41838.952615740738</v>
      </c>
      <c r="E6441" t="s">
        <v>36</v>
      </c>
      <c r="F6441">
        <f t="shared" ca="1" si="202"/>
        <v>0.53055555555555556</v>
      </c>
      <c r="G6441">
        <f t="shared" ca="1" si="203"/>
        <v>1</v>
      </c>
    </row>
    <row r="6442" spans="1:7">
      <c r="A6442">
        <v>9894</v>
      </c>
      <c r="B6442" t="s">
        <v>32</v>
      </c>
      <c r="C6442" t="s">
        <v>209</v>
      </c>
      <c r="D6442" s="9">
        <v>41837.566435185188</v>
      </c>
      <c r="E6442" t="s">
        <v>19</v>
      </c>
      <c r="F6442">
        <f t="shared" ca="1" si="202"/>
        <v>0.53333333333333333</v>
      </c>
      <c r="G6442">
        <f t="shared" ca="1" si="203"/>
        <v>1</v>
      </c>
    </row>
    <row r="6443" spans="1:7">
      <c r="A6443">
        <v>9895</v>
      </c>
      <c r="B6443" t="s">
        <v>23</v>
      </c>
      <c r="C6443" t="s">
        <v>209</v>
      </c>
      <c r="D6443" s="9">
        <v>41866.57298611111</v>
      </c>
      <c r="E6443" t="s">
        <v>215</v>
      </c>
      <c r="F6443">
        <f t="shared" ca="1" si="202"/>
        <v>0.45555555555555555</v>
      </c>
      <c r="G6443">
        <f t="shared" ca="1" si="203"/>
        <v>1</v>
      </c>
    </row>
    <row r="6444" spans="1:7">
      <c r="A6444">
        <v>9898</v>
      </c>
      <c r="B6444" t="s">
        <v>112</v>
      </c>
      <c r="C6444" t="s">
        <v>209</v>
      </c>
      <c r="D6444" s="9">
        <v>41855.69935185185</v>
      </c>
      <c r="E6444" t="s">
        <v>36</v>
      </c>
      <c r="F6444">
        <f t="shared" ca="1" si="202"/>
        <v>0.4861111111111111</v>
      </c>
      <c r="G6444">
        <f t="shared" ca="1" si="203"/>
        <v>1</v>
      </c>
    </row>
    <row r="6445" spans="1:7">
      <c r="A6445">
        <v>9900</v>
      </c>
      <c r="B6445" t="s">
        <v>34</v>
      </c>
      <c r="C6445" t="s">
        <v>209</v>
      </c>
      <c r="D6445" s="9">
        <v>41872.481793981482</v>
      </c>
      <c r="E6445" t="s">
        <v>19</v>
      </c>
      <c r="F6445">
        <f t="shared" ca="1" si="202"/>
        <v>0.43888888888888888</v>
      </c>
      <c r="G6445">
        <f t="shared" ca="1" si="203"/>
        <v>1</v>
      </c>
    </row>
    <row r="6446" spans="1:7">
      <c r="A6446">
        <v>9901</v>
      </c>
      <c r="B6446" t="s">
        <v>36</v>
      </c>
      <c r="C6446" t="s">
        <v>209</v>
      </c>
      <c r="D6446" s="9">
        <v>41838.450370370374</v>
      </c>
      <c r="E6446" t="s">
        <v>19</v>
      </c>
      <c r="F6446">
        <f t="shared" ca="1" si="202"/>
        <v>0.53055555555555556</v>
      </c>
      <c r="G6446">
        <f t="shared" ca="1" si="203"/>
        <v>1</v>
      </c>
    </row>
    <row r="6447" spans="1:7">
      <c r="A6447">
        <v>9903</v>
      </c>
      <c r="B6447" t="s">
        <v>50</v>
      </c>
      <c r="C6447" t="s">
        <v>209</v>
      </c>
      <c r="D6447" s="9">
        <v>41845.703148148146</v>
      </c>
      <c r="E6447" t="s">
        <v>214</v>
      </c>
      <c r="F6447">
        <f t="shared" ca="1" si="202"/>
        <v>0.51111111111111107</v>
      </c>
      <c r="G6447">
        <f t="shared" ca="1" si="203"/>
        <v>1</v>
      </c>
    </row>
    <row r="6448" spans="1:7">
      <c r="A6448">
        <v>9904</v>
      </c>
      <c r="B6448" t="s">
        <v>14</v>
      </c>
      <c r="C6448" t="s">
        <v>209</v>
      </c>
      <c r="D6448" s="9">
        <v>41837.641446759262</v>
      </c>
      <c r="F6448">
        <f t="shared" ca="1" si="202"/>
        <v>0.53333333333333333</v>
      </c>
      <c r="G6448">
        <f t="shared" ca="1" si="203"/>
        <v>1</v>
      </c>
    </row>
    <row r="6449" spans="1:7">
      <c r="A6449">
        <v>9906</v>
      </c>
      <c r="B6449" t="s">
        <v>19</v>
      </c>
      <c r="C6449" t="s">
        <v>209</v>
      </c>
      <c r="D6449" s="9">
        <v>41845.722361111111</v>
      </c>
      <c r="F6449">
        <f t="shared" ca="1" si="202"/>
        <v>0.51111111111111107</v>
      </c>
      <c r="G6449">
        <f t="shared" ca="1" si="203"/>
        <v>1</v>
      </c>
    </row>
    <row r="6450" spans="1:7">
      <c r="A6450">
        <v>9908</v>
      </c>
      <c r="B6450" t="s">
        <v>112</v>
      </c>
      <c r="C6450" t="s">
        <v>209</v>
      </c>
      <c r="D6450" s="9">
        <v>41873.780555555553</v>
      </c>
      <c r="E6450" t="s">
        <v>27</v>
      </c>
      <c r="F6450">
        <f t="shared" ca="1" si="202"/>
        <v>0.43611111111111112</v>
      </c>
      <c r="G6450">
        <f t="shared" ca="1" si="203"/>
        <v>1</v>
      </c>
    </row>
    <row r="6451" spans="1:7">
      <c r="A6451">
        <v>9909</v>
      </c>
      <c r="B6451" t="s">
        <v>23</v>
      </c>
      <c r="C6451" t="s">
        <v>209</v>
      </c>
      <c r="D6451" s="9">
        <v>41929.399976851855</v>
      </c>
      <c r="E6451" t="s">
        <v>215</v>
      </c>
      <c r="F6451">
        <f t="shared" ca="1" si="202"/>
        <v>0.28333333333333333</v>
      </c>
      <c r="G6451">
        <f t="shared" ca="1" si="203"/>
        <v>1</v>
      </c>
    </row>
    <row r="6452" spans="1:7">
      <c r="A6452">
        <v>9910</v>
      </c>
      <c r="B6452" t="s">
        <v>44</v>
      </c>
      <c r="C6452" t="s">
        <v>209</v>
      </c>
      <c r="D6452" s="9">
        <v>41859.645821759259</v>
      </c>
      <c r="E6452" t="s">
        <v>215</v>
      </c>
      <c r="F6452">
        <f t="shared" ca="1" si="202"/>
        <v>0.47499999999999998</v>
      </c>
      <c r="G6452">
        <f t="shared" ca="1" si="203"/>
        <v>1</v>
      </c>
    </row>
    <row r="6453" spans="1:7">
      <c r="A6453">
        <v>9912</v>
      </c>
      <c r="B6453" t="s">
        <v>43</v>
      </c>
      <c r="C6453" t="s">
        <v>209</v>
      </c>
      <c r="D6453" s="9">
        <v>41852.68608796296</v>
      </c>
      <c r="E6453" t="s">
        <v>32</v>
      </c>
      <c r="F6453">
        <f t="shared" ca="1" si="202"/>
        <v>0.49444444444444446</v>
      </c>
      <c r="G6453">
        <f t="shared" ca="1" si="203"/>
        <v>1</v>
      </c>
    </row>
    <row r="6454" spans="1:7">
      <c r="A6454">
        <v>9923</v>
      </c>
      <c r="B6454" t="s">
        <v>112</v>
      </c>
      <c r="C6454" t="s">
        <v>209</v>
      </c>
      <c r="D6454" s="9">
        <v>41870.457488425927</v>
      </c>
      <c r="E6454" t="s">
        <v>8</v>
      </c>
      <c r="F6454">
        <f t="shared" ca="1" si="202"/>
        <v>0.44444444444444442</v>
      </c>
      <c r="G6454">
        <f t="shared" ca="1" si="203"/>
        <v>1</v>
      </c>
    </row>
    <row r="6455" spans="1:7">
      <c r="A6455">
        <v>9924</v>
      </c>
      <c r="B6455" t="s">
        <v>14</v>
      </c>
      <c r="C6455" t="s">
        <v>209</v>
      </c>
      <c r="D6455" s="9">
        <v>41852.60491898148</v>
      </c>
      <c r="E6455" t="s">
        <v>211</v>
      </c>
      <c r="F6455">
        <f t="shared" ca="1" si="202"/>
        <v>0.49444444444444446</v>
      </c>
      <c r="G6455">
        <f t="shared" ca="1" si="203"/>
        <v>1</v>
      </c>
    </row>
    <row r="6456" spans="1:7">
      <c r="A6456">
        <v>9929</v>
      </c>
      <c r="B6456" t="s">
        <v>14</v>
      </c>
      <c r="C6456" t="s">
        <v>209</v>
      </c>
      <c r="D6456" s="9">
        <v>41845.598356481481</v>
      </c>
      <c r="E6456" t="s">
        <v>215</v>
      </c>
      <c r="F6456">
        <f t="shared" ca="1" si="202"/>
        <v>0.51111111111111107</v>
      </c>
      <c r="G6456">
        <f t="shared" ca="1" si="203"/>
        <v>1</v>
      </c>
    </row>
    <row r="6457" spans="1:7">
      <c r="A6457">
        <v>9930</v>
      </c>
      <c r="B6457" t="s">
        <v>27</v>
      </c>
      <c r="C6457" t="s">
        <v>209</v>
      </c>
      <c r="D6457" s="9">
        <v>41859.685057870367</v>
      </c>
      <c r="E6457" t="s">
        <v>8</v>
      </c>
      <c r="F6457">
        <f t="shared" ca="1" si="202"/>
        <v>0.47499999999999998</v>
      </c>
      <c r="G6457">
        <f t="shared" ca="1" si="203"/>
        <v>1</v>
      </c>
    </row>
    <row r="6458" spans="1:7">
      <c r="A6458">
        <v>9931</v>
      </c>
      <c r="B6458" t="s">
        <v>19</v>
      </c>
      <c r="C6458" t="s">
        <v>209</v>
      </c>
      <c r="D6458" s="9">
        <v>41856.672488425924</v>
      </c>
      <c r="E6458" t="s">
        <v>215</v>
      </c>
      <c r="F6458">
        <f t="shared" ca="1" si="202"/>
        <v>0.48333333333333334</v>
      </c>
      <c r="G6458">
        <f t="shared" ca="1" si="203"/>
        <v>1</v>
      </c>
    </row>
    <row r="6459" spans="1:7">
      <c r="A6459">
        <v>9932</v>
      </c>
      <c r="B6459" t="s">
        <v>21</v>
      </c>
      <c r="C6459" t="s">
        <v>209</v>
      </c>
      <c r="D6459" s="9">
        <v>41845.688958333332</v>
      </c>
      <c r="E6459" t="s">
        <v>215</v>
      </c>
      <c r="F6459">
        <f t="shared" ca="1" si="202"/>
        <v>0.51111111111111107</v>
      </c>
      <c r="G6459">
        <f t="shared" ca="1" si="203"/>
        <v>1</v>
      </c>
    </row>
    <row r="6460" spans="1:7">
      <c r="A6460">
        <v>9933</v>
      </c>
      <c r="B6460" t="s">
        <v>21</v>
      </c>
      <c r="C6460" t="s">
        <v>209</v>
      </c>
      <c r="D6460" s="9">
        <v>41852.526446759257</v>
      </c>
      <c r="E6460" t="s">
        <v>30</v>
      </c>
      <c r="F6460">
        <f t="shared" ca="1" si="202"/>
        <v>0.49444444444444446</v>
      </c>
      <c r="G6460">
        <f t="shared" ca="1" si="203"/>
        <v>1</v>
      </c>
    </row>
    <row r="6461" spans="1:7">
      <c r="A6461">
        <v>9937</v>
      </c>
      <c r="B6461" t="s">
        <v>23</v>
      </c>
      <c r="C6461" t="s">
        <v>209</v>
      </c>
      <c r="D6461" s="9">
        <v>41864.582488425927</v>
      </c>
      <c r="E6461" t="s">
        <v>215</v>
      </c>
      <c r="F6461">
        <f t="shared" ca="1" si="202"/>
        <v>0.46111111111111114</v>
      </c>
      <c r="G6461">
        <f t="shared" ca="1" si="203"/>
        <v>1</v>
      </c>
    </row>
    <row r="6462" spans="1:7">
      <c r="A6462">
        <v>9942</v>
      </c>
      <c r="B6462" t="s">
        <v>19</v>
      </c>
      <c r="C6462" t="s">
        <v>209</v>
      </c>
      <c r="D6462" s="9">
        <v>41859.592175925929</v>
      </c>
      <c r="E6462" t="s">
        <v>215</v>
      </c>
      <c r="F6462">
        <f t="shared" ca="1" si="202"/>
        <v>0.47499999999999998</v>
      </c>
      <c r="G6462">
        <f t="shared" ca="1" si="203"/>
        <v>1</v>
      </c>
    </row>
    <row r="6463" spans="1:7">
      <c r="A6463">
        <v>9951</v>
      </c>
      <c r="B6463" t="s">
        <v>8</v>
      </c>
      <c r="C6463" t="s">
        <v>209</v>
      </c>
      <c r="D6463" s="9">
        <v>41855.443020833336</v>
      </c>
      <c r="E6463" t="s">
        <v>19</v>
      </c>
      <c r="F6463">
        <f t="shared" ca="1" si="202"/>
        <v>0.4861111111111111</v>
      </c>
      <c r="G6463">
        <f t="shared" ca="1" si="203"/>
        <v>1</v>
      </c>
    </row>
    <row r="6464" spans="1:7">
      <c r="A6464">
        <v>9954</v>
      </c>
      <c r="B6464" t="s">
        <v>19</v>
      </c>
      <c r="C6464" t="s">
        <v>210</v>
      </c>
      <c r="D6464" s="9">
        <v>41872.398784722223</v>
      </c>
      <c r="E6464" t="s">
        <v>21</v>
      </c>
      <c r="F6464">
        <f t="shared" ca="1" si="202"/>
        <v>0.43888888888888888</v>
      </c>
      <c r="G6464">
        <f t="shared" ca="1" si="203"/>
        <v>1</v>
      </c>
    </row>
    <row r="6465" spans="1:7">
      <c r="A6465">
        <v>9959</v>
      </c>
      <c r="B6465" t="s">
        <v>215</v>
      </c>
      <c r="C6465" t="s">
        <v>209</v>
      </c>
      <c r="D6465" s="9">
        <v>41850.371921296297</v>
      </c>
      <c r="E6465" t="s">
        <v>44</v>
      </c>
      <c r="F6465">
        <f t="shared" ca="1" si="202"/>
        <v>0.49722222222222223</v>
      </c>
      <c r="G6465">
        <f t="shared" ca="1" si="203"/>
        <v>1</v>
      </c>
    </row>
    <row r="6466" spans="1:7">
      <c r="A6466">
        <v>9961</v>
      </c>
      <c r="B6466" t="s">
        <v>23</v>
      </c>
      <c r="C6466" t="s">
        <v>210</v>
      </c>
      <c r="D6466" s="9">
        <v>41871.575636574074</v>
      </c>
      <c r="E6466" t="s">
        <v>8</v>
      </c>
      <c r="F6466">
        <f t="shared" ca="1" si="202"/>
        <v>0.44166666666666665</v>
      </c>
      <c r="G6466">
        <f t="shared" ca="1" si="203"/>
        <v>1</v>
      </c>
    </row>
    <row r="6467" spans="1:7">
      <c r="A6467">
        <v>9964</v>
      </c>
      <c r="B6467" t="s">
        <v>211</v>
      </c>
      <c r="C6467" t="s">
        <v>209</v>
      </c>
      <c r="D6467" s="9">
        <v>41922.382268518515</v>
      </c>
      <c r="E6467" t="s">
        <v>8</v>
      </c>
      <c r="F6467">
        <f t="shared" ca="1" si="202"/>
        <v>0.30277777777777776</v>
      </c>
      <c r="G6467">
        <f t="shared" ca="1" si="203"/>
        <v>1</v>
      </c>
    </row>
    <row r="6468" spans="1:7">
      <c r="A6468">
        <v>9966</v>
      </c>
      <c r="B6468" t="s">
        <v>211</v>
      </c>
      <c r="C6468" t="s">
        <v>209</v>
      </c>
      <c r="D6468" s="9">
        <v>41843.513344907406</v>
      </c>
      <c r="F6468">
        <f t="shared" ca="1" si="202"/>
        <v>0.51666666666666672</v>
      </c>
      <c r="G6468">
        <f t="shared" ca="1" si="203"/>
        <v>1</v>
      </c>
    </row>
    <row r="6469" spans="1:7">
      <c r="A6469">
        <v>9968</v>
      </c>
      <c r="B6469" t="s">
        <v>211</v>
      </c>
      <c r="C6469" t="s">
        <v>209</v>
      </c>
      <c r="D6469" s="9">
        <v>41870.457488425927</v>
      </c>
      <c r="E6469" t="s">
        <v>14</v>
      </c>
      <c r="F6469">
        <f t="shared" ca="1" si="202"/>
        <v>0.44444444444444442</v>
      </c>
      <c r="G6469">
        <f t="shared" ca="1" si="203"/>
        <v>1</v>
      </c>
    </row>
    <row r="6470" spans="1:7">
      <c r="A6470">
        <v>9969</v>
      </c>
      <c r="B6470" t="s">
        <v>211</v>
      </c>
      <c r="C6470" t="s">
        <v>209</v>
      </c>
      <c r="D6470" s="9">
        <v>41935.631296296298</v>
      </c>
      <c r="E6470" t="s">
        <v>215</v>
      </c>
      <c r="F6470">
        <f t="shared" ca="1" si="202"/>
        <v>0.26666666666666666</v>
      </c>
      <c r="G6470">
        <f t="shared" ca="1" si="203"/>
        <v>1</v>
      </c>
    </row>
    <row r="6471" spans="1:7">
      <c r="A6471">
        <v>9971</v>
      </c>
      <c r="B6471" t="s">
        <v>8</v>
      </c>
      <c r="C6471" t="s">
        <v>210</v>
      </c>
      <c r="D6471" s="9">
        <v>41870.495578703703</v>
      </c>
      <c r="E6471" t="s">
        <v>23</v>
      </c>
      <c r="F6471">
        <f t="shared" ref="F6471:F6534" ca="1" si="204">YEARFRAC(TODAY(),$D6471)</f>
        <v>0.44444444444444442</v>
      </c>
      <c r="G6471">
        <f t="shared" ref="G6471:G6534" ca="1" si="205">IF($F6471&lt;1,1,0)</f>
        <v>1</v>
      </c>
    </row>
    <row r="6472" spans="1:7">
      <c r="A6472">
        <v>9976</v>
      </c>
      <c r="B6472" t="s">
        <v>37</v>
      </c>
      <c r="C6472" t="s">
        <v>209</v>
      </c>
      <c r="D6472" s="9">
        <v>41845.691354166665</v>
      </c>
      <c r="E6472" t="s">
        <v>34</v>
      </c>
      <c r="F6472">
        <f t="shared" ca="1" si="204"/>
        <v>0.51111111111111107</v>
      </c>
      <c r="G6472">
        <f t="shared" ca="1" si="205"/>
        <v>1</v>
      </c>
    </row>
    <row r="6473" spans="1:7">
      <c r="A6473">
        <v>9978</v>
      </c>
      <c r="B6473" t="s">
        <v>20</v>
      </c>
      <c r="C6473" t="s">
        <v>209</v>
      </c>
      <c r="D6473" s="9">
        <v>41894.709768518522</v>
      </c>
      <c r="E6473" t="s">
        <v>32</v>
      </c>
      <c r="F6473">
        <f t="shared" ca="1" si="204"/>
        <v>0.38055555555555554</v>
      </c>
      <c r="G6473">
        <f t="shared" ca="1" si="205"/>
        <v>1</v>
      </c>
    </row>
    <row r="6474" spans="1:7">
      <c r="A6474">
        <v>9980</v>
      </c>
      <c r="B6474" t="s">
        <v>19</v>
      </c>
      <c r="C6474" t="s">
        <v>210</v>
      </c>
      <c r="D6474" s="9">
        <v>41871.511620370373</v>
      </c>
      <c r="E6474" t="s">
        <v>44</v>
      </c>
      <c r="F6474">
        <f t="shared" ca="1" si="204"/>
        <v>0.44166666666666665</v>
      </c>
      <c r="G6474">
        <f t="shared" ca="1" si="205"/>
        <v>1</v>
      </c>
    </row>
    <row r="6475" spans="1:7">
      <c r="A6475">
        <v>9981</v>
      </c>
      <c r="B6475" t="s">
        <v>211</v>
      </c>
      <c r="C6475" t="s">
        <v>209</v>
      </c>
      <c r="D6475" s="9">
        <v>41843.631701388891</v>
      </c>
      <c r="F6475">
        <f t="shared" ca="1" si="204"/>
        <v>0.51666666666666672</v>
      </c>
      <c r="G6475">
        <f t="shared" ca="1" si="205"/>
        <v>1</v>
      </c>
    </row>
    <row r="6476" spans="1:7">
      <c r="A6476">
        <v>9984</v>
      </c>
      <c r="B6476" t="s">
        <v>80</v>
      </c>
      <c r="C6476" t="s">
        <v>209</v>
      </c>
      <c r="D6476" s="9">
        <v>41954.807164351849</v>
      </c>
      <c r="E6476" t="s">
        <v>36</v>
      </c>
      <c r="F6476">
        <f t="shared" ca="1" si="204"/>
        <v>0.21666666666666667</v>
      </c>
      <c r="G6476">
        <f t="shared" ca="1" si="205"/>
        <v>1</v>
      </c>
    </row>
    <row r="6477" spans="1:7">
      <c r="A6477">
        <v>9985</v>
      </c>
      <c r="B6477" t="s">
        <v>211</v>
      </c>
      <c r="C6477" t="s">
        <v>209</v>
      </c>
      <c r="D6477" s="9">
        <v>41901.826863425929</v>
      </c>
      <c r="E6477" t="s">
        <v>27</v>
      </c>
      <c r="F6477">
        <f t="shared" ca="1" si="204"/>
        <v>0.3611111111111111</v>
      </c>
      <c r="G6477">
        <f t="shared" ca="1" si="205"/>
        <v>1</v>
      </c>
    </row>
    <row r="6478" spans="1:7">
      <c r="A6478">
        <v>9987</v>
      </c>
      <c r="B6478" t="s">
        <v>30</v>
      </c>
      <c r="C6478" t="s">
        <v>209</v>
      </c>
      <c r="D6478" s="9">
        <v>41946.586956018517</v>
      </c>
      <c r="E6478" t="s">
        <v>23</v>
      </c>
      <c r="F6478">
        <f t="shared" ca="1" si="204"/>
        <v>0.2388888888888889</v>
      </c>
      <c r="G6478">
        <f t="shared" ca="1" si="205"/>
        <v>1</v>
      </c>
    </row>
    <row r="6479" spans="1:7">
      <c r="A6479">
        <v>9988</v>
      </c>
      <c r="B6479" t="s">
        <v>211</v>
      </c>
      <c r="C6479" t="s">
        <v>209</v>
      </c>
      <c r="D6479" s="9">
        <v>41873.812719907408</v>
      </c>
      <c r="E6479" t="s">
        <v>27</v>
      </c>
      <c r="F6479">
        <f t="shared" ca="1" si="204"/>
        <v>0.43611111111111112</v>
      </c>
      <c r="G6479">
        <f t="shared" ca="1" si="205"/>
        <v>1</v>
      </c>
    </row>
    <row r="6480" spans="1:7">
      <c r="A6480">
        <v>9989</v>
      </c>
      <c r="B6480" t="s">
        <v>23</v>
      </c>
      <c r="C6480" t="s">
        <v>209</v>
      </c>
      <c r="D6480" s="9">
        <v>41943.715266203704</v>
      </c>
      <c r="E6480" t="s">
        <v>213</v>
      </c>
      <c r="F6480">
        <f t="shared" ca="1" si="204"/>
        <v>0.24722222222222223</v>
      </c>
      <c r="G6480">
        <f t="shared" ca="1" si="205"/>
        <v>1</v>
      </c>
    </row>
    <row r="6481" spans="1:7">
      <c r="A6481">
        <v>9990</v>
      </c>
      <c r="B6481" t="s">
        <v>69</v>
      </c>
      <c r="C6481" t="s">
        <v>209</v>
      </c>
      <c r="D6481" s="9">
        <v>41873.579039351855</v>
      </c>
      <c r="E6481" t="s">
        <v>211</v>
      </c>
      <c r="F6481">
        <f t="shared" ca="1" si="204"/>
        <v>0.43611111111111112</v>
      </c>
      <c r="G6481">
        <f t="shared" ca="1" si="205"/>
        <v>1</v>
      </c>
    </row>
    <row r="6482" spans="1:7">
      <c r="A6482">
        <v>9993</v>
      </c>
      <c r="B6482" t="s">
        <v>69</v>
      </c>
      <c r="C6482" t="s">
        <v>209</v>
      </c>
      <c r="D6482" s="9">
        <v>41869.890370370369</v>
      </c>
      <c r="E6482" t="s">
        <v>36</v>
      </c>
      <c r="F6482">
        <f t="shared" ca="1" si="204"/>
        <v>0.44722222222222224</v>
      </c>
      <c r="G6482">
        <f t="shared" ca="1" si="205"/>
        <v>1</v>
      </c>
    </row>
    <row r="6483" spans="1:7">
      <c r="A6483">
        <v>9996</v>
      </c>
      <c r="B6483" t="s">
        <v>30</v>
      </c>
      <c r="C6483" t="s">
        <v>209</v>
      </c>
      <c r="D6483" s="9">
        <v>41855.336875000001</v>
      </c>
      <c r="E6483" t="s">
        <v>44</v>
      </c>
      <c r="F6483">
        <f t="shared" ca="1" si="204"/>
        <v>0.4861111111111111</v>
      </c>
      <c r="G6483">
        <f t="shared" ca="1" si="205"/>
        <v>1</v>
      </c>
    </row>
    <row r="6484" spans="1:7">
      <c r="A6484">
        <v>9997</v>
      </c>
      <c r="B6484" t="s">
        <v>30</v>
      </c>
      <c r="C6484" t="s">
        <v>209</v>
      </c>
      <c r="D6484" s="9">
        <v>41855.558391203704</v>
      </c>
      <c r="E6484" t="s">
        <v>44</v>
      </c>
      <c r="F6484">
        <f t="shared" ca="1" si="204"/>
        <v>0.4861111111111111</v>
      </c>
      <c r="G6484">
        <f t="shared" ca="1" si="205"/>
        <v>1</v>
      </c>
    </row>
    <row r="6485" spans="1:7">
      <c r="A6485">
        <v>9998</v>
      </c>
      <c r="B6485" t="s">
        <v>23</v>
      </c>
      <c r="C6485" t="s">
        <v>209</v>
      </c>
      <c r="D6485" s="9">
        <v>41922.584583333337</v>
      </c>
      <c r="E6485" t="s">
        <v>211</v>
      </c>
      <c r="F6485">
        <f t="shared" ca="1" si="204"/>
        <v>0.30277777777777776</v>
      </c>
      <c r="G6485">
        <f t="shared" ca="1" si="205"/>
        <v>1</v>
      </c>
    </row>
    <row r="6486" spans="1:7">
      <c r="A6486">
        <v>10000</v>
      </c>
      <c r="B6486" t="s">
        <v>69</v>
      </c>
      <c r="C6486" t="s">
        <v>209</v>
      </c>
      <c r="D6486" s="9">
        <v>41859.644687499997</v>
      </c>
      <c r="E6486" t="s">
        <v>112</v>
      </c>
      <c r="F6486">
        <f t="shared" ca="1" si="204"/>
        <v>0.47499999999999998</v>
      </c>
      <c r="G6486">
        <f t="shared" ca="1" si="205"/>
        <v>1</v>
      </c>
    </row>
    <row r="6487" spans="1:7">
      <c r="A6487">
        <v>10003</v>
      </c>
      <c r="B6487" t="s">
        <v>211</v>
      </c>
      <c r="C6487" t="s">
        <v>209</v>
      </c>
      <c r="D6487" s="9">
        <v>41879.884884259256</v>
      </c>
      <c r="E6487" t="s">
        <v>27</v>
      </c>
      <c r="F6487">
        <f t="shared" ca="1" si="204"/>
        <v>0.41944444444444445</v>
      </c>
      <c r="G6487">
        <f t="shared" ca="1" si="205"/>
        <v>1</v>
      </c>
    </row>
    <row r="6488" spans="1:7">
      <c r="A6488">
        <v>10008</v>
      </c>
      <c r="B6488" t="s">
        <v>34</v>
      </c>
      <c r="C6488" t="s">
        <v>209</v>
      </c>
      <c r="D6488" s="9">
        <v>41855.428831018522</v>
      </c>
      <c r="E6488" t="s">
        <v>19</v>
      </c>
      <c r="F6488">
        <f t="shared" ca="1" si="204"/>
        <v>0.4861111111111111</v>
      </c>
      <c r="G6488">
        <f t="shared" ca="1" si="205"/>
        <v>1</v>
      </c>
    </row>
    <row r="6489" spans="1:7">
      <c r="A6489">
        <v>10012</v>
      </c>
      <c r="B6489" t="s">
        <v>8</v>
      </c>
      <c r="C6489" t="s">
        <v>210</v>
      </c>
      <c r="D6489" s="9">
        <v>41870.49015046296</v>
      </c>
      <c r="E6489" t="s">
        <v>23</v>
      </c>
      <c r="F6489">
        <f t="shared" ca="1" si="204"/>
        <v>0.44444444444444442</v>
      </c>
      <c r="G6489">
        <f t="shared" ca="1" si="205"/>
        <v>1</v>
      </c>
    </row>
    <row r="6490" spans="1:7">
      <c r="A6490">
        <v>10014</v>
      </c>
      <c r="B6490" t="s">
        <v>36</v>
      </c>
      <c r="C6490" t="s">
        <v>209</v>
      </c>
      <c r="D6490" s="9">
        <v>41852.628796296296</v>
      </c>
      <c r="E6490" t="s">
        <v>21</v>
      </c>
      <c r="F6490">
        <f t="shared" ca="1" si="204"/>
        <v>0.49444444444444446</v>
      </c>
      <c r="G6490">
        <f t="shared" ca="1" si="205"/>
        <v>1</v>
      </c>
    </row>
    <row r="6491" spans="1:7">
      <c r="A6491">
        <v>10015</v>
      </c>
      <c r="B6491" t="s">
        <v>211</v>
      </c>
      <c r="C6491" t="s">
        <v>209</v>
      </c>
      <c r="D6491" s="9">
        <v>41957.616956018515</v>
      </c>
      <c r="E6491" t="s">
        <v>20</v>
      </c>
      <c r="F6491">
        <f t="shared" ca="1" si="204"/>
        <v>0.20833333333333334</v>
      </c>
      <c r="G6491">
        <f t="shared" ca="1" si="205"/>
        <v>1</v>
      </c>
    </row>
    <row r="6492" spans="1:7">
      <c r="A6492">
        <v>10016</v>
      </c>
      <c r="B6492" t="s">
        <v>20</v>
      </c>
      <c r="C6492" t="s">
        <v>209</v>
      </c>
      <c r="D6492" s="9">
        <v>41899.810648148145</v>
      </c>
      <c r="E6492" t="s">
        <v>27</v>
      </c>
      <c r="F6492">
        <f t="shared" ca="1" si="204"/>
        <v>0.36666666666666664</v>
      </c>
      <c r="G6492">
        <f t="shared" ca="1" si="205"/>
        <v>1</v>
      </c>
    </row>
    <row r="6493" spans="1:7">
      <c r="A6493">
        <v>10020</v>
      </c>
      <c r="B6493" t="s">
        <v>215</v>
      </c>
      <c r="C6493" t="s">
        <v>209</v>
      </c>
      <c r="D6493" s="9">
        <v>41859.454826388886</v>
      </c>
      <c r="E6493" t="s">
        <v>44</v>
      </c>
      <c r="F6493">
        <f t="shared" ca="1" si="204"/>
        <v>0.47499999999999998</v>
      </c>
      <c r="G6493">
        <f t="shared" ca="1" si="205"/>
        <v>1</v>
      </c>
    </row>
    <row r="6494" spans="1:7">
      <c r="A6494">
        <v>10026</v>
      </c>
      <c r="B6494" t="s">
        <v>32</v>
      </c>
      <c r="C6494" t="s">
        <v>209</v>
      </c>
      <c r="D6494" s="9">
        <v>41870.457499999997</v>
      </c>
      <c r="E6494" t="s">
        <v>30</v>
      </c>
      <c r="F6494">
        <f t="shared" ca="1" si="204"/>
        <v>0.44444444444444442</v>
      </c>
      <c r="G6494">
        <f t="shared" ca="1" si="205"/>
        <v>1</v>
      </c>
    </row>
    <row r="6495" spans="1:7">
      <c r="A6495">
        <v>10029</v>
      </c>
      <c r="B6495" t="s">
        <v>19</v>
      </c>
      <c r="C6495" t="s">
        <v>209</v>
      </c>
      <c r="D6495" s="9">
        <v>41856.64472222222</v>
      </c>
      <c r="E6495" t="s">
        <v>69</v>
      </c>
      <c r="F6495">
        <f t="shared" ca="1" si="204"/>
        <v>0.48333333333333334</v>
      </c>
      <c r="G6495">
        <f t="shared" ca="1" si="205"/>
        <v>1</v>
      </c>
    </row>
    <row r="6496" spans="1:7">
      <c r="A6496">
        <v>10030</v>
      </c>
      <c r="B6496" t="s">
        <v>44</v>
      </c>
      <c r="C6496" t="s">
        <v>209</v>
      </c>
      <c r="D6496" s="9">
        <v>41859.631874999999</v>
      </c>
      <c r="E6496" t="s">
        <v>21</v>
      </c>
      <c r="F6496">
        <f t="shared" ca="1" si="204"/>
        <v>0.47499999999999998</v>
      </c>
      <c r="G6496">
        <f t="shared" ca="1" si="205"/>
        <v>1</v>
      </c>
    </row>
    <row r="6497" spans="1:7">
      <c r="A6497">
        <v>10031</v>
      </c>
      <c r="B6497" t="s">
        <v>34</v>
      </c>
      <c r="C6497" t="s">
        <v>209</v>
      </c>
      <c r="D6497" s="9">
        <v>41950.433645833335</v>
      </c>
      <c r="E6497" t="s">
        <v>211</v>
      </c>
      <c r="F6497">
        <f t="shared" ca="1" si="204"/>
        <v>0.22777777777777777</v>
      </c>
      <c r="G6497">
        <f t="shared" ca="1" si="205"/>
        <v>1</v>
      </c>
    </row>
    <row r="6498" spans="1:7">
      <c r="A6498">
        <v>10032</v>
      </c>
      <c r="B6498" t="s">
        <v>14</v>
      </c>
      <c r="C6498" t="s">
        <v>209</v>
      </c>
      <c r="D6498" s="9">
        <v>41857.568564814814</v>
      </c>
      <c r="E6498" t="s">
        <v>8</v>
      </c>
      <c r="F6498">
        <f t="shared" ca="1" si="204"/>
        <v>0.48055555555555557</v>
      </c>
      <c r="G6498">
        <f t="shared" ca="1" si="205"/>
        <v>1</v>
      </c>
    </row>
    <row r="6499" spans="1:7">
      <c r="A6499">
        <v>10033</v>
      </c>
      <c r="B6499" t="s">
        <v>19</v>
      </c>
      <c r="C6499" t="s">
        <v>209</v>
      </c>
      <c r="D6499" s="9">
        <v>41852.617604166669</v>
      </c>
      <c r="E6499" t="s">
        <v>21</v>
      </c>
      <c r="F6499">
        <f t="shared" ca="1" si="204"/>
        <v>0.49444444444444446</v>
      </c>
      <c r="G6499">
        <f t="shared" ca="1" si="205"/>
        <v>1</v>
      </c>
    </row>
    <row r="6500" spans="1:7">
      <c r="A6500">
        <v>10035</v>
      </c>
      <c r="B6500" t="s">
        <v>30</v>
      </c>
      <c r="C6500" t="s">
        <v>209</v>
      </c>
      <c r="D6500" s="9">
        <v>41906.430115740739</v>
      </c>
      <c r="E6500" t="s">
        <v>44</v>
      </c>
      <c r="F6500">
        <f t="shared" ca="1" si="204"/>
        <v>0.34722222222222221</v>
      </c>
      <c r="G6500">
        <f t="shared" ca="1" si="205"/>
        <v>1</v>
      </c>
    </row>
    <row r="6501" spans="1:7">
      <c r="A6501">
        <v>10039</v>
      </c>
      <c r="B6501" t="s">
        <v>215</v>
      </c>
      <c r="C6501" t="s">
        <v>209</v>
      </c>
      <c r="D6501" s="9">
        <v>41855.697581018518</v>
      </c>
      <c r="E6501" t="s">
        <v>36</v>
      </c>
      <c r="F6501">
        <f t="shared" ca="1" si="204"/>
        <v>0.4861111111111111</v>
      </c>
      <c r="G6501">
        <f t="shared" ca="1" si="205"/>
        <v>1</v>
      </c>
    </row>
    <row r="6502" spans="1:7">
      <c r="A6502">
        <v>10040</v>
      </c>
      <c r="B6502" t="s">
        <v>23</v>
      </c>
      <c r="C6502" t="s">
        <v>209</v>
      </c>
      <c r="D6502" s="9">
        <v>41873.587025462963</v>
      </c>
      <c r="E6502" t="s">
        <v>215</v>
      </c>
      <c r="F6502">
        <f t="shared" ca="1" si="204"/>
        <v>0.43611111111111112</v>
      </c>
      <c r="G6502">
        <f t="shared" ca="1" si="205"/>
        <v>1</v>
      </c>
    </row>
    <row r="6503" spans="1:7">
      <c r="A6503">
        <v>10051</v>
      </c>
      <c r="B6503" t="s">
        <v>112</v>
      </c>
      <c r="C6503" t="s">
        <v>209</v>
      </c>
      <c r="D6503" s="9">
        <v>41859.348495370374</v>
      </c>
      <c r="E6503" t="s">
        <v>69</v>
      </c>
      <c r="F6503">
        <f t="shared" ca="1" si="204"/>
        <v>0.47499999999999998</v>
      </c>
      <c r="G6503">
        <f t="shared" ca="1" si="205"/>
        <v>1</v>
      </c>
    </row>
    <row r="6504" spans="1:7">
      <c r="A6504">
        <v>10053</v>
      </c>
      <c r="B6504" t="s">
        <v>211</v>
      </c>
      <c r="C6504" t="s">
        <v>209</v>
      </c>
      <c r="D6504" s="9">
        <v>41862.359317129631</v>
      </c>
      <c r="E6504" t="s">
        <v>14</v>
      </c>
      <c r="F6504">
        <f t="shared" ca="1" si="204"/>
        <v>0.46666666666666667</v>
      </c>
      <c r="G6504">
        <f t="shared" ca="1" si="205"/>
        <v>1</v>
      </c>
    </row>
    <row r="6505" spans="1:7">
      <c r="A6505">
        <v>10054</v>
      </c>
      <c r="B6505" t="s">
        <v>19</v>
      </c>
      <c r="C6505" t="s">
        <v>209</v>
      </c>
      <c r="D6505" s="9">
        <v>41859.622037037036</v>
      </c>
      <c r="E6505" t="s">
        <v>215</v>
      </c>
      <c r="F6505">
        <f t="shared" ca="1" si="204"/>
        <v>0.47499999999999998</v>
      </c>
      <c r="G6505">
        <f t="shared" ca="1" si="205"/>
        <v>1</v>
      </c>
    </row>
    <row r="6506" spans="1:7">
      <c r="A6506">
        <v>10057</v>
      </c>
      <c r="B6506" t="s">
        <v>211</v>
      </c>
      <c r="C6506" t="s">
        <v>209</v>
      </c>
      <c r="D6506" s="9">
        <v>41918.629594907405</v>
      </c>
      <c r="E6506" t="s">
        <v>44</v>
      </c>
      <c r="F6506">
        <f t="shared" ca="1" si="204"/>
        <v>0.31388888888888888</v>
      </c>
      <c r="G6506">
        <f t="shared" ca="1" si="205"/>
        <v>1</v>
      </c>
    </row>
    <row r="6507" spans="1:7">
      <c r="A6507">
        <v>10059</v>
      </c>
      <c r="B6507" t="s">
        <v>23</v>
      </c>
      <c r="C6507" t="s">
        <v>209</v>
      </c>
      <c r="D6507" s="9">
        <v>41869.428946759261</v>
      </c>
      <c r="E6507" t="s">
        <v>8</v>
      </c>
      <c r="F6507">
        <f t="shared" ca="1" si="204"/>
        <v>0.44722222222222224</v>
      </c>
      <c r="G6507">
        <f t="shared" ca="1" si="205"/>
        <v>1</v>
      </c>
    </row>
    <row r="6508" spans="1:7">
      <c r="A6508">
        <v>10061</v>
      </c>
      <c r="B6508" t="s">
        <v>214</v>
      </c>
      <c r="C6508" t="s">
        <v>209</v>
      </c>
      <c r="D6508" s="9">
        <v>41908.544270833336</v>
      </c>
      <c r="E6508" t="s">
        <v>44</v>
      </c>
      <c r="F6508">
        <f t="shared" ca="1" si="204"/>
        <v>0.34166666666666667</v>
      </c>
      <c r="G6508">
        <f t="shared" ca="1" si="205"/>
        <v>1</v>
      </c>
    </row>
    <row r="6509" spans="1:7">
      <c r="A6509">
        <v>10064</v>
      </c>
      <c r="B6509" t="s">
        <v>211</v>
      </c>
      <c r="C6509" t="s">
        <v>209</v>
      </c>
      <c r="D6509" s="9">
        <v>41933.516296296293</v>
      </c>
      <c r="E6509" t="s">
        <v>213</v>
      </c>
      <c r="F6509">
        <f t="shared" ca="1" si="204"/>
        <v>0.2722222222222222</v>
      </c>
      <c r="G6509">
        <f t="shared" ca="1" si="205"/>
        <v>1</v>
      </c>
    </row>
    <row r="6510" spans="1:7">
      <c r="A6510">
        <v>10065</v>
      </c>
      <c r="B6510" t="s">
        <v>211</v>
      </c>
      <c r="C6510" t="s">
        <v>209</v>
      </c>
      <c r="D6510" s="9">
        <v>41926.465300925927</v>
      </c>
      <c r="E6510" t="s">
        <v>23</v>
      </c>
      <c r="F6510">
        <f t="shared" ca="1" si="204"/>
        <v>0.29166666666666669</v>
      </c>
      <c r="G6510">
        <f t="shared" ca="1" si="205"/>
        <v>1</v>
      </c>
    </row>
    <row r="6511" spans="1:7">
      <c r="A6511">
        <v>10069</v>
      </c>
      <c r="B6511" t="s">
        <v>21</v>
      </c>
      <c r="C6511" t="s">
        <v>209</v>
      </c>
      <c r="D6511" s="9">
        <v>41961.411168981482</v>
      </c>
      <c r="E6511" t="s">
        <v>32</v>
      </c>
      <c r="F6511">
        <f t="shared" ca="1" si="204"/>
        <v>0.19722222222222222</v>
      </c>
      <c r="G6511">
        <f t="shared" ca="1" si="205"/>
        <v>1</v>
      </c>
    </row>
    <row r="6512" spans="1:7">
      <c r="A6512">
        <v>10070</v>
      </c>
      <c r="B6512" t="s">
        <v>211</v>
      </c>
      <c r="C6512" t="s">
        <v>209</v>
      </c>
      <c r="D6512" s="9">
        <v>41859.612534722219</v>
      </c>
      <c r="E6512" t="s">
        <v>14</v>
      </c>
      <c r="F6512">
        <f t="shared" ca="1" si="204"/>
        <v>0.47499999999999998</v>
      </c>
      <c r="G6512">
        <f t="shared" ca="1" si="205"/>
        <v>1</v>
      </c>
    </row>
    <row r="6513" spans="1:7">
      <c r="A6513">
        <v>10072</v>
      </c>
      <c r="B6513" t="s">
        <v>213</v>
      </c>
      <c r="C6513" t="s">
        <v>209</v>
      </c>
      <c r="D6513" s="9">
        <v>41964.365706018521</v>
      </c>
      <c r="E6513" t="s">
        <v>211</v>
      </c>
      <c r="F6513">
        <f t="shared" ca="1" si="204"/>
        <v>0.18888888888888888</v>
      </c>
      <c r="G6513">
        <f t="shared" ca="1" si="205"/>
        <v>1</v>
      </c>
    </row>
    <row r="6514" spans="1:7">
      <c r="A6514">
        <v>10074</v>
      </c>
      <c r="B6514" t="s">
        <v>69</v>
      </c>
      <c r="C6514" t="s">
        <v>209</v>
      </c>
      <c r="D6514" s="9">
        <v>41863.421377314815</v>
      </c>
      <c r="E6514" t="s">
        <v>8</v>
      </c>
      <c r="F6514">
        <f t="shared" ca="1" si="204"/>
        <v>0.46388888888888891</v>
      </c>
      <c r="G6514">
        <f t="shared" ca="1" si="205"/>
        <v>1</v>
      </c>
    </row>
    <row r="6515" spans="1:7">
      <c r="A6515">
        <v>10075</v>
      </c>
      <c r="B6515" t="s">
        <v>211</v>
      </c>
      <c r="C6515" t="s">
        <v>209</v>
      </c>
      <c r="D6515" s="9">
        <v>41859.623020833336</v>
      </c>
      <c r="E6515" t="s">
        <v>14</v>
      </c>
      <c r="F6515">
        <f t="shared" ca="1" si="204"/>
        <v>0.47499999999999998</v>
      </c>
      <c r="G6515">
        <f t="shared" ca="1" si="205"/>
        <v>1</v>
      </c>
    </row>
    <row r="6516" spans="1:7">
      <c r="A6516">
        <v>10081</v>
      </c>
      <c r="B6516" t="s">
        <v>38</v>
      </c>
      <c r="C6516" t="s">
        <v>209</v>
      </c>
      <c r="D6516" s="9">
        <v>41866.864490740743</v>
      </c>
      <c r="E6516" t="s">
        <v>27</v>
      </c>
      <c r="F6516">
        <f t="shared" ca="1" si="204"/>
        <v>0.45555555555555555</v>
      </c>
      <c r="G6516">
        <f t="shared" ca="1" si="205"/>
        <v>1</v>
      </c>
    </row>
    <row r="6517" spans="1:7">
      <c r="A6517">
        <v>10083</v>
      </c>
      <c r="B6517" t="s">
        <v>211</v>
      </c>
      <c r="C6517" t="s">
        <v>209</v>
      </c>
      <c r="D6517" s="9">
        <v>41918.629606481481</v>
      </c>
      <c r="E6517" t="s">
        <v>215</v>
      </c>
      <c r="F6517">
        <f t="shared" ca="1" si="204"/>
        <v>0.31388888888888888</v>
      </c>
      <c r="G6517">
        <f t="shared" ca="1" si="205"/>
        <v>1</v>
      </c>
    </row>
    <row r="6518" spans="1:7">
      <c r="A6518">
        <v>10085</v>
      </c>
      <c r="B6518" t="s">
        <v>211</v>
      </c>
      <c r="C6518" t="s">
        <v>209</v>
      </c>
      <c r="D6518" s="9">
        <v>41918.629606481481</v>
      </c>
      <c r="E6518" t="s">
        <v>44</v>
      </c>
      <c r="F6518">
        <f t="shared" ca="1" si="204"/>
        <v>0.31388888888888888</v>
      </c>
      <c r="G6518">
        <f t="shared" ca="1" si="205"/>
        <v>1</v>
      </c>
    </row>
    <row r="6519" spans="1:7">
      <c r="A6519">
        <v>10090</v>
      </c>
      <c r="B6519" t="s">
        <v>69</v>
      </c>
      <c r="C6519" t="s">
        <v>209</v>
      </c>
      <c r="D6519" s="9">
        <v>41950.488009259258</v>
      </c>
      <c r="E6519" t="s">
        <v>211</v>
      </c>
      <c r="F6519">
        <f t="shared" ca="1" si="204"/>
        <v>0.22777777777777777</v>
      </c>
      <c r="G6519">
        <f t="shared" ca="1" si="205"/>
        <v>1</v>
      </c>
    </row>
    <row r="6520" spans="1:7">
      <c r="A6520">
        <v>10091</v>
      </c>
      <c r="B6520" t="s">
        <v>44</v>
      </c>
      <c r="C6520" t="s">
        <v>209</v>
      </c>
      <c r="D6520" s="9">
        <v>41878.410509259258</v>
      </c>
      <c r="E6520" t="s">
        <v>8</v>
      </c>
      <c r="F6520">
        <f t="shared" ca="1" si="204"/>
        <v>0.42222222222222222</v>
      </c>
      <c r="G6520">
        <f t="shared" ca="1" si="205"/>
        <v>1</v>
      </c>
    </row>
    <row r="6521" spans="1:7">
      <c r="A6521">
        <v>10092</v>
      </c>
      <c r="B6521" t="s">
        <v>211</v>
      </c>
      <c r="C6521" t="s">
        <v>209</v>
      </c>
      <c r="D6521" s="9">
        <v>41900.421122685184</v>
      </c>
      <c r="E6521" t="s">
        <v>8</v>
      </c>
      <c r="F6521">
        <f t="shared" ca="1" si="204"/>
        <v>0.36388888888888887</v>
      </c>
      <c r="G6521">
        <f t="shared" ca="1" si="205"/>
        <v>1</v>
      </c>
    </row>
    <row r="6522" spans="1:7">
      <c r="A6522">
        <v>10096</v>
      </c>
      <c r="B6522" t="s">
        <v>43</v>
      </c>
      <c r="C6522" t="s">
        <v>209</v>
      </c>
      <c r="D6522" s="9">
        <v>41866.56527777778</v>
      </c>
      <c r="E6522" t="s">
        <v>32</v>
      </c>
      <c r="F6522">
        <f t="shared" ca="1" si="204"/>
        <v>0.45555555555555555</v>
      </c>
      <c r="G6522">
        <f t="shared" ca="1" si="205"/>
        <v>1</v>
      </c>
    </row>
    <row r="6523" spans="1:7">
      <c r="A6523">
        <v>10098</v>
      </c>
      <c r="B6523" t="s">
        <v>215</v>
      </c>
      <c r="C6523" t="s">
        <v>209</v>
      </c>
      <c r="D6523" s="9">
        <v>41866.659351851849</v>
      </c>
      <c r="E6523" t="s">
        <v>19</v>
      </c>
      <c r="F6523">
        <f t="shared" ca="1" si="204"/>
        <v>0.45555555555555555</v>
      </c>
      <c r="G6523">
        <f t="shared" ca="1" si="205"/>
        <v>1</v>
      </c>
    </row>
    <row r="6524" spans="1:7">
      <c r="A6524">
        <v>10099</v>
      </c>
      <c r="B6524" t="s">
        <v>215</v>
      </c>
      <c r="C6524" t="s">
        <v>209</v>
      </c>
      <c r="D6524" s="9">
        <v>41890.459618055553</v>
      </c>
      <c r="E6524" t="s">
        <v>19</v>
      </c>
      <c r="F6524">
        <f t="shared" ca="1" si="204"/>
        <v>0.39166666666666666</v>
      </c>
      <c r="G6524">
        <f t="shared" ca="1" si="205"/>
        <v>1</v>
      </c>
    </row>
    <row r="6525" spans="1:7">
      <c r="A6525">
        <v>10103</v>
      </c>
      <c r="B6525" t="s">
        <v>215</v>
      </c>
      <c r="C6525" t="s">
        <v>209</v>
      </c>
      <c r="D6525" s="9">
        <v>41872.400717592594</v>
      </c>
      <c r="E6525" t="s">
        <v>19</v>
      </c>
      <c r="F6525">
        <f t="shared" ca="1" si="204"/>
        <v>0.43888888888888888</v>
      </c>
      <c r="G6525">
        <f t="shared" ca="1" si="205"/>
        <v>1</v>
      </c>
    </row>
    <row r="6526" spans="1:7">
      <c r="A6526">
        <v>10106</v>
      </c>
      <c r="B6526" t="s">
        <v>32</v>
      </c>
      <c r="C6526" t="s">
        <v>209</v>
      </c>
      <c r="D6526" s="9">
        <v>41866.629027777781</v>
      </c>
      <c r="E6526" t="s">
        <v>27</v>
      </c>
      <c r="F6526">
        <f t="shared" ca="1" si="204"/>
        <v>0.45555555555555555</v>
      </c>
      <c r="G6526">
        <f t="shared" ca="1" si="205"/>
        <v>1</v>
      </c>
    </row>
    <row r="6527" spans="1:7">
      <c r="A6527">
        <v>10109</v>
      </c>
      <c r="B6527" t="s">
        <v>44</v>
      </c>
      <c r="C6527" t="s">
        <v>209</v>
      </c>
      <c r="D6527" s="9">
        <v>41901.648402777777</v>
      </c>
      <c r="E6527" t="s">
        <v>215</v>
      </c>
      <c r="F6527">
        <f t="shared" ca="1" si="204"/>
        <v>0.3611111111111111</v>
      </c>
      <c r="G6527">
        <f t="shared" ca="1" si="205"/>
        <v>1</v>
      </c>
    </row>
    <row r="6528" spans="1:7">
      <c r="A6528">
        <v>10112</v>
      </c>
      <c r="B6528" t="s">
        <v>215</v>
      </c>
      <c r="C6528" t="s">
        <v>209</v>
      </c>
      <c r="D6528" s="9">
        <v>41872.408449074072</v>
      </c>
      <c r="E6528" t="s">
        <v>19</v>
      </c>
      <c r="F6528">
        <f t="shared" ca="1" si="204"/>
        <v>0.43888888888888888</v>
      </c>
      <c r="G6528">
        <f t="shared" ca="1" si="205"/>
        <v>1</v>
      </c>
    </row>
    <row r="6529" spans="1:7">
      <c r="A6529">
        <v>10113</v>
      </c>
      <c r="B6529" t="s">
        <v>19</v>
      </c>
      <c r="C6529" t="s">
        <v>210</v>
      </c>
      <c r="D6529" s="9">
        <v>41870.590474537035</v>
      </c>
      <c r="E6529" t="s">
        <v>8</v>
      </c>
      <c r="F6529">
        <f t="shared" ca="1" si="204"/>
        <v>0.44444444444444442</v>
      </c>
      <c r="G6529">
        <f t="shared" ca="1" si="205"/>
        <v>1</v>
      </c>
    </row>
    <row r="6530" spans="1:7">
      <c r="A6530">
        <v>10114</v>
      </c>
      <c r="B6530" t="s">
        <v>215</v>
      </c>
      <c r="C6530" t="s">
        <v>209</v>
      </c>
      <c r="D6530" s="9">
        <v>41866.636261574073</v>
      </c>
      <c r="E6530" t="s">
        <v>14</v>
      </c>
      <c r="F6530">
        <f t="shared" ca="1" si="204"/>
        <v>0.45555555555555555</v>
      </c>
      <c r="G6530">
        <f t="shared" ca="1" si="205"/>
        <v>1</v>
      </c>
    </row>
    <row r="6531" spans="1:7">
      <c r="A6531">
        <v>10115</v>
      </c>
      <c r="B6531" t="s">
        <v>215</v>
      </c>
      <c r="C6531" t="s">
        <v>209</v>
      </c>
      <c r="D6531" s="9">
        <v>41872.420682870368</v>
      </c>
      <c r="E6531" t="s">
        <v>19</v>
      </c>
      <c r="F6531">
        <f t="shared" ca="1" si="204"/>
        <v>0.43888888888888888</v>
      </c>
      <c r="G6531">
        <f t="shared" ca="1" si="205"/>
        <v>1</v>
      </c>
    </row>
    <row r="6532" spans="1:7">
      <c r="A6532">
        <v>10116</v>
      </c>
      <c r="B6532" t="s">
        <v>215</v>
      </c>
      <c r="C6532" t="s">
        <v>209</v>
      </c>
      <c r="D6532" s="9">
        <v>41879.659108796295</v>
      </c>
      <c r="E6532" t="s">
        <v>19</v>
      </c>
      <c r="F6532">
        <f t="shared" ca="1" si="204"/>
        <v>0.41944444444444445</v>
      </c>
      <c r="G6532">
        <f t="shared" ca="1" si="205"/>
        <v>1</v>
      </c>
    </row>
    <row r="6533" spans="1:7">
      <c r="A6533">
        <v>10118</v>
      </c>
      <c r="B6533" t="s">
        <v>19</v>
      </c>
      <c r="C6533" t="s">
        <v>209</v>
      </c>
      <c r="D6533" s="9">
        <v>41886.427731481483</v>
      </c>
      <c r="E6533" t="s">
        <v>215</v>
      </c>
      <c r="F6533">
        <f t="shared" ca="1" si="204"/>
        <v>0.40277777777777779</v>
      </c>
      <c r="G6533">
        <f t="shared" ca="1" si="205"/>
        <v>1</v>
      </c>
    </row>
    <row r="6534" spans="1:7">
      <c r="A6534">
        <v>10119</v>
      </c>
      <c r="B6534" t="s">
        <v>20</v>
      </c>
      <c r="C6534" t="s">
        <v>209</v>
      </c>
      <c r="D6534" s="9">
        <v>41899.810624999998</v>
      </c>
      <c r="E6534" t="s">
        <v>38</v>
      </c>
      <c r="F6534">
        <f t="shared" ca="1" si="204"/>
        <v>0.36666666666666664</v>
      </c>
      <c r="G6534">
        <f t="shared" ca="1" si="205"/>
        <v>1</v>
      </c>
    </row>
    <row r="6535" spans="1:7">
      <c r="A6535">
        <v>10124</v>
      </c>
      <c r="B6535" t="s">
        <v>20</v>
      </c>
      <c r="C6535" t="s">
        <v>209</v>
      </c>
      <c r="D6535" s="9">
        <v>41872.469664351855</v>
      </c>
      <c r="E6535" t="s">
        <v>112</v>
      </c>
      <c r="F6535">
        <f t="shared" ref="F6535:F6598" ca="1" si="206">YEARFRAC(TODAY(),$D6535)</f>
        <v>0.43888888888888888</v>
      </c>
      <c r="G6535">
        <f t="shared" ref="G6535:G6598" ca="1" si="207">IF($F6535&lt;1,1,0)</f>
        <v>1</v>
      </c>
    </row>
    <row r="6536" spans="1:7">
      <c r="A6536">
        <v>10125</v>
      </c>
      <c r="B6536" t="s">
        <v>211</v>
      </c>
      <c r="C6536" t="s">
        <v>209</v>
      </c>
      <c r="D6536" s="9">
        <v>41901.564131944448</v>
      </c>
      <c r="E6536" t="s">
        <v>30</v>
      </c>
      <c r="F6536">
        <f t="shared" ca="1" si="206"/>
        <v>0.3611111111111111</v>
      </c>
      <c r="G6536">
        <f t="shared" ca="1" si="207"/>
        <v>1</v>
      </c>
    </row>
    <row r="6537" spans="1:7">
      <c r="A6537">
        <v>10131</v>
      </c>
      <c r="B6537" t="s">
        <v>19</v>
      </c>
      <c r="C6537" t="s">
        <v>209</v>
      </c>
      <c r="D6537" s="9">
        <v>41890.471226851849</v>
      </c>
      <c r="E6537" t="s">
        <v>8</v>
      </c>
      <c r="F6537">
        <f t="shared" ca="1" si="206"/>
        <v>0.39166666666666666</v>
      </c>
      <c r="G6537">
        <f t="shared" ca="1" si="207"/>
        <v>1</v>
      </c>
    </row>
    <row r="6538" spans="1:7">
      <c r="A6538">
        <v>10132</v>
      </c>
      <c r="B6538" t="s">
        <v>27</v>
      </c>
      <c r="C6538" t="s">
        <v>210</v>
      </c>
      <c r="D6538" s="9">
        <v>41872.667094907411</v>
      </c>
      <c r="E6538" t="s">
        <v>38</v>
      </c>
      <c r="F6538">
        <f t="shared" ca="1" si="206"/>
        <v>0.43888888888888888</v>
      </c>
      <c r="G6538">
        <f t="shared" ca="1" si="207"/>
        <v>1</v>
      </c>
    </row>
    <row r="6539" spans="1:7">
      <c r="A6539">
        <v>10133</v>
      </c>
      <c r="B6539" t="s">
        <v>20</v>
      </c>
      <c r="C6539" t="s">
        <v>209</v>
      </c>
      <c r="D6539" s="9">
        <v>41873.555405092593</v>
      </c>
      <c r="E6539" t="s">
        <v>27</v>
      </c>
      <c r="F6539">
        <f t="shared" ca="1" si="206"/>
        <v>0.43611111111111112</v>
      </c>
      <c r="G6539">
        <f t="shared" ca="1" si="207"/>
        <v>1</v>
      </c>
    </row>
    <row r="6540" spans="1:7">
      <c r="A6540">
        <v>10135</v>
      </c>
      <c r="B6540" t="s">
        <v>69</v>
      </c>
      <c r="C6540" t="s">
        <v>209</v>
      </c>
      <c r="D6540" s="9">
        <v>41907.482662037037</v>
      </c>
      <c r="E6540" t="s">
        <v>44</v>
      </c>
      <c r="F6540">
        <f t="shared" ca="1" si="206"/>
        <v>0.34444444444444444</v>
      </c>
      <c r="G6540">
        <f t="shared" ca="1" si="207"/>
        <v>1</v>
      </c>
    </row>
    <row r="6541" spans="1:7">
      <c r="A6541">
        <v>10138</v>
      </c>
      <c r="B6541" t="s">
        <v>36</v>
      </c>
      <c r="C6541" t="s">
        <v>210</v>
      </c>
      <c r="D6541" s="9">
        <v>41872.707407407404</v>
      </c>
      <c r="E6541" t="s">
        <v>38</v>
      </c>
      <c r="F6541">
        <f t="shared" ca="1" si="206"/>
        <v>0.43888888888888888</v>
      </c>
      <c r="G6541">
        <f t="shared" ca="1" si="207"/>
        <v>1</v>
      </c>
    </row>
    <row r="6542" spans="1:7">
      <c r="A6542">
        <v>10139</v>
      </c>
      <c r="B6542" t="s">
        <v>112</v>
      </c>
      <c r="C6542" t="s">
        <v>209</v>
      </c>
      <c r="D6542" s="9">
        <v>41873.693807870368</v>
      </c>
      <c r="E6542" t="s">
        <v>34</v>
      </c>
      <c r="F6542">
        <f t="shared" ca="1" si="206"/>
        <v>0.43611111111111112</v>
      </c>
      <c r="G6542">
        <f t="shared" ca="1" si="207"/>
        <v>1</v>
      </c>
    </row>
    <row r="6543" spans="1:7">
      <c r="A6543">
        <v>10140</v>
      </c>
      <c r="B6543" t="s">
        <v>211</v>
      </c>
      <c r="C6543" t="s">
        <v>209</v>
      </c>
      <c r="D6543" s="9">
        <v>41894.575740740744</v>
      </c>
      <c r="E6543" t="s">
        <v>215</v>
      </c>
      <c r="F6543">
        <f t="shared" ca="1" si="206"/>
        <v>0.38055555555555554</v>
      </c>
      <c r="G6543">
        <f t="shared" ca="1" si="207"/>
        <v>1</v>
      </c>
    </row>
    <row r="6544" spans="1:7">
      <c r="A6544">
        <v>10144</v>
      </c>
      <c r="B6544" t="s">
        <v>20</v>
      </c>
      <c r="C6544" t="s">
        <v>209</v>
      </c>
      <c r="D6544" s="9">
        <v>41873.557025462964</v>
      </c>
      <c r="E6544" t="s">
        <v>215</v>
      </c>
      <c r="F6544">
        <f t="shared" ca="1" si="206"/>
        <v>0.43611111111111112</v>
      </c>
      <c r="G6544">
        <f t="shared" ca="1" si="207"/>
        <v>1</v>
      </c>
    </row>
    <row r="6545" spans="1:7">
      <c r="A6545">
        <v>10146</v>
      </c>
      <c r="B6545" t="s">
        <v>21</v>
      </c>
      <c r="C6545" t="s">
        <v>209</v>
      </c>
      <c r="D6545" s="9">
        <v>41873.74255787037</v>
      </c>
      <c r="E6545" t="s">
        <v>20</v>
      </c>
      <c r="F6545">
        <f t="shared" ca="1" si="206"/>
        <v>0.43611111111111112</v>
      </c>
      <c r="G6545">
        <f t="shared" ca="1" si="207"/>
        <v>1</v>
      </c>
    </row>
    <row r="6546" spans="1:7">
      <c r="A6546">
        <v>10149</v>
      </c>
      <c r="B6546" t="s">
        <v>44</v>
      </c>
      <c r="C6546" t="s">
        <v>209</v>
      </c>
      <c r="D6546" s="9">
        <v>41877.442766203705</v>
      </c>
      <c r="E6546" t="s">
        <v>19</v>
      </c>
      <c r="F6546">
        <f t="shared" ca="1" si="206"/>
        <v>0.42499999999999999</v>
      </c>
      <c r="G6546">
        <f t="shared" ca="1" si="207"/>
        <v>1</v>
      </c>
    </row>
    <row r="6547" spans="1:7">
      <c r="A6547">
        <v>10150</v>
      </c>
      <c r="B6547" t="s">
        <v>8</v>
      </c>
      <c r="C6547" t="s">
        <v>209</v>
      </c>
      <c r="D6547" s="9">
        <v>41877.574560185189</v>
      </c>
      <c r="E6547" t="s">
        <v>19</v>
      </c>
      <c r="F6547">
        <f t="shared" ca="1" si="206"/>
        <v>0.42499999999999999</v>
      </c>
      <c r="G6547">
        <f t="shared" ca="1" si="207"/>
        <v>1</v>
      </c>
    </row>
    <row r="6548" spans="1:7">
      <c r="A6548">
        <v>10152</v>
      </c>
      <c r="B6548" t="s">
        <v>212</v>
      </c>
      <c r="C6548" t="s">
        <v>209</v>
      </c>
      <c r="D6548" s="9">
        <v>41901.631874999999</v>
      </c>
      <c r="E6548" t="s">
        <v>44</v>
      </c>
      <c r="F6548">
        <f t="shared" ca="1" si="206"/>
        <v>0.3611111111111111</v>
      </c>
      <c r="G6548">
        <f t="shared" ca="1" si="207"/>
        <v>1</v>
      </c>
    </row>
    <row r="6549" spans="1:7">
      <c r="A6549">
        <v>10153</v>
      </c>
      <c r="B6549" t="s">
        <v>52</v>
      </c>
      <c r="C6549" t="s">
        <v>209</v>
      </c>
      <c r="D6549" s="9">
        <v>41901.559849537036</v>
      </c>
      <c r="E6549" t="s">
        <v>32</v>
      </c>
      <c r="F6549">
        <f t="shared" ca="1" si="206"/>
        <v>0.3611111111111111</v>
      </c>
      <c r="G6549">
        <f t="shared" ca="1" si="207"/>
        <v>1</v>
      </c>
    </row>
    <row r="6550" spans="1:7">
      <c r="A6550">
        <v>10155</v>
      </c>
      <c r="B6550" t="s">
        <v>112</v>
      </c>
      <c r="C6550" t="s">
        <v>209</v>
      </c>
      <c r="D6550" s="9">
        <v>41873.618425925924</v>
      </c>
      <c r="E6550" t="s">
        <v>211</v>
      </c>
      <c r="F6550">
        <f t="shared" ca="1" si="206"/>
        <v>0.43611111111111112</v>
      </c>
      <c r="G6550">
        <f t="shared" ca="1" si="207"/>
        <v>1</v>
      </c>
    </row>
    <row r="6551" spans="1:7">
      <c r="A6551">
        <v>10156</v>
      </c>
      <c r="B6551" t="s">
        <v>50</v>
      </c>
      <c r="C6551" t="s">
        <v>209</v>
      </c>
      <c r="D6551" s="9">
        <v>41891.573055555556</v>
      </c>
      <c r="E6551" t="s">
        <v>44</v>
      </c>
      <c r="F6551">
        <f t="shared" ca="1" si="206"/>
        <v>0.3888888888888889</v>
      </c>
      <c r="G6551">
        <f t="shared" ca="1" si="207"/>
        <v>1</v>
      </c>
    </row>
    <row r="6552" spans="1:7">
      <c r="A6552">
        <v>10161</v>
      </c>
      <c r="B6552" t="s">
        <v>19</v>
      </c>
      <c r="C6552" t="s">
        <v>209</v>
      </c>
      <c r="D6552" s="9">
        <v>41887.660405092596</v>
      </c>
      <c r="F6552">
        <f t="shared" ca="1" si="206"/>
        <v>0.4</v>
      </c>
      <c r="G6552">
        <f t="shared" ca="1" si="207"/>
        <v>1</v>
      </c>
    </row>
    <row r="6553" spans="1:7">
      <c r="A6553">
        <v>10171</v>
      </c>
      <c r="B6553" t="s">
        <v>34</v>
      </c>
      <c r="C6553" t="s">
        <v>209</v>
      </c>
      <c r="D6553" s="9">
        <v>41919.762858796297</v>
      </c>
      <c r="E6553" t="s">
        <v>21</v>
      </c>
      <c r="F6553">
        <f t="shared" ca="1" si="206"/>
        <v>0.31111111111111112</v>
      </c>
      <c r="G6553">
        <f t="shared" ca="1" si="207"/>
        <v>1</v>
      </c>
    </row>
    <row r="6554" spans="1:7">
      <c r="A6554">
        <v>10172</v>
      </c>
      <c r="B6554" t="s">
        <v>34</v>
      </c>
      <c r="C6554" t="s">
        <v>209</v>
      </c>
      <c r="D6554" s="9">
        <v>41885.676226851851</v>
      </c>
      <c r="E6554" t="s">
        <v>30</v>
      </c>
      <c r="F6554">
        <f t="shared" ca="1" si="206"/>
        <v>0.40555555555555556</v>
      </c>
      <c r="G6554">
        <f t="shared" ca="1" si="207"/>
        <v>1</v>
      </c>
    </row>
    <row r="6555" spans="1:7">
      <c r="A6555">
        <v>10174</v>
      </c>
      <c r="B6555" t="s">
        <v>20</v>
      </c>
      <c r="C6555" t="s">
        <v>209</v>
      </c>
      <c r="D6555" s="9">
        <v>41884.886805555558</v>
      </c>
      <c r="E6555" t="s">
        <v>19</v>
      </c>
      <c r="F6555">
        <f t="shared" ca="1" si="206"/>
        <v>0.40833333333333333</v>
      </c>
      <c r="G6555">
        <f t="shared" ca="1" si="207"/>
        <v>1</v>
      </c>
    </row>
    <row r="6556" spans="1:7">
      <c r="A6556">
        <v>10179</v>
      </c>
      <c r="B6556" t="s">
        <v>44</v>
      </c>
      <c r="C6556" t="s">
        <v>209</v>
      </c>
      <c r="D6556" s="9">
        <v>41918.629525462966</v>
      </c>
      <c r="E6556" t="s">
        <v>30</v>
      </c>
      <c r="F6556">
        <f t="shared" ca="1" si="206"/>
        <v>0.31388888888888888</v>
      </c>
      <c r="G6556">
        <f t="shared" ca="1" si="207"/>
        <v>1</v>
      </c>
    </row>
    <row r="6557" spans="1:7">
      <c r="A6557">
        <v>10182</v>
      </c>
      <c r="B6557" t="s">
        <v>21</v>
      </c>
      <c r="C6557" t="s">
        <v>209</v>
      </c>
      <c r="D6557" s="9">
        <v>41885.672893518517</v>
      </c>
      <c r="E6557" t="s">
        <v>32</v>
      </c>
      <c r="F6557">
        <f t="shared" ca="1" si="206"/>
        <v>0.40555555555555556</v>
      </c>
      <c r="G6557">
        <f t="shared" ca="1" si="207"/>
        <v>1</v>
      </c>
    </row>
    <row r="6558" spans="1:7">
      <c r="A6558">
        <v>10185</v>
      </c>
      <c r="B6558" t="s">
        <v>215</v>
      </c>
      <c r="C6558" t="s">
        <v>209</v>
      </c>
      <c r="D6558" s="9">
        <v>41901.702106481483</v>
      </c>
      <c r="E6558" t="s">
        <v>44</v>
      </c>
      <c r="F6558">
        <f t="shared" ca="1" si="206"/>
        <v>0.3611111111111111</v>
      </c>
      <c r="G6558">
        <f t="shared" ca="1" si="207"/>
        <v>1</v>
      </c>
    </row>
    <row r="6559" spans="1:7">
      <c r="A6559">
        <v>10190</v>
      </c>
      <c r="B6559" t="s">
        <v>20</v>
      </c>
      <c r="C6559" t="s">
        <v>209</v>
      </c>
      <c r="D6559" s="9">
        <v>41939.902141203704</v>
      </c>
      <c r="E6559" t="s">
        <v>80</v>
      </c>
      <c r="F6559">
        <f t="shared" ca="1" si="206"/>
        <v>0.25555555555555554</v>
      </c>
      <c r="G6559">
        <f t="shared" ca="1" si="207"/>
        <v>1</v>
      </c>
    </row>
    <row r="6560" spans="1:7">
      <c r="A6560">
        <v>10191</v>
      </c>
      <c r="B6560" t="s">
        <v>20</v>
      </c>
      <c r="C6560" t="s">
        <v>209</v>
      </c>
      <c r="D6560" s="9">
        <v>41885.580428240741</v>
      </c>
      <c r="E6560" t="s">
        <v>27</v>
      </c>
      <c r="F6560">
        <f t="shared" ca="1" si="206"/>
        <v>0.40555555555555556</v>
      </c>
      <c r="G6560">
        <f t="shared" ca="1" si="207"/>
        <v>1</v>
      </c>
    </row>
    <row r="6561" spans="1:7">
      <c r="A6561">
        <v>10194</v>
      </c>
      <c r="B6561" t="s">
        <v>214</v>
      </c>
      <c r="C6561" t="s">
        <v>209</v>
      </c>
      <c r="D6561" s="9">
        <v>41934.605474537035</v>
      </c>
      <c r="E6561" t="s">
        <v>220</v>
      </c>
      <c r="F6561">
        <f t="shared" ca="1" si="206"/>
        <v>0.26944444444444443</v>
      </c>
      <c r="G6561">
        <f t="shared" ca="1" si="207"/>
        <v>1</v>
      </c>
    </row>
    <row r="6562" spans="1:7">
      <c r="A6562">
        <v>10195</v>
      </c>
      <c r="B6562" t="s">
        <v>8</v>
      </c>
      <c r="C6562" t="s">
        <v>209</v>
      </c>
      <c r="D6562" s="9">
        <v>41887.489733796298</v>
      </c>
      <c r="E6562" t="s">
        <v>211</v>
      </c>
      <c r="F6562">
        <f t="shared" ca="1" si="206"/>
        <v>0.4</v>
      </c>
      <c r="G6562">
        <f t="shared" ca="1" si="207"/>
        <v>1</v>
      </c>
    </row>
    <row r="6563" spans="1:7">
      <c r="A6563">
        <v>10196</v>
      </c>
      <c r="B6563" t="s">
        <v>215</v>
      </c>
      <c r="C6563" t="s">
        <v>209</v>
      </c>
      <c r="D6563" s="9">
        <v>41886.581180555557</v>
      </c>
      <c r="F6563">
        <f t="shared" ca="1" si="206"/>
        <v>0.40277777777777779</v>
      </c>
      <c r="G6563">
        <f t="shared" ca="1" si="207"/>
        <v>1</v>
      </c>
    </row>
    <row r="6564" spans="1:7">
      <c r="A6564">
        <v>10198</v>
      </c>
      <c r="B6564" t="s">
        <v>215</v>
      </c>
      <c r="C6564" t="s">
        <v>209</v>
      </c>
      <c r="D6564" s="9">
        <v>41885.576064814813</v>
      </c>
      <c r="E6564" t="s">
        <v>19</v>
      </c>
      <c r="F6564">
        <f t="shared" ca="1" si="206"/>
        <v>0.40555555555555556</v>
      </c>
      <c r="G6564">
        <f t="shared" ca="1" si="207"/>
        <v>1</v>
      </c>
    </row>
    <row r="6565" spans="1:7">
      <c r="A6565">
        <v>10202</v>
      </c>
      <c r="B6565" t="s">
        <v>19</v>
      </c>
      <c r="C6565" t="s">
        <v>209</v>
      </c>
      <c r="D6565" s="9">
        <v>41887.655810185184</v>
      </c>
      <c r="F6565">
        <f t="shared" ca="1" si="206"/>
        <v>0.4</v>
      </c>
      <c r="G6565">
        <f t="shared" ca="1" si="207"/>
        <v>1</v>
      </c>
    </row>
    <row r="6566" spans="1:7">
      <c r="A6566">
        <v>10203</v>
      </c>
      <c r="B6566" t="s">
        <v>21</v>
      </c>
      <c r="C6566" t="s">
        <v>209</v>
      </c>
      <c r="D6566" s="9">
        <v>41887.660798611112</v>
      </c>
      <c r="E6566" t="s">
        <v>32</v>
      </c>
      <c r="F6566">
        <f t="shared" ca="1" si="206"/>
        <v>0.4</v>
      </c>
      <c r="G6566">
        <f t="shared" ca="1" si="207"/>
        <v>1</v>
      </c>
    </row>
    <row r="6567" spans="1:7">
      <c r="A6567">
        <v>10207</v>
      </c>
      <c r="B6567" t="s">
        <v>19</v>
      </c>
      <c r="C6567" t="s">
        <v>209</v>
      </c>
      <c r="D6567" s="9">
        <v>41894.5859837963</v>
      </c>
      <c r="E6567" t="s">
        <v>215</v>
      </c>
      <c r="F6567">
        <f t="shared" ca="1" si="206"/>
        <v>0.38055555555555554</v>
      </c>
      <c r="G6567">
        <f t="shared" ca="1" si="207"/>
        <v>1</v>
      </c>
    </row>
    <row r="6568" spans="1:7">
      <c r="A6568">
        <v>10209</v>
      </c>
      <c r="B6568" t="s">
        <v>21</v>
      </c>
      <c r="C6568" t="s">
        <v>209</v>
      </c>
      <c r="D6568" s="9">
        <v>41887.664189814815</v>
      </c>
      <c r="E6568" t="s">
        <v>32</v>
      </c>
      <c r="F6568">
        <f t="shared" ca="1" si="206"/>
        <v>0.4</v>
      </c>
      <c r="G6568">
        <f t="shared" ca="1" si="207"/>
        <v>1</v>
      </c>
    </row>
    <row r="6569" spans="1:7">
      <c r="A6569">
        <v>10210</v>
      </c>
      <c r="B6569" t="s">
        <v>215</v>
      </c>
      <c r="C6569" t="s">
        <v>209</v>
      </c>
      <c r="D6569" s="9">
        <v>41890.43167824074</v>
      </c>
      <c r="E6569" t="s">
        <v>19</v>
      </c>
      <c r="F6569">
        <f t="shared" ca="1" si="206"/>
        <v>0.39166666666666666</v>
      </c>
      <c r="G6569">
        <f t="shared" ca="1" si="207"/>
        <v>1</v>
      </c>
    </row>
    <row r="6570" spans="1:7">
      <c r="A6570">
        <v>10211</v>
      </c>
      <c r="B6570" t="s">
        <v>112</v>
      </c>
      <c r="C6570" t="s">
        <v>209</v>
      </c>
      <c r="D6570" s="9">
        <v>41891.634884259256</v>
      </c>
      <c r="E6570" t="s">
        <v>211</v>
      </c>
      <c r="F6570">
        <f t="shared" ca="1" si="206"/>
        <v>0.3888888888888889</v>
      </c>
      <c r="G6570">
        <f t="shared" ca="1" si="207"/>
        <v>1</v>
      </c>
    </row>
    <row r="6571" spans="1:7">
      <c r="A6571">
        <v>10212</v>
      </c>
      <c r="B6571" t="s">
        <v>112</v>
      </c>
      <c r="C6571" t="s">
        <v>209</v>
      </c>
      <c r="D6571" s="9">
        <v>41891.620219907411</v>
      </c>
      <c r="E6571" t="s">
        <v>211</v>
      </c>
      <c r="F6571">
        <f t="shared" ca="1" si="206"/>
        <v>0.3888888888888889</v>
      </c>
      <c r="G6571">
        <f t="shared" ca="1" si="207"/>
        <v>1</v>
      </c>
    </row>
    <row r="6572" spans="1:7">
      <c r="A6572">
        <v>10213</v>
      </c>
      <c r="B6572" t="s">
        <v>208</v>
      </c>
      <c r="C6572" t="s">
        <v>209</v>
      </c>
      <c r="D6572" s="9">
        <v>41950.585752314815</v>
      </c>
      <c r="F6572">
        <f t="shared" ca="1" si="206"/>
        <v>0.22777777777777777</v>
      </c>
      <c r="G6572">
        <f t="shared" ca="1" si="207"/>
        <v>1</v>
      </c>
    </row>
    <row r="6573" spans="1:7">
      <c r="A6573">
        <v>10215</v>
      </c>
      <c r="B6573" t="s">
        <v>211</v>
      </c>
      <c r="C6573" t="s">
        <v>209</v>
      </c>
      <c r="D6573" s="9">
        <v>41932.518784722219</v>
      </c>
      <c r="E6573" t="s">
        <v>23</v>
      </c>
      <c r="F6573">
        <f t="shared" ca="1" si="206"/>
        <v>0.27500000000000002</v>
      </c>
      <c r="G6573">
        <f t="shared" ca="1" si="207"/>
        <v>1</v>
      </c>
    </row>
    <row r="6574" spans="1:7">
      <c r="A6574">
        <v>10216</v>
      </c>
      <c r="B6574" t="s">
        <v>21</v>
      </c>
      <c r="C6574" t="s">
        <v>209</v>
      </c>
      <c r="D6574" s="9">
        <v>41894.614999999998</v>
      </c>
      <c r="E6574" t="s">
        <v>30</v>
      </c>
      <c r="F6574">
        <f t="shared" ca="1" si="206"/>
        <v>0.38055555555555554</v>
      </c>
      <c r="G6574">
        <f t="shared" ca="1" si="207"/>
        <v>1</v>
      </c>
    </row>
    <row r="6575" spans="1:7">
      <c r="A6575">
        <v>10222</v>
      </c>
      <c r="B6575" t="s">
        <v>215</v>
      </c>
      <c r="C6575" t="s">
        <v>209</v>
      </c>
      <c r="D6575" s="9">
        <v>41892.707835648151</v>
      </c>
      <c r="F6575">
        <f t="shared" ca="1" si="206"/>
        <v>0.38611111111111113</v>
      </c>
      <c r="G6575">
        <f t="shared" ca="1" si="207"/>
        <v>1</v>
      </c>
    </row>
    <row r="6576" spans="1:7">
      <c r="A6576">
        <v>10224</v>
      </c>
      <c r="B6576" t="s">
        <v>21</v>
      </c>
      <c r="C6576" t="s">
        <v>209</v>
      </c>
      <c r="D6576" s="9">
        <v>41918.629606481481</v>
      </c>
      <c r="E6576" t="s">
        <v>30</v>
      </c>
      <c r="F6576">
        <f t="shared" ca="1" si="206"/>
        <v>0.31388888888888888</v>
      </c>
      <c r="G6576">
        <f t="shared" ca="1" si="207"/>
        <v>1</v>
      </c>
    </row>
    <row r="6577" spans="1:7">
      <c r="A6577">
        <v>10227</v>
      </c>
      <c r="B6577" t="s">
        <v>21</v>
      </c>
      <c r="C6577" t="s">
        <v>209</v>
      </c>
      <c r="D6577" s="9">
        <v>41948.474618055552</v>
      </c>
      <c r="E6577" t="s">
        <v>20</v>
      </c>
      <c r="F6577">
        <f t="shared" ca="1" si="206"/>
        <v>0.23333333333333334</v>
      </c>
      <c r="G6577">
        <f t="shared" ca="1" si="207"/>
        <v>1</v>
      </c>
    </row>
    <row r="6578" spans="1:7">
      <c r="A6578">
        <v>10230</v>
      </c>
      <c r="B6578" t="s">
        <v>112</v>
      </c>
      <c r="C6578" t="s">
        <v>209</v>
      </c>
      <c r="D6578" s="9">
        <v>41904.377372685187</v>
      </c>
      <c r="E6578" t="s">
        <v>8</v>
      </c>
      <c r="F6578">
        <f t="shared" ca="1" si="206"/>
        <v>0.3527777777777778</v>
      </c>
      <c r="G6578">
        <f t="shared" ca="1" si="207"/>
        <v>1</v>
      </c>
    </row>
    <row r="6579" spans="1:7">
      <c r="A6579">
        <v>10233</v>
      </c>
      <c r="B6579" t="s">
        <v>19</v>
      </c>
      <c r="C6579" t="s">
        <v>209</v>
      </c>
      <c r="D6579" s="9">
        <v>41901.644317129627</v>
      </c>
      <c r="E6579" t="s">
        <v>215</v>
      </c>
      <c r="F6579">
        <f t="shared" ca="1" si="206"/>
        <v>0.3611111111111111</v>
      </c>
      <c r="G6579">
        <f t="shared" ca="1" si="207"/>
        <v>1</v>
      </c>
    </row>
    <row r="6580" spans="1:7">
      <c r="A6580">
        <v>10234</v>
      </c>
      <c r="B6580" t="s">
        <v>211</v>
      </c>
      <c r="C6580" t="s">
        <v>209</v>
      </c>
      <c r="D6580" s="9">
        <v>41918.629537037035</v>
      </c>
      <c r="E6580" t="s">
        <v>27</v>
      </c>
      <c r="F6580">
        <f t="shared" ca="1" si="206"/>
        <v>0.31388888888888888</v>
      </c>
      <c r="G6580">
        <f t="shared" ca="1" si="207"/>
        <v>1</v>
      </c>
    </row>
    <row r="6581" spans="1:7">
      <c r="A6581">
        <v>10235</v>
      </c>
      <c r="B6581" t="s">
        <v>215</v>
      </c>
      <c r="C6581" t="s">
        <v>209</v>
      </c>
      <c r="D6581" s="9">
        <v>41918.629618055558</v>
      </c>
      <c r="E6581" t="s">
        <v>19</v>
      </c>
      <c r="F6581">
        <f t="shared" ca="1" si="206"/>
        <v>0.31388888888888888</v>
      </c>
      <c r="G6581">
        <f t="shared" ca="1" si="207"/>
        <v>1</v>
      </c>
    </row>
    <row r="6582" spans="1:7">
      <c r="A6582">
        <v>10239</v>
      </c>
      <c r="B6582" t="s">
        <v>215</v>
      </c>
      <c r="C6582" t="s">
        <v>209</v>
      </c>
      <c r="D6582" s="9">
        <v>41918.629606481481</v>
      </c>
      <c r="E6582" t="s">
        <v>19</v>
      </c>
      <c r="F6582">
        <f t="shared" ca="1" si="206"/>
        <v>0.31388888888888888</v>
      </c>
      <c r="G6582">
        <f t="shared" ca="1" si="207"/>
        <v>1</v>
      </c>
    </row>
    <row r="6583" spans="1:7">
      <c r="A6583">
        <v>10242</v>
      </c>
      <c r="B6583" t="s">
        <v>212</v>
      </c>
      <c r="C6583" t="s">
        <v>209</v>
      </c>
      <c r="D6583" s="9">
        <v>41908.578032407408</v>
      </c>
      <c r="E6583" t="s">
        <v>44</v>
      </c>
      <c r="F6583">
        <f t="shared" ca="1" si="206"/>
        <v>0.34166666666666667</v>
      </c>
      <c r="G6583">
        <f t="shared" ca="1" si="207"/>
        <v>1</v>
      </c>
    </row>
    <row r="6584" spans="1:7">
      <c r="A6584">
        <v>10243</v>
      </c>
      <c r="B6584" t="s">
        <v>21</v>
      </c>
      <c r="C6584" t="s">
        <v>209</v>
      </c>
      <c r="D6584" s="9">
        <v>41918.629594907405</v>
      </c>
      <c r="E6584" t="s">
        <v>30</v>
      </c>
      <c r="F6584">
        <f t="shared" ca="1" si="206"/>
        <v>0.31388888888888888</v>
      </c>
      <c r="G6584">
        <f t="shared" ca="1" si="207"/>
        <v>1</v>
      </c>
    </row>
    <row r="6585" spans="1:7">
      <c r="A6585">
        <v>10244</v>
      </c>
      <c r="B6585" t="s">
        <v>213</v>
      </c>
      <c r="C6585" t="s">
        <v>209</v>
      </c>
      <c r="D6585" s="9">
        <v>41964.363692129627</v>
      </c>
      <c r="E6585" t="s">
        <v>211</v>
      </c>
      <c r="F6585">
        <f t="shared" ca="1" si="206"/>
        <v>0.18888888888888888</v>
      </c>
      <c r="G6585">
        <f t="shared" ca="1" si="207"/>
        <v>1</v>
      </c>
    </row>
    <row r="6586" spans="1:7">
      <c r="A6586">
        <v>10246</v>
      </c>
      <c r="B6586" t="s">
        <v>217</v>
      </c>
      <c r="C6586" t="s">
        <v>209</v>
      </c>
      <c r="D6586" s="9">
        <v>41921.671689814815</v>
      </c>
      <c r="E6586" t="s">
        <v>38</v>
      </c>
      <c r="F6586">
        <f t="shared" ca="1" si="206"/>
        <v>0.30555555555555558</v>
      </c>
      <c r="G6586">
        <f t="shared" ca="1" si="207"/>
        <v>1</v>
      </c>
    </row>
    <row r="6587" spans="1:7">
      <c r="A6587">
        <v>10250</v>
      </c>
      <c r="B6587" t="s">
        <v>215</v>
      </c>
      <c r="C6587" t="s">
        <v>209</v>
      </c>
      <c r="D6587" s="9">
        <v>41901.620358796295</v>
      </c>
      <c r="E6587" t="s">
        <v>44</v>
      </c>
      <c r="F6587">
        <f t="shared" ca="1" si="206"/>
        <v>0.3611111111111111</v>
      </c>
      <c r="G6587">
        <f t="shared" ca="1" si="207"/>
        <v>1</v>
      </c>
    </row>
    <row r="6588" spans="1:7">
      <c r="A6588">
        <v>10254</v>
      </c>
      <c r="B6588" t="s">
        <v>32</v>
      </c>
      <c r="C6588" t="s">
        <v>209</v>
      </c>
      <c r="D6588" s="9">
        <v>41922.580983796295</v>
      </c>
      <c r="E6588" t="s">
        <v>19</v>
      </c>
      <c r="F6588">
        <f t="shared" ca="1" si="206"/>
        <v>0.30277777777777776</v>
      </c>
      <c r="G6588">
        <f t="shared" ca="1" si="207"/>
        <v>1</v>
      </c>
    </row>
    <row r="6589" spans="1:7">
      <c r="A6589">
        <v>10255</v>
      </c>
      <c r="B6589" t="s">
        <v>211</v>
      </c>
      <c r="C6589" t="s">
        <v>209</v>
      </c>
      <c r="D6589" s="9">
        <v>41901.674004629633</v>
      </c>
      <c r="E6589" t="s">
        <v>69</v>
      </c>
      <c r="F6589">
        <f t="shared" ca="1" si="206"/>
        <v>0.3611111111111111</v>
      </c>
      <c r="G6589">
        <f t="shared" ca="1" si="207"/>
        <v>1</v>
      </c>
    </row>
    <row r="6590" spans="1:7">
      <c r="A6590">
        <v>10259</v>
      </c>
      <c r="B6590" t="s">
        <v>211</v>
      </c>
      <c r="C6590" t="s">
        <v>209</v>
      </c>
      <c r="D6590" s="9">
        <v>41928.575231481482</v>
      </c>
      <c r="E6590" t="s">
        <v>215</v>
      </c>
      <c r="F6590">
        <f t="shared" ca="1" si="206"/>
        <v>0.28611111111111109</v>
      </c>
      <c r="G6590">
        <f t="shared" ca="1" si="207"/>
        <v>1</v>
      </c>
    </row>
    <row r="6591" spans="1:7">
      <c r="A6591">
        <v>10260</v>
      </c>
      <c r="B6591" t="s">
        <v>215</v>
      </c>
      <c r="C6591" t="s">
        <v>209</v>
      </c>
      <c r="D6591" s="9">
        <v>41918.629606481481</v>
      </c>
      <c r="E6591" t="s">
        <v>211</v>
      </c>
      <c r="F6591">
        <f t="shared" ca="1" si="206"/>
        <v>0.31388888888888888</v>
      </c>
      <c r="G6591">
        <f t="shared" ca="1" si="207"/>
        <v>1</v>
      </c>
    </row>
    <row r="6592" spans="1:7">
      <c r="A6592">
        <v>10264</v>
      </c>
      <c r="B6592" t="s">
        <v>211</v>
      </c>
      <c r="C6592" t="s">
        <v>209</v>
      </c>
      <c r="D6592" s="9">
        <v>41918.629606481481</v>
      </c>
      <c r="E6592" t="s">
        <v>23</v>
      </c>
      <c r="F6592">
        <f t="shared" ca="1" si="206"/>
        <v>0.31388888888888888</v>
      </c>
      <c r="G6592">
        <f t="shared" ca="1" si="207"/>
        <v>1</v>
      </c>
    </row>
    <row r="6593" spans="1:7">
      <c r="A6593">
        <v>10265</v>
      </c>
      <c r="B6593" t="s">
        <v>52</v>
      </c>
      <c r="C6593" t="s">
        <v>209</v>
      </c>
      <c r="D6593" s="9">
        <v>41927.853518518517</v>
      </c>
      <c r="E6593" t="s">
        <v>20</v>
      </c>
      <c r="F6593">
        <f t="shared" ca="1" si="206"/>
        <v>0.28888888888888886</v>
      </c>
      <c r="G6593">
        <f t="shared" ca="1" si="207"/>
        <v>1</v>
      </c>
    </row>
    <row r="6594" spans="1:7">
      <c r="A6594">
        <v>10266</v>
      </c>
      <c r="B6594" t="s">
        <v>211</v>
      </c>
      <c r="C6594" t="s">
        <v>209</v>
      </c>
      <c r="D6594" s="9">
        <v>41947.670023148145</v>
      </c>
      <c r="E6594" t="s">
        <v>215</v>
      </c>
      <c r="F6594">
        <f t="shared" ca="1" si="206"/>
        <v>0.2361111111111111</v>
      </c>
      <c r="G6594">
        <f t="shared" ca="1" si="207"/>
        <v>1</v>
      </c>
    </row>
    <row r="6595" spans="1:7">
      <c r="A6595">
        <v>10267</v>
      </c>
      <c r="B6595" t="s">
        <v>212</v>
      </c>
      <c r="C6595" t="s">
        <v>209</v>
      </c>
      <c r="D6595" s="9">
        <v>41905.566365740742</v>
      </c>
      <c r="E6595" t="s">
        <v>44</v>
      </c>
      <c r="F6595">
        <f t="shared" ca="1" si="206"/>
        <v>0.35</v>
      </c>
      <c r="G6595">
        <f t="shared" ca="1" si="207"/>
        <v>1</v>
      </c>
    </row>
    <row r="6596" spans="1:7">
      <c r="A6596">
        <v>10273</v>
      </c>
      <c r="B6596" t="s">
        <v>44</v>
      </c>
      <c r="C6596" t="s">
        <v>209</v>
      </c>
      <c r="D6596" s="9">
        <v>41908.578564814816</v>
      </c>
      <c r="E6596" t="s">
        <v>30</v>
      </c>
      <c r="F6596">
        <f t="shared" ca="1" si="206"/>
        <v>0.34166666666666667</v>
      </c>
      <c r="G6596">
        <f t="shared" ca="1" si="207"/>
        <v>1</v>
      </c>
    </row>
    <row r="6597" spans="1:7">
      <c r="A6597">
        <v>10274</v>
      </c>
      <c r="B6597" t="s">
        <v>211</v>
      </c>
      <c r="C6597" t="s">
        <v>209</v>
      </c>
      <c r="D6597" s="9">
        <v>41918.629618055558</v>
      </c>
      <c r="E6597" t="s">
        <v>27</v>
      </c>
      <c r="F6597">
        <f t="shared" ca="1" si="206"/>
        <v>0.31388888888888888</v>
      </c>
      <c r="G6597">
        <f t="shared" ca="1" si="207"/>
        <v>1</v>
      </c>
    </row>
    <row r="6598" spans="1:7">
      <c r="A6598">
        <v>10275</v>
      </c>
      <c r="B6598" t="s">
        <v>215</v>
      </c>
      <c r="C6598" t="s">
        <v>209</v>
      </c>
      <c r="D6598" s="9">
        <v>41918.629537037035</v>
      </c>
      <c r="E6598" t="s">
        <v>211</v>
      </c>
      <c r="F6598">
        <f t="shared" ca="1" si="206"/>
        <v>0.31388888888888888</v>
      </c>
      <c r="G6598">
        <f t="shared" ca="1" si="207"/>
        <v>1</v>
      </c>
    </row>
    <row r="6599" spans="1:7">
      <c r="A6599">
        <v>10277</v>
      </c>
      <c r="B6599" t="s">
        <v>211</v>
      </c>
      <c r="C6599" t="s">
        <v>209</v>
      </c>
      <c r="D6599" s="9">
        <v>41950.645532407405</v>
      </c>
      <c r="E6599" t="s">
        <v>34</v>
      </c>
      <c r="F6599">
        <f t="shared" ref="F6599:F6662" ca="1" si="208">YEARFRAC(TODAY(),$D6599)</f>
        <v>0.22777777777777777</v>
      </c>
      <c r="G6599">
        <f t="shared" ref="G6599:G6662" ca="1" si="209">IF($F6599&lt;1,1,0)</f>
        <v>1</v>
      </c>
    </row>
    <row r="6600" spans="1:7">
      <c r="A6600">
        <v>10279</v>
      </c>
      <c r="B6600" t="s">
        <v>43</v>
      </c>
      <c r="C6600" t="s">
        <v>209</v>
      </c>
      <c r="D6600" s="9">
        <v>41928.387870370374</v>
      </c>
      <c r="E6600" t="s">
        <v>44</v>
      </c>
      <c r="F6600">
        <f t="shared" ca="1" si="208"/>
        <v>0.28611111111111109</v>
      </c>
      <c r="G6600">
        <f t="shared" ca="1" si="209"/>
        <v>1</v>
      </c>
    </row>
    <row r="6601" spans="1:7">
      <c r="A6601">
        <v>10280</v>
      </c>
      <c r="B6601" t="s">
        <v>69</v>
      </c>
      <c r="C6601" t="s">
        <v>209</v>
      </c>
      <c r="D6601" s="9">
        <v>41921.43513888889</v>
      </c>
      <c r="E6601" t="s">
        <v>44</v>
      </c>
      <c r="F6601">
        <f t="shared" ca="1" si="208"/>
        <v>0.30555555555555558</v>
      </c>
      <c r="G6601">
        <f t="shared" ca="1" si="209"/>
        <v>1</v>
      </c>
    </row>
    <row r="6602" spans="1:7">
      <c r="A6602">
        <v>10281</v>
      </c>
      <c r="B6602" t="s">
        <v>69</v>
      </c>
      <c r="C6602" t="s">
        <v>209</v>
      </c>
      <c r="D6602" s="9">
        <v>41929.478402777779</v>
      </c>
      <c r="E6602" t="s">
        <v>44</v>
      </c>
      <c r="F6602">
        <f t="shared" ca="1" si="208"/>
        <v>0.28333333333333333</v>
      </c>
      <c r="G6602">
        <f t="shared" ca="1" si="209"/>
        <v>1</v>
      </c>
    </row>
    <row r="6603" spans="1:7">
      <c r="A6603">
        <v>10282</v>
      </c>
      <c r="B6603" t="s">
        <v>69</v>
      </c>
      <c r="C6603" t="s">
        <v>209</v>
      </c>
      <c r="D6603" s="9">
        <v>41949.660740740743</v>
      </c>
      <c r="E6603" t="s">
        <v>44</v>
      </c>
      <c r="F6603">
        <f t="shared" ca="1" si="208"/>
        <v>0.23055555555555557</v>
      </c>
      <c r="G6603">
        <f t="shared" ca="1" si="209"/>
        <v>1</v>
      </c>
    </row>
    <row r="6604" spans="1:7">
      <c r="A6604">
        <v>10284</v>
      </c>
      <c r="B6604" t="s">
        <v>212</v>
      </c>
      <c r="C6604" t="s">
        <v>209</v>
      </c>
      <c r="D6604" s="9">
        <v>41918.615324074075</v>
      </c>
      <c r="E6604" t="s">
        <v>44</v>
      </c>
      <c r="F6604">
        <f t="shared" ca="1" si="208"/>
        <v>0.31388888888888888</v>
      </c>
      <c r="G6604">
        <f t="shared" ca="1" si="209"/>
        <v>1</v>
      </c>
    </row>
    <row r="6605" spans="1:7">
      <c r="A6605">
        <v>10286</v>
      </c>
      <c r="B6605" t="s">
        <v>212</v>
      </c>
      <c r="C6605" t="s">
        <v>209</v>
      </c>
      <c r="D6605" s="9">
        <v>41919.60292824074</v>
      </c>
      <c r="E6605" t="s">
        <v>214</v>
      </c>
      <c r="F6605">
        <f t="shared" ca="1" si="208"/>
        <v>0.31111111111111112</v>
      </c>
      <c r="G6605">
        <f t="shared" ca="1" si="209"/>
        <v>1</v>
      </c>
    </row>
    <row r="6606" spans="1:7">
      <c r="A6606">
        <v>10287</v>
      </c>
      <c r="B6606" t="s">
        <v>44</v>
      </c>
      <c r="C6606" t="s">
        <v>209</v>
      </c>
      <c r="D6606" s="9">
        <v>41919.683425925927</v>
      </c>
      <c r="E6606" t="s">
        <v>43</v>
      </c>
      <c r="F6606">
        <f t="shared" ca="1" si="208"/>
        <v>0.31111111111111112</v>
      </c>
      <c r="G6606">
        <f t="shared" ca="1" si="209"/>
        <v>1</v>
      </c>
    </row>
    <row r="6607" spans="1:7">
      <c r="A6607">
        <v>10299</v>
      </c>
      <c r="B6607" t="s">
        <v>211</v>
      </c>
      <c r="C6607" t="s">
        <v>209</v>
      </c>
      <c r="D6607" s="9">
        <v>41928.68986111111</v>
      </c>
      <c r="E6607" t="s">
        <v>215</v>
      </c>
      <c r="F6607">
        <f t="shared" ca="1" si="208"/>
        <v>0.28611111111111109</v>
      </c>
      <c r="G6607">
        <f t="shared" ca="1" si="209"/>
        <v>1</v>
      </c>
    </row>
    <row r="6608" spans="1:7">
      <c r="A6608">
        <v>10300</v>
      </c>
      <c r="B6608" t="s">
        <v>211</v>
      </c>
      <c r="C6608" t="s">
        <v>209</v>
      </c>
      <c r="D6608" s="9">
        <v>41922.631053240744</v>
      </c>
      <c r="E6608" t="s">
        <v>69</v>
      </c>
      <c r="F6608">
        <f t="shared" ca="1" si="208"/>
        <v>0.30277777777777776</v>
      </c>
      <c r="G6608">
        <f t="shared" ca="1" si="209"/>
        <v>1</v>
      </c>
    </row>
    <row r="6609" spans="1:7">
      <c r="A6609">
        <v>10301</v>
      </c>
      <c r="B6609" t="s">
        <v>215</v>
      </c>
      <c r="C6609" t="s">
        <v>209</v>
      </c>
      <c r="D6609" s="9">
        <v>41929.468576388892</v>
      </c>
      <c r="E6609" t="s">
        <v>19</v>
      </c>
      <c r="F6609">
        <f t="shared" ca="1" si="208"/>
        <v>0.28333333333333333</v>
      </c>
      <c r="G6609">
        <f t="shared" ca="1" si="209"/>
        <v>1</v>
      </c>
    </row>
    <row r="6610" spans="1:7">
      <c r="A6610">
        <v>10302</v>
      </c>
      <c r="B6610" t="s">
        <v>215</v>
      </c>
      <c r="C6610" t="s">
        <v>209</v>
      </c>
      <c r="D6610" s="9">
        <v>41927.632013888891</v>
      </c>
      <c r="E6610" t="s">
        <v>19</v>
      </c>
      <c r="F6610">
        <f t="shared" ca="1" si="208"/>
        <v>0.28888888888888886</v>
      </c>
      <c r="G6610">
        <f t="shared" ca="1" si="209"/>
        <v>1</v>
      </c>
    </row>
    <row r="6611" spans="1:7">
      <c r="A6611">
        <v>10303</v>
      </c>
      <c r="B6611" t="s">
        <v>19</v>
      </c>
      <c r="C6611" t="s">
        <v>209</v>
      </c>
      <c r="D6611" s="9">
        <v>41950.649965277778</v>
      </c>
      <c r="E6611" t="s">
        <v>34</v>
      </c>
      <c r="F6611">
        <f t="shared" ca="1" si="208"/>
        <v>0.22777777777777777</v>
      </c>
      <c r="G6611">
        <f t="shared" ca="1" si="209"/>
        <v>1</v>
      </c>
    </row>
    <row r="6612" spans="1:7">
      <c r="A6612">
        <v>10304</v>
      </c>
      <c r="B6612" t="s">
        <v>215</v>
      </c>
      <c r="C6612" t="s">
        <v>209</v>
      </c>
      <c r="D6612" s="9">
        <v>41946.572812500002</v>
      </c>
      <c r="E6612" t="s">
        <v>19</v>
      </c>
      <c r="F6612">
        <f t="shared" ca="1" si="208"/>
        <v>0.2388888888888889</v>
      </c>
      <c r="G6612">
        <f t="shared" ca="1" si="209"/>
        <v>1</v>
      </c>
    </row>
    <row r="6613" spans="1:7">
      <c r="A6613">
        <v>10306</v>
      </c>
      <c r="B6613" t="s">
        <v>211</v>
      </c>
      <c r="C6613" t="s">
        <v>209</v>
      </c>
      <c r="D6613" s="9">
        <v>41943.704328703701</v>
      </c>
      <c r="E6613" t="s">
        <v>220</v>
      </c>
      <c r="F6613">
        <f t="shared" ca="1" si="208"/>
        <v>0.24722222222222223</v>
      </c>
      <c r="G6613">
        <f t="shared" ca="1" si="209"/>
        <v>1</v>
      </c>
    </row>
    <row r="6614" spans="1:7">
      <c r="A6614">
        <v>10309</v>
      </c>
      <c r="B6614" t="s">
        <v>23</v>
      </c>
      <c r="C6614" t="s">
        <v>209</v>
      </c>
      <c r="D6614" s="9">
        <v>41929.573877314811</v>
      </c>
      <c r="E6614" t="s">
        <v>8</v>
      </c>
      <c r="F6614">
        <f t="shared" ca="1" si="208"/>
        <v>0.28333333333333333</v>
      </c>
      <c r="G6614">
        <f t="shared" ca="1" si="209"/>
        <v>1</v>
      </c>
    </row>
    <row r="6615" spans="1:7">
      <c r="A6615">
        <v>10313</v>
      </c>
      <c r="B6615" t="s">
        <v>212</v>
      </c>
      <c r="C6615" t="s">
        <v>209</v>
      </c>
      <c r="D6615" s="9">
        <v>41935.660868055558</v>
      </c>
      <c r="E6615" t="s">
        <v>44</v>
      </c>
      <c r="F6615">
        <f t="shared" ca="1" si="208"/>
        <v>0.26666666666666666</v>
      </c>
      <c r="G6615">
        <f t="shared" ca="1" si="209"/>
        <v>1</v>
      </c>
    </row>
    <row r="6616" spans="1:7">
      <c r="A6616">
        <v>10314</v>
      </c>
      <c r="B6616" t="s">
        <v>212</v>
      </c>
      <c r="C6616" t="s">
        <v>209</v>
      </c>
      <c r="D6616" s="9">
        <v>41935.706435185188</v>
      </c>
      <c r="E6616" t="s">
        <v>44</v>
      </c>
      <c r="F6616">
        <f t="shared" ca="1" si="208"/>
        <v>0.26666666666666666</v>
      </c>
      <c r="G6616">
        <f t="shared" ca="1" si="209"/>
        <v>1</v>
      </c>
    </row>
    <row r="6617" spans="1:7">
      <c r="A6617">
        <v>10315</v>
      </c>
      <c r="B6617" t="s">
        <v>212</v>
      </c>
      <c r="C6617" t="s">
        <v>209</v>
      </c>
      <c r="D6617" s="9">
        <v>41935.670671296299</v>
      </c>
      <c r="E6617" t="s">
        <v>44</v>
      </c>
      <c r="F6617">
        <f t="shared" ca="1" si="208"/>
        <v>0.26666666666666666</v>
      </c>
      <c r="G6617">
        <f t="shared" ca="1" si="209"/>
        <v>1</v>
      </c>
    </row>
    <row r="6618" spans="1:7">
      <c r="A6618">
        <v>10316</v>
      </c>
      <c r="B6618" t="s">
        <v>212</v>
      </c>
      <c r="C6618" t="s">
        <v>209</v>
      </c>
      <c r="D6618" s="9">
        <v>41935.690185185187</v>
      </c>
      <c r="E6618" t="s">
        <v>44</v>
      </c>
      <c r="F6618">
        <f t="shared" ca="1" si="208"/>
        <v>0.26666666666666666</v>
      </c>
      <c r="G6618">
        <f t="shared" ca="1" si="209"/>
        <v>1</v>
      </c>
    </row>
    <row r="6619" spans="1:7">
      <c r="A6619">
        <v>10317</v>
      </c>
      <c r="B6619" t="s">
        <v>212</v>
      </c>
      <c r="C6619" t="s">
        <v>209</v>
      </c>
      <c r="D6619" s="9">
        <v>41935.686782407407</v>
      </c>
      <c r="E6619" t="s">
        <v>44</v>
      </c>
      <c r="F6619">
        <f t="shared" ca="1" si="208"/>
        <v>0.26666666666666666</v>
      </c>
      <c r="G6619">
        <f t="shared" ca="1" si="209"/>
        <v>1</v>
      </c>
    </row>
    <row r="6620" spans="1:7">
      <c r="A6620">
        <v>10323</v>
      </c>
      <c r="B6620" t="s">
        <v>211</v>
      </c>
      <c r="C6620" t="s">
        <v>209</v>
      </c>
      <c r="D6620" s="9">
        <v>41935.45890046296</v>
      </c>
      <c r="E6620" t="s">
        <v>215</v>
      </c>
      <c r="F6620">
        <f t="shared" ca="1" si="208"/>
        <v>0.26666666666666666</v>
      </c>
      <c r="G6620">
        <f t="shared" ca="1" si="209"/>
        <v>1</v>
      </c>
    </row>
    <row r="6621" spans="1:7">
      <c r="A6621">
        <v>10324</v>
      </c>
      <c r="B6621" t="s">
        <v>211</v>
      </c>
      <c r="C6621" t="s">
        <v>209</v>
      </c>
      <c r="D6621" s="9">
        <v>41941.60125</v>
      </c>
      <c r="E6621" t="s">
        <v>215</v>
      </c>
      <c r="F6621">
        <f t="shared" ca="1" si="208"/>
        <v>0.25</v>
      </c>
      <c r="G6621">
        <f t="shared" ca="1" si="209"/>
        <v>1</v>
      </c>
    </row>
    <row r="6622" spans="1:7">
      <c r="A6622">
        <v>10330</v>
      </c>
      <c r="B6622" t="s">
        <v>217</v>
      </c>
      <c r="C6622" t="s">
        <v>163</v>
      </c>
      <c r="D6622" s="9">
        <v>41955.664398148147</v>
      </c>
      <c r="E6622" t="s">
        <v>59</v>
      </c>
      <c r="F6622">
        <f t="shared" ca="1" si="208"/>
        <v>0.21388888888888888</v>
      </c>
      <c r="G6622">
        <f t="shared" ca="1" si="209"/>
        <v>1</v>
      </c>
    </row>
    <row r="6623" spans="1:7">
      <c r="A6623">
        <v>10331</v>
      </c>
      <c r="B6623" t="s">
        <v>211</v>
      </c>
      <c r="C6623" t="s">
        <v>209</v>
      </c>
      <c r="D6623" s="9">
        <v>41925.799560185187</v>
      </c>
      <c r="E6623" t="s">
        <v>27</v>
      </c>
      <c r="F6623">
        <f t="shared" ca="1" si="208"/>
        <v>0.29444444444444445</v>
      </c>
      <c r="G6623">
        <f t="shared" ca="1" si="209"/>
        <v>1</v>
      </c>
    </row>
    <row r="6624" spans="1:7">
      <c r="A6624">
        <v>10332</v>
      </c>
      <c r="B6624" t="s">
        <v>23</v>
      </c>
      <c r="C6624" t="s">
        <v>209</v>
      </c>
      <c r="D6624" s="9">
        <v>41943.488391203704</v>
      </c>
      <c r="E6624" t="s">
        <v>213</v>
      </c>
      <c r="F6624">
        <f t="shared" ca="1" si="208"/>
        <v>0.24722222222222223</v>
      </c>
      <c r="G6624">
        <f t="shared" ca="1" si="209"/>
        <v>1</v>
      </c>
    </row>
    <row r="6625" spans="1:7">
      <c r="A6625">
        <v>10333</v>
      </c>
      <c r="B6625" t="s">
        <v>19</v>
      </c>
      <c r="C6625" t="s">
        <v>209</v>
      </c>
      <c r="D6625" s="9">
        <v>41933.530439814815</v>
      </c>
      <c r="E6625" t="s">
        <v>38</v>
      </c>
      <c r="F6625">
        <f t="shared" ca="1" si="208"/>
        <v>0.2722222222222222</v>
      </c>
      <c r="G6625">
        <f t="shared" ca="1" si="209"/>
        <v>1</v>
      </c>
    </row>
    <row r="6626" spans="1:7">
      <c r="A6626">
        <v>10334</v>
      </c>
      <c r="B6626" t="s">
        <v>211</v>
      </c>
      <c r="C6626" t="s">
        <v>209</v>
      </c>
      <c r="D6626" s="9">
        <v>41928.610520833332</v>
      </c>
      <c r="E6626" t="s">
        <v>215</v>
      </c>
      <c r="F6626">
        <f t="shared" ca="1" si="208"/>
        <v>0.28611111111111109</v>
      </c>
      <c r="G6626">
        <f t="shared" ca="1" si="209"/>
        <v>1</v>
      </c>
    </row>
    <row r="6627" spans="1:7">
      <c r="A6627">
        <v>10339</v>
      </c>
      <c r="B6627" t="s">
        <v>32</v>
      </c>
      <c r="C6627" t="s">
        <v>209</v>
      </c>
      <c r="D6627" s="9">
        <v>41927.680902777778</v>
      </c>
      <c r="E6627" t="s">
        <v>19</v>
      </c>
      <c r="F6627">
        <f t="shared" ca="1" si="208"/>
        <v>0.28888888888888886</v>
      </c>
      <c r="G6627">
        <f t="shared" ca="1" si="209"/>
        <v>1</v>
      </c>
    </row>
    <row r="6628" spans="1:7">
      <c r="A6628">
        <v>10342</v>
      </c>
      <c r="B6628" t="s">
        <v>111</v>
      </c>
      <c r="C6628" t="s">
        <v>209</v>
      </c>
      <c r="D6628" s="9">
        <v>41950.583657407406</v>
      </c>
      <c r="E6628" t="s">
        <v>213</v>
      </c>
      <c r="F6628">
        <f t="shared" ca="1" si="208"/>
        <v>0.22777777777777777</v>
      </c>
      <c r="G6628">
        <f t="shared" ca="1" si="209"/>
        <v>1</v>
      </c>
    </row>
    <row r="6629" spans="1:7">
      <c r="A6629">
        <v>10343</v>
      </c>
      <c r="B6629" t="s">
        <v>217</v>
      </c>
      <c r="C6629" t="s">
        <v>209</v>
      </c>
      <c r="D6629" s="9">
        <v>41926.644282407404</v>
      </c>
      <c r="E6629" t="s">
        <v>20</v>
      </c>
      <c r="F6629">
        <f t="shared" ca="1" si="208"/>
        <v>0.29166666666666669</v>
      </c>
      <c r="G6629">
        <f t="shared" ca="1" si="209"/>
        <v>1</v>
      </c>
    </row>
    <row r="6630" spans="1:7">
      <c r="A6630">
        <v>10345</v>
      </c>
      <c r="B6630" t="s">
        <v>211</v>
      </c>
      <c r="C6630" t="s">
        <v>209</v>
      </c>
      <c r="D6630" s="9">
        <v>41962.497002314813</v>
      </c>
      <c r="E6630" t="s">
        <v>215</v>
      </c>
      <c r="F6630">
        <f t="shared" ca="1" si="208"/>
        <v>0.19444444444444445</v>
      </c>
      <c r="G6630">
        <f t="shared" ca="1" si="209"/>
        <v>1</v>
      </c>
    </row>
    <row r="6631" spans="1:7">
      <c r="A6631">
        <v>10347</v>
      </c>
      <c r="B6631" t="s">
        <v>215</v>
      </c>
      <c r="C6631" t="s">
        <v>209</v>
      </c>
      <c r="D6631" s="9">
        <v>41943.4684837963</v>
      </c>
      <c r="E6631" t="s">
        <v>213</v>
      </c>
      <c r="F6631">
        <f t="shared" ca="1" si="208"/>
        <v>0.24722222222222223</v>
      </c>
      <c r="G6631">
        <f t="shared" ca="1" si="209"/>
        <v>1</v>
      </c>
    </row>
    <row r="6632" spans="1:7">
      <c r="A6632">
        <v>10348</v>
      </c>
      <c r="B6632" t="s">
        <v>215</v>
      </c>
      <c r="C6632" t="s">
        <v>209</v>
      </c>
      <c r="D6632" s="9">
        <v>41935.453923611109</v>
      </c>
      <c r="E6632" t="s">
        <v>19</v>
      </c>
      <c r="F6632">
        <f t="shared" ca="1" si="208"/>
        <v>0.26666666666666666</v>
      </c>
      <c r="G6632">
        <f t="shared" ca="1" si="209"/>
        <v>1</v>
      </c>
    </row>
    <row r="6633" spans="1:7">
      <c r="A6633">
        <v>10349</v>
      </c>
      <c r="B6633" t="s">
        <v>215</v>
      </c>
      <c r="C6633" t="s">
        <v>209</v>
      </c>
      <c r="D6633" s="9">
        <v>41936.643587962964</v>
      </c>
      <c r="E6633" t="s">
        <v>213</v>
      </c>
      <c r="F6633">
        <f t="shared" ca="1" si="208"/>
        <v>0.2638888888888889</v>
      </c>
      <c r="G6633">
        <f t="shared" ca="1" si="209"/>
        <v>1</v>
      </c>
    </row>
    <row r="6634" spans="1:7">
      <c r="A6634">
        <v>10352</v>
      </c>
      <c r="B6634" t="s">
        <v>36</v>
      </c>
      <c r="C6634" t="s">
        <v>209</v>
      </c>
      <c r="D6634" s="9">
        <v>41928.696493055555</v>
      </c>
      <c r="E6634" t="s">
        <v>215</v>
      </c>
      <c r="F6634">
        <f t="shared" ca="1" si="208"/>
        <v>0.28611111111111109</v>
      </c>
      <c r="G6634">
        <f t="shared" ca="1" si="209"/>
        <v>1</v>
      </c>
    </row>
    <row r="6635" spans="1:7">
      <c r="A6635">
        <v>10354</v>
      </c>
      <c r="B6635" t="s">
        <v>215</v>
      </c>
      <c r="C6635" t="s">
        <v>209</v>
      </c>
      <c r="D6635" s="9">
        <v>41954.390717592592</v>
      </c>
      <c r="E6635" t="s">
        <v>44</v>
      </c>
      <c r="F6635">
        <f t="shared" ca="1" si="208"/>
        <v>0.21666666666666667</v>
      </c>
      <c r="G6635">
        <f t="shared" ca="1" si="209"/>
        <v>1</v>
      </c>
    </row>
    <row r="6636" spans="1:7">
      <c r="A6636">
        <v>10357</v>
      </c>
      <c r="B6636" t="s">
        <v>21</v>
      </c>
      <c r="C6636" t="s">
        <v>209</v>
      </c>
      <c r="D6636" s="9">
        <v>41955.706273148149</v>
      </c>
      <c r="E6636" t="s">
        <v>215</v>
      </c>
      <c r="F6636">
        <f t="shared" ca="1" si="208"/>
        <v>0.21388888888888888</v>
      </c>
      <c r="G6636">
        <f t="shared" ca="1" si="209"/>
        <v>1</v>
      </c>
    </row>
    <row r="6637" spans="1:7">
      <c r="A6637">
        <v>10364</v>
      </c>
      <c r="B6637" t="s">
        <v>215</v>
      </c>
      <c r="C6637" t="s">
        <v>209</v>
      </c>
      <c r="D6637" s="9">
        <v>41932.394895833335</v>
      </c>
      <c r="E6637" t="s">
        <v>19</v>
      </c>
      <c r="F6637">
        <f t="shared" ca="1" si="208"/>
        <v>0.27500000000000002</v>
      </c>
      <c r="G6637">
        <f t="shared" ca="1" si="209"/>
        <v>1</v>
      </c>
    </row>
    <row r="6638" spans="1:7">
      <c r="A6638">
        <v>10368</v>
      </c>
      <c r="B6638" t="s">
        <v>211</v>
      </c>
      <c r="C6638" t="s">
        <v>209</v>
      </c>
      <c r="D6638" s="9">
        <v>41960.476851851854</v>
      </c>
      <c r="E6638" t="s">
        <v>220</v>
      </c>
      <c r="F6638">
        <f t="shared" ca="1" si="208"/>
        <v>0.2</v>
      </c>
      <c r="G6638">
        <f t="shared" ca="1" si="209"/>
        <v>1</v>
      </c>
    </row>
    <row r="6639" spans="1:7">
      <c r="A6639">
        <v>10369</v>
      </c>
      <c r="B6639" t="s">
        <v>8</v>
      </c>
      <c r="C6639" t="s">
        <v>209</v>
      </c>
      <c r="D6639" s="9">
        <v>41953.716504629629</v>
      </c>
      <c r="E6639" t="s">
        <v>19</v>
      </c>
      <c r="F6639">
        <f t="shared" ca="1" si="208"/>
        <v>0.21944444444444444</v>
      </c>
      <c r="G6639">
        <f t="shared" ca="1" si="209"/>
        <v>1</v>
      </c>
    </row>
    <row r="6640" spans="1:7">
      <c r="A6640">
        <v>10370</v>
      </c>
      <c r="B6640" t="s">
        <v>221</v>
      </c>
      <c r="C6640" t="s">
        <v>163</v>
      </c>
      <c r="D6640" s="9">
        <v>41929.470729166664</v>
      </c>
      <c r="E6640" t="s">
        <v>23</v>
      </c>
      <c r="F6640">
        <f t="shared" ca="1" si="208"/>
        <v>0.28333333333333333</v>
      </c>
      <c r="G6640">
        <f t="shared" ca="1" si="209"/>
        <v>1</v>
      </c>
    </row>
    <row r="6641" spans="1:7">
      <c r="A6641">
        <v>10372</v>
      </c>
      <c r="B6641" t="s">
        <v>215</v>
      </c>
      <c r="C6641" t="s">
        <v>209</v>
      </c>
      <c r="D6641" s="9">
        <v>41935.69027777778</v>
      </c>
      <c r="F6641">
        <f t="shared" ca="1" si="208"/>
        <v>0.26666666666666666</v>
      </c>
      <c r="G6641">
        <f t="shared" ca="1" si="209"/>
        <v>1</v>
      </c>
    </row>
    <row r="6642" spans="1:7">
      <c r="A6642">
        <v>10376</v>
      </c>
      <c r="B6642" t="s">
        <v>215</v>
      </c>
      <c r="C6642" t="s">
        <v>209</v>
      </c>
      <c r="D6642" s="9">
        <v>41935.563136574077</v>
      </c>
      <c r="E6642" t="s">
        <v>19</v>
      </c>
      <c r="F6642">
        <f t="shared" ca="1" si="208"/>
        <v>0.26666666666666666</v>
      </c>
      <c r="G6642">
        <f t="shared" ca="1" si="209"/>
        <v>1</v>
      </c>
    </row>
    <row r="6643" spans="1:7">
      <c r="A6643">
        <v>10377</v>
      </c>
      <c r="B6643" t="s">
        <v>211</v>
      </c>
      <c r="C6643" t="s">
        <v>209</v>
      </c>
      <c r="D6643" s="9">
        <v>41955.769953703704</v>
      </c>
      <c r="E6643" t="s">
        <v>34</v>
      </c>
      <c r="F6643">
        <f t="shared" ca="1" si="208"/>
        <v>0.21388888888888888</v>
      </c>
      <c r="G6643">
        <f t="shared" ca="1" si="209"/>
        <v>1</v>
      </c>
    </row>
    <row r="6644" spans="1:7">
      <c r="A6644">
        <v>10380</v>
      </c>
      <c r="B6644" t="s">
        <v>215</v>
      </c>
      <c r="C6644" t="s">
        <v>209</v>
      </c>
      <c r="D6644" s="9">
        <v>41933.4296412037</v>
      </c>
      <c r="E6644" t="s">
        <v>19</v>
      </c>
      <c r="F6644">
        <f t="shared" ca="1" si="208"/>
        <v>0.2722222222222222</v>
      </c>
      <c r="G6644">
        <f t="shared" ca="1" si="209"/>
        <v>1</v>
      </c>
    </row>
    <row r="6645" spans="1:7">
      <c r="A6645">
        <v>10381</v>
      </c>
      <c r="B6645" t="s">
        <v>211</v>
      </c>
      <c r="C6645" t="s">
        <v>209</v>
      </c>
      <c r="D6645" s="9">
        <v>41940.809212962966</v>
      </c>
      <c r="E6645" t="s">
        <v>213</v>
      </c>
      <c r="F6645">
        <f t="shared" ca="1" si="208"/>
        <v>0.25277777777777777</v>
      </c>
      <c r="G6645">
        <f t="shared" ca="1" si="209"/>
        <v>1</v>
      </c>
    </row>
    <row r="6646" spans="1:7">
      <c r="A6646">
        <v>10383</v>
      </c>
      <c r="B6646" t="s">
        <v>214</v>
      </c>
      <c r="C6646" t="s">
        <v>209</v>
      </c>
      <c r="D6646" s="9">
        <v>41957.666261574072</v>
      </c>
      <c r="E6646" t="s">
        <v>220</v>
      </c>
      <c r="F6646">
        <f t="shared" ca="1" si="208"/>
        <v>0.20833333333333334</v>
      </c>
      <c r="G6646">
        <f t="shared" ca="1" si="209"/>
        <v>1</v>
      </c>
    </row>
    <row r="6647" spans="1:7">
      <c r="A6647">
        <v>10385</v>
      </c>
      <c r="B6647" t="s">
        <v>19</v>
      </c>
      <c r="C6647" t="s">
        <v>209</v>
      </c>
      <c r="D6647" s="9">
        <v>41963.647812499999</v>
      </c>
      <c r="E6647" t="s">
        <v>59</v>
      </c>
      <c r="F6647">
        <f t="shared" ca="1" si="208"/>
        <v>0.19166666666666668</v>
      </c>
      <c r="G6647">
        <f t="shared" ca="1" si="209"/>
        <v>1</v>
      </c>
    </row>
    <row r="6648" spans="1:7">
      <c r="A6648">
        <v>10386</v>
      </c>
      <c r="B6648" t="s">
        <v>20</v>
      </c>
      <c r="C6648" t="s">
        <v>209</v>
      </c>
      <c r="D6648" s="9">
        <v>41933.606342592589</v>
      </c>
      <c r="E6648" t="s">
        <v>80</v>
      </c>
      <c r="F6648">
        <f t="shared" ca="1" si="208"/>
        <v>0.2722222222222222</v>
      </c>
      <c r="G6648">
        <f t="shared" ca="1" si="209"/>
        <v>1</v>
      </c>
    </row>
    <row r="6649" spans="1:7">
      <c r="A6649">
        <v>10387</v>
      </c>
      <c r="B6649" t="s">
        <v>217</v>
      </c>
      <c r="C6649" t="s">
        <v>209</v>
      </c>
      <c r="D6649" s="9">
        <v>41939.652789351851</v>
      </c>
      <c r="E6649" t="s">
        <v>59</v>
      </c>
      <c r="F6649">
        <f t="shared" ca="1" si="208"/>
        <v>0.25555555555555554</v>
      </c>
      <c r="G6649">
        <f t="shared" ca="1" si="209"/>
        <v>1</v>
      </c>
    </row>
    <row r="6650" spans="1:7">
      <c r="A6650">
        <v>10388</v>
      </c>
      <c r="B6650" t="s">
        <v>211</v>
      </c>
      <c r="C6650" t="s">
        <v>209</v>
      </c>
      <c r="D6650" s="9">
        <v>41936.671493055554</v>
      </c>
      <c r="E6650" t="s">
        <v>220</v>
      </c>
      <c r="F6650">
        <f t="shared" ca="1" si="208"/>
        <v>0.2638888888888889</v>
      </c>
      <c r="G6650">
        <f t="shared" ca="1" si="209"/>
        <v>1</v>
      </c>
    </row>
    <row r="6651" spans="1:7">
      <c r="A6651">
        <v>10389</v>
      </c>
      <c r="B6651" t="s">
        <v>215</v>
      </c>
      <c r="C6651" t="s">
        <v>209</v>
      </c>
      <c r="D6651" s="9">
        <v>41932.43037037037</v>
      </c>
      <c r="E6651" t="s">
        <v>19</v>
      </c>
      <c r="F6651">
        <f t="shared" ca="1" si="208"/>
        <v>0.27500000000000002</v>
      </c>
      <c r="G6651">
        <f t="shared" ca="1" si="209"/>
        <v>1</v>
      </c>
    </row>
    <row r="6652" spans="1:7">
      <c r="A6652">
        <v>10391</v>
      </c>
      <c r="B6652" t="s">
        <v>211</v>
      </c>
      <c r="C6652" t="s">
        <v>209</v>
      </c>
      <c r="D6652" s="9">
        <v>41947.650509259256</v>
      </c>
      <c r="E6652" t="s">
        <v>215</v>
      </c>
      <c r="F6652">
        <f t="shared" ca="1" si="208"/>
        <v>0.2361111111111111</v>
      </c>
      <c r="G6652">
        <f t="shared" ca="1" si="209"/>
        <v>1</v>
      </c>
    </row>
    <row r="6653" spans="1:7">
      <c r="A6653">
        <v>10392</v>
      </c>
      <c r="B6653" t="s">
        <v>215</v>
      </c>
      <c r="C6653" t="s">
        <v>209</v>
      </c>
      <c r="D6653" s="9">
        <v>41955.379340277781</v>
      </c>
      <c r="E6653" t="s">
        <v>19</v>
      </c>
      <c r="F6653">
        <f t="shared" ca="1" si="208"/>
        <v>0.21388888888888888</v>
      </c>
      <c r="G6653">
        <f t="shared" ca="1" si="209"/>
        <v>1</v>
      </c>
    </row>
    <row r="6654" spans="1:7">
      <c r="A6654">
        <v>10396</v>
      </c>
      <c r="B6654" t="s">
        <v>21</v>
      </c>
      <c r="C6654" t="s">
        <v>209</v>
      </c>
      <c r="D6654" s="9">
        <v>41956.781446759262</v>
      </c>
      <c r="F6654">
        <f t="shared" ca="1" si="208"/>
        <v>0.21111111111111111</v>
      </c>
      <c r="G6654">
        <f t="shared" ca="1" si="209"/>
        <v>1</v>
      </c>
    </row>
    <row r="6655" spans="1:7">
      <c r="A6655">
        <v>10399</v>
      </c>
      <c r="B6655" t="s">
        <v>211</v>
      </c>
      <c r="C6655" t="s">
        <v>209</v>
      </c>
      <c r="D6655" s="9">
        <v>41935.441412037035</v>
      </c>
      <c r="E6655" t="s">
        <v>215</v>
      </c>
      <c r="F6655">
        <f t="shared" ca="1" si="208"/>
        <v>0.26666666666666666</v>
      </c>
      <c r="G6655">
        <f t="shared" ca="1" si="209"/>
        <v>1</v>
      </c>
    </row>
    <row r="6656" spans="1:7">
      <c r="A6656">
        <v>10404</v>
      </c>
      <c r="B6656" t="s">
        <v>212</v>
      </c>
      <c r="C6656" t="s">
        <v>209</v>
      </c>
      <c r="D6656" s="9">
        <v>41954.380949074075</v>
      </c>
      <c r="E6656" t="s">
        <v>44</v>
      </c>
      <c r="F6656">
        <f t="shared" ca="1" si="208"/>
        <v>0.21666666666666667</v>
      </c>
      <c r="G6656">
        <f t="shared" ca="1" si="209"/>
        <v>1</v>
      </c>
    </row>
    <row r="6657" spans="1:7">
      <c r="A6657">
        <v>10408</v>
      </c>
      <c r="B6657" t="s">
        <v>215</v>
      </c>
      <c r="C6657" t="s">
        <v>209</v>
      </c>
      <c r="D6657" s="9">
        <v>41942.606724537036</v>
      </c>
      <c r="E6657" t="s">
        <v>19</v>
      </c>
      <c r="F6657">
        <f t="shared" ca="1" si="208"/>
        <v>0.24722222222222223</v>
      </c>
      <c r="G6657">
        <f t="shared" ca="1" si="209"/>
        <v>1</v>
      </c>
    </row>
    <row r="6658" spans="1:7">
      <c r="A6658">
        <v>10410</v>
      </c>
      <c r="B6658" t="s">
        <v>211</v>
      </c>
      <c r="C6658" t="s">
        <v>209</v>
      </c>
      <c r="D6658" s="9">
        <v>41939.484236111108</v>
      </c>
      <c r="E6658" t="s">
        <v>215</v>
      </c>
      <c r="F6658">
        <f t="shared" ca="1" si="208"/>
        <v>0.25555555555555554</v>
      </c>
      <c r="G6658">
        <f t="shared" ca="1" si="209"/>
        <v>1</v>
      </c>
    </row>
    <row r="6659" spans="1:7">
      <c r="A6659">
        <v>10411</v>
      </c>
      <c r="B6659" t="s">
        <v>211</v>
      </c>
      <c r="C6659" t="s">
        <v>209</v>
      </c>
      <c r="D6659" s="9">
        <v>41936.346238425926</v>
      </c>
      <c r="E6659" t="s">
        <v>69</v>
      </c>
      <c r="F6659">
        <f t="shared" ca="1" si="208"/>
        <v>0.2638888888888889</v>
      </c>
      <c r="G6659">
        <f t="shared" ca="1" si="209"/>
        <v>1</v>
      </c>
    </row>
    <row r="6660" spans="1:7">
      <c r="A6660">
        <v>10420</v>
      </c>
      <c r="B6660" t="s">
        <v>212</v>
      </c>
      <c r="C6660" t="s">
        <v>209</v>
      </c>
      <c r="D6660" s="9">
        <v>41948.666331018518</v>
      </c>
      <c r="E6660" t="s">
        <v>44</v>
      </c>
      <c r="F6660">
        <f t="shared" ca="1" si="208"/>
        <v>0.23333333333333334</v>
      </c>
      <c r="G6660">
        <f t="shared" ca="1" si="209"/>
        <v>1</v>
      </c>
    </row>
    <row r="6661" spans="1:7">
      <c r="A6661">
        <v>10429</v>
      </c>
      <c r="C6661" t="s">
        <v>163</v>
      </c>
      <c r="D6661" s="9">
        <v>41937.714108796295</v>
      </c>
      <c r="E6661" t="s">
        <v>59</v>
      </c>
      <c r="F6661">
        <f t="shared" ca="1" si="208"/>
        <v>0.26111111111111113</v>
      </c>
      <c r="G6661">
        <f t="shared" ca="1" si="209"/>
        <v>1</v>
      </c>
    </row>
    <row r="6662" spans="1:7">
      <c r="A6662">
        <v>10430</v>
      </c>
      <c r="B6662" t="s">
        <v>34</v>
      </c>
      <c r="C6662" t="s">
        <v>209</v>
      </c>
      <c r="D6662" s="9">
        <v>41940.867638888885</v>
      </c>
      <c r="E6662" t="s">
        <v>36</v>
      </c>
      <c r="F6662">
        <f t="shared" ca="1" si="208"/>
        <v>0.25277777777777777</v>
      </c>
      <c r="G6662">
        <f t="shared" ca="1" si="209"/>
        <v>1</v>
      </c>
    </row>
    <row r="6663" spans="1:7">
      <c r="A6663">
        <v>10431</v>
      </c>
      <c r="B6663" t="s">
        <v>215</v>
      </c>
      <c r="C6663" t="s">
        <v>209</v>
      </c>
      <c r="D6663" s="9">
        <v>41942.652337962965</v>
      </c>
      <c r="E6663" t="s">
        <v>19</v>
      </c>
      <c r="F6663">
        <f t="shared" ref="F6663:F6726" ca="1" si="210">YEARFRAC(TODAY(),$D6663)</f>
        <v>0.24722222222222223</v>
      </c>
      <c r="G6663">
        <f t="shared" ref="G6663:G6726" ca="1" si="211">IF($F6663&lt;1,1,0)</f>
        <v>1</v>
      </c>
    </row>
    <row r="6664" spans="1:7">
      <c r="A6664">
        <v>10433</v>
      </c>
      <c r="B6664" t="s">
        <v>212</v>
      </c>
      <c r="C6664" t="s">
        <v>209</v>
      </c>
      <c r="D6664" s="9">
        <v>41946.651261574072</v>
      </c>
      <c r="E6664" t="s">
        <v>44</v>
      </c>
      <c r="F6664">
        <f t="shared" ca="1" si="210"/>
        <v>0.2388888888888889</v>
      </c>
      <c r="G6664">
        <f t="shared" ca="1" si="211"/>
        <v>1</v>
      </c>
    </row>
    <row r="6665" spans="1:7">
      <c r="A6665">
        <v>10435</v>
      </c>
      <c r="B6665" t="s">
        <v>212</v>
      </c>
      <c r="C6665" t="s">
        <v>209</v>
      </c>
      <c r="D6665" s="9">
        <v>41953.715497685182</v>
      </c>
      <c r="E6665" t="s">
        <v>44</v>
      </c>
      <c r="F6665">
        <f t="shared" ca="1" si="210"/>
        <v>0.21944444444444444</v>
      </c>
      <c r="G6665">
        <f t="shared" ca="1" si="211"/>
        <v>1</v>
      </c>
    </row>
    <row r="6666" spans="1:7">
      <c r="A6666">
        <v>10436</v>
      </c>
      <c r="B6666" t="s">
        <v>212</v>
      </c>
      <c r="C6666" t="s">
        <v>209</v>
      </c>
      <c r="D6666" s="9">
        <v>41953.716331018521</v>
      </c>
      <c r="E6666" t="s">
        <v>44</v>
      </c>
      <c r="F6666">
        <f t="shared" ca="1" si="210"/>
        <v>0.21944444444444444</v>
      </c>
      <c r="G6666">
        <f t="shared" ca="1" si="211"/>
        <v>1</v>
      </c>
    </row>
    <row r="6667" spans="1:7">
      <c r="A6667">
        <v>10437</v>
      </c>
      <c r="B6667" t="s">
        <v>212</v>
      </c>
      <c r="C6667" t="s">
        <v>209</v>
      </c>
      <c r="D6667" s="9">
        <v>41954.441967592589</v>
      </c>
      <c r="E6667" t="s">
        <v>44</v>
      </c>
      <c r="F6667">
        <f t="shared" ca="1" si="210"/>
        <v>0.21666666666666667</v>
      </c>
      <c r="G6667">
        <f t="shared" ca="1" si="211"/>
        <v>1</v>
      </c>
    </row>
    <row r="6668" spans="1:7">
      <c r="A6668">
        <v>10441</v>
      </c>
      <c r="B6668" t="s">
        <v>211</v>
      </c>
      <c r="C6668" t="s">
        <v>209</v>
      </c>
      <c r="D6668" s="9">
        <v>41950.639988425923</v>
      </c>
      <c r="E6668" t="s">
        <v>215</v>
      </c>
      <c r="F6668">
        <f t="shared" ca="1" si="210"/>
        <v>0.22777777777777777</v>
      </c>
      <c r="G6668">
        <f t="shared" ca="1" si="211"/>
        <v>1</v>
      </c>
    </row>
    <row r="6669" spans="1:7">
      <c r="A6669">
        <v>10443</v>
      </c>
      <c r="B6669" t="s">
        <v>211</v>
      </c>
      <c r="C6669" t="s">
        <v>209</v>
      </c>
      <c r="D6669" s="9">
        <v>41955.589849537035</v>
      </c>
      <c r="E6669" t="s">
        <v>215</v>
      </c>
      <c r="F6669">
        <f t="shared" ca="1" si="210"/>
        <v>0.21388888888888888</v>
      </c>
      <c r="G6669">
        <f t="shared" ca="1" si="211"/>
        <v>1</v>
      </c>
    </row>
    <row r="6670" spans="1:7">
      <c r="A6670">
        <v>10451</v>
      </c>
      <c r="B6670" t="s">
        <v>211</v>
      </c>
      <c r="C6670" t="s">
        <v>209</v>
      </c>
      <c r="D6670" s="9">
        <v>41943.590567129628</v>
      </c>
      <c r="E6670" t="s">
        <v>213</v>
      </c>
      <c r="F6670">
        <f t="shared" ca="1" si="210"/>
        <v>0.24722222222222223</v>
      </c>
      <c r="G6670">
        <f t="shared" ca="1" si="211"/>
        <v>1</v>
      </c>
    </row>
    <row r="6671" spans="1:7">
      <c r="A6671">
        <v>10458</v>
      </c>
      <c r="B6671" t="s">
        <v>212</v>
      </c>
      <c r="C6671" t="s">
        <v>209</v>
      </c>
      <c r="D6671" s="9">
        <v>41948.67465277778</v>
      </c>
      <c r="E6671" t="s">
        <v>44</v>
      </c>
      <c r="F6671">
        <f t="shared" ca="1" si="210"/>
        <v>0.23333333333333334</v>
      </c>
      <c r="G6671">
        <f t="shared" ca="1" si="211"/>
        <v>1</v>
      </c>
    </row>
    <row r="6672" spans="1:7">
      <c r="A6672">
        <v>10462</v>
      </c>
      <c r="B6672" t="s">
        <v>34</v>
      </c>
      <c r="C6672" t="s">
        <v>209</v>
      </c>
      <c r="D6672" s="9">
        <v>41955.764675925922</v>
      </c>
      <c r="E6672" t="s">
        <v>36</v>
      </c>
      <c r="F6672">
        <f t="shared" ca="1" si="210"/>
        <v>0.21388888888888888</v>
      </c>
      <c r="G6672">
        <f t="shared" ca="1" si="211"/>
        <v>1</v>
      </c>
    </row>
    <row r="6673" spans="1:7">
      <c r="A6673">
        <v>10466</v>
      </c>
      <c r="B6673" t="s">
        <v>43</v>
      </c>
      <c r="C6673" t="s">
        <v>209</v>
      </c>
      <c r="D6673" s="9">
        <v>41946.680868055555</v>
      </c>
      <c r="E6673" t="s">
        <v>213</v>
      </c>
      <c r="F6673">
        <f t="shared" ca="1" si="210"/>
        <v>0.2388888888888889</v>
      </c>
      <c r="G6673">
        <f t="shared" ca="1" si="211"/>
        <v>1</v>
      </c>
    </row>
    <row r="6674" spans="1:7">
      <c r="A6674">
        <v>10472</v>
      </c>
      <c r="B6674" t="s">
        <v>8</v>
      </c>
      <c r="C6674" t="s">
        <v>209</v>
      </c>
      <c r="D6674" s="9">
        <v>41946.616388888891</v>
      </c>
      <c r="E6674" t="s">
        <v>59</v>
      </c>
      <c r="F6674">
        <f t="shared" ca="1" si="210"/>
        <v>0.2388888888888889</v>
      </c>
      <c r="G6674">
        <f t="shared" ca="1" si="211"/>
        <v>1</v>
      </c>
    </row>
    <row r="6675" spans="1:7">
      <c r="A6675">
        <v>10480</v>
      </c>
      <c r="B6675" t="s">
        <v>220</v>
      </c>
      <c r="C6675" t="s">
        <v>209</v>
      </c>
      <c r="D6675" s="9">
        <v>41950.555891203701</v>
      </c>
      <c r="E6675" t="s">
        <v>214</v>
      </c>
      <c r="F6675">
        <f t="shared" ca="1" si="210"/>
        <v>0.22777777777777777</v>
      </c>
      <c r="G6675">
        <f t="shared" ca="1" si="211"/>
        <v>1</v>
      </c>
    </row>
    <row r="6676" spans="1:7">
      <c r="A6676">
        <v>10482</v>
      </c>
      <c r="B6676" t="s">
        <v>211</v>
      </c>
      <c r="C6676" t="s">
        <v>209</v>
      </c>
      <c r="D6676" s="9">
        <v>41956.430138888885</v>
      </c>
      <c r="E6676" t="s">
        <v>215</v>
      </c>
      <c r="F6676">
        <f t="shared" ca="1" si="210"/>
        <v>0.21111111111111111</v>
      </c>
      <c r="G6676">
        <f t="shared" ca="1" si="211"/>
        <v>1</v>
      </c>
    </row>
    <row r="6677" spans="1:7">
      <c r="A6677">
        <v>10484</v>
      </c>
      <c r="B6677" t="s">
        <v>112</v>
      </c>
      <c r="C6677" t="s">
        <v>209</v>
      </c>
      <c r="D6677" s="9">
        <v>41950.478819444441</v>
      </c>
      <c r="E6677" t="s">
        <v>213</v>
      </c>
      <c r="F6677">
        <f t="shared" ca="1" si="210"/>
        <v>0.22777777777777777</v>
      </c>
      <c r="G6677">
        <f t="shared" ca="1" si="211"/>
        <v>1</v>
      </c>
    </row>
    <row r="6678" spans="1:7">
      <c r="A6678">
        <v>10487</v>
      </c>
      <c r="B6678" t="s">
        <v>217</v>
      </c>
      <c r="C6678" t="s">
        <v>209</v>
      </c>
      <c r="D6678" s="9">
        <v>41948.439837962964</v>
      </c>
      <c r="E6678" t="s">
        <v>8</v>
      </c>
      <c r="F6678">
        <f t="shared" ca="1" si="210"/>
        <v>0.23333333333333334</v>
      </c>
      <c r="G6678">
        <f t="shared" ca="1" si="211"/>
        <v>1</v>
      </c>
    </row>
    <row r="6679" spans="1:7">
      <c r="A6679">
        <v>10489</v>
      </c>
      <c r="B6679" t="s">
        <v>112</v>
      </c>
      <c r="C6679" t="s">
        <v>209</v>
      </c>
      <c r="D6679" s="9">
        <v>41949.667870370373</v>
      </c>
      <c r="E6679" t="s">
        <v>8</v>
      </c>
      <c r="F6679">
        <f t="shared" ca="1" si="210"/>
        <v>0.23055555555555557</v>
      </c>
      <c r="G6679">
        <f t="shared" ca="1" si="211"/>
        <v>1</v>
      </c>
    </row>
    <row r="6680" spans="1:7">
      <c r="A6680">
        <v>10490</v>
      </c>
      <c r="B6680" t="s">
        <v>213</v>
      </c>
      <c r="C6680" t="s">
        <v>209</v>
      </c>
      <c r="D6680" s="9">
        <v>41962.886354166665</v>
      </c>
      <c r="E6680" t="s">
        <v>20</v>
      </c>
      <c r="F6680">
        <f t="shared" ca="1" si="210"/>
        <v>0.19444444444444445</v>
      </c>
      <c r="G6680">
        <f t="shared" ca="1" si="211"/>
        <v>1</v>
      </c>
    </row>
    <row r="6681" spans="1:7">
      <c r="A6681">
        <v>10491</v>
      </c>
      <c r="B6681" t="s">
        <v>215</v>
      </c>
      <c r="C6681" t="s">
        <v>209</v>
      </c>
      <c r="D6681" s="9">
        <v>41948.580833333333</v>
      </c>
      <c r="E6681" t="s">
        <v>19</v>
      </c>
      <c r="F6681">
        <f t="shared" ca="1" si="210"/>
        <v>0.23333333333333334</v>
      </c>
      <c r="G6681">
        <f t="shared" ca="1" si="211"/>
        <v>1</v>
      </c>
    </row>
    <row r="6682" spans="1:7">
      <c r="A6682">
        <v>10507</v>
      </c>
      <c r="B6682" t="s">
        <v>217</v>
      </c>
      <c r="C6682" t="s">
        <v>209</v>
      </c>
      <c r="D6682" s="9">
        <v>41957.826284722221</v>
      </c>
      <c r="E6682" t="s">
        <v>59</v>
      </c>
      <c r="F6682">
        <f t="shared" ca="1" si="210"/>
        <v>0.20833333333333334</v>
      </c>
      <c r="G6682">
        <f t="shared" ca="1" si="211"/>
        <v>1</v>
      </c>
    </row>
    <row r="6683" spans="1:7">
      <c r="A6683">
        <v>10534</v>
      </c>
      <c r="B6683" t="s">
        <v>211</v>
      </c>
      <c r="C6683" t="s">
        <v>209</v>
      </c>
      <c r="D6683" s="9">
        <v>41956.413483796299</v>
      </c>
      <c r="E6683" t="s">
        <v>215</v>
      </c>
      <c r="F6683">
        <f t="shared" ca="1" si="210"/>
        <v>0.21111111111111111</v>
      </c>
      <c r="G6683">
        <f t="shared" ca="1" si="211"/>
        <v>1</v>
      </c>
    </row>
    <row r="6684" spans="1:7">
      <c r="A6684">
        <v>10538</v>
      </c>
      <c r="B6684" t="s">
        <v>211</v>
      </c>
      <c r="C6684" t="s">
        <v>209</v>
      </c>
      <c r="D6684" s="9">
        <v>41955.610289351855</v>
      </c>
      <c r="E6684" t="s">
        <v>215</v>
      </c>
      <c r="F6684">
        <f t="shared" ca="1" si="210"/>
        <v>0.21388888888888888</v>
      </c>
      <c r="G6684">
        <f t="shared" ca="1" si="211"/>
        <v>1</v>
      </c>
    </row>
    <row r="6685" spans="1:7">
      <c r="A6685">
        <v>10541</v>
      </c>
      <c r="B6685" t="s">
        <v>32</v>
      </c>
      <c r="C6685" t="s">
        <v>209</v>
      </c>
      <c r="D6685" s="9">
        <v>41963.678252314814</v>
      </c>
      <c r="E6685" t="s">
        <v>21</v>
      </c>
      <c r="F6685">
        <f t="shared" ca="1" si="210"/>
        <v>0.19166666666666668</v>
      </c>
      <c r="G6685">
        <f t="shared" ca="1" si="211"/>
        <v>1</v>
      </c>
    </row>
    <row r="6686" spans="1:7">
      <c r="A6686">
        <v>10542</v>
      </c>
      <c r="B6686" t="s">
        <v>211</v>
      </c>
      <c r="C6686" t="s">
        <v>209</v>
      </c>
      <c r="D6686" s="9">
        <v>41956.706284722219</v>
      </c>
      <c r="E6686" t="s">
        <v>215</v>
      </c>
      <c r="F6686">
        <f t="shared" ca="1" si="210"/>
        <v>0.21111111111111111</v>
      </c>
      <c r="G6686">
        <f t="shared" ca="1" si="211"/>
        <v>1</v>
      </c>
    </row>
    <row r="6687" spans="1:7">
      <c r="A6687">
        <v>10545</v>
      </c>
      <c r="B6687" t="s">
        <v>34</v>
      </c>
      <c r="C6687" t="s">
        <v>209</v>
      </c>
      <c r="D6687" s="9">
        <v>41963.773738425924</v>
      </c>
      <c r="E6687" t="s">
        <v>36</v>
      </c>
      <c r="F6687">
        <f t="shared" ca="1" si="210"/>
        <v>0.19166666666666668</v>
      </c>
      <c r="G6687">
        <f t="shared" ca="1" si="211"/>
        <v>1</v>
      </c>
    </row>
    <row r="6688" spans="1:7">
      <c r="A6688">
        <v>10546</v>
      </c>
      <c r="B6688" t="s">
        <v>43</v>
      </c>
      <c r="C6688" t="s">
        <v>209</v>
      </c>
      <c r="D6688" s="9">
        <v>41956.780578703707</v>
      </c>
      <c r="E6688" t="s">
        <v>213</v>
      </c>
      <c r="F6688">
        <f t="shared" ca="1" si="210"/>
        <v>0.21111111111111111</v>
      </c>
      <c r="G6688">
        <f t="shared" ca="1" si="211"/>
        <v>1</v>
      </c>
    </row>
    <row r="6689" spans="1:7">
      <c r="A6689">
        <v>10558</v>
      </c>
      <c r="B6689" t="s">
        <v>20</v>
      </c>
      <c r="C6689" t="s">
        <v>209</v>
      </c>
      <c r="D6689" s="9">
        <v>41957.868877314817</v>
      </c>
      <c r="E6689" t="s">
        <v>217</v>
      </c>
      <c r="F6689">
        <f t="shared" ca="1" si="210"/>
        <v>0.20833333333333334</v>
      </c>
      <c r="G6689">
        <f t="shared" ca="1" si="211"/>
        <v>1</v>
      </c>
    </row>
    <row r="6690" spans="1:7">
      <c r="A6690">
        <v>10566</v>
      </c>
      <c r="B6690" t="s">
        <v>20</v>
      </c>
      <c r="C6690" t="s">
        <v>209</v>
      </c>
      <c r="D6690" s="9">
        <v>41963.6405787037</v>
      </c>
      <c r="E6690" t="s">
        <v>8</v>
      </c>
      <c r="F6690">
        <f t="shared" ca="1" si="210"/>
        <v>0.19166666666666668</v>
      </c>
      <c r="G6690">
        <f t="shared" ca="1" si="211"/>
        <v>1</v>
      </c>
    </row>
    <row r="6691" spans="1:7">
      <c r="A6691">
        <v>10568</v>
      </c>
      <c r="B6691" t="s">
        <v>211</v>
      </c>
      <c r="C6691" t="s">
        <v>209</v>
      </c>
      <c r="D6691" s="9">
        <v>41962.480486111112</v>
      </c>
      <c r="E6691" t="s">
        <v>213</v>
      </c>
      <c r="F6691">
        <f t="shared" ca="1" si="210"/>
        <v>0.19444444444444445</v>
      </c>
      <c r="G6691">
        <f t="shared" ca="1" si="211"/>
        <v>1</v>
      </c>
    </row>
    <row r="6692" spans="1:7">
      <c r="A6692">
        <v>10599</v>
      </c>
      <c r="B6692" t="s">
        <v>215</v>
      </c>
      <c r="C6692" t="s">
        <v>218</v>
      </c>
      <c r="D6692" s="9">
        <v>41963.584374999999</v>
      </c>
      <c r="E6692" t="s">
        <v>19</v>
      </c>
      <c r="F6692">
        <f t="shared" ca="1" si="210"/>
        <v>0.19166666666666668</v>
      </c>
      <c r="G6692">
        <f t="shared" ca="1" si="211"/>
        <v>1</v>
      </c>
    </row>
    <row r="6693" spans="1:7">
      <c r="A6693">
        <v>29</v>
      </c>
      <c r="B6693" t="s">
        <v>11</v>
      </c>
      <c r="C6693" t="s">
        <v>162</v>
      </c>
      <c r="D6693" s="9">
        <v>39367.566458333335</v>
      </c>
      <c r="F6693">
        <f t="shared" ca="1" si="210"/>
        <v>7.2972222222222225</v>
      </c>
      <c r="G6693">
        <f t="shared" ca="1" si="211"/>
        <v>0</v>
      </c>
    </row>
    <row r="6694" spans="1:7">
      <c r="A6694">
        <v>44</v>
      </c>
      <c r="B6694" t="s">
        <v>11</v>
      </c>
      <c r="C6694" t="s">
        <v>161</v>
      </c>
      <c r="D6694" s="9">
        <v>39386.684803240743</v>
      </c>
      <c r="F6694">
        <f t="shared" ca="1" si="210"/>
        <v>7.2472222222222218</v>
      </c>
      <c r="G6694">
        <f t="shared" ca="1" si="211"/>
        <v>0</v>
      </c>
    </row>
    <row r="6695" spans="1:7">
      <c r="A6695">
        <v>58</v>
      </c>
      <c r="B6695" t="s">
        <v>98</v>
      </c>
      <c r="C6695" t="s">
        <v>160</v>
      </c>
      <c r="D6695" s="9">
        <v>39492.598819444444</v>
      </c>
      <c r="F6695">
        <f t="shared" ca="1" si="210"/>
        <v>6.958333333333333</v>
      </c>
      <c r="G6695">
        <f t="shared" ca="1" si="211"/>
        <v>0</v>
      </c>
    </row>
    <row r="6696" spans="1:7">
      <c r="A6696">
        <v>86</v>
      </c>
      <c r="B6696" t="s">
        <v>11</v>
      </c>
      <c r="C6696" t="s">
        <v>160</v>
      </c>
      <c r="D6696" s="9">
        <v>39489.545937499999</v>
      </c>
      <c r="F6696">
        <f t="shared" ca="1" si="210"/>
        <v>6.9666666666666668</v>
      </c>
      <c r="G6696">
        <f t="shared" ca="1" si="211"/>
        <v>0</v>
      </c>
    </row>
    <row r="6697" spans="1:7">
      <c r="A6697">
        <v>101</v>
      </c>
      <c r="B6697" t="s">
        <v>11</v>
      </c>
      <c r="C6697" t="s">
        <v>138</v>
      </c>
      <c r="D6697" s="9">
        <v>39510.426203703704</v>
      </c>
      <c r="F6697">
        <f t="shared" ca="1" si="210"/>
        <v>6.9055555555555559</v>
      </c>
      <c r="G6697">
        <f t="shared" ca="1" si="211"/>
        <v>0</v>
      </c>
    </row>
    <row r="6698" spans="1:7">
      <c r="A6698">
        <v>106</v>
      </c>
      <c r="B6698" t="s">
        <v>91</v>
      </c>
      <c r="C6698" t="s">
        <v>153</v>
      </c>
      <c r="D6698" s="9">
        <v>39696.372812499998</v>
      </c>
      <c r="F6698">
        <f t="shared" ca="1" si="210"/>
        <v>6.4</v>
      </c>
      <c r="G6698">
        <f t="shared" ca="1" si="211"/>
        <v>0</v>
      </c>
    </row>
    <row r="6699" spans="1:7">
      <c r="A6699">
        <v>107</v>
      </c>
      <c r="B6699" t="s">
        <v>11</v>
      </c>
      <c r="C6699" t="s">
        <v>157</v>
      </c>
      <c r="D6699" s="9">
        <v>39588.399907407409</v>
      </c>
      <c r="F6699">
        <f t="shared" ca="1" si="210"/>
        <v>6.6916666666666664</v>
      </c>
      <c r="G6699">
        <f t="shared" ca="1" si="211"/>
        <v>0</v>
      </c>
    </row>
    <row r="6700" spans="1:7">
      <c r="A6700">
        <v>108</v>
      </c>
      <c r="B6700" t="s">
        <v>112</v>
      </c>
      <c r="C6700" t="s">
        <v>157</v>
      </c>
      <c r="D6700" s="9">
        <v>39595.625034722223</v>
      </c>
      <c r="F6700">
        <f t="shared" ca="1" si="210"/>
        <v>6.6722222222222225</v>
      </c>
      <c r="G6700">
        <f t="shared" ca="1" si="211"/>
        <v>0</v>
      </c>
    </row>
    <row r="6701" spans="1:7">
      <c r="A6701">
        <v>112</v>
      </c>
      <c r="B6701" t="s">
        <v>11</v>
      </c>
      <c r="C6701" t="s">
        <v>159</v>
      </c>
      <c r="D6701" s="9">
        <v>39517.646041666667</v>
      </c>
      <c r="F6701">
        <f t="shared" ca="1" si="210"/>
        <v>6.8861111111111111</v>
      </c>
      <c r="G6701">
        <f t="shared" ca="1" si="211"/>
        <v>0</v>
      </c>
    </row>
    <row r="6702" spans="1:7">
      <c r="A6702">
        <v>113</v>
      </c>
      <c r="B6702" t="s">
        <v>11</v>
      </c>
      <c r="C6702" t="s">
        <v>158</v>
      </c>
      <c r="D6702" s="9">
        <v>39517.653819444444</v>
      </c>
      <c r="F6702">
        <f t="shared" ca="1" si="210"/>
        <v>6.8861111111111111</v>
      </c>
      <c r="G6702">
        <f t="shared" ca="1" si="211"/>
        <v>0</v>
      </c>
    </row>
    <row r="6703" spans="1:7">
      <c r="A6703">
        <v>114</v>
      </c>
      <c r="B6703" t="s">
        <v>11</v>
      </c>
      <c r="C6703" t="s">
        <v>138</v>
      </c>
      <c r="D6703" s="9">
        <v>39539.480740740742</v>
      </c>
      <c r="F6703">
        <f t="shared" ca="1" si="210"/>
        <v>6.8277777777777775</v>
      </c>
      <c r="G6703">
        <f t="shared" ca="1" si="211"/>
        <v>0</v>
      </c>
    </row>
    <row r="6704" spans="1:7">
      <c r="A6704">
        <v>123</v>
      </c>
      <c r="C6704" t="s">
        <v>157</v>
      </c>
      <c r="D6704" s="9">
        <v>39569.661423611113</v>
      </c>
      <c r="F6704">
        <f t="shared" ca="1" si="210"/>
        <v>6.7444444444444445</v>
      </c>
      <c r="G6704">
        <f t="shared" ca="1" si="211"/>
        <v>0</v>
      </c>
    </row>
    <row r="6705" spans="1:7">
      <c r="A6705">
        <v>126</v>
      </c>
      <c r="B6705" t="s">
        <v>95</v>
      </c>
      <c r="C6705" t="s">
        <v>155</v>
      </c>
      <c r="D6705" s="9">
        <v>39724.547476851854</v>
      </c>
      <c r="F6705">
        <f t="shared" ca="1" si="210"/>
        <v>6.322222222222222</v>
      </c>
      <c r="G6705">
        <f t="shared" ca="1" si="211"/>
        <v>0</v>
      </c>
    </row>
    <row r="6706" spans="1:7">
      <c r="A6706">
        <v>134</v>
      </c>
      <c r="B6706" t="s">
        <v>11</v>
      </c>
      <c r="C6706" t="s">
        <v>154</v>
      </c>
      <c r="D6706" s="9">
        <v>39638.519270833334</v>
      </c>
      <c r="F6706">
        <f t="shared" ca="1" si="210"/>
        <v>6.5555555555555554</v>
      </c>
      <c r="G6706">
        <f t="shared" ca="1" si="211"/>
        <v>0</v>
      </c>
    </row>
    <row r="6707" spans="1:7">
      <c r="A6707">
        <v>152</v>
      </c>
      <c r="B6707" t="s">
        <v>77</v>
      </c>
      <c r="C6707" t="s">
        <v>155</v>
      </c>
      <c r="D6707" s="9">
        <v>39724.520636574074</v>
      </c>
      <c r="F6707">
        <f t="shared" ca="1" si="210"/>
        <v>6.322222222222222</v>
      </c>
      <c r="G6707">
        <f t="shared" ca="1" si="211"/>
        <v>0</v>
      </c>
    </row>
    <row r="6708" spans="1:7">
      <c r="A6708">
        <v>153</v>
      </c>
      <c r="B6708" t="s">
        <v>11</v>
      </c>
      <c r="C6708" t="s">
        <v>156</v>
      </c>
      <c r="D6708" s="9">
        <v>39625.558009259257</v>
      </c>
      <c r="F6708">
        <f t="shared" ca="1" si="210"/>
        <v>6.5916666666666668</v>
      </c>
      <c r="G6708">
        <f t="shared" ca="1" si="211"/>
        <v>0</v>
      </c>
    </row>
    <row r="6709" spans="1:7">
      <c r="A6709">
        <v>162</v>
      </c>
      <c r="B6709" t="s">
        <v>34</v>
      </c>
      <c r="C6709" t="s">
        <v>156</v>
      </c>
      <c r="D6709" s="9">
        <v>39624.664849537039</v>
      </c>
      <c r="F6709">
        <f t="shared" ca="1" si="210"/>
        <v>6.5944444444444441</v>
      </c>
      <c r="G6709">
        <f t="shared" ca="1" si="211"/>
        <v>0</v>
      </c>
    </row>
    <row r="6710" spans="1:7">
      <c r="A6710">
        <v>171</v>
      </c>
      <c r="B6710" t="s">
        <v>11</v>
      </c>
      <c r="C6710" t="s">
        <v>155</v>
      </c>
      <c r="D6710" s="9">
        <v>39727.586585648147</v>
      </c>
      <c r="F6710">
        <f t="shared" ca="1" si="210"/>
        <v>6.3138888888888891</v>
      </c>
      <c r="G6710">
        <f t="shared" ca="1" si="211"/>
        <v>0</v>
      </c>
    </row>
    <row r="6711" spans="1:7">
      <c r="A6711">
        <v>178</v>
      </c>
      <c r="B6711" t="s">
        <v>11</v>
      </c>
      <c r="C6711" t="s">
        <v>154</v>
      </c>
      <c r="D6711" s="9">
        <v>39633.612372685187</v>
      </c>
      <c r="F6711">
        <f t="shared" ca="1" si="210"/>
        <v>6.5694444444444446</v>
      </c>
      <c r="G6711">
        <f t="shared" ca="1" si="211"/>
        <v>0</v>
      </c>
    </row>
    <row r="6712" spans="1:7">
      <c r="A6712">
        <v>200</v>
      </c>
      <c r="B6712" t="s">
        <v>34</v>
      </c>
      <c r="C6712" t="s">
        <v>153</v>
      </c>
      <c r="D6712" s="9">
        <v>39667.461759259262</v>
      </c>
      <c r="F6712">
        <f t="shared" ca="1" si="210"/>
        <v>6.4777777777777779</v>
      </c>
      <c r="G6712">
        <f t="shared" ca="1" si="211"/>
        <v>0</v>
      </c>
    </row>
    <row r="6713" spans="1:7">
      <c r="A6713">
        <v>207</v>
      </c>
      <c r="B6713" t="s">
        <v>93</v>
      </c>
      <c r="C6713" t="s">
        <v>152</v>
      </c>
      <c r="D6713" s="9">
        <v>39729.51394675926</v>
      </c>
      <c r="F6713">
        <f t="shared" ca="1" si="210"/>
        <v>6.3083333333333336</v>
      </c>
      <c r="G6713">
        <f t="shared" ca="1" si="211"/>
        <v>0</v>
      </c>
    </row>
    <row r="6714" spans="1:7">
      <c r="A6714">
        <v>217</v>
      </c>
      <c r="B6714" t="s">
        <v>11</v>
      </c>
      <c r="C6714" t="s">
        <v>152</v>
      </c>
      <c r="D6714" s="9">
        <v>39729.616006944445</v>
      </c>
      <c r="F6714">
        <f t="shared" ca="1" si="210"/>
        <v>6.3083333333333336</v>
      </c>
      <c r="G6714">
        <f t="shared" ca="1" si="211"/>
        <v>0</v>
      </c>
    </row>
    <row r="6715" spans="1:7">
      <c r="A6715">
        <v>252</v>
      </c>
      <c r="B6715" t="s">
        <v>95</v>
      </c>
      <c r="C6715" t="s">
        <v>151</v>
      </c>
      <c r="D6715" s="9">
        <v>39821.500289351854</v>
      </c>
      <c r="F6715">
        <f t="shared" ca="1" si="210"/>
        <v>6.0583333333333336</v>
      </c>
      <c r="G6715">
        <f t="shared" ca="1" si="211"/>
        <v>0</v>
      </c>
    </row>
    <row r="6716" spans="1:7">
      <c r="A6716">
        <v>262</v>
      </c>
      <c r="B6716" t="s">
        <v>99</v>
      </c>
      <c r="C6716" t="s">
        <v>129</v>
      </c>
      <c r="D6716" s="9">
        <v>40806.609884259262</v>
      </c>
      <c r="E6716" t="s">
        <v>8</v>
      </c>
      <c r="F6716">
        <f t="shared" ca="1" si="210"/>
        <v>3.3583333333333334</v>
      </c>
      <c r="G6716">
        <f t="shared" ca="1" si="211"/>
        <v>0</v>
      </c>
    </row>
    <row r="6717" spans="1:7">
      <c r="A6717">
        <v>264</v>
      </c>
      <c r="B6717" t="s">
        <v>11</v>
      </c>
      <c r="C6717" t="s">
        <v>152</v>
      </c>
      <c r="D6717" s="9">
        <v>39730.614074074074</v>
      </c>
      <c r="F6717">
        <f t="shared" ca="1" si="210"/>
        <v>6.3055555555555554</v>
      </c>
      <c r="G6717">
        <f t="shared" ca="1" si="211"/>
        <v>0</v>
      </c>
    </row>
    <row r="6718" spans="1:7">
      <c r="A6718">
        <v>270</v>
      </c>
      <c r="B6718" t="s">
        <v>11</v>
      </c>
      <c r="C6718" t="s">
        <v>152</v>
      </c>
      <c r="D6718" s="9">
        <v>39737.680231481485</v>
      </c>
      <c r="F6718">
        <f t="shared" ca="1" si="210"/>
        <v>6.2861111111111114</v>
      </c>
      <c r="G6718">
        <f t="shared" ca="1" si="211"/>
        <v>0</v>
      </c>
    </row>
    <row r="6719" spans="1:7">
      <c r="A6719">
        <v>273</v>
      </c>
      <c r="C6719" t="s">
        <v>152</v>
      </c>
      <c r="D6719" s="9">
        <v>39751.540798611109</v>
      </c>
      <c r="F6719">
        <f t="shared" ca="1" si="210"/>
        <v>6.2472222222222218</v>
      </c>
      <c r="G6719">
        <f t="shared" ca="1" si="211"/>
        <v>0</v>
      </c>
    </row>
    <row r="6720" spans="1:7">
      <c r="A6720">
        <v>279</v>
      </c>
      <c r="C6720" t="s">
        <v>151</v>
      </c>
      <c r="D6720" s="9">
        <v>39820.421203703707</v>
      </c>
      <c r="F6720">
        <f t="shared" ca="1" si="210"/>
        <v>6.0611111111111109</v>
      </c>
      <c r="G6720">
        <f t="shared" ca="1" si="211"/>
        <v>0</v>
      </c>
    </row>
    <row r="6721" spans="1:7">
      <c r="A6721">
        <v>280</v>
      </c>
      <c r="B6721" t="s">
        <v>11</v>
      </c>
      <c r="C6721" t="s">
        <v>152</v>
      </c>
      <c r="D6721" s="9">
        <v>39751.594097222223</v>
      </c>
      <c r="F6721">
        <f t="shared" ca="1" si="210"/>
        <v>6.2472222222222218</v>
      </c>
      <c r="G6721">
        <f t="shared" ca="1" si="211"/>
        <v>0</v>
      </c>
    </row>
    <row r="6722" spans="1:7">
      <c r="A6722">
        <v>281</v>
      </c>
      <c r="C6722" t="s">
        <v>152</v>
      </c>
      <c r="D6722" s="9">
        <v>39766.440578703703</v>
      </c>
      <c r="F6722">
        <f t="shared" ca="1" si="210"/>
        <v>6.208333333333333</v>
      </c>
      <c r="G6722">
        <f t="shared" ca="1" si="211"/>
        <v>0</v>
      </c>
    </row>
    <row r="6723" spans="1:7">
      <c r="A6723">
        <v>285</v>
      </c>
      <c r="B6723" t="s">
        <v>11</v>
      </c>
      <c r="C6723" t="s">
        <v>152</v>
      </c>
      <c r="D6723" s="9">
        <v>39765.653703703705</v>
      </c>
      <c r="F6723">
        <f t="shared" ca="1" si="210"/>
        <v>6.2111111111111112</v>
      </c>
      <c r="G6723">
        <f t="shared" ca="1" si="211"/>
        <v>0</v>
      </c>
    </row>
    <row r="6724" spans="1:7">
      <c r="A6724">
        <v>297</v>
      </c>
      <c r="B6724" t="s">
        <v>11</v>
      </c>
      <c r="C6724" t="s">
        <v>152</v>
      </c>
      <c r="D6724" s="9">
        <v>39769.688854166663</v>
      </c>
      <c r="F6724">
        <f t="shared" ca="1" si="210"/>
        <v>6.2</v>
      </c>
      <c r="G6724">
        <f t="shared" ca="1" si="211"/>
        <v>0</v>
      </c>
    </row>
    <row r="6725" spans="1:7">
      <c r="A6725">
        <v>305</v>
      </c>
      <c r="C6725" t="s">
        <v>151</v>
      </c>
      <c r="D6725" s="9">
        <v>39791.386099537034</v>
      </c>
      <c r="F6725">
        <f t="shared" ca="1" si="210"/>
        <v>6.1388888888888893</v>
      </c>
      <c r="G6725">
        <f t="shared" ca="1" si="211"/>
        <v>0</v>
      </c>
    </row>
    <row r="6726" spans="1:7">
      <c r="A6726">
        <v>315</v>
      </c>
      <c r="B6726" t="s">
        <v>91</v>
      </c>
      <c r="C6726" t="s">
        <v>151</v>
      </c>
      <c r="D6726" s="9">
        <v>39822.540312500001</v>
      </c>
      <c r="F6726">
        <f t="shared" ca="1" si="210"/>
        <v>6.0555555555555554</v>
      </c>
      <c r="G6726">
        <f t="shared" ca="1" si="211"/>
        <v>0</v>
      </c>
    </row>
    <row r="6727" spans="1:7">
      <c r="A6727">
        <v>344</v>
      </c>
      <c r="C6727" t="s">
        <v>150</v>
      </c>
      <c r="D6727" s="9">
        <v>39822.581909722219</v>
      </c>
      <c r="F6727">
        <f t="shared" ref="F6727:F6790" ca="1" si="212">YEARFRAC(TODAY(),$D6727)</f>
        <v>6.0555555555555554</v>
      </c>
      <c r="G6727">
        <f t="shared" ref="G6727:G6790" ca="1" si="213">IF($F6727&lt;1,1,0)</f>
        <v>0</v>
      </c>
    </row>
    <row r="6728" spans="1:7">
      <c r="A6728">
        <v>345</v>
      </c>
      <c r="C6728" t="s">
        <v>150</v>
      </c>
      <c r="D6728" s="9">
        <v>39826.425324074073</v>
      </c>
      <c r="F6728">
        <f t="shared" ca="1" si="212"/>
        <v>6.0444444444444443</v>
      </c>
      <c r="G6728">
        <f t="shared" ca="1" si="213"/>
        <v>0</v>
      </c>
    </row>
    <row r="6729" spans="1:7">
      <c r="A6729">
        <v>346</v>
      </c>
      <c r="C6729" t="s">
        <v>150</v>
      </c>
      <c r="D6729" s="9">
        <v>39822.618159722224</v>
      </c>
      <c r="F6729">
        <f t="shared" ca="1" si="212"/>
        <v>6.0555555555555554</v>
      </c>
      <c r="G6729">
        <f t="shared" ca="1" si="213"/>
        <v>0</v>
      </c>
    </row>
    <row r="6730" spans="1:7">
      <c r="A6730">
        <v>347</v>
      </c>
      <c r="B6730" t="s">
        <v>34</v>
      </c>
      <c r="C6730" t="s">
        <v>150</v>
      </c>
      <c r="D6730" s="9">
        <v>39829.392835648148</v>
      </c>
      <c r="F6730">
        <f t="shared" ca="1" si="212"/>
        <v>6.0361111111111114</v>
      </c>
      <c r="G6730">
        <f t="shared" ca="1" si="213"/>
        <v>0</v>
      </c>
    </row>
    <row r="6731" spans="1:7">
      <c r="A6731">
        <v>348</v>
      </c>
      <c r="B6731" t="s">
        <v>8</v>
      </c>
      <c r="C6731" t="s">
        <v>150</v>
      </c>
      <c r="D6731" s="9">
        <v>39854.611655092594</v>
      </c>
      <c r="F6731">
        <f t="shared" ca="1" si="212"/>
        <v>5.9694444444444441</v>
      </c>
      <c r="G6731">
        <f t="shared" ca="1" si="213"/>
        <v>0</v>
      </c>
    </row>
    <row r="6732" spans="1:7">
      <c r="A6732">
        <v>349</v>
      </c>
      <c r="C6732" t="s">
        <v>150</v>
      </c>
      <c r="D6732" s="9">
        <v>39824.836909722224</v>
      </c>
      <c r="F6732">
        <f t="shared" ca="1" si="212"/>
        <v>6.05</v>
      </c>
      <c r="G6732">
        <f t="shared" ca="1" si="213"/>
        <v>0</v>
      </c>
    </row>
    <row r="6733" spans="1:7">
      <c r="A6733">
        <v>350</v>
      </c>
      <c r="C6733" t="s">
        <v>150</v>
      </c>
      <c r="D6733" s="9">
        <v>39825.407453703701</v>
      </c>
      <c r="F6733">
        <f t="shared" ca="1" si="212"/>
        <v>6.0472222222222225</v>
      </c>
      <c r="G6733">
        <f t="shared" ca="1" si="213"/>
        <v>0</v>
      </c>
    </row>
    <row r="6734" spans="1:7">
      <c r="A6734">
        <v>353</v>
      </c>
      <c r="C6734" t="s">
        <v>150</v>
      </c>
      <c r="D6734" s="9">
        <v>39826.41783564815</v>
      </c>
      <c r="F6734">
        <f t="shared" ca="1" si="212"/>
        <v>6.0444444444444443</v>
      </c>
      <c r="G6734">
        <f t="shared" ca="1" si="213"/>
        <v>0</v>
      </c>
    </row>
    <row r="6735" spans="1:7">
      <c r="A6735">
        <v>378</v>
      </c>
      <c r="B6735" t="s">
        <v>8</v>
      </c>
      <c r="C6735" t="s">
        <v>150</v>
      </c>
      <c r="D6735" s="9">
        <v>39853.468680555554</v>
      </c>
      <c r="F6735">
        <f t="shared" ca="1" si="212"/>
        <v>5.9722222222222223</v>
      </c>
      <c r="G6735">
        <f t="shared" ca="1" si="213"/>
        <v>0</v>
      </c>
    </row>
    <row r="6736" spans="1:7">
      <c r="A6736">
        <v>384</v>
      </c>
      <c r="B6736" t="s">
        <v>8</v>
      </c>
      <c r="C6736" t="s">
        <v>150</v>
      </c>
      <c r="D6736" s="9">
        <v>39853.622604166667</v>
      </c>
      <c r="F6736">
        <f t="shared" ca="1" si="212"/>
        <v>5.9722222222222223</v>
      </c>
      <c r="G6736">
        <f t="shared" ca="1" si="213"/>
        <v>0</v>
      </c>
    </row>
    <row r="6737" spans="1:7">
      <c r="A6737">
        <v>403</v>
      </c>
      <c r="C6737" t="s">
        <v>150</v>
      </c>
      <c r="D6737" s="9">
        <v>39854.685370370367</v>
      </c>
      <c r="F6737">
        <f t="shared" ca="1" si="212"/>
        <v>5.9694444444444441</v>
      </c>
      <c r="G6737">
        <f t="shared" ca="1" si="213"/>
        <v>0</v>
      </c>
    </row>
    <row r="6738" spans="1:7">
      <c r="A6738">
        <v>405</v>
      </c>
      <c r="B6738" t="s">
        <v>11</v>
      </c>
      <c r="C6738" t="s">
        <v>149</v>
      </c>
      <c r="D6738" s="9">
        <v>39871.576817129629</v>
      </c>
      <c r="F6738">
        <f t="shared" ca="1" si="212"/>
        <v>5.9222222222222225</v>
      </c>
      <c r="G6738">
        <f t="shared" ca="1" si="213"/>
        <v>0</v>
      </c>
    </row>
    <row r="6739" spans="1:7">
      <c r="A6739">
        <v>412</v>
      </c>
      <c r="C6739" t="s">
        <v>150</v>
      </c>
      <c r="D6739" s="9">
        <v>39860.557708333334</v>
      </c>
      <c r="F6739">
        <f t="shared" ca="1" si="212"/>
        <v>5.9527777777777775</v>
      </c>
      <c r="G6739">
        <f t="shared" ca="1" si="213"/>
        <v>0</v>
      </c>
    </row>
    <row r="6740" spans="1:7">
      <c r="A6740">
        <v>440</v>
      </c>
      <c r="B6740" t="s">
        <v>8</v>
      </c>
      <c r="C6740" t="s">
        <v>149</v>
      </c>
      <c r="D6740" s="9">
        <v>39884.701770833337</v>
      </c>
      <c r="F6740">
        <f t="shared" ca="1" si="212"/>
        <v>5.8805555555555555</v>
      </c>
      <c r="G6740">
        <f t="shared" ca="1" si="213"/>
        <v>0</v>
      </c>
    </row>
    <row r="6741" spans="1:7">
      <c r="A6741">
        <v>447</v>
      </c>
      <c r="B6741" t="s">
        <v>34</v>
      </c>
      <c r="C6741" t="s">
        <v>140</v>
      </c>
      <c r="D6741" s="9">
        <v>40527.857106481482</v>
      </c>
      <c r="E6741" t="s">
        <v>99</v>
      </c>
      <c r="F6741">
        <f t="shared" ca="1" si="212"/>
        <v>4.1222222222222218</v>
      </c>
      <c r="G6741">
        <f t="shared" ca="1" si="213"/>
        <v>0</v>
      </c>
    </row>
    <row r="6742" spans="1:7">
      <c r="A6742">
        <v>460</v>
      </c>
      <c r="B6742" t="s">
        <v>36</v>
      </c>
      <c r="C6742" t="s">
        <v>123</v>
      </c>
      <c r="D6742" s="9">
        <v>41304.569490740738</v>
      </c>
      <c r="E6742" t="s">
        <v>19</v>
      </c>
      <c r="F6742">
        <f t="shared" ca="1" si="212"/>
        <v>1.9972222222222222</v>
      </c>
      <c r="G6742">
        <f t="shared" ca="1" si="213"/>
        <v>0</v>
      </c>
    </row>
    <row r="6743" spans="1:7">
      <c r="A6743">
        <v>481</v>
      </c>
      <c r="C6743" t="s">
        <v>149</v>
      </c>
      <c r="D6743" s="9">
        <v>39919.59238425926</v>
      </c>
      <c r="F6743">
        <f t="shared" ca="1" si="212"/>
        <v>5.7861111111111114</v>
      </c>
      <c r="G6743">
        <f t="shared" ca="1" si="213"/>
        <v>0</v>
      </c>
    </row>
    <row r="6744" spans="1:7">
      <c r="A6744">
        <v>482</v>
      </c>
      <c r="B6744" t="s">
        <v>8</v>
      </c>
      <c r="C6744" t="s">
        <v>146</v>
      </c>
      <c r="D6744" s="9">
        <v>40043.36215277778</v>
      </c>
      <c r="F6744">
        <f t="shared" ca="1" si="212"/>
        <v>5.447222222222222</v>
      </c>
      <c r="G6744">
        <f t="shared" ca="1" si="213"/>
        <v>0</v>
      </c>
    </row>
    <row r="6745" spans="1:7">
      <c r="A6745">
        <v>486</v>
      </c>
      <c r="B6745" t="s">
        <v>11</v>
      </c>
      <c r="C6745" t="s">
        <v>149</v>
      </c>
      <c r="D6745" s="9">
        <v>39919.593101851853</v>
      </c>
      <c r="F6745">
        <f t="shared" ca="1" si="212"/>
        <v>5.7861111111111114</v>
      </c>
      <c r="G6745">
        <f t="shared" ca="1" si="213"/>
        <v>0</v>
      </c>
    </row>
    <row r="6746" spans="1:7">
      <c r="A6746">
        <v>500</v>
      </c>
      <c r="B6746" t="s">
        <v>11</v>
      </c>
      <c r="C6746" t="s">
        <v>149</v>
      </c>
      <c r="D6746" s="9">
        <v>39919.590104166666</v>
      </c>
      <c r="F6746">
        <f t="shared" ca="1" si="212"/>
        <v>5.7861111111111114</v>
      </c>
      <c r="G6746">
        <f t="shared" ca="1" si="213"/>
        <v>0</v>
      </c>
    </row>
    <row r="6747" spans="1:7">
      <c r="A6747">
        <v>502</v>
      </c>
      <c r="B6747" t="s">
        <v>8</v>
      </c>
      <c r="C6747" t="s">
        <v>149</v>
      </c>
      <c r="D6747" s="9">
        <v>39883.54042824074</v>
      </c>
      <c r="F6747">
        <f t="shared" ca="1" si="212"/>
        <v>5.8833333333333337</v>
      </c>
      <c r="G6747">
        <f t="shared" ca="1" si="213"/>
        <v>0</v>
      </c>
    </row>
    <row r="6748" spans="1:7">
      <c r="A6748">
        <v>507</v>
      </c>
      <c r="C6748" t="s">
        <v>149</v>
      </c>
      <c r="D6748" s="9">
        <v>39885.631365740737</v>
      </c>
      <c r="F6748">
        <f t="shared" ca="1" si="212"/>
        <v>5.8777777777777782</v>
      </c>
      <c r="G6748">
        <f t="shared" ca="1" si="213"/>
        <v>0</v>
      </c>
    </row>
    <row r="6749" spans="1:7">
      <c r="A6749">
        <v>514</v>
      </c>
      <c r="B6749" t="s">
        <v>8</v>
      </c>
      <c r="C6749" t="s">
        <v>149</v>
      </c>
      <c r="D6749" s="9">
        <v>39898.462314814817</v>
      </c>
      <c r="F6749">
        <f t="shared" ca="1" si="212"/>
        <v>5.8416666666666668</v>
      </c>
      <c r="G6749">
        <f t="shared" ca="1" si="213"/>
        <v>0</v>
      </c>
    </row>
    <row r="6750" spans="1:7">
      <c r="A6750">
        <v>534</v>
      </c>
      <c r="B6750" t="s">
        <v>104</v>
      </c>
      <c r="C6750" t="s">
        <v>149</v>
      </c>
      <c r="D6750" s="9">
        <v>39912.450798611113</v>
      </c>
      <c r="F6750">
        <f t="shared" ca="1" si="212"/>
        <v>5.8055555555555554</v>
      </c>
      <c r="G6750">
        <f t="shared" ca="1" si="213"/>
        <v>0</v>
      </c>
    </row>
    <row r="6751" spans="1:7">
      <c r="A6751">
        <v>538</v>
      </c>
      <c r="B6751" t="s">
        <v>8</v>
      </c>
      <c r="C6751" t="s">
        <v>147</v>
      </c>
      <c r="D6751" s="9">
        <v>39966.65415509259</v>
      </c>
      <c r="F6751">
        <f t="shared" ca="1" si="212"/>
        <v>5.6583333333333332</v>
      </c>
      <c r="G6751">
        <f t="shared" ca="1" si="213"/>
        <v>0</v>
      </c>
    </row>
    <row r="6752" spans="1:7">
      <c r="A6752">
        <v>551</v>
      </c>
      <c r="B6752" t="s">
        <v>77</v>
      </c>
      <c r="C6752" t="s">
        <v>148</v>
      </c>
      <c r="D6752" s="9">
        <v>39923.741076388891</v>
      </c>
      <c r="F6752">
        <f t="shared" ca="1" si="212"/>
        <v>5.7750000000000004</v>
      </c>
      <c r="G6752">
        <f t="shared" ca="1" si="213"/>
        <v>0</v>
      </c>
    </row>
    <row r="6753" spans="1:7">
      <c r="A6753">
        <v>553</v>
      </c>
      <c r="B6753" t="s">
        <v>11</v>
      </c>
      <c r="C6753" t="s">
        <v>148</v>
      </c>
      <c r="D6753" s="9">
        <v>39924.523657407408</v>
      </c>
      <c r="F6753">
        <f t="shared" ca="1" si="212"/>
        <v>5.7722222222222221</v>
      </c>
      <c r="G6753">
        <f t="shared" ca="1" si="213"/>
        <v>0</v>
      </c>
    </row>
    <row r="6754" spans="1:7">
      <c r="A6754">
        <v>584</v>
      </c>
      <c r="B6754" t="s">
        <v>102</v>
      </c>
      <c r="C6754" t="s">
        <v>146</v>
      </c>
      <c r="D6754" s="9">
        <v>40079.603912037041</v>
      </c>
      <c r="F6754">
        <f t="shared" ca="1" si="212"/>
        <v>5.35</v>
      </c>
      <c r="G6754">
        <f t="shared" ca="1" si="213"/>
        <v>0</v>
      </c>
    </row>
    <row r="6755" spans="1:7">
      <c r="A6755">
        <v>590</v>
      </c>
      <c r="B6755" t="s">
        <v>101</v>
      </c>
      <c r="C6755" t="s">
        <v>146</v>
      </c>
      <c r="D6755" s="9">
        <v>40052.670451388891</v>
      </c>
      <c r="F6755">
        <f t="shared" ca="1" si="212"/>
        <v>5.4222222222222225</v>
      </c>
      <c r="G6755">
        <f t="shared" ca="1" si="213"/>
        <v>0</v>
      </c>
    </row>
    <row r="6756" spans="1:7">
      <c r="A6756">
        <v>607</v>
      </c>
      <c r="B6756" t="s">
        <v>34</v>
      </c>
      <c r="C6756" t="s">
        <v>147</v>
      </c>
      <c r="D6756" s="9">
        <v>39995.655381944445</v>
      </c>
      <c r="F6756">
        <f t="shared" ca="1" si="212"/>
        <v>5.5777777777777775</v>
      </c>
      <c r="G6756">
        <f t="shared" ca="1" si="213"/>
        <v>0</v>
      </c>
    </row>
    <row r="6757" spans="1:7">
      <c r="A6757">
        <v>623</v>
      </c>
      <c r="B6757" t="s">
        <v>102</v>
      </c>
      <c r="C6757" t="s">
        <v>147</v>
      </c>
      <c r="D6757" s="9">
        <v>40025.610868055555</v>
      </c>
      <c r="F6757">
        <f t="shared" ca="1" si="212"/>
        <v>5.4972222222222218</v>
      </c>
      <c r="G6757">
        <f t="shared" ca="1" si="213"/>
        <v>0</v>
      </c>
    </row>
    <row r="6758" spans="1:7">
      <c r="A6758">
        <v>624</v>
      </c>
      <c r="B6758" t="s">
        <v>11</v>
      </c>
      <c r="C6758" t="s">
        <v>146</v>
      </c>
      <c r="D6758" s="9">
        <v>40032.408761574072</v>
      </c>
      <c r="F6758">
        <f t="shared" ca="1" si="212"/>
        <v>5.4777777777777779</v>
      </c>
      <c r="G6758">
        <f t="shared" ca="1" si="213"/>
        <v>0</v>
      </c>
    </row>
    <row r="6759" spans="1:7">
      <c r="A6759">
        <v>625</v>
      </c>
      <c r="B6759" t="s">
        <v>77</v>
      </c>
      <c r="C6759" t="s">
        <v>138</v>
      </c>
      <c r="D6759" s="9">
        <v>40123.59952546296</v>
      </c>
      <c r="F6759">
        <f t="shared" ca="1" si="212"/>
        <v>5.2305555555555552</v>
      </c>
      <c r="G6759">
        <f t="shared" ca="1" si="213"/>
        <v>0</v>
      </c>
    </row>
    <row r="6760" spans="1:7">
      <c r="A6760">
        <v>630</v>
      </c>
      <c r="B6760" t="s">
        <v>11</v>
      </c>
      <c r="C6760" t="s">
        <v>147</v>
      </c>
      <c r="D6760" s="9">
        <v>39968.44871527778</v>
      </c>
      <c r="F6760">
        <f t="shared" ca="1" si="212"/>
        <v>5.6527777777777777</v>
      </c>
      <c r="G6760">
        <f t="shared" ca="1" si="213"/>
        <v>0</v>
      </c>
    </row>
    <row r="6761" spans="1:7">
      <c r="A6761">
        <v>635</v>
      </c>
      <c r="B6761" t="s">
        <v>102</v>
      </c>
      <c r="C6761" t="s">
        <v>147</v>
      </c>
      <c r="D6761" s="9">
        <v>39987.379803240743</v>
      </c>
      <c r="F6761">
        <f t="shared" ca="1" si="212"/>
        <v>5.6</v>
      </c>
      <c r="G6761">
        <f t="shared" ca="1" si="213"/>
        <v>0</v>
      </c>
    </row>
    <row r="6762" spans="1:7">
      <c r="A6762">
        <v>637</v>
      </c>
      <c r="C6762" t="s">
        <v>147</v>
      </c>
      <c r="D6762" s="9">
        <v>39973.557118055556</v>
      </c>
      <c r="F6762">
        <f t="shared" ca="1" si="212"/>
        <v>5.6388888888888893</v>
      </c>
      <c r="G6762">
        <f t="shared" ca="1" si="213"/>
        <v>0</v>
      </c>
    </row>
    <row r="6763" spans="1:7">
      <c r="A6763">
        <v>638</v>
      </c>
      <c r="B6763" t="s">
        <v>11</v>
      </c>
      <c r="C6763" t="s">
        <v>147</v>
      </c>
      <c r="D6763" s="9">
        <v>39974.536666666667</v>
      </c>
      <c r="F6763">
        <f t="shared" ca="1" si="212"/>
        <v>5.6361111111111111</v>
      </c>
      <c r="G6763">
        <f t="shared" ca="1" si="213"/>
        <v>0</v>
      </c>
    </row>
    <row r="6764" spans="1:7">
      <c r="A6764">
        <v>649</v>
      </c>
      <c r="C6764" t="s">
        <v>147</v>
      </c>
      <c r="D6764" s="9">
        <v>39986.710798611108</v>
      </c>
      <c r="F6764">
        <f t="shared" ca="1" si="212"/>
        <v>5.6027777777777779</v>
      </c>
      <c r="G6764">
        <f t="shared" ca="1" si="213"/>
        <v>0</v>
      </c>
    </row>
    <row r="6765" spans="1:7">
      <c r="A6765">
        <v>650</v>
      </c>
      <c r="B6765" t="s">
        <v>8</v>
      </c>
      <c r="C6765" t="s">
        <v>135</v>
      </c>
      <c r="D6765" s="9">
        <v>40274.428356481483</v>
      </c>
      <c r="F6765">
        <f t="shared" ca="1" si="212"/>
        <v>4.8138888888888891</v>
      </c>
      <c r="G6765">
        <f t="shared" ca="1" si="213"/>
        <v>0</v>
      </c>
    </row>
    <row r="6766" spans="1:7">
      <c r="A6766">
        <v>653</v>
      </c>
      <c r="B6766" t="s">
        <v>91</v>
      </c>
      <c r="C6766" t="s">
        <v>147</v>
      </c>
      <c r="D6766" s="9">
        <v>39978.693067129629</v>
      </c>
      <c r="F6766">
        <f t="shared" ca="1" si="212"/>
        <v>5.625</v>
      </c>
      <c r="G6766">
        <f t="shared" ca="1" si="213"/>
        <v>0</v>
      </c>
    </row>
    <row r="6767" spans="1:7">
      <c r="A6767">
        <v>666</v>
      </c>
      <c r="B6767" t="s">
        <v>8</v>
      </c>
      <c r="C6767" t="s">
        <v>147</v>
      </c>
      <c r="D6767" s="9">
        <v>40010.600300925929</v>
      </c>
      <c r="F6767">
        <f t="shared" ca="1" si="212"/>
        <v>5.5361111111111114</v>
      </c>
      <c r="G6767">
        <f t="shared" ca="1" si="213"/>
        <v>0</v>
      </c>
    </row>
    <row r="6768" spans="1:7">
      <c r="A6768">
        <v>670</v>
      </c>
      <c r="B6768" t="s">
        <v>8</v>
      </c>
      <c r="C6768" t="s">
        <v>147</v>
      </c>
      <c r="D6768" s="9">
        <v>40007.396319444444</v>
      </c>
      <c r="F6768">
        <f t="shared" ca="1" si="212"/>
        <v>5.5444444444444443</v>
      </c>
      <c r="G6768">
        <f t="shared" ca="1" si="213"/>
        <v>0</v>
      </c>
    </row>
    <row r="6769" spans="1:7">
      <c r="A6769">
        <v>672</v>
      </c>
      <c r="B6769" t="s">
        <v>102</v>
      </c>
      <c r="C6769" t="s">
        <v>147</v>
      </c>
      <c r="D6769" s="9">
        <v>39989.617349537039</v>
      </c>
      <c r="F6769">
        <f t="shared" ca="1" si="212"/>
        <v>5.5944444444444441</v>
      </c>
      <c r="G6769">
        <f t="shared" ca="1" si="213"/>
        <v>0</v>
      </c>
    </row>
    <row r="6770" spans="1:7">
      <c r="A6770">
        <v>673</v>
      </c>
      <c r="B6770" t="s">
        <v>34</v>
      </c>
      <c r="C6770" t="s">
        <v>147</v>
      </c>
      <c r="D6770" s="9">
        <v>39989.487662037034</v>
      </c>
      <c r="F6770">
        <f t="shared" ca="1" si="212"/>
        <v>5.5944444444444441</v>
      </c>
      <c r="G6770">
        <f t="shared" ca="1" si="213"/>
        <v>0</v>
      </c>
    </row>
    <row r="6771" spans="1:7">
      <c r="A6771">
        <v>675</v>
      </c>
      <c r="B6771" t="s">
        <v>8</v>
      </c>
      <c r="C6771" t="s">
        <v>147</v>
      </c>
      <c r="D6771" s="9">
        <v>40014.715104166666</v>
      </c>
      <c r="F6771">
        <f t="shared" ca="1" si="212"/>
        <v>5.5250000000000004</v>
      </c>
      <c r="G6771">
        <f t="shared" ca="1" si="213"/>
        <v>0</v>
      </c>
    </row>
    <row r="6772" spans="1:7">
      <c r="A6772">
        <v>682</v>
      </c>
      <c r="B6772" t="s">
        <v>8</v>
      </c>
      <c r="C6772" t="s">
        <v>147</v>
      </c>
      <c r="D6772" s="9">
        <v>40023.415370370371</v>
      </c>
      <c r="F6772">
        <f t="shared" ca="1" si="212"/>
        <v>5.5</v>
      </c>
      <c r="G6772">
        <f t="shared" ca="1" si="213"/>
        <v>0</v>
      </c>
    </row>
    <row r="6773" spans="1:7">
      <c r="A6773">
        <v>684</v>
      </c>
      <c r="C6773" t="s">
        <v>147</v>
      </c>
      <c r="D6773" s="9">
        <v>39983.71570601852</v>
      </c>
      <c r="F6773">
        <f t="shared" ca="1" si="212"/>
        <v>5.6111111111111107</v>
      </c>
      <c r="G6773">
        <f t="shared" ca="1" si="213"/>
        <v>0</v>
      </c>
    </row>
    <row r="6774" spans="1:7">
      <c r="A6774">
        <v>689</v>
      </c>
      <c r="B6774" t="s">
        <v>34</v>
      </c>
      <c r="C6774" t="s">
        <v>138</v>
      </c>
      <c r="D6774" s="9">
        <v>39988.676111111112</v>
      </c>
      <c r="F6774">
        <f t="shared" ca="1" si="212"/>
        <v>5.5972222222222223</v>
      </c>
      <c r="G6774">
        <f t="shared" ca="1" si="213"/>
        <v>0</v>
      </c>
    </row>
    <row r="6775" spans="1:7">
      <c r="A6775">
        <v>704</v>
      </c>
      <c r="B6775" t="s">
        <v>8</v>
      </c>
      <c r="C6775" t="s">
        <v>147</v>
      </c>
      <c r="D6775" s="9">
        <v>40014.45449074074</v>
      </c>
      <c r="F6775">
        <f t="shared" ca="1" si="212"/>
        <v>5.5250000000000004</v>
      </c>
      <c r="G6775">
        <f t="shared" ca="1" si="213"/>
        <v>0</v>
      </c>
    </row>
    <row r="6776" spans="1:7">
      <c r="A6776">
        <v>705</v>
      </c>
      <c r="B6776" t="s">
        <v>8</v>
      </c>
      <c r="C6776" t="s">
        <v>147</v>
      </c>
      <c r="D6776" s="9">
        <v>40011.428483796299</v>
      </c>
      <c r="F6776">
        <f t="shared" ca="1" si="212"/>
        <v>5.5333333333333332</v>
      </c>
      <c r="G6776">
        <f t="shared" ca="1" si="213"/>
        <v>0</v>
      </c>
    </row>
    <row r="6777" spans="1:7">
      <c r="A6777">
        <v>707</v>
      </c>
      <c r="B6777" t="s">
        <v>102</v>
      </c>
      <c r="C6777" t="s">
        <v>146</v>
      </c>
      <c r="D6777" s="9">
        <v>40085.426608796297</v>
      </c>
      <c r="F6777">
        <f t="shared" ca="1" si="212"/>
        <v>5.333333333333333</v>
      </c>
      <c r="G6777">
        <f t="shared" ca="1" si="213"/>
        <v>0</v>
      </c>
    </row>
    <row r="6778" spans="1:7">
      <c r="A6778">
        <v>711</v>
      </c>
      <c r="B6778" t="s">
        <v>8</v>
      </c>
      <c r="C6778" t="s">
        <v>147</v>
      </c>
      <c r="D6778" s="9">
        <v>40007.394108796296</v>
      </c>
      <c r="F6778">
        <f t="shared" ca="1" si="212"/>
        <v>5.5444444444444443</v>
      </c>
      <c r="G6778">
        <f t="shared" ca="1" si="213"/>
        <v>0</v>
      </c>
    </row>
    <row r="6779" spans="1:7">
      <c r="A6779">
        <v>715</v>
      </c>
      <c r="B6779" t="s">
        <v>34</v>
      </c>
      <c r="C6779" t="s">
        <v>147</v>
      </c>
      <c r="D6779" s="9">
        <v>39995.651585648149</v>
      </c>
      <c r="F6779">
        <f t="shared" ca="1" si="212"/>
        <v>5.5777777777777775</v>
      </c>
      <c r="G6779">
        <f t="shared" ca="1" si="213"/>
        <v>0</v>
      </c>
    </row>
    <row r="6780" spans="1:7">
      <c r="A6780">
        <v>723</v>
      </c>
      <c r="C6780" t="s">
        <v>147</v>
      </c>
      <c r="D6780" s="9">
        <v>40007.365208333336</v>
      </c>
      <c r="F6780">
        <f t="shared" ca="1" si="212"/>
        <v>5.5444444444444443</v>
      </c>
      <c r="G6780">
        <f t="shared" ca="1" si="213"/>
        <v>0</v>
      </c>
    </row>
    <row r="6781" spans="1:7">
      <c r="A6781">
        <v>726</v>
      </c>
      <c r="B6781" t="s">
        <v>34</v>
      </c>
      <c r="C6781" t="s">
        <v>147</v>
      </c>
      <c r="D6781" s="9">
        <v>40011.357870370368</v>
      </c>
      <c r="F6781">
        <f t="shared" ca="1" si="212"/>
        <v>5.5333333333333332</v>
      </c>
      <c r="G6781">
        <f t="shared" ca="1" si="213"/>
        <v>0</v>
      </c>
    </row>
    <row r="6782" spans="1:7">
      <c r="A6782">
        <v>734</v>
      </c>
      <c r="B6782" t="s">
        <v>8</v>
      </c>
      <c r="C6782" t="s">
        <v>147</v>
      </c>
      <c r="D6782" s="9">
        <v>40011.603773148148</v>
      </c>
      <c r="F6782">
        <f t="shared" ca="1" si="212"/>
        <v>5.5333333333333332</v>
      </c>
      <c r="G6782">
        <f t="shared" ca="1" si="213"/>
        <v>0</v>
      </c>
    </row>
    <row r="6783" spans="1:7">
      <c r="A6783">
        <v>747</v>
      </c>
      <c r="B6783" t="s">
        <v>8</v>
      </c>
      <c r="C6783" t="s">
        <v>138</v>
      </c>
      <c r="D6783" s="9">
        <v>40091.602465277778</v>
      </c>
      <c r="F6783">
        <f t="shared" ca="1" si="212"/>
        <v>5.3166666666666664</v>
      </c>
      <c r="G6783">
        <f t="shared" ca="1" si="213"/>
        <v>0</v>
      </c>
    </row>
    <row r="6784" spans="1:7">
      <c r="A6784">
        <v>756</v>
      </c>
      <c r="B6784" t="s">
        <v>8</v>
      </c>
      <c r="C6784" t="s">
        <v>147</v>
      </c>
      <c r="D6784" s="9">
        <v>40023.414537037039</v>
      </c>
      <c r="F6784">
        <f t="shared" ca="1" si="212"/>
        <v>5.5</v>
      </c>
      <c r="G6784">
        <f t="shared" ca="1" si="213"/>
        <v>0</v>
      </c>
    </row>
    <row r="6785" spans="1:7">
      <c r="A6785">
        <v>764</v>
      </c>
      <c r="B6785" t="s">
        <v>112</v>
      </c>
      <c r="C6785" t="s">
        <v>147</v>
      </c>
      <c r="D6785" s="9">
        <v>40015.560324074075</v>
      </c>
      <c r="F6785">
        <f t="shared" ca="1" si="212"/>
        <v>5.5222222222222221</v>
      </c>
      <c r="G6785">
        <f t="shared" ca="1" si="213"/>
        <v>0</v>
      </c>
    </row>
    <row r="6786" spans="1:7">
      <c r="A6786">
        <v>775</v>
      </c>
      <c r="B6786" t="s">
        <v>8</v>
      </c>
      <c r="C6786" t="s">
        <v>136</v>
      </c>
      <c r="D6786" s="9">
        <v>40415.818703703706</v>
      </c>
      <c r="E6786" t="s">
        <v>99</v>
      </c>
      <c r="F6786">
        <f t="shared" ca="1" si="212"/>
        <v>4.427777777777778</v>
      </c>
      <c r="G6786">
        <f t="shared" ca="1" si="213"/>
        <v>0</v>
      </c>
    </row>
    <row r="6787" spans="1:7">
      <c r="A6787">
        <v>786</v>
      </c>
      <c r="B6787" t="s">
        <v>91</v>
      </c>
      <c r="C6787" t="s">
        <v>147</v>
      </c>
      <c r="D6787" s="9">
        <v>40025.610868055555</v>
      </c>
      <c r="F6787">
        <f t="shared" ca="1" si="212"/>
        <v>5.4972222222222218</v>
      </c>
      <c r="G6787">
        <f t="shared" ca="1" si="213"/>
        <v>0</v>
      </c>
    </row>
    <row r="6788" spans="1:7">
      <c r="A6788">
        <v>788</v>
      </c>
      <c r="B6788" t="s">
        <v>8</v>
      </c>
      <c r="C6788" t="s">
        <v>147</v>
      </c>
      <c r="D6788" s="9">
        <v>40024.638321759259</v>
      </c>
      <c r="F6788">
        <f t="shared" ca="1" si="212"/>
        <v>5.4972222222222218</v>
      </c>
      <c r="G6788">
        <f t="shared" ca="1" si="213"/>
        <v>0</v>
      </c>
    </row>
    <row r="6789" spans="1:7">
      <c r="A6789">
        <v>849</v>
      </c>
      <c r="B6789" t="s">
        <v>34</v>
      </c>
      <c r="C6789" t="s">
        <v>146</v>
      </c>
      <c r="D6789" s="9">
        <v>40081.513518518521</v>
      </c>
      <c r="F6789">
        <f t="shared" ca="1" si="212"/>
        <v>5.3444444444444441</v>
      </c>
      <c r="G6789">
        <f t="shared" ca="1" si="213"/>
        <v>0</v>
      </c>
    </row>
    <row r="6790" spans="1:7">
      <c r="A6790">
        <v>870</v>
      </c>
      <c r="B6790" t="s">
        <v>8</v>
      </c>
      <c r="C6790" t="s">
        <v>134</v>
      </c>
      <c r="D6790" s="9">
        <v>40484.630289351851</v>
      </c>
      <c r="E6790" t="s">
        <v>111</v>
      </c>
      <c r="F6790">
        <f t="shared" ca="1" si="212"/>
        <v>4.2416666666666663</v>
      </c>
      <c r="G6790">
        <f t="shared" ca="1" si="213"/>
        <v>0</v>
      </c>
    </row>
    <row r="6791" spans="1:7">
      <c r="A6791">
        <v>887</v>
      </c>
      <c r="B6791" t="s">
        <v>131</v>
      </c>
      <c r="C6791" t="s">
        <v>132</v>
      </c>
      <c r="D6791" s="9">
        <v>40660.815000000002</v>
      </c>
      <c r="E6791" t="s">
        <v>99</v>
      </c>
      <c r="F6791">
        <f t="shared" ref="F6791:F6854" ca="1" si="214">YEARFRAC(TODAY(),$D6791)</f>
        <v>3.7555555555555555</v>
      </c>
      <c r="G6791">
        <f t="shared" ref="G6791:G6854" ca="1" si="215">IF($F6791&lt;1,1,0)</f>
        <v>0</v>
      </c>
    </row>
    <row r="6792" spans="1:7">
      <c r="A6792">
        <v>917</v>
      </c>
      <c r="B6792" t="s">
        <v>8</v>
      </c>
      <c r="C6792" t="s">
        <v>130</v>
      </c>
      <c r="D6792" s="9">
        <v>40721.431689814817</v>
      </c>
      <c r="E6792" t="s">
        <v>112</v>
      </c>
      <c r="F6792">
        <f t="shared" ca="1" si="214"/>
        <v>3.588888888888889</v>
      </c>
      <c r="G6792">
        <f t="shared" ca="1" si="215"/>
        <v>0</v>
      </c>
    </row>
    <row r="6793" spans="1:7">
      <c r="A6793">
        <v>930</v>
      </c>
      <c r="B6793" t="s">
        <v>11</v>
      </c>
      <c r="C6793" t="s">
        <v>145</v>
      </c>
      <c r="D6793" s="9">
        <v>40217.594456018516</v>
      </c>
      <c r="F6793">
        <f t="shared" ca="1" si="214"/>
        <v>4.9749999999999996</v>
      </c>
      <c r="G6793">
        <f t="shared" ca="1" si="215"/>
        <v>0</v>
      </c>
    </row>
    <row r="6794" spans="1:7">
      <c r="A6794">
        <v>932</v>
      </c>
      <c r="B6794" t="s">
        <v>102</v>
      </c>
      <c r="C6794" t="s">
        <v>135</v>
      </c>
      <c r="D6794" s="9">
        <v>40274.401504629626</v>
      </c>
      <c r="F6794">
        <f t="shared" ca="1" si="214"/>
        <v>4.8138888888888891</v>
      </c>
      <c r="G6794">
        <f t="shared" ca="1" si="215"/>
        <v>0</v>
      </c>
    </row>
    <row r="6795" spans="1:7">
      <c r="A6795">
        <v>937</v>
      </c>
      <c r="B6795" t="s">
        <v>44</v>
      </c>
      <c r="C6795" t="s">
        <v>138</v>
      </c>
      <c r="D6795" s="9">
        <v>40093.461747685185</v>
      </c>
      <c r="F6795">
        <f t="shared" ca="1" si="214"/>
        <v>5.3111111111111109</v>
      </c>
      <c r="G6795">
        <f t="shared" ca="1" si="215"/>
        <v>0</v>
      </c>
    </row>
    <row r="6796" spans="1:7">
      <c r="A6796">
        <v>953</v>
      </c>
      <c r="B6796" t="s">
        <v>30</v>
      </c>
      <c r="C6796" t="s">
        <v>129</v>
      </c>
      <c r="D6796" s="9">
        <v>40805.511655092596</v>
      </c>
      <c r="E6796" t="s">
        <v>112</v>
      </c>
      <c r="F6796">
        <f t="shared" ca="1" si="214"/>
        <v>3.3611111111111112</v>
      </c>
      <c r="G6796">
        <f t="shared" ca="1" si="215"/>
        <v>0</v>
      </c>
    </row>
    <row r="6797" spans="1:7">
      <c r="A6797">
        <v>962</v>
      </c>
      <c r="B6797" t="s">
        <v>8</v>
      </c>
      <c r="C6797" t="s">
        <v>138</v>
      </c>
      <c r="D6797" s="9">
        <v>40142.602442129632</v>
      </c>
      <c r="F6797">
        <f t="shared" ca="1" si="214"/>
        <v>5.177777777777778</v>
      </c>
      <c r="G6797">
        <f t="shared" ca="1" si="215"/>
        <v>0</v>
      </c>
    </row>
    <row r="6798" spans="1:7">
      <c r="A6798">
        <v>984</v>
      </c>
      <c r="B6798" t="s">
        <v>34</v>
      </c>
      <c r="C6798" t="s">
        <v>135</v>
      </c>
      <c r="D6798" s="9">
        <v>40274.565659722219</v>
      </c>
      <c r="F6798">
        <f t="shared" ca="1" si="214"/>
        <v>4.8138888888888891</v>
      </c>
      <c r="G6798">
        <f t="shared" ca="1" si="215"/>
        <v>0</v>
      </c>
    </row>
    <row r="6799" spans="1:7">
      <c r="A6799">
        <v>998</v>
      </c>
      <c r="B6799" t="s">
        <v>30</v>
      </c>
      <c r="C6799" t="s">
        <v>128</v>
      </c>
      <c r="D6799" s="9">
        <v>40918.77652777778</v>
      </c>
      <c r="E6799" t="s">
        <v>52</v>
      </c>
      <c r="F6799">
        <f t="shared" ca="1" si="214"/>
        <v>3.0527777777777776</v>
      </c>
      <c r="G6799">
        <f t="shared" ca="1" si="215"/>
        <v>0</v>
      </c>
    </row>
    <row r="6800" spans="1:7">
      <c r="A6800">
        <v>1021</v>
      </c>
      <c r="B6800" t="s">
        <v>34</v>
      </c>
      <c r="C6800" t="s">
        <v>145</v>
      </c>
      <c r="D6800" s="9">
        <v>40217.714074074072</v>
      </c>
      <c r="F6800">
        <f t="shared" ca="1" si="214"/>
        <v>4.9749999999999996</v>
      </c>
      <c r="G6800">
        <f t="shared" ca="1" si="215"/>
        <v>0</v>
      </c>
    </row>
    <row r="6801" spans="1:7">
      <c r="A6801">
        <v>1035</v>
      </c>
      <c r="B6801" t="s">
        <v>34</v>
      </c>
      <c r="C6801" t="s">
        <v>145</v>
      </c>
      <c r="D6801" s="9">
        <v>40217.732766203706</v>
      </c>
      <c r="F6801">
        <f t="shared" ca="1" si="214"/>
        <v>4.9749999999999996</v>
      </c>
      <c r="G6801">
        <f t="shared" ca="1" si="215"/>
        <v>0</v>
      </c>
    </row>
    <row r="6802" spans="1:7">
      <c r="A6802">
        <v>1039</v>
      </c>
      <c r="B6802" t="s">
        <v>99</v>
      </c>
      <c r="C6802" t="s">
        <v>128</v>
      </c>
      <c r="D6802" s="9">
        <v>40919.688113425924</v>
      </c>
      <c r="E6802" t="s">
        <v>43</v>
      </c>
      <c r="F6802">
        <f t="shared" ca="1" si="214"/>
        <v>3.05</v>
      </c>
      <c r="G6802">
        <f t="shared" ca="1" si="215"/>
        <v>0</v>
      </c>
    </row>
    <row r="6803" spans="1:7">
      <c r="A6803">
        <v>1068</v>
      </c>
      <c r="B6803" t="s">
        <v>36</v>
      </c>
      <c r="C6803" t="s">
        <v>126</v>
      </c>
      <c r="D6803" s="9">
        <v>41129.776620370372</v>
      </c>
      <c r="E6803" t="s">
        <v>21</v>
      </c>
      <c r="F6803">
        <f t="shared" ca="1" si="214"/>
        <v>2.4750000000000001</v>
      </c>
      <c r="G6803">
        <f t="shared" ca="1" si="215"/>
        <v>0</v>
      </c>
    </row>
    <row r="6804" spans="1:7">
      <c r="A6804">
        <v>1084</v>
      </c>
      <c r="B6804" t="s">
        <v>11</v>
      </c>
      <c r="C6804" t="s">
        <v>145</v>
      </c>
      <c r="D6804" s="9">
        <v>40217.493634259263</v>
      </c>
      <c r="F6804">
        <f t="shared" ca="1" si="214"/>
        <v>4.9749999999999996</v>
      </c>
      <c r="G6804">
        <f t="shared" ca="1" si="215"/>
        <v>0</v>
      </c>
    </row>
    <row r="6805" spans="1:7">
      <c r="A6805">
        <v>1092</v>
      </c>
      <c r="B6805" t="s">
        <v>34</v>
      </c>
      <c r="C6805" t="s">
        <v>134</v>
      </c>
      <c r="D6805" s="9">
        <v>40484.638240740744</v>
      </c>
      <c r="E6805" t="s">
        <v>131</v>
      </c>
      <c r="F6805">
        <f t="shared" ca="1" si="214"/>
        <v>4.2416666666666663</v>
      </c>
      <c r="G6805">
        <f t="shared" ca="1" si="215"/>
        <v>0</v>
      </c>
    </row>
    <row r="6806" spans="1:7">
      <c r="A6806">
        <v>1095</v>
      </c>
      <c r="B6806" t="s">
        <v>34</v>
      </c>
      <c r="C6806" t="s">
        <v>136</v>
      </c>
      <c r="D6806" s="9">
        <v>40415.637696759259</v>
      </c>
      <c r="E6806" t="s">
        <v>131</v>
      </c>
      <c r="F6806">
        <f t="shared" ca="1" si="214"/>
        <v>4.427777777777778</v>
      </c>
      <c r="G6806">
        <f t="shared" ca="1" si="215"/>
        <v>0</v>
      </c>
    </row>
    <row r="6807" spans="1:7">
      <c r="A6807">
        <v>1111</v>
      </c>
      <c r="B6807" t="s">
        <v>44</v>
      </c>
      <c r="C6807" t="s">
        <v>137</v>
      </c>
      <c r="D6807" s="9">
        <v>40340.389050925929</v>
      </c>
      <c r="F6807">
        <f t="shared" ca="1" si="214"/>
        <v>4.6333333333333337</v>
      </c>
      <c r="G6807">
        <f t="shared" ca="1" si="215"/>
        <v>0</v>
      </c>
    </row>
    <row r="6808" spans="1:7">
      <c r="A6808">
        <v>1116</v>
      </c>
      <c r="B6808" t="s">
        <v>101</v>
      </c>
      <c r="C6808" t="s">
        <v>135</v>
      </c>
      <c r="D6808" s="9">
        <v>40274.571134259262</v>
      </c>
      <c r="F6808">
        <f t="shared" ca="1" si="214"/>
        <v>4.8138888888888891</v>
      </c>
      <c r="G6808">
        <f t="shared" ca="1" si="215"/>
        <v>0</v>
      </c>
    </row>
    <row r="6809" spans="1:7">
      <c r="A6809">
        <v>1120</v>
      </c>
      <c r="B6809" t="s">
        <v>8</v>
      </c>
      <c r="C6809" t="s">
        <v>137</v>
      </c>
      <c r="D6809" s="9">
        <v>40340.499305555553</v>
      </c>
      <c r="F6809">
        <f t="shared" ca="1" si="214"/>
        <v>4.6333333333333337</v>
      </c>
      <c r="G6809">
        <f t="shared" ca="1" si="215"/>
        <v>0</v>
      </c>
    </row>
    <row r="6810" spans="1:7">
      <c r="A6810">
        <v>1130</v>
      </c>
      <c r="B6810" t="s">
        <v>11</v>
      </c>
      <c r="C6810" t="s">
        <v>135</v>
      </c>
      <c r="D6810" s="9">
        <v>40267.430763888886</v>
      </c>
      <c r="F6810">
        <f t="shared" ca="1" si="214"/>
        <v>4.8305555555555557</v>
      </c>
      <c r="G6810">
        <f t="shared" ca="1" si="215"/>
        <v>0</v>
      </c>
    </row>
    <row r="6811" spans="1:7">
      <c r="A6811">
        <v>1144</v>
      </c>
      <c r="B6811" t="s">
        <v>11</v>
      </c>
      <c r="C6811" t="s">
        <v>135</v>
      </c>
      <c r="D6811" s="9">
        <v>40267.45040509259</v>
      </c>
      <c r="F6811">
        <f t="shared" ca="1" si="214"/>
        <v>4.8305555555555557</v>
      </c>
      <c r="G6811">
        <f t="shared" ca="1" si="215"/>
        <v>0</v>
      </c>
    </row>
    <row r="6812" spans="1:7">
      <c r="A6812">
        <v>1159</v>
      </c>
      <c r="B6812" t="s">
        <v>11</v>
      </c>
      <c r="C6812" t="s">
        <v>135</v>
      </c>
      <c r="D6812" s="9">
        <v>40267.488645833335</v>
      </c>
      <c r="F6812">
        <f t="shared" ca="1" si="214"/>
        <v>4.8305555555555557</v>
      </c>
      <c r="G6812">
        <f t="shared" ca="1" si="215"/>
        <v>0</v>
      </c>
    </row>
    <row r="6813" spans="1:7">
      <c r="A6813">
        <v>1161</v>
      </c>
      <c r="B6813" t="s">
        <v>11</v>
      </c>
      <c r="C6813" t="s">
        <v>135</v>
      </c>
      <c r="D6813" s="9">
        <v>40267.619675925926</v>
      </c>
      <c r="F6813">
        <f t="shared" ca="1" si="214"/>
        <v>4.8305555555555557</v>
      </c>
      <c r="G6813">
        <f t="shared" ca="1" si="215"/>
        <v>0</v>
      </c>
    </row>
    <row r="6814" spans="1:7">
      <c r="A6814">
        <v>1162</v>
      </c>
      <c r="B6814" t="s">
        <v>44</v>
      </c>
      <c r="C6814" t="s">
        <v>136</v>
      </c>
      <c r="D6814" s="9">
        <v>40416.746319444443</v>
      </c>
      <c r="E6814" t="s">
        <v>8</v>
      </c>
      <c r="F6814">
        <f t="shared" ca="1" si="214"/>
        <v>4.4249999999999998</v>
      </c>
      <c r="G6814">
        <f t="shared" ca="1" si="215"/>
        <v>0</v>
      </c>
    </row>
    <row r="6815" spans="1:7">
      <c r="A6815">
        <v>1167</v>
      </c>
      <c r="B6815" t="s">
        <v>11</v>
      </c>
      <c r="C6815" t="s">
        <v>135</v>
      </c>
      <c r="D6815" s="9">
        <v>40274.424849537034</v>
      </c>
      <c r="F6815">
        <f t="shared" ca="1" si="214"/>
        <v>4.8138888888888891</v>
      </c>
      <c r="G6815">
        <f t="shared" ca="1" si="215"/>
        <v>0</v>
      </c>
    </row>
    <row r="6816" spans="1:7">
      <c r="A6816">
        <v>1188</v>
      </c>
      <c r="B6816" t="s">
        <v>8</v>
      </c>
      <c r="C6816" t="s">
        <v>135</v>
      </c>
      <c r="D6816" s="9">
        <v>40275.423564814817</v>
      </c>
      <c r="F6816">
        <f t="shared" ca="1" si="214"/>
        <v>4.8111111111111109</v>
      </c>
      <c r="G6816">
        <f t="shared" ca="1" si="215"/>
        <v>0</v>
      </c>
    </row>
    <row r="6817" spans="1:7">
      <c r="A6817">
        <v>1202</v>
      </c>
      <c r="B6817" t="s">
        <v>91</v>
      </c>
      <c r="C6817" t="s">
        <v>137</v>
      </c>
      <c r="D6817" s="9">
        <v>40338.425474537034</v>
      </c>
      <c r="F6817">
        <f t="shared" ca="1" si="214"/>
        <v>4.6388888888888893</v>
      </c>
      <c r="G6817">
        <f t="shared" ca="1" si="215"/>
        <v>0</v>
      </c>
    </row>
    <row r="6818" spans="1:7">
      <c r="A6818">
        <v>1219</v>
      </c>
      <c r="B6818" t="s">
        <v>11</v>
      </c>
      <c r="C6818" t="s">
        <v>137</v>
      </c>
      <c r="D6818" s="9">
        <v>40340.37431712963</v>
      </c>
      <c r="F6818">
        <f t="shared" ca="1" si="214"/>
        <v>4.6333333333333337</v>
      </c>
      <c r="G6818">
        <f t="shared" ca="1" si="215"/>
        <v>0</v>
      </c>
    </row>
    <row r="6819" spans="1:7">
      <c r="A6819">
        <v>1281</v>
      </c>
      <c r="B6819" t="s">
        <v>11</v>
      </c>
      <c r="C6819" t="s">
        <v>132</v>
      </c>
      <c r="D6819" s="9">
        <v>40661.832118055558</v>
      </c>
      <c r="E6819" t="s">
        <v>99</v>
      </c>
      <c r="F6819">
        <f t="shared" ca="1" si="214"/>
        <v>3.7527777777777778</v>
      </c>
      <c r="G6819">
        <f t="shared" ca="1" si="215"/>
        <v>0</v>
      </c>
    </row>
    <row r="6820" spans="1:7">
      <c r="A6820">
        <v>1297</v>
      </c>
      <c r="B6820" t="s">
        <v>99</v>
      </c>
      <c r="C6820" t="s">
        <v>140</v>
      </c>
      <c r="D6820" s="9">
        <v>40526.708506944444</v>
      </c>
      <c r="E6820" t="s">
        <v>131</v>
      </c>
      <c r="F6820">
        <f t="shared" ca="1" si="214"/>
        <v>4.125</v>
      </c>
      <c r="G6820">
        <f t="shared" ca="1" si="215"/>
        <v>0</v>
      </c>
    </row>
    <row r="6821" spans="1:7">
      <c r="A6821">
        <v>1301</v>
      </c>
      <c r="B6821" t="s">
        <v>20</v>
      </c>
      <c r="C6821" t="s">
        <v>136</v>
      </c>
      <c r="D6821" s="9">
        <v>40416.483726851853</v>
      </c>
      <c r="E6821" t="s">
        <v>131</v>
      </c>
      <c r="F6821">
        <f t="shared" ca="1" si="214"/>
        <v>4.4249999999999998</v>
      </c>
      <c r="G6821">
        <f t="shared" ca="1" si="215"/>
        <v>0</v>
      </c>
    </row>
    <row r="6822" spans="1:7">
      <c r="A6822">
        <v>1302</v>
      </c>
      <c r="B6822" t="s">
        <v>20</v>
      </c>
      <c r="C6822" t="s">
        <v>136</v>
      </c>
      <c r="D6822" s="9">
        <v>40415.648553240739</v>
      </c>
      <c r="E6822" t="s">
        <v>99</v>
      </c>
      <c r="F6822">
        <f t="shared" ca="1" si="214"/>
        <v>4.427777777777778</v>
      </c>
      <c r="G6822">
        <f t="shared" ca="1" si="215"/>
        <v>0</v>
      </c>
    </row>
    <row r="6823" spans="1:7">
      <c r="A6823">
        <v>1305</v>
      </c>
      <c r="B6823" t="s">
        <v>8</v>
      </c>
      <c r="C6823" t="s">
        <v>136</v>
      </c>
      <c r="D6823" s="9">
        <v>40415.833634259259</v>
      </c>
      <c r="E6823" t="s">
        <v>99</v>
      </c>
      <c r="F6823">
        <f t="shared" ca="1" si="214"/>
        <v>4.427777777777778</v>
      </c>
      <c r="G6823">
        <f t="shared" ca="1" si="215"/>
        <v>0</v>
      </c>
    </row>
    <row r="6824" spans="1:7">
      <c r="A6824">
        <v>1320</v>
      </c>
      <c r="B6824" t="s">
        <v>111</v>
      </c>
      <c r="C6824" t="s">
        <v>136</v>
      </c>
      <c r="D6824" s="9">
        <v>40414.950046296297</v>
      </c>
      <c r="E6824" t="s">
        <v>99</v>
      </c>
      <c r="F6824">
        <f t="shared" ca="1" si="214"/>
        <v>4.4305555555555554</v>
      </c>
      <c r="G6824">
        <f t="shared" ca="1" si="215"/>
        <v>0</v>
      </c>
    </row>
    <row r="6825" spans="1:7">
      <c r="A6825">
        <v>1324</v>
      </c>
      <c r="B6825" t="s">
        <v>20</v>
      </c>
      <c r="C6825" t="s">
        <v>136</v>
      </c>
      <c r="D6825" s="9">
        <v>40415.647858796299</v>
      </c>
      <c r="E6825" t="s">
        <v>131</v>
      </c>
      <c r="F6825">
        <f t="shared" ca="1" si="214"/>
        <v>4.427777777777778</v>
      </c>
      <c r="G6825">
        <f t="shared" ca="1" si="215"/>
        <v>0</v>
      </c>
    </row>
    <row r="6826" spans="1:7">
      <c r="A6826">
        <v>1331</v>
      </c>
      <c r="B6826" t="s">
        <v>131</v>
      </c>
      <c r="C6826" t="s">
        <v>136</v>
      </c>
      <c r="D6826" s="9">
        <v>40416.39576388889</v>
      </c>
      <c r="E6826" t="s">
        <v>44</v>
      </c>
      <c r="F6826">
        <f t="shared" ca="1" si="214"/>
        <v>4.4249999999999998</v>
      </c>
      <c r="G6826">
        <f t="shared" ca="1" si="215"/>
        <v>0</v>
      </c>
    </row>
    <row r="6827" spans="1:7">
      <c r="A6827">
        <v>1349</v>
      </c>
      <c r="B6827" t="s">
        <v>38</v>
      </c>
      <c r="C6827" t="s">
        <v>132</v>
      </c>
      <c r="D6827" s="9">
        <v>40660.522256944445</v>
      </c>
      <c r="E6827" t="s">
        <v>131</v>
      </c>
      <c r="F6827">
        <f t="shared" ca="1" si="214"/>
        <v>3.7555555555555555</v>
      </c>
      <c r="G6827">
        <f t="shared" ca="1" si="215"/>
        <v>0</v>
      </c>
    </row>
    <row r="6828" spans="1:7">
      <c r="A6828">
        <v>1355</v>
      </c>
      <c r="B6828" t="s">
        <v>8</v>
      </c>
      <c r="C6828" t="s">
        <v>136</v>
      </c>
      <c r="D6828" s="9">
        <v>40414.542071759257</v>
      </c>
      <c r="E6828" t="s">
        <v>131</v>
      </c>
      <c r="F6828">
        <f t="shared" ca="1" si="214"/>
        <v>4.4305555555555554</v>
      </c>
      <c r="G6828">
        <f t="shared" ca="1" si="215"/>
        <v>0</v>
      </c>
    </row>
    <row r="6829" spans="1:7">
      <c r="A6829">
        <v>1360</v>
      </c>
      <c r="B6829" t="s">
        <v>99</v>
      </c>
      <c r="C6829" t="s">
        <v>134</v>
      </c>
      <c r="D6829" s="9">
        <v>40485.736342592594</v>
      </c>
      <c r="E6829" t="s">
        <v>27</v>
      </c>
      <c r="F6829">
        <f t="shared" ca="1" si="214"/>
        <v>4.2388888888888889</v>
      </c>
      <c r="G6829">
        <f t="shared" ca="1" si="215"/>
        <v>0</v>
      </c>
    </row>
    <row r="6830" spans="1:7">
      <c r="A6830">
        <v>1363</v>
      </c>
      <c r="B6830" t="s">
        <v>20</v>
      </c>
      <c r="C6830" t="s">
        <v>136</v>
      </c>
      <c r="D6830" s="9">
        <v>40416.698912037034</v>
      </c>
      <c r="E6830" t="s">
        <v>8</v>
      </c>
      <c r="F6830">
        <f t="shared" ca="1" si="214"/>
        <v>4.4249999999999998</v>
      </c>
      <c r="G6830">
        <f t="shared" ca="1" si="215"/>
        <v>0</v>
      </c>
    </row>
    <row r="6831" spans="1:7">
      <c r="A6831">
        <v>1371</v>
      </c>
      <c r="B6831" t="s">
        <v>20</v>
      </c>
      <c r="C6831" t="s">
        <v>136</v>
      </c>
      <c r="D6831" s="9">
        <v>40414.78087962963</v>
      </c>
      <c r="E6831" t="s">
        <v>27</v>
      </c>
      <c r="F6831">
        <f t="shared" ca="1" si="214"/>
        <v>4.4305555555555554</v>
      </c>
      <c r="G6831">
        <f t="shared" ca="1" si="215"/>
        <v>0</v>
      </c>
    </row>
    <row r="6832" spans="1:7">
      <c r="A6832">
        <v>1379</v>
      </c>
      <c r="B6832" t="s">
        <v>11</v>
      </c>
      <c r="C6832" t="s">
        <v>136</v>
      </c>
      <c r="D6832" s="9">
        <v>40414.921006944445</v>
      </c>
      <c r="E6832" t="s">
        <v>99</v>
      </c>
      <c r="F6832">
        <f t="shared" ca="1" si="214"/>
        <v>4.4305555555555554</v>
      </c>
      <c r="G6832">
        <f t="shared" ca="1" si="215"/>
        <v>0</v>
      </c>
    </row>
    <row r="6833" spans="1:7">
      <c r="A6833">
        <v>1383</v>
      </c>
      <c r="B6833" t="s">
        <v>111</v>
      </c>
      <c r="C6833" t="s">
        <v>136</v>
      </c>
      <c r="D6833" s="9">
        <v>40415.681597222225</v>
      </c>
      <c r="E6833" t="s">
        <v>131</v>
      </c>
      <c r="F6833">
        <f t="shared" ca="1" si="214"/>
        <v>4.427777777777778</v>
      </c>
      <c r="G6833">
        <f t="shared" ca="1" si="215"/>
        <v>0</v>
      </c>
    </row>
    <row r="6834" spans="1:7">
      <c r="A6834">
        <v>1386</v>
      </c>
      <c r="B6834" t="s">
        <v>112</v>
      </c>
      <c r="C6834" t="s">
        <v>134</v>
      </c>
      <c r="D6834" s="9">
        <v>40484.610138888886</v>
      </c>
      <c r="E6834" t="s">
        <v>27</v>
      </c>
      <c r="F6834">
        <f t="shared" ca="1" si="214"/>
        <v>4.2416666666666663</v>
      </c>
      <c r="G6834">
        <f t="shared" ca="1" si="215"/>
        <v>0</v>
      </c>
    </row>
    <row r="6835" spans="1:7">
      <c r="A6835">
        <v>1397</v>
      </c>
      <c r="B6835" t="s">
        <v>111</v>
      </c>
      <c r="C6835" t="s">
        <v>136</v>
      </c>
      <c r="D6835" s="9">
        <v>40416.047465277778</v>
      </c>
      <c r="E6835" t="s">
        <v>11</v>
      </c>
      <c r="F6835">
        <f t="shared" ca="1" si="214"/>
        <v>4.4249999999999998</v>
      </c>
      <c r="G6835">
        <f t="shared" ca="1" si="215"/>
        <v>0</v>
      </c>
    </row>
    <row r="6836" spans="1:7">
      <c r="A6836">
        <v>1410</v>
      </c>
      <c r="B6836" t="s">
        <v>20</v>
      </c>
      <c r="C6836" t="s">
        <v>134</v>
      </c>
      <c r="D6836" s="9">
        <v>40484.678773148145</v>
      </c>
      <c r="E6836" t="s">
        <v>99</v>
      </c>
      <c r="F6836">
        <f t="shared" ca="1" si="214"/>
        <v>4.2416666666666663</v>
      </c>
      <c r="G6836">
        <f t="shared" ca="1" si="215"/>
        <v>0</v>
      </c>
    </row>
    <row r="6837" spans="1:7">
      <c r="A6837">
        <v>1417</v>
      </c>
      <c r="B6837" t="s">
        <v>20</v>
      </c>
      <c r="C6837" t="s">
        <v>136</v>
      </c>
      <c r="D6837" s="9">
        <v>40415.617430555554</v>
      </c>
      <c r="E6837" t="s">
        <v>131</v>
      </c>
      <c r="F6837">
        <f t="shared" ca="1" si="214"/>
        <v>4.427777777777778</v>
      </c>
      <c r="G6837">
        <f t="shared" ca="1" si="215"/>
        <v>0</v>
      </c>
    </row>
    <row r="6838" spans="1:7">
      <c r="A6838">
        <v>1435</v>
      </c>
      <c r="B6838" t="s">
        <v>111</v>
      </c>
      <c r="C6838" t="s">
        <v>140</v>
      </c>
      <c r="D6838" s="9">
        <v>40527.853333333333</v>
      </c>
      <c r="E6838" t="s">
        <v>38</v>
      </c>
      <c r="F6838">
        <f t="shared" ca="1" si="214"/>
        <v>4.1222222222222218</v>
      </c>
      <c r="G6838">
        <f t="shared" ca="1" si="215"/>
        <v>0</v>
      </c>
    </row>
    <row r="6839" spans="1:7">
      <c r="A6839">
        <v>1451</v>
      </c>
      <c r="B6839" t="s">
        <v>23</v>
      </c>
      <c r="C6839" t="s">
        <v>136</v>
      </c>
      <c r="D6839" s="9">
        <v>40415.931018518517</v>
      </c>
      <c r="E6839" t="s">
        <v>38</v>
      </c>
      <c r="F6839">
        <f t="shared" ca="1" si="214"/>
        <v>4.427777777777778</v>
      </c>
      <c r="G6839">
        <f t="shared" ca="1" si="215"/>
        <v>0</v>
      </c>
    </row>
    <row r="6840" spans="1:7">
      <c r="A6840">
        <v>1452</v>
      </c>
      <c r="B6840" t="s">
        <v>11</v>
      </c>
      <c r="C6840" t="s">
        <v>136</v>
      </c>
      <c r="D6840" s="9">
        <v>40416.456782407404</v>
      </c>
      <c r="E6840" t="s">
        <v>44</v>
      </c>
      <c r="F6840">
        <f t="shared" ca="1" si="214"/>
        <v>4.4249999999999998</v>
      </c>
      <c r="G6840">
        <f t="shared" ca="1" si="215"/>
        <v>0</v>
      </c>
    </row>
    <row r="6841" spans="1:7">
      <c r="A6841">
        <v>1453</v>
      </c>
      <c r="C6841" t="s">
        <v>136</v>
      </c>
      <c r="D6841" s="9">
        <v>40415.810046296298</v>
      </c>
      <c r="E6841" t="s">
        <v>111</v>
      </c>
      <c r="F6841">
        <f t="shared" ca="1" si="214"/>
        <v>4.427777777777778</v>
      </c>
      <c r="G6841">
        <f t="shared" ca="1" si="215"/>
        <v>0</v>
      </c>
    </row>
    <row r="6842" spans="1:7">
      <c r="A6842">
        <v>1462</v>
      </c>
      <c r="B6842" t="s">
        <v>27</v>
      </c>
      <c r="C6842" t="s">
        <v>134</v>
      </c>
      <c r="D6842" s="9">
        <v>40486.698819444442</v>
      </c>
      <c r="E6842" t="s">
        <v>20</v>
      </c>
      <c r="F6842">
        <f t="shared" ca="1" si="214"/>
        <v>4.2361111111111107</v>
      </c>
      <c r="G6842">
        <f t="shared" ca="1" si="215"/>
        <v>0</v>
      </c>
    </row>
    <row r="6843" spans="1:7">
      <c r="A6843">
        <v>1474</v>
      </c>
      <c r="B6843" t="s">
        <v>52</v>
      </c>
      <c r="C6843" t="s">
        <v>134</v>
      </c>
      <c r="D6843" s="9">
        <v>40486.68377314815</v>
      </c>
      <c r="E6843" t="s">
        <v>8</v>
      </c>
      <c r="F6843">
        <f t="shared" ca="1" si="214"/>
        <v>4.2361111111111107</v>
      </c>
      <c r="G6843">
        <f t="shared" ca="1" si="215"/>
        <v>0</v>
      </c>
    </row>
    <row r="6844" spans="1:7">
      <c r="A6844">
        <v>1481</v>
      </c>
      <c r="B6844" t="s">
        <v>52</v>
      </c>
      <c r="C6844" t="s">
        <v>136</v>
      </c>
      <c r="D6844" s="9">
        <v>40415.650439814817</v>
      </c>
      <c r="E6844" t="s">
        <v>99</v>
      </c>
      <c r="F6844">
        <f t="shared" ca="1" si="214"/>
        <v>4.427777777777778</v>
      </c>
      <c r="G6844">
        <f t="shared" ca="1" si="215"/>
        <v>0</v>
      </c>
    </row>
    <row r="6845" spans="1:7">
      <c r="A6845">
        <v>1482</v>
      </c>
      <c r="B6845" t="s">
        <v>20</v>
      </c>
      <c r="C6845" t="s">
        <v>136</v>
      </c>
      <c r="D6845" s="9">
        <v>40414.917997685188</v>
      </c>
      <c r="E6845" t="s">
        <v>99</v>
      </c>
      <c r="F6845">
        <f t="shared" ca="1" si="214"/>
        <v>4.4305555555555554</v>
      </c>
      <c r="G6845">
        <f t="shared" ca="1" si="215"/>
        <v>0</v>
      </c>
    </row>
    <row r="6846" spans="1:7">
      <c r="A6846">
        <v>1507</v>
      </c>
      <c r="B6846" t="s">
        <v>38</v>
      </c>
      <c r="C6846" t="s">
        <v>136</v>
      </c>
      <c r="D6846" s="9">
        <v>40414.880671296298</v>
      </c>
      <c r="E6846" t="s">
        <v>27</v>
      </c>
      <c r="F6846">
        <f t="shared" ca="1" si="214"/>
        <v>4.4305555555555554</v>
      </c>
      <c r="G6846">
        <f t="shared" ca="1" si="215"/>
        <v>0</v>
      </c>
    </row>
    <row r="6847" spans="1:7">
      <c r="A6847">
        <v>1521</v>
      </c>
      <c r="B6847" t="s">
        <v>99</v>
      </c>
      <c r="C6847" t="s">
        <v>134</v>
      </c>
      <c r="D6847" s="9">
        <v>40485.53162037037</v>
      </c>
      <c r="E6847" t="s">
        <v>131</v>
      </c>
      <c r="F6847">
        <f t="shared" ca="1" si="214"/>
        <v>4.2388888888888889</v>
      </c>
      <c r="G6847">
        <f t="shared" ca="1" si="215"/>
        <v>0</v>
      </c>
    </row>
    <row r="6848" spans="1:7">
      <c r="A6848">
        <v>1523</v>
      </c>
      <c r="B6848" t="s">
        <v>11</v>
      </c>
      <c r="C6848" t="s">
        <v>140</v>
      </c>
      <c r="D6848" s="9">
        <v>40527.576157407406</v>
      </c>
      <c r="E6848" t="s">
        <v>131</v>
      </c>
      <c r="F6848">
        <f t="shared" ca="1" si="214"/>
        <v>4.1222222222222218</v>
      </c>
      <c r="G6848">
        <f t="shared" ca="1" si="215"/>
        <v>0</v>
      </c>
    </row>
    <row r="6849" spans="1:7">
      <c r="A6849">
        <v>1530</v>
      </c>
      <c r="B6849" t="s">
        <v>102</v>
      </c>
      <c r="C6849" t="s">
        <v>136</v>
      </c>
      <c r="D6849" s="9">
        <v>40416.472384259258</v>
      </c>
      <c r="E6849" t="s">
        <v>131</v>
      </c>
      <c r="F6849">
        <f t="shared" ca="1" si="214"/>
        <v>4.4249999999999998</v>
      </c>
      <c r="G6849">
        <f t="shared" ca="1" si="215"/>
        <v>0</v>
      </c>
    </row>
    <row r="6850" spans="1:7">
      <c r="A6850">
        <v>1539</v>
      </c>
      <c r="B6850" t="s">
        <v>34</v>
      </c>
      <c r="C6850" t="s">
        <v>133</v>
      </c>
      <c r="D6850" s="9">
        <v>40590.477789351855</v>
      </c>
      <c r="E6850" t="s">
        <v>19</v>
      </c>
      <c r="F6850">
        <f t="shared" ca="1" si="214"/>
        <v>3.9527777777777779</v>
      </c>
      <c r="G6850">
        <f t="shared" ca="1" si="215"/>
        <v>0</v>
      </c>
    </row>
    <row r="6851" spans="1:7">
      <c r="A6851">
        <v>1542</v>
      </c>
      <c r="B6851" t="s">
        <v>38</v>
      </c>
      <c r="C6851" t="s">
        <v>134</v>
      </c>
      <c r="D6851" s="9">
        <v>40485.629664351851</v>
      </c>
      <c r="E6851" t="s">
        <v>131</v>
      </c>
      <c r="F6851">
        <f t="shared" ca="1" si="214"/>
        <v>4.2388888888888889</v>
      </c>
      <c r="G6851">
        <f t="shared" ca="1" si="215"/>
        <v>0</v>
      </c>
    </row>
    <row r="6852" spans="1:7">
      <c r="A6852">
        <v>1548</v>
      </c>
      <c r="B6852" t="s">
        <v>8</v>
      </c>
      <c r="C6852" t="s">
        <v>127</v>
      </c>
      <c r="D6852" s="9">
        <v>41030.622488425928</v>
      </c>
      <c r="E6852" t="s">
        <v>37</v>
      </c>
      <c r="F6852">
        <f t="shared" ca="1" si="214"/>
        <v>2.7444444444444445</v>
      </c>
      <c r="G6852">
        <f t="shared" ca="1" si="215"/>
        <v>0</v>
      </c>
    </row>
    <row r="6853" spans="1:7">
      <c r="A6853">
        <v>1553</v>
      </c>
      <c r="B6853" t="s">
        <v>44</v>
      </c>
      <c r="C6853" t="s">
        <v>134</v>
      </c>
      <c r="D6853" s="9">
        <v>40484.446805555555</v>
      </c>
      <c r="E6853" t="s">
        <v>131</v>
      </c>
      <c r="F6853">
        <f t="shared" ca="1" si="214"/>
        <v>4.2416666666666663</v>
      </c>
      <c r="G6853">
        <f t="shared" ca="1" si="215"/>
        <v>0</v>
      </c>
    </row>
    <row r="6854" spans="1:7">
      <c r="A6854">
        <v>1557</v>
      </c>
      <c r="B6854" t="s">
        <v>111</v>
      </c>
      <c r="C6854" t="s">
        <v>134</v>
      </c>
      <c r="D6854" s="9">
        <v>40484.574328703704</v>
      </c>
      <c r="E6854" t="s">
        <v>27</v>
      </c>
      <c r="F6854">
        <f t="shared" ca="1" si="214"/>
        <v>4.2416666666666663</v>
      </c>
      <c r="G6854">
        <f t="shared" ca="1" si="215"/>
        <v>0</v>
      </c>
    </row>
    <row r="6855" spans="1:7">
      <c r="A6855">
        <v>1558</v>
      </c>
      <c r="B6855" t="s">
        <v>111</v>
      </c>
      <c r="C6855" t="s">
        <v>136</v>
      </c>
      <c r="D6855" s="9">
        <v>40416.873599537037</v>
      </c>
      <c r="E6855" t="s">
        <v>11</v>
      </c>
      <c r="F6855">
        <f t="shared" ref="F6855:F6918" ca="1" si="216">YEARFRAC(TODAY(),$D6855)</f>
        <v>4.4249999999999998</v>
      </c>
      <c r="G6855">
        <f t="shared" ref="G6855:G6918" ca="1" si="217">IF($F6855&lt;1,1,0)</f>
        <v>0</v>
      </c>
    </row>
    <row r="6856" spans="1:7">
      <c r="A6856">
        <v>1563</v>
      </c>
      <c r="B6856" t="s">
        <v>34</v>
      </c>
      <c r="C6856" t="s">
        <v>140</v>
      </c>
      <c r="D6856" s="9">
        <v>40527.620081018518</v>
      </c>
      <c r="E6856" t="s">
        <v>131</v>
      </c>
      <c r="F6856">
        <f t="shared" ca="1" si="216"/>
        <v>4.1222222222222218</v>
      </c>
      <c r="G6856">
        <f t="shared" ca="1" si="217"/>
        <v>0</v>
      </c>
    </row>
    <row r="6857" spans="1:7">
      <c r="A6857">
        <v>1567</v>
      </c>
      <c r="B6857" t="s">
        <v>52</v>
      </c>
      <c r="C6857" t="s">
        <v>134</v>
      </c>
      <c r="D6857" s="9">
        <v>40484.787939814814</v>
      </c>
      <c r="E6857" t="s">
        <v>27</v>
      </c>
      <c r="F6857">
        <f t="shared" ca="1" si="216"/>
        <v>4.2416666666666663</v>
      </c>
      <c r="G6857">
        <f t="shared" ca="1" si="217"/>
        <v>0</v>
      </c>
    </row>
    <row r="6858" spans="1:7">
      <c r="A6858">
        <v>1569</v>
      </c>
      <c r="B6858" t="s">
        <v>102</v>
      </c>
      <c r="C6858" t="s">
        <v>134</v>
      </c>
      <c r="D6858" s="9">
        <v>40484.617349537039</v>
      </c>
      <c r="E6858" t="s">
        <v>11</v>
      </c>
      <c r="F6858">
        <f t="shared" ca="1" si="216"/>
        <v>4.2416666666666663</v>
      </c>
      <c r="G6858">
        <f t="shared" ca="1" si="217"/>
        <v>0</v>
      </c>
    </row>
    <row r="6859" spans="1:7">
      <c r="A6859">
        <v>1571</v>
      </c>
      <c r="B6859" t="s">
        <v>27</v>
      </c>
      <c r="C6859" t="s">
        <v>140</v>
      </c>
      <c r="D6859" s="9">
        <v>40527.764768518522</v>
      </c>
      <c r="E6859" t="s">
        <v>99</v>
      </c>
      <c r="F6859">
        <f t="shared" ca="1" si="216"/>
        <v>4.1222222222222218</v>
      </c>
      <c r="G6859">
        <f t="shared" ca="1" si="217"/>
        <v>0</v>
      </c>
    </row>
    <row r="6860" spans="1:7">
      <c r="A6860">
        <v>1572</v>
      </c>
      <c r="B6860" t="s">
        <v>52</v>
      </c>
      <c r="C6860" t="s">
        <v>134</v>
      </c>
      <c r="D6860" s="9">
        <v>40485.501377314817</v>
      </c>
      <c r="E6860" t="s">
        <v>131</v>
      </c>
      <c r="F6860">
        <f t="shared" ca="1" si="216"/>
        <v>4.2388888888888889</v>
      </c>
      <c r="G6860">
        <f t="shared" ca="1" si="217"/>
        <v>0</v>
      </c>
    </row>
    <row r="6861" spans="1:7">
      <c r="A6861">
        <v>1577</v>
      </c>
      <c r="B6861" t="s">
        <v>32</v>
      </c>
      <c r="C6861" t="s">
        <v>134</v>
      </c>
      <c r="D6861" s="9">
        <v>40484.539895833332</v>
      </c>
      <c r="E6861" t="s">
        <v>131</v>
      </c>
      <c r="F6861">
        <f t="shared" ca="1" si="216"/>
        <v>4.2416666666666663</v>
      </c>
      <c r="G6861">
        <f t="shared" ca="1" si="217"/>
        <v>0</v>
      </c>
    </row>
    <row r="6862" spans="1:7">
      <c r="A6862">
        <v>1607</v>
      </c>
      <c r="B6862" t="s">
        <v>99</v>
      </c>
      <c r="C6862" t="s">
        <v>134</v>
      </c>
      <c r="D6862" s="9">
        <v>40485.779641203706</v>
      </c>
      <c r="E6862" t="s">
        <v>32</v>
      </c>
      <c r="F6862">
        <f t="shared" ca="1" si="216"/>
        <v>4.2388888888888889</v>
      </c>
      <c r="G6862">
        <f t="shared" ca="1" si="217"/>
        <v>0</v>
      </c>
    </row>
    <row r="6863" spans="1:7">
      <c r="A6863">
        <v>1631</v>
      </c>
      <c r="B6863" t="s">
        <v>19</v>
      </c>
      <c r="C6863" t="s">
        <v>132</v>
      </c>
      <c r="D6863" s="9">
        <v>40661.792708333334</v>
      </c>
      <c r="E6863" t="s">
        <v>99</v>
      </c>
      <c r="F6863">
        <f t="shared" ca="1" si="216"/>
        <v>3.7527777777777778</v>
      </c>
      <c r="G6863">
        <f t="shared" ca="1" si="217"/>
        <v>0</v>
      </c>
    </row>
    <row r="6864" spans="1:7">
      <c r="A6864">
        <v>1632</v>
      </c>
      <c r="B6864" t="s">
        <v>19</v>
      </c>
      <c r="C6864" t="s">
        <v>132</v>
      </c>
      <c r="D6864" s="9">
        <v>40665.650509259256</v>
      </c>
      <c r="E6864" t="s">
        <v>27</v>
      </c>
      <c r="F6864">
        <f t="shared" ca="1" si="216"/>
        <v>3.7416666666666667</v>
      </c>
      <c r="G6864">
        <f t="shared" ca="1" si="217"/>
        <v>0</v>
      </c>
    </row>
    <row r="6865" spans="1:7">
      <c r="A6865">
        <v>1654</v>
      </c>
      <c r="B6865" t="s">
        <v>27</v>
      </c>
      <c r="C6865" t="s">
        <v>134</v>
      </c>
      <c r="D6865" s="9">
        <v>40485.655185185184</v>
      </c>
      <c r="E6865" t="s">
        <v>131</v>
      </c>
      <c r="F6865">
        <f t="shared" ca="1" si="216"/>
        <v>4.2388888888888889</v>
      </c>
      <c r="G6865">
        <f t="shared" ca="1" si="217"/>
        <v>0</v>
      </c>
    </row>
    <row r="6866" spans="1:7">
      <c r="A6866">
        <v>1655</v>
      </c>
      <c r="B6866" t="s">
        <v>27</v>
      </c>
      <c r="C6866" t="s">
        <v>134</v>
      </c>
      <c r="D6866" s="9">
        <v>40484.825590277775</v>
      </c>
      <c r="E6866" t="s">
        <v>38</v>
      </c>
      <c r="F6866">
        <f t="shared" ca="1" si="216"/>
        <v>4.2416666666666663</v>
      </c>
      <c r="G6866">
        <f t="shared" ca="1" si="217"/>
        <v>0</v>
      </c>
    </row>
    <row r="6867" spans="1:7">
      <c r="A6867">
        <v>1676</v>
      </c>
      <c r="B6867" t="s">
        <v>27</v>
      </c>
      <c r="C6867" t="s">
        <v>134</v>
      </c>
      <c r="D6867" s="9">
        <v>40484.657939814817</v>
      </c>
      <c r="E6867" t="s">
        <v>38</v>
      </c>
      <c r="F6867">
        <f t="shared" ca="1" si="216"/>
        <v>4.2416666666666663</v>
      </c>
      <c r="G6867">
        <f t="shared" ca="1" si="217"/>
        <v>0</v>
      </c>
    </row>
    <row r="6868" spans="1:7">
      <c r="A6868">
        <v>1693</v>
      </c>
      <c r="B6868" t="s">
        <v>11</v>
      </c>
      <c r="C6868" t="s">
        <v>140</v>
      </c>
      <c r="D6868" s="9">
        <v>40527.701493055552</v>
      </c>
      <c r="E6868" t="s">
        <v>131</v>
      </c>
      <c r="F6868">
        <f t="shared" ca="1" si="216"/>
        <v>4.1222222222222218</v>
      </c>
      <c r="G6868">
        <f t="shared" ca="1" si="217"/>
        <v>0</v>
      </c>
    </row>
    <row r="6869" spans="1:7">
      <c r="A6869">
        <v>1713</v>
      </c>
      <c r="B6869" t="s">
        <v>8</v>
      </c>
      <c r="C6869" t="s">
        <v>140</v>
      </c>
      <c r="D6869" s="9">
        <v>40527.681875000002</v>
      </c>
      <c r="E6869" t="s">
        <v>131</v>
      </c>
      <c r="F6869">
        <f t="shared" ca="1" si="216"/>
        <v>4.1222222222222218</v>
      </c>
      <c r="G6869">
        <f t="shared" ca="1" si="217"/>
        <v>0</v>
      </c>
    </row>
    <row r="6870" spans="1:7">
      <c r="A6870">
        <v>1715</v>
      </c>
      <c r="B6870" t="s">
        <v>99</v>
      </c>
      <c r="C6870" t="s">
        <v>140</v>
      </c>
      <c r="D6870" s="9">
        <v>40527.809293981481</v>
      </c>
      <c r="E6870" t="s">
        <v>38</v>
      </c>
      <c r="F6870">
        <f t="shared" ca="1" si="216"/>
        <v>4.1222222222222218</v>
      </c>
      <c r="G6870">
        <f t="shared" ca="1" si="217"/>
        <v>0</v>
      </c>
    </row>
    <row r="6871" spans="1:7">
      <c r="A6871">
        <v>1723</v>
      </c>
      <c r="B6871" t="s">
        <v>11</v>
      </c>
      <c r="C6871" t="s">
        <v>140</v>
      </c>
      <c r="D6871" s="9">
        <v>40528.88753472222</v>
      </c>
      <c r="E6871" t="s">
        <v>111</v>
      </c>
      <c r="F6871">
        <f t="shared" ca="1" si="216"/>
        <v>4.1194444444444445</v>
      </c>
      <c r="G6871">
        <f t="shared" ca="1" si="217"/>
        <v>0</v>
      </c>
    </row>
    <row r="6872" spans="1:7">
      <c r="A6872">
        <v>1731</v>
      </c>
      <c r="B6872" t="s">
        <v>111</v>
      </c>
      <c r="C6872" t="s">
        <v>129</v>
      </c>
      <c r="D6872" s="9">
        <v>40807.671979166669</v>
      </c>
      <c r="E6872" t="s">
        <v>8</v>
      </c>
      <c r="F6872">
        <f t="shared" ca="1" si="216"/>
        <v>3.3555555555555556</v>
      </c>
      <c r="G6872">
        <f t="shared" ca="1" si="217"/>
        <v>0</v>
      </c>
    </row>
    <row r="6873" spans="1:7">
      <c r="A6873">
        <v>1732</v>
      </c>
      <c r="B6873" t="s">
        <v>111</v>
      </c>
      <c r="C6873" t="s">
        <v>129</v>
      </c>
      <c r="D6873" s="9">
        <v>40807.660868055558</v>
      </c>
      <c r="E6873" t="s">
        <v>27</v>
      </c>
      <c r="F6873">
        <f t="shared" ca="1" si="216"/>
        <v>3.3555555555555556</v>
      </c>
      <c r="G6873">
        <f t="shared" ca="1" si="217"/>
        <v>0</v>
      </c>
    </row>
    <row r="6874" spans="1:7">
      <c r="A6874">
        <v>1737</v>
      </c>
      <c r="B6874" t="s">
        <v>20</v>
      </c>
      <c r="C6874" t="s">
        <v>140</v>
      </c>
      <c r="D6874" s="9">
        <v>40527.895092592589</v>
      </c>
      <c r="E6874" t="s">
        <v>99</v>
      </c>
      <c r="F6874">
        <f t="shared" ca="1" si="216"/>
        <v>4.1222222222222218</v>
      </c>
      <c r="G6874">
        <f t="shared" ca="1" si="217"/>
        <v>0</v>
      </c>
    </row>
    <row r="6875" spans="1:7">
      <c r="A6875">
        <v>1746</v>
      </c>
      <c r="B6875" t="s">
        <v>131</v>
      </c>
      <c r="C6875" t="s">
        <v>134</v>
      </c>
      <c r="D6875" s="9">
        <v>40484.789594907408</v>
      </c>
      <c r="E6875" t="s">
        <v>99</v>
      </c>
      <c r="F6875">
        <f t="shared" ca="1" si="216"/>
        <v>4.2416666666666663</v>
      </c>
      <c r="G6875">
        <f t="shared" ca="1" si="217"/>
        <v>0</v>
      </c>
    </row>
    <row r="6876" spans="1:7">
      <c r="A6876">
        <v>1756</v>
      </c>
      <c r="B6876" t="s">
        <v>32</v>
      </c>
      <c r="C6876" t="s">
        <v>133</v>
      </c>
      <c r="D6876" s="9">
        <v>40590.901388888888</v>
      </c>
      <c r="E6876" t="s">
        <v>11</v>
      </c>
      <c r="F6876">
        <f t="shared" ca="1" si="216"/>
        <v>3.9527777777777779</v>
      </c>
      <c r="G6876">
        <f t="shared" ca="1" si="217"/>
        <v>0</v>
      </c>
    </row>
    <row r="6877" spans="1:7">
      <c r="A6877">
        <v>1765</v>
      </c>
      <c r="B6877" t="s">
        <v>32</v>
      </c>
      <c r="C6877" t="s">
        <v>134</v>
      </c>
      <c r="D6877" s="9">
        <v>40484.793969907405</v>
      </c>
      <c r="E6877" t="s">
        <v>99</v>
      </c>
      <c r="F6877">
        <f t="shared" ca="1" si="216"/>
        <v>4.2416666666666663</v>
      </c>
      <c r="G6877">
        <f t="shared" ca="1" si="217"/>
        <v>0</v>
      </c>
    </row>
    <row r="6878" spans="1:7">
      <c r="A6878">
        <v>1770</v>
      </c>
      <c r="B6878" t="s">
        <v>99</v>
      </c>
      <c r="C6878" t="s">
        <v>132</v>
      </c>
      <c r="D6878" s="9">
        <v>40665.672152777777</v>
      </c>
      <c r="E6878" t="s">
        <v>36</v>
      </c>
      <c r="F6878">
        <f t="shared" ca="1" si="216"/>
        <v>3.7416666666666667</v>
      </c>
      <c r="G6878">
        <f t="shared" ca="1" si="217"/>
        <v>0</v>
      </c>
    </row>
    <row r="6879" spans="1:7">
      <c r="A6879">
        <v>1771</v>
      </c>
      <c r="B6879" t="s">
        <v>99</v>
      </c>
      <c r="C6879" t="s">
        <v>133</v>
      </c>
      <c r="D6879" s="9">
        <v>40589.654502314814</v>
      </c>
      <c r="E6879" t="s">
        <v>131</v>
      </c>
      <c r="F6879">
        <f t="shared" ca="1" si="216"/>
        <v>3.9555555555555557</v>
      </c>
      <c r="G6879">
        <f t="shared" ca="1" si="217"/>
        <v>0</v>
      </c>
    </row>
    <row r="6880" spans="1:7">
      <c r="A6880">
        <v>1782</v>
      </c>
      <c r="B6880" t="s">
        <v>11</v>
      </c>
      <c r="C6880" t="s">
        <v>134</v>
      </c>
      <c r="D6880" s="9">
        <v>40486.620057870372</v>
      </c>
      <c r="E6880" t="s">
        <v>44</v>
      </c>
      <c r="F6880">
        <f t="shared" ca="1" si="216"/>
        <v>4.2361111111111107</v>
      </c>
      <c r="G6880">
        <f t="shared" ca="1" si="217"/>
        <v>0</v>
      </c>
    </row>
    <row r="6881" spans="1:7">
      <c r="A6881">
        <v>1783</v>
      </c>
      <c r="B6881" t="s">
        <v>20</v>
      </c>
      <c r="C6881" t="s">
        <v>134</v>
      </c>
      <c r="D6881" s="9">
        <v>40486.590370370373</v>
      </c>
      <c r="E6881" t="s">
        <v>27</v>
      </c>
      <c r="F6881">
        <f t="shared" ca="1" si="216"/>
        <v>4.2361111111111107</v>
      </c>
      <c r="G6881">
        <f t="shared" ca="1" si="217"/>
        <v>0</v>
      </c>
    </row>
    <row r="6882" spans="1:7">
      <c r="A6882">
        <v>1793</v>
      </c>
      <c r="B6882" t="s">
        <v>19</v>
      </c>
      <c r="C6882" t="s">
        <v>140</v>
      </c>
      <c r="D6882" s="9">
        <v>40527.539259259262</v>
      </c>
      <c r="E6882" t="s">
        <v>131</v>
      </c>
      <c r="F6882">
        <f t="shared" ca="1" si="216"/>
        <v>4.1222222222222218</v>
      </c>
      <c r="G6882">
        <f t="shared" ca="1" si="217"/>
        <v>0</v>
      </c>
    </row>
    <row r="6883" spans="1:7">
      <c r="A6883">
        <v>1805</v>
      </c>
      <c r="B6883" t="s">
        <v>34</v>
      </c>
      <c r="C6883" t="s">
        <v>140</v>
      </c>
      <c r="D6883" s="9">
        <v>40528.378067129626</v>
      </c>
      <c r="E6883" t="s">
        <v>44</v>
      </c>
      <c r="F6883">
        <f t="shared" ca="1" si="216"/>
        <v>4.1194444444444445</v>
      </c>
      <c r="G6883">
        <f t="shared" ca="1" si="217"/>
        <v>0</v>
      </c>
    </row>
    <row r="6884" spans="1:7">
      <c r="A6884">
        <v>1807</v>
      </c>
      <c r="B6884" t="s">
        <v>17</v>
      </c>
      <c r="C6884" t="s">
        <v>120</v>
      </c>
      <c r="D6884" s="9">
        <v>41578.394502314812</v>
      </c>
      <c r="E6884" t="s">
        <v>18</v>
      </c>
      <c r="F6884">
        <f t="shared" ca="1" si="216"/>
        <v>1.2472222222222222</v>
      </c>
      <c r="G6884">
        <f t="shared" ca="1" si="217"/>
        <v>0</v>
      </c>
    </row>
    <row r="6885" spans="1:7">
      <c r="A6885">
        <v>1810</v>
      </c>
      <c r="B6885" t="s">
        <v>131</v>
      </c>
      <c r="C6885" t="s">
        <v>140</v>
      </c>
      <c r="D6885" s="9">
        <v>40528.806608796294</v>
      </c>
      <c r="E6885" t="s">
        <v>11</v>
      </c>
      <c r="F6885">
        <f t="shared" ca="1" si="216"/>
        <v>4.1194444444444445</v>
      </c>
      <c r="G6885">
        <f t="shared" ca="1" si="217"/>
        <v>0</v>
      </c>
    </row>
    <row r="6886" spans="1:7">
      <c r="A6886">
        <v>1814</v>
      </c>
      <c r="B6886" t="s">
        <v>44</v>
      </c>
      <c r="C6886" t="s">
        <v>134</v>
      </c>
      <c r="D6886" s="9">
        <v>40485.50644675926</v>
      </c>
      <c r="E6886" t="s">
        <v>131</v>
      </c>
      <c r="F6886">
        <f t="shared" ca="1" si="216"/>
        <v>4.2388888888888889</v>
      </c>
      <c r="G6886">
        <f t="shared" ca="1" si="217"/>
        <v>0</v>
      </c>
    </row>
    <row r="6887" spans="1:7">
      <c r="A6887">
        <v>1815</v>
      </c>
      <c r="B6887" t="s">
        <v>99</v>
      </c>
      <c r="C6887" t="s">
        <v>132</v>
      </c>
      <c r="D6887" s="9">
        <v>40665.781643518516</v>
      </c>
      <c r="E6887" t="s">
        <v>11</v>
      </c>
      <c r="F6887">
        <f t="shared" ca="1" si="216"/>
        <v>3.7416666666666667</v>
      </c>
      <c r="G6887">
        <f t="shared" ca="1" si="217"/>
        <v>0</v>
      </c>
    </row>
    <row r="6888" spans="1:7">
      <c r="A6888">
        <v>1821</v>
      </c>
      <c r="B6888" t="s">
        <v>34</v>
      </c>
      <c r="C6888" t="s">
        <v>140</v>
      </c>
      <c r="D6888" s="9">
        <v>40527.766261574077</v>
      </c>
      <c r="E6888" t="s">
        <v>99</v>
      </c>
      <c r="F6888">
        <f t="shared" ca="1" si="216"/>
        <v>4.1222222222222218</v>
      </c>
      <c r="G6888">
        <f t="shared" ca="1" si="217"/>
        <v>0</v>
      </c>
    </row>
    <row r="6889" spans="1:7">
      <c r="A6889">
        <v>1823</v>
      </c>
      <c r="B6889" t="s">
        <v>131</v>
      </c>
      <c r="C6889" t="s">
        <v>140</v>
      </c>
      <c r="D6889" s="9">
        <v>40529.664502314816</v>
      </c>
      <c r="E6889" t="s">
        <v>38</v>
      </c>
      <c r="F6889">
        <f t="shared" ca="1" si="216"/>
        <v>4.1166666666666663</v>
      </c>
      <c r="G6889">
        <f t="shared" ca="1" si="217"/>
        <v>0</v>
      </c>
    </row>
    <row r="6890" spans="1:7">
      <c r="A6890">
        <v>1833</v>
      </c>
      <c r="B6890" t="s">
        <v>11</v>
      </c>
      <c r="C6890" t="s">
        <v>132</v>
      </c>
      <c r="D6890" s="9">
        <v>40660.450069444443</v>
      </c>
      <c r="E6890" t="s">
        <v>131</v>
      </c>
      <c r="F6890">
        <f t="shared" ca="1" si="216"/>
        <v>3.7555555555555555</v>
      </c>
      <c r="G6890">
        <f t="shared" ca="1" si="217"/>
        <v>0</v>
      </c>
    </row>
    <row r="6891" spans="1:7">
      <c r="A6891">
        <v>1834</v>
      </c>
      <c r="B6891" t="s">
        <v>11</v>
      </c>
      <c r="C6891" t="s">
        <v>133</v>
      </c>
      <c r="D6891" s="9">
        <v>40590.680509259262</v>
      </c>
      <c r="E6891" t="s">
        <v>19</v>
      </c>
      <c r="F6891">
        <f t="shared" ca="1" si="216"/>
        <v>3.9527777777777779</v>
      </c>
      <c r="G6891">
        <f t="shared" ca="1" si="217"/>
        <v>0</v>
      </c>
    </row>
    <row r="6892" spans="1:7">
      <c r="A6892">
        <v>1842</v>
      </c>
      <c r="B6892" t="s">
        <v>11</v>
      </c>
      <c r="C6892" t="s">
        <v>140</v>
      </c>
      <c r="D6892" s="9">
        <v>40527.593229166669</v>
      </c>
      <c r="E6892" t="s">
        <v>112</v>
      </c>
      <c r="F6892">
        <f t="shared" ca="1" si="216"/>
        <v>4.1222222222222218</v>
      </c>
      <c r="G6892">
        <f t="shared" ca="1" si="217"/>
        <v>0</v>
      </c>
    </row>
    <row r="6893" spans="1:7">
      <c r="A6893">
        <v>1844</v>
      </c>
      <c r="B6893" t="s">
        <v>99</v>
      </c>
      <c r="C6893" t="s">
        <v>140</v>
      </c>
      <c r="D6893" s="9">
        <v>40527.593900462962</v>
      </c>
      <c r="E6893" t="s">
        <v>112</v>
      </c>
      <c r="F6893">
        <f t="shared" ca="1" si="216"/>
        <v>4.1222222222222218</v>
      </c>
      <c r="G6893">
        <f t="shared" ca="1" si="217"/>
        <v>0</v>
      </c>
    </row>
    <row r="6894" spans="1:7">
      <c r="A6894">
        <v>1846</v>
      </c>
      <c r="B6894" t="s">
        <v>99</v>
      </c>
      <c r="C6894" t="s">
        <v>134</v>
      </c>
      <c r="D6894" s="9">
        <v>40486.756238425929</v>
      </c>
      <c r="E6894" t="s">
        <v>20</v>
      </c>
      <c r="F6894">
        <f t="shared" ca="1" si="216"/>
        <v>4.2361111111111107</v>
      </c>
      <c r="G6894">
        <f t="shared" ca="1" si="217"/>
        <v>0</v>
      </c>
    </row>
    <row r="6895" spans="1:7">
      <c r="A6895">
        <v>1850</v>
      </c>
      <c r="B6895" t="s">
        <v>11</v>
      </c>
      <c r="C6895" t="s">
        <v>140</v>
      </c>
      <c r="D6895" s="9">
        <v>40526.666203703702</v>
      </c>
      <c r="E6895" t="s">
        <v>131</v>
      </c>
      <c r="F6895">
        <f t="shared" ca="1" si="216"/>
        <v>4.125</v>
      </c>
      <c r="G6895">
        <f t="shared" ca="1" si="217"/>
        <v>0</v>
      </c>
    </row>
    <row r="6896" spans="1:7">
      <c r="A6896">
        <v>1857</v>
      </c>
      <c r="B6896" t="s">
        <v>11</v>
      </c>
      <c r="C6896" t="s">
        <v>132</v>
      </c>
      <c r="D6896" s="9">
        <v>40661.107222222221</v>
      </c>
      <c r="E6896" t="s">
        <v>38</v>
      </c>
      <c r="F6896">
        <f t="shared" ca="1" si="216"/>
        <v>3.7527777777777778</v>
      </c>
      <c r="G6896">
        <f t="shared" ca="1" si="217"/>
        <v>0</v>
      </c>
    </row>
    <row r="6897" spans="1:7">
      <c r="A6897">
        <v>1869</v>
      </c>
      <c r="B6897" t="s">
        <v>27</v>
      </c>
      <c r="C6897" t="s">
        <v>140</v>
      </c>
      <c r="D6897" s="9">
        <v>40527.638842592591</v>
      </c>
      <c r="E6897" t="s">
        <v>131</v>
      </c>
      <c r="F6897">
        <f t="shared" ca="1" si="216"/>
        <v>4.1222222222222218</v>
      </c>
      <c r="G6897">
        <f t="shared" ca="1" si="217"/>
        <v>0</v>
      </c>
    </row>
    <row r="6898" spans="1:7">
      <c r="A6898">
        <v>1870</v>
      </c>
      <c r="B6898" t="s">
        <v>111</v>
      </c>
      <c r="C6898" t="s">
        <v>140</v>
      </c>
      <c r="D6898" s="9">
        <v>40528.537268518521</v>
      </c>
      <c r="E6898" t="s">
        <v>131</v>
      </c>
      <c r="F6898">
        <f t="shared" ca="1" si="216"/>
        <v>4.1194444444444445</v>
      </c>
      <c r="G6898">
        <f t="shared" ca="1" si="217"/>
        <v>0</v>
      </c>
    </row>
    <row r="6899" spans="1:7">
      <c r="A6899">
        <v>1875</v>
      </c>
      <c r="B6899" t="s">
        <v>20</v>
      </c>
      <c r="C6899" t="s">
        <v>140</v>
      </c>
      <c r="D6899" s="9">
        <v>40527.656643518516</v>
      </c>
      <c r="E6899" t="s">
        <v>32</v>
      </c>
      <c r="F6899">
        <f t="shared" ca="1" si="216"/>
        <v>4.1222222222222218</v>
      </c>
      <c r="G6899">
        <f t="shared" ca="1" si="217"/>
        <v>0</v>
      </c>
    </row>
    <row r="6900" spans="1:7">
      <c r="A6900">
        <v>1882</v>
      </c>
      <c r="B6900" t="s">
        <v>20</v>
      </c>
      <c r="C6900" t="s">
        <v>140</v>
      </c>
      <c r="D6900" s="9">
        <v>40528.637974537036</v>
      </c>
      <c r="E6900" t="s">
        <v>131</v>
      </c>
      <c r="F6900">
        <f t="shared" ca="1" si="216"/>
        <v>4.1194444444444445</v>
      </c>
      <c r="G6900">
        <f t="shared" ca="1" si="217"/>
        <v>0</v>
      </c>
    </row>
    <row r="6901" spans="1:7">
      <c r="A6901">
        <v>1883</v>
      </c>
      <c r="B6901" t="s">
        <v>11</v>
      </c>
      <c r="C6901" t="s">
        <v>140</v>
      </c>
      <c r="D6901" s="9">
        <v>40526.690879629627</v>
      </c>
      <c r="E6901" t="s">
        <v>131</v>
      </c>
      <c r="F6901">
        <f t="shared" ca="1" si="216"/>
        <v>4.125</v>
      </c>
      <c r="G6901">
        <f t="shared" ca="1" si="217"/>
        <v>0</v>
      </c>
    </row>
    <row r="6902" spans="1:7">
      <c r="A6902">
        <v>1894</v>
      </c>
      <c r="B6902" t="s">
        <v>11</v>
      </c>
      <c r="C6902" t="s">
        <v>132</v>
      </c>
      <c r="D6902" s="9">
        <v>40665.218645833331</v>
      </c>
      <c r="E6902" t="s">
        <v>36</v>
      </c>
      <c r="F6902">
        <f t="shared" ca="1" si="216"/>
        <v>3.7416666666666667</v>
      </c>
      <c r="G6902">
        <f t="shared" ca="1" si="217"/>
        <v>0</v>
      </c>
    </row>
    <row r="6903" spans="1:7">
      <c r="A6903">
        <v>1895</v>
      </c>
      <c r="B6903" t="s">
        <v>20</v>
      </c>
      <c r="C6903" t="s">
        <v>140</v>
      </c>
      <c r="D6903" s="9">
        <v>40527.614918981482</v>
      </c>
      <c r="E6903" t="s">
        <v>112</v>
      </c>
      <c r="F6903">
        <f t="shared" ca="1" si="216"/>
        <v>4.1222222222222218</v>
      </c>
      <c r="G6903">
        <f t="shared" ca="1" si="217"/>
        <v>0</v>
      </c>
    </row>
    <row r="6904" spans="1:7">
      <c r="A6904">
        <v>1896</v>
      </c>
      <c r="B6904" t="s">
        <v>27</v>
      </c>
      <c r="C6904" t="s">
        <v>140</v>
      </c>
      <c r="D6904" s="9">
        <v>40527.908993055556</v>
      </c>
      <c r="E6904" t="s">
        <v>36</v>
      </c>
      <c r="F6904">
        <f t="shared" ca="1" si="216"/>
        <v>4.1222222222222218</v>
      </c>
      <c r="G6904">
        <f t="shared" ca="1" si="217"/>
        <v>0</v>
      </c>
    </row>
    <row r="6905" spans="1:7">
      <c r="A6905">
        <v>1931</v>
      </c>
      <c r="B6905" t="s">
        <v>44</v>
      </c>
      <c r="C6905" t="s">
        <v>133</v>
      </c>
      <c r="D6905" s="9">
        <v>40591.572812500002</v>
      </c>
      <c r="E6905" t="s">
        <v>8</v>
      </c>
      <c r="F6905">
        <f t="shared" ca="1" si="216"/>
        <v>3.95</v>
      </c>
      <c r="G6905">
        <f t="shared" ca="1" si="217"/>
        <v>0</v>
      </c>
    </row>
    <row r="6906" spans="1:7">
      <c r="A6906">
        <v>1933</v>
      </c>
      <c r="B6906" t="s">
        <v>20</v>
      </c>
      <c r="C6906" t="s">
        <v>133</v>
      </c>
      <c r="D6906" s="9">
        <v>40590.676574074074</v>
      </c>
      <c r="E6906" t="s">
        <v>36</v>
      </c>
      <c r="F6906">
        <f t="shared" ca="1" si="216"/>
        <v>3.9527777777777779</v>
      </c>
      <c r="G6906">
        <f t="shared" ca="1" si="217"/>
        <v>0</v>
      </c>
    </row>
    <row r="6907" spans="1:7">
      <c r="A6907">
        <v>1947</v>
      </c>
      <c r="B6907" t="s">
        <v>20</v>
      </c>
      <c r="C6907" t="s">
        <v>140</v>
      </c>
      <c r="D6907" s="9">
        <v>40527.452280092592</v>
      </c>
      <c r="E6907" t="s">
        <v>131</v>
      </c>
      <c r="F6907">
        <f t="shared" ca="1" si="216"/>
        <v>4.1222222222222218</v>
      </c>
      <c r="G6907">
        <f t="shared" ca="1" si="217"/>
        <v>0</v>
      </c>
    </row>
    <row r="6908" spans="1:7">
      <c r="A6908">
        <v>1949</v>
      </c>
      <c r="B6908" t="s">
        <v>20</v>
      </c>
      <c r="C6908" t="s">
        <v>140</v>
      </c>
      <c r="D6908" s="9">
        <v>40527.698981481481</v>
      </c>
      <c r="E6908" t="s">
        <v>36</v>
      </c>
      <c r="F6908">
        <f t="shared" ca="1" si="216"/>
        <v>4.1222222222222218</v>
      </c>
      <c r="G6908">
        <f t="shared" ca="1" si="217"/>
        <v>0</v>
      </c>
    </row>
    <row r="6909" spans="1:7">
      <c r="A6909">
        <v>1951</v>
      </c>
      <c r="B6909" t="s">
        <v>11</v>
      </c>
      <c r="C6909" t="s">
        <v>140</v>
      </c>
      <c r="D6909" s="9">
        <v>40528.720532407409</v>
      </c>
      <c r="E6909" t="s">
        <v>32</v>
      </c>
      <c r="F6909">
        <f t="shared" ca="1" si="216"/>
        <v>4.1194444444444445</v>
      </c>
      <c r="G6909">
        <f t="shared" ca="1" si="217"/>
        <v>0</v>
      </c>
    </row>
    <row r="6910" spans="1:7">
      <c r="A6910">
        <v>1981</v>
      </c>
      <c r="B6910" t="s">
        <v>99</v>
      </c>
      <c r="C6910" t="s">
        <v>140</v>
      </c>
      <c r="D6910" s="9">
        <v>40528.682870370372</v>
      </c>
      <c r="E6910" t="s">
        <v>32</v>
      </c>
      <c r="F6910">
        <f t="shared" ca="1" si="216"/>
        <v>4.1194444444444445</v>
      </c>
      <c r="G6910">
        <f t="shared" ca="1" si="217"/>
        <v>0</v>
      </c>
    </row>
    <row r="6911" spans="1:7">
      <c r="A6911">
        <v>1985</v>
      </c>
      <c r="B6911" t="s">
        <v>99</v>
      </c>
      <c r="C6911" t="s">
        <v>140</v>
      </c>
      <c r="D6911" s="9">
        <v>40527.818229166667</v>
      </c>
      <c r="E6911" t="s">
        <v>32</v>
      </c>
      <c r="F6911">
        <f t="shared" ca="1" si="216"/>
        <v>4.1222222222222218</v>
      </c>
      <c r="G6911">
        <f t="shared" ca="1" si="217"/>
        <v>0</v>
      </c>
    </row>
    <row r="6912" spans="1:7">
      <c r="A6912">
        <v>1996</v>
      </c>
      <c r="B6912" t="s">
        <v>44</v>
      </c>
      <c r="C6912" t="s">
        <v>133</v>
      </c>
      <c r="D6912" s="9">
        <v>40590.595555555556</v>
      </c>
      <c r="E6912" t="s">
        <v>112</v>
      </c>
      <c r="F6912">
        <f t="shared" ca="1" si="216"/>
        <v>3.9527777777777779</v>
      </c>
      <c r="G6912">
        <f t="shared" ca="1" si="217"/>
        <v>0</v>
      </c>
    </row>
    <row r="6913" spans="1:7">
      <c r="A6913">
        <v>2000</v>
      </c>
      <c r="B6913" t="s">
        <v>101</v>
      </c>
      <c r="C6913" t="s">
        <v>140</v>
      </c>
      <c r="D6913" s="9">
        <v>40527.642951388887</v>
      </c>
      <c r="E6913" t="s">
        <v>131</v>
      </c>
      <c r="F6913">
        <f t="shared" ca="1" si="216"/>
        <v>4.1222222222222218</v>
      </c>
      <c r="G6913">
        <f t="shared" ca="1" si="217"/>
        <v>0</v>
      </c>
    </row>
    <row r="6914" spans="1:7">
      <c r="A6914">
        <v>2020</v>
      </c>
      <c r="B6914" t="s">
        <v>99</v>
      </c>
      <c r="C6914" t="s">
        <v>140</v>
      </c>
      <c r="D6914" s="9">
        <v>40527.596736111111</v>
      </c>
      <c r="E6914" t="s">
        <v>20</v>
      </c>
      <c r="F6914">
        <f t="shared" ca="1" si="216"/>
        <v>4.1222222222222218</v>
      </c>
      <c r="G6914">
        <f t="shared" ca="1" si="217"/>
        <v>0</v>
      </c>
    </row>
    <row r="6915" spans="1:7">
      <c r="A6915">
        <v>2021</v>
      </c>
      <c r="B6915" t="s">
        <v>38</v>
      </c>
      <c r="C6915" t="s">
        <v>140</v>
      </c>
      <c r="D6915" s="9">
        <v>40525.699513888889</v>
      </c>
      <c r="E6915" t="s">
        <v>20</v>
      </c>
      <c r="F6915">
        <f t="shared" ca="1" si="216"/>
        <v>4.1277777777777782</v>
      </c>
      <c r="G6915">
        <f t="shared" ca="1" si="217"/>
        <v>0</v>
      </c>
    </row>
    <row r="6916" spans="1:7">
      <c r="A6916">
        <v>2036</v>
      </c>
      <c r="B6916" t="s">
        <v>20</v>
      </c>
      <c r="C6916" t="s">
        <v>140</v>
      </c>
      <c r="D6916" s="9">
        <v>40527.908055555556</v>
      </c>
      <c r="E6916" t="s">
        <v>99</v>
      </c>
      <c r="F6916">
        <f t="shared" ca="1" si="216"/>
        <v>4.1222222222222218</v>
      </c>
      <c r="G6916">
        <f t="shared" ca="1" si="217"/>
        <v>0</v>
      </c>
    </row>
    <row r="6917" spans="1:7">
      <c r="A6917">
        <v>2041</v>
      </c>
      <c r="B6917" t="s">
        <v>11</v>
      </c>
      <c r="C6917" t="s">
        <v>129</v>
      </c>
      <c r="D6917" s="9">
        <v>40805.676805555559</v>
      </c>
      <c r="E6917" t="s">
        <v>99</v>
      </c>
      <c r="F6917">
        <f t="shared" ca="1" si="216"/>
        <v>3.3611111111111112</v>
      </c>
      <c r="G6917">
        <f t="shared" ca="1" si="217"/>
        <v>0</v>
      </c>
    </row>
    <row r="6918" spans="1:7">
      <c r="A6918">
        <v>2050</v>
      </c>
      <c r="B6918" t="s">
        <v>38</v>
      </c>
      <c r="C6918" t="s">
        <v>133</v>
      </c>
      <c r="D6918" s="9">
        <v>40589.434814814813</v>
      </c>
      <c r="E6918" t="s">
        <v>131</v>
      </c>
      <c r="F6918">
        <f t="shared" ca="1" si="216"/>
        <v>3.9555555555555557</v>
      </c>
      <c r="G6918">
        <f t="shared" ca="1" si="217"/>
        <v>0</v>
      </c>
    </row>
    <row r="6919" spans="1:7">
      <c r="A6919">
        <v>2051</v>
      </c>
      <c r="B6919" t="s">
        <v>38</v>
      </c>
      <c r="C6919" t="s">
        <v>132</v>
      </c>
      <c r="D6919" s="9">
        <v>40659.595497685186</v>
      </c>
      <c r="E6919" t="s">
        <v>131</v>
      </c>
      <c r="F6919">
        <f t="shared" ref="F6919:F6982" ca="1" si="218">YEARFRAC(TODAY(),$D6919)</f>
        <v>3.7583333333333333</v>
      </c>
      <c r="G6919">
        <f t="shared" ref="G6919:G6982" ca="1" si="219">IF($F6919&lt;1,1,0)</f>
        <v>0</v>
      </c>
    </row>
    <row r="6920" spans="1:7">
      <c r="A6920">
        <v>2053</v>
      </c>
      <c r="B6920" t="s">
        <v>8</v>
      </c>
      <c r="C6920" t="s">
        <v>127</v>
      </c>
      <c r="D6920" s="9">
        <v>41031.804513888892</v>
      </c>
      <c r="E6920" t="s">
        <v>11</v>
      </c>
      <c r="F6920">
        <f t="shared" ca="1" si="218"/>
        <v>2.7416666666666667</v>
      </c>
      <c r="G6920">
        <f t="shared" ca="1" si="219"/>
        <v>0</v>
      </c>
    </row>
    <row r="6921" spans="1:7">
      <c r="A6921">
        <v>2076</v>
      </c>
      <c r="B6921" t="s">
        <v>21</v>
      </c>
      <c r="C6921" t="s">
        <v>130</v>
      </c>
      <c r="D6921" s="9">
        <v>40723.811076388891</v>
      </c>
      <c r="E6921" t="s">
        <v>20</v>
      </c>
      <c r="F6921">
        <f t="shared" ca="1" si="218"/>
        <v>3.5833333333333335</v>
      </c>
      <c r="G6921">
        <f t="shared" ca="1" si="219"/>
        <v>0</v>
      </c>
    </row>
    <row r="6922" spans="1:7">
      <c r="A6922">
        <v>2080</v>
      </c>
      <c r="B6922" t="s">
        <v>20</v>
      </c>
      <c r="C6922" t="s">
        <v>133</v>
      </c>
      <c r="D6922" s="9">
        <v>40589.656423611108</v>
      </c>
      <c r="E6922" t="s">
        <v>8</v>
      </c>
      <c r="F6922">
        <f t="shared" ca="1" si="218"/>
        <v>3.9555555555555557</v>
      </c>
      <c r="G6922">
        <f t="shared" ca="1" si="219"/>
        <v>0</v>
      </c>
    </row>
    <row r="6923" spans="1:7">
      <c r="A6923">
        <v>2091</v>
      </c>
      <c r="B6923" t="s">
        <v>99</v>
      </c>
      <c r="C6923" t="s">
        <v>133</v>
      </c>
      <c r="D6923" s="9">
        <v>40590.717187499999</v>
      </c>
      <c r="E6923" t="s">
        <v>19</v>
      </c>
      <c r="F6923">
        <f t="shared" ca="1" si="218"/>
        <v>3.9527777777777779</v>
      </c>
      <c r="G6923">
        <f t="shared" ca="1" si="219"/>
        <v>0</v>
      </c>
    </row>
    <row r="6924" spans="1:7">
      <c r="A6924">
        <v>2092</v>
      </c>
      <c r="B6924" t="s">
        <v>99</v>
      </c>
      <c r="C6924" t="s">
        <v>133</v>
      </c>
      <c r="D6924" s="9">
        <v>40590.430763888886</v>
      </c>
      <c r="E6924" t="s">
        <v>131</v>
      </c>
      <c r="F6924">
        <f t="shared" ca="1" si="218"/>
        <v>3.9527777777777779</v>
      </c>
      <c r="G6924">
        <f t="shared" ca="1" si="219"/>
        <v>0</v>
      </c>
    </row>
    <row r="6925" spans="1:7">
      <c r="A6925">
        <v>2103</v>
      </c>
      <c r="B6925" t="s">
        <v>30</v>
      </c>
      <c r="C6925" t="s">
        <v>128</v>
      </c>
      <c r="D6925" s="9">
        <v>40917.563587962963</v>
      </c>
      <c r="E6925" t="s">
        <v>32</v>
      </c>
      <c r="F6925">
        <f t="shared" ca="1" si="218"/>
        <v>3.0555555555555554</v>
      </c>
      <c r="G6925">
        <f t="shared" ca="1" si="219"/>
        <v>0</v>
      </c>
    </row>
    <row r="6926" spans="1:7">
      <c r="A6926">
        <v>2107</v>
      </c>
      <c r="B6926" t="s">
        <v>8</v>
      </c>
      <c r="C6926" t="s">
        <v>122</v>
      </c>
      <c r="D6926" s="9">
        <v>41327.760520833333</v>
      </c>
      <c r="E6926" t="s">
        <v>38</v>
      </c>
      <c r="F6926">
        <f t="shared" ca="1" si="218"/>
        <v>1.9361111111111111</v>
      </c>
      <c r="G6926">
        <f t="shared" ca="1" si="219"/>
        <v>0</v>
      </c>
    </row>
    <row r="6927" spans="1:7">
      <c r="A6927">
        <v>2110</v>
      </c>
      <c r="B6927" t="s">
        <v>11</v>
      </c>
      <c r="C6927" t="s">
        <v>133</v>
      </c>
      <c r="D6927" s="9">
        <v>40590.712685185186</v>
      </c>
      <c r="E6927" t="s">
        <v>131</v>
      </c>
      <c r="F6927">
        <f t="shared" ca="1" si="218"/>
        <v>3.9527777777777779</v>
      </c>
      <c r="G6927">
        <f t="shared" ca="1" si="219"/>
        <v>0</v>
      </c>
    </row>
    <row r="6928" spans="1:7">
      <c r="A6928">
        <v>2115</v>
      </c>
      <c r="B6928" t="s">
        <v>11</v>
      </c>
      <c r="C6928" t="s">
        <v>133</v>
      </c>
      <c r="D6928" s="9">
        <v>40591.480729166666</v>
      </c>
      <c r="E6928" t="s">
        <v>131</v>
      </c>
      <c r="F6928">
        <f t="shared" ca="1" si="218"/>
        <v>3.95</v>
      </c>
      <c r="G6928">
        <f t="shared" ca="1" si="219"/>
        <v>0</v>
      </c>
    </row>
    <row r="6929" spans="1:7">
      <c r="A6929">
        <v>2147</v>
      </c>
      <c r="B6929" t="s">
        <v>101</v>
      </c>
      <c r="C6929" t="s">
        <v>132</v>
      </c>
      <c r="D6929" s="9">
        <v>40661.654479166667</v>
      </c>
      <c r="E6929" t="s">
        <v>131</v>
      </c>
      <c r="F6929">
        <f t="shared" ca="1" si="218"/>
        <v>3.7527777777777778</v>
      </c>
      <c r="G6929">
        <f t="shared" ca="1" si="219"/>
        <v>0</v>
      </c>
    </row>
    <row r="6930" spans="1:7">
      <c r="A6930">
        <v>2151</v>
      </c>
      <c r="B6930" t="s">
        <v>131</v>
      </c>
      <c r="C6930" t="s">
        <v>133</v>
      </c>
      <c r="D6930" s="9">
        <v>40590.8984837963</v>
      </c>
      <c r="E6930" t="s">
        <v>11</v>
      </c>
      <c r="F6930">
        <f t="shared" ca="1" si="218"/>
        <v>3.9527777777777779</v>
      </c>
      <c r="G6930">
        <f t="shared" ca="1" si="219"/>
        <v>0</v>
      </c>
    </row>
    <row r="6931" spans="1:7">
      <c r="A6931">
        <v>2152</v>
      </c>
      <c r="B6931" t="s">
        <v>101</v>
      </c>
      <c r="C6931" t="s">
        <v>133</v>
      </c>
      <c r="D6931" s="9">
        <v>40590.665011574078</v>
      </c>
      <c r="E6931" t="s">
        <v>144</v>
      </c>
      <c r="F6931">
        <f t="shared" ca="1" si="218"/>
        <v>3.9527777777777779</v>
      </c>
      <c r="G6931">
        <f t="shared" ca="1" si="219"/>
        <v>0</v>
      </c>
    </row>
    <row r="6932" spans="1:7">
      <c r="A6932">
        <v>2171</v>
      </c>
      <c r="B6932" t="s">
        <v>11</v>
      </c>
      <c r="C6932" t="s">
        <v>133</v>
      </c>
      <c r="D6932" s="9">
        <v>40590.565115740741</v>
      </c>
      <c r="E6932" t="s">
        <v>19</v>
      </c>
      <c r="F6932">
        <f t="shared" ca="1" si="218"/>
        <v>3.9527777777777779</v>
      </c>
      <c r="G6932">
        <f t="shared" ca="1" si="219"/>
        <v>0</v>
      </c>
    </row>
    <row r="6933" spans="1:7">
      <c r="A6933">
        <v>2173</v>
      </c>
      <c r="B6933" t="s">
        <v>111</v>
      </c>
      <c r="C6933" t="s">
        <v>133</v>
      </c>
      <c r="D6933" s="9">
        <v>40591.621539351851</v>
      </c>
      <c r="E6933" t="s">
        <v>99</v>
      </c>
      <c r="F6933">
        <f t="shared" ca="1" si="218"/>
        <v>3.95</v>
      </c>
      <c r="G6933">
        <f t="shared" ca="1" si="219"/>
        <v>0</v>
      </c>
    </row>
    <row r="6934" spans="1:7">
      <c r="A6934">
        <v>2181</v>
      </c>
      <c r="B6934" t="s">
        <v>20</v>
      </c>
      <c r="C6934" t="s">
        <v>133</v>
      </c>
      <c r="D6934" s="9">
        <v>40589.454756944448</v>
      </c>
      <c r="E6934" t="s">
        <v>131</v>
      </c>
      <c r="F6934">
        <f t="shared" ca="1" si="218"/>
        <v>3.9555555555555557</v>
      </c>
      <c r="G6934">
        <f t="shared" ca="1" si="219"/>
        <v>0</v>
      </c>
    </row>
    <row r="6935" spans="1:7">
      <c r="A6935">
        <v>2182</v>
      </c>
      <c r="B6935" t="s">
        <v>36</v>
      </c>
      <c r="C6935" t="s">
        <v>133</v>
      </c>
      <c r="D6935" s="9">
        <v>40590.51017361111</v>
      </c>
      <c r="E6935" t="s">
        <v>131</v>
      </c>
      <c r="F6935">
        <f t="shared" ca="1" si="218"/>
        <v>3.9527777777777779</v>
      </c>
      <c r="G6935">
        <f t="shared" ca="1" si="219"/>
        <v>0</v>
      </c>
    </row>
    <row r="6936" spans="1:7">
      <c r="A6936">
        <v>2188</v>
      </c>
      <c r="B6936" t="s">
        <v>111</v>
      </c>
      <c r="C6936" t="s">
        <v>133</v>
      </c>
      <c r="D6936" s="9">
        <v>40590.698553240742</v>
      </c>
      <c r="E6936" t="s">
        <v>131</v>
      </c>
      <c r="F6936">
        <f t="shared" ca="1" si="218"/>
        <v>3.9527777777777779</v>
      </c>
      <c r="G6936">
        <f t="shared" ca="1" si="219"/>
        <v>0</v>
      </c>
    </row>
    <row r="6937" spans="1:7">
      <c r="A6937">
        <v>2190</v>
      </c>
      <c r="B6937" t="s">
        <v>99</v>
      </c>
      <c r="C6937" t="s">
        <v>133</v>
      </c>
      <c r="D6937" s="9">
        <v>40591.554224537038</v>
      </c>
      <c r="E6937" t="s">
        <v>32</v>
      </c>
      <c r="F6937">
        <f t="shared" ca="1" si="218"/>
        <v>3.95</v>
      </c>
      <c r="G6937">
        <f t="shared" ca="1" si="219"/>
        <v>0</v>
      </c>
    </row>
    <row r="6938" spans="1:7">
      <c r="A6938">
        <v>2203</v>
      </c>
      <c r="B6938" t="s">
        <v>111</v>
      </c>
      <c r="C6938" t="s">
        <v>133</v>
      </c>
      <c r="D6938" s="9">
        <v>40589.476261574076</v>
      </c>
      <c r="E6938" t="s">
        <v>131</v>
      </c>
      <c r="F6938">
        <f t="shared" ca="1" si="218"/>
        <v>3.9555555555555557</v>
      </c>
      <c r="G6938">
        <f t="shared" ca="1" si="219"/>
        <v>0</v>
      </c>
    </row>
    <row r="6939" spans="1:7">
      <c r="A6939">
        <v>2204</v>
      </c>
      <c r="B6939" t="s">
        <v>99</v>
      </c>
      <c r="C6939" t="s">
        <v>133</v>
      </c>
      <c r="D6939" s="9">
        <v>40590.489328703705</v>
      </c>
      <c r="E6939" t="s">
        <v>131</v>
      </c>
      <c r="F6939">
        <f t="shared" ca="1" si="218"/>
        <v>3.9527777777777779</v>
      </c>
      <c r="G6939">
        <f t="shared" ca="1" si="219"/>
        <v>0</v>
      </c>
    </row>
    <row r="6940" spans="1:7">
      <c r="A6940">
        <v>2228</v>
      </c>
      <c r="B6940" t="s">
        <v>99</v>
      </c>
      <c r="C6940" t="s">
        <v>133</v>
      </c>
      <c r="D6940" s="9">
        <v>40590.541030092594</v>
      </c>
      <c r="E6940" t="s">
        <v>131</v>
      </c>
      <c r="F6940">
        <f t="shared" ca="1" si="218"/>
        <v>3.9527777777777779</v>
      </c>
      <c r="G6940">
        <f t="shared" ca="1" si="219"/>
        <v>0</v>
      </c>
    </row>
    <row r="6941" spans="1:7">
      <c r="A6941">
        <v>2236</v>
      </c>
      <c r="B6941" t="s">
        <v>99</v>
      </c>
      <c r="C6941" t="s">
        <v>133</v>
      </c>
      <c r="D6941" s="9">
        <v>40591.554965277777</v>
      </c>
      <c r="E6941" t="s">
        <v>32</v>
      </c>
      <c r="F6941">
        <f t="shared" ca="1" si="218"/>
        <v>3.95</v>
      </c>
      <c r="G6941">
        <f t="shared" ca="1" si="219"/>
        <v>0</v>
      </c>
    </row>
    <row r="6942" spans="1:7">
      <c r="A6942">
        <v>2241</v>
      </c>
      <c r="B6942" t="s">
        <v>131</v>
      </c>
      <c r="C6942" t="s">
        <v>133</v>
      </c>
      <c r="D6942" s="9">
        <v>40590.770335648151</v>
      </c>
      <c r="E6942" t="s">
        <v>36</v>
      </c>
      <c r="F6942">
        <f t="shared" ca="1" si="218"/>
        <v>3.9527777777777779</v>
      </c>
      <c r="G6942">
        <f t="shared" ca="1" si="219"/>
        <v>0</v>
      </c>
    </row>
    <row r="6943" spans="1:7">
      <c r="A6943">
        <v>2246</v>
      </c>
      <c r="B6943" t="s">
        <v>11</v>
      </c>
      <c r="C6943" t="s">
        <v>132</v>
      </c>
      <c r="D6943" s="9">
        <v>40665.813240740739</v>
      </c>
      <c r="E6943" t="s">
        <v>27</v>
      </c>
      <c r="F6943">
        <f t="shared" ca="1" si="218"/>
        <v>3.7416666666666667</v>
      </c>
      <c r="G6943">
        <f t="shared" ca="1" si="219"/>
        <v>0</v>
      </c>
    </row>
    <row r="6944" spans="1:7">
      <c r="A6944">
        <v>2253</v>
      </c>
      <c r="B6944" t="s">
        <v>32</v>
      </c>
      <c r="C6944" t="s">
        <v>133</v>
      </c>
      <c r="D6944" s="9">
        <v>40590.893842592595</v>
      </c>
      <c r="E6944" t="s">
        <v>11</v>
      </c>
      <c r="F6944">
        <f t="shared" ca="1" si="218"/>
        <v>3.9527777777777779</v>
      </c>
      <c r="G6944">
        <f t="shared" ca="1" si="219"/>
        <v>0</v>
      </c>
    </row>
    <row r="6945" spans="1:7">
      <c r="A6945">
        <v>2273</v>
      </c>
      <c r="B6945" t="s">
        <v>131</v>
      </c>
      <c r="C6945" t="s">
        <v>133</v>
      </c>
      <c r="D6945" s="9">
        <v>40591.665752314817</v>
      </c>
      <c r="E6945" t="s">
        <v>36</v>
      </c>
      <c r="F6945">
        <f t="shared" ca="1" si="218"/>
        <v>3.95</v>
      </c>
      <c r="G6945">
        <f t="shared" ca="1" si="219"/>
        <v>0</v>
      </c>
    </row>
    <row r="6946" spans="1:7">
      <c r="A6946">
        <v>2281</v>
      </c>
      <c r="B6946" t="s">
        <v>20</v>
      </c>
      <c r="C6946" t="s">
        <v>133</v>
      </c>
      <c r="D6946" s="9">
        <v>40590.453553240739</v>
      </c>
      <c r="E6946" t="s">
        <v>8</v>
      </c>
      <c r="F6946">
        <f t="shared" ca="1" si="218"/>
        <v>3.9527777777777779</v>
      </c>
      <c r="G6946">
        <f t="shared" ca="1" si="219"/>
        <v>0</v>
      </c>
    </row>
    <row r="6947" spans="1:7">
      <c r="A6947">
        <v>2282</v>
      </c>
      <c r="B6947" t="s">
        <v>20</v>
      </c>
      <c r="C6947" t="s">
        <v>133</v>
      </c>
      <c r="D6947" s="9">
        <v>40590.837870370371</v>
      </c>
      <c r="E6947" t="s">
        <v>32</v>
      </c>
      <c r="F6947">
        <f t="shared" ca="1" si="218"/>
        <v>3.9527777777777779</v>
      </c>
      <c r="G6947">
        <f t="shared" ca="1" si="219"/>
        <v>0</v>
      </c>
    </row>
    <row r="6948" spans="1:7">
      <c r="A6948">
        <v>2296</v>
      </c>
      <c r="B6948" t="s">
        <v>20</v>
      </c>
      <c r="C6948" t="s">
        <v>133</v>
      </c>
      <c r="D6948" s="9">
        <v>40589.645173611112</v>
      </c>
      <c r="E6948" t="s">
        <v>99</v>
      </c>
      <c r="F6948">
        <f t="shared" ca="1" si="218"/>
        <v>3.9555555555555557</v>
      </c>
      <c r="G6948">
        <f t="shared" ca="1" si="219"/>
        <v>0</v>
      </c>
    </row>
    <row r="6949" spans="1:7">
      <c r="A6949">
        <v>2297</v>
      </c>
      <c r="B6949" t="s">
        <v>20</v>
      </c>
      <c r="C6949" t="s">
        <v>132</v>
      </c>
      <c r="D6949" s="9">
        <v>40660.834490740737</v>
      </c>
      <c r="E6949" t="s">
        <v>99</v>
      </c>
      <c r="F6949">
        <f t="shared" ca="1" si="218"/>
        <v>3.7555555555555555</v>
      </c>
      <c r="G6949">
        <f t="shared" ca="1" si="219"/>
        <v>0</v>
      </c>
    </row>
    <row r="6950" spans="1:7">
      <c r="A6950">
        <v>2324</v>
      </c>
      <c r="B6950" t="s">
        <v>99</v>
      </c>
      <c r="C6950" t="s">
        <v>133</v>
      </c>
      <c r="D6950" s="9">
        <v>40590.514270833337</v>
      </c>
      <c r="E6950" t="s">
        <v>131</v>
      </c>
      <c r="F6950">
        <f t="shared" ca="1" si="218"/>
        <v>3.9527777777777779</v>
      </c>
      <c r="G6950">
        <f t="shared" ca="1" si="219"/>
        <v>0</v>
      </c>
    </row>
    <row r="6951" spans="1:7">
      <c r="A6951">
        <v>2335</v>
      </c>
      <c r="B6951" t="s">
        <v>99</v>
      </c>
      <c r="C6951" t="s">
        <v>133</v>
      </c>
      <c r="D6951" s="9">
        <v>40590.527025462965</v>
      </c>
      <c r="E6951" t="s">
        <v>131</v>
      </c>
      <c r="F6951">
        <f t="shared" ca="1" si="218"/>
        <v>3.9527777777777779</v>
      </c>
      <c r="G6951">
        <f t="shared" ca="1" si="219"/>
        <v>0</v>
      </c>
    </row>
    <row r="6952" spans="1:7">
      <c r="A6952">
        <v>2345</v>
      </c>
      <c r="B6952" t="s">
        <v>8</v>
      </c>
      <c r="C6952" t="s">
        <v>130</v>
      </c>
      <c r="D6952" s="9">
        <v>40721.848900462966</v>
      </c>
      <c r="E6952" t="s">
        <v>20</v>
      </c>
      <c r="F6952">
        <f t="shared" ca="1" si="218"/>
        <v>3.588888888888889</v>
      </c>
      <c r="G6952">
        <f t="shared" ca="1" si="219"/>
        <v>0</v>
      </c>
    </row>
    <row r="6953" spans="1:7">
      <c r="A6953">
        <v>2377</v>
      </c>
      <c r="B6953" t="s">
        <v>99</v>
      </c>
      <c r="C6953" t="s">
        <v>133</v>
      </c>
      <c r="D6953" s="9">
        <v>40590.539386574077</v>
      </c>
      <c r="E6953" t="s">
        <v>131</v>
      </c>
      <c r="F6953">
        <f t="shared" ca="1" si="218"/>
        <v>3.9527777777777779</v>
      </c>
      <c r="G6953">
        <f t="shared" ca="1" si="219"/>
        <v>0</v>
      </c>
    </row>
    <row r="6954" spans="1:7">
      <c r="A6954">
        <v>2388</v>
      </c>
      <c r="B6954" t="s">
        <v>20</v>
      </c>
      <c r="C6954" t="s">
        <v>133</v>
      </c>
      <c r="D6954" s="9">
        <v>40590.778645833336</v>
      </c>
      <c r="E6954" t="s">
        <v>36</v>
      </c>
      <c r="F6954">
        <f t="shared" ca="1" si="218"/>
        <v>3.9527777777777779</v>
      </c>
      <c r="G6954">
        <f t="shared" ca="1" si="219"/>
        <v>0</v>
      </c>
    </row>
    <row r="6955" spans="1:7">
      <c r="A6955">
        <v>2393</v>
      </c>
      <c r="B6955" t="s">
        <v>99</v>
      </c>
      <c r="C6955" t="s">
        <v>133</v>
      </c>
      <c r="D6955" s="9">
        <v>40589.883333333331</v>
      </c>
      <c r="E6955" t="s">
        <v>32</v>
      </c>
      <c r="F6955">
        <f t="shared" ca="1" si="218"/>
        <v>3.9555555555555557</v>
      </c>
      <c r="G6955">
        <f t="shared" ca="1" si="219"/>
        <v>0</v>
      </c>
    </row>
    <row r="6956" spans="1:7">
      <c r="A6956">
        <v>2402</v>
      </c>
      <c r="B6956" t="s">
        <v>131</v>
      </c>
      <c r="C6956" t="s">
        <v>133</v>
      </c>
      <c r="D6956" s="9">
        <v>40591.519629629627</v>
      </c>
      <c r="E6956" t="s">
        <v>19</v>
      </c>
      <c r="F6956">
        <f t="shared" ca="1" si="218"/>
        <v>3.95</v>
      </c>
      <c r="G6956">
        <f t="shared" ca="1" si="219"/>
        <v>0</v>
      </c>
    </row>
    <row r="6957" spans="1:7">
      <c r="A6957">
        <v>2414</v>
      </c>
      <c r="B6957" t="s">
        <v>131</v>
      </c>
      <c r="C6957" t="s">
        <v>132</v>
      </c>
      <c r="D6957" s="9">
        <v>40661.848194444443</v>
      </c>
      <c r="E6957" t="s">
        <v>99</v>
      </c>
      <c r="F6957">
        <f t="shared" ca="1" si="218"/>
        <v>3.7527777777777778</v>
      </c>
      <c r="G6957">
        <f t="shared" ca="1" si="219"/>
        <v>0</v>
      </c>
    </row>
    <row r="6958" spans="1:7">
      <c r="A6958">
        <v>2423</v>
      </c>
      <c r="B6958" t="s">
        <v>99</v>
      </c>
      <c r="C6958" t="s">
        <v>132</v>
      </c>
      <c r="D6958" s="9">
        <v>40665.590243055558</v>
      </c>
      <c r="E6958" t="s">
        <v>32</v>
      </c>
      <c r="F6958">
        <f t="shared" ca="1" si="218"/>
        <v>3.7416666666666667</v>
      </c>
      <c r="G6958">
        <f t="shared" ca="1" si="219"/>
        <v>0</v>
      </c>
    </row>
    <row r="6959" spans="1:7">
      <c r="A6959">
        <v>2427</v>
      </c>
      <c r="B6959" t="s">
        <v>111</v>
      </c>
      <c r="C6959" t="s">
        <v>133</v>
      </c>
      <c r="D6959" s="9">
        <v>40591.597280092596</v>
      </c>
      <c r="E6959" t="s">
        <v>34</v>
      </c>
      <c r="F6959">
        <f t="shared" ca="1" si="218"/>
        <v>3.95</v>
      </c>
      <c r="G6959">
        <f t="shared" ca="1" si="219"/>
        <v>0</v>
      </c>
    </row>
    <row r="6960" spans="1:7">
      <c r="A6960">
        <v>2428</v>
      </c>
      <c r="B6960" t="s">
        <v>99</v>
      </c>
      <c r="C6960" t="s">
        <v>132</v>
      </c>
      <c r="D6960" s="9">
        <v>40660.682962962965</v>
      </c>
      <c r="E6960" t="s">
        <v>131</v>
      </c>
      <c r="F6960">
        <f t="shared" ca="1" si="218"/>
        <v>3.7555555555555555</v>
      </c>
      <c r="G6960">
        <f t="shared" ca="1" si="219"/>
        <v>0</v>
      </c>
    </row>
    <row r="6961" spans="1:7">
      <c r="A6961">
        <v>2431</v>
      </c>
      <c r="B6961" t="s">
        <v>131</v>
      </c>
      <c r="C6961" t="s">
        <v>132</v>
      </c>
      <c r="D6961" s="9">
        <v>40661.850868055553</v>
      </c>
      <c r="E6961" t="s">
        <v>99</v>
      </c>
      <c r="F6961">
        <f t="shared" ca="1" si="218"/>
        <v>3.7527777777777778</v>
      </c>
      <c r="G6961">
        <f t="shared" ca="1" si="219"/>
        <v>0</v>
      </c>
    </row>
    <row r="6962" spans="1:7">
      <c r="A6962">
        <v>2437</v>
      </c>
      <c r="B6962" t="s">
        <v>111</v>
      </c>
      <c r="C6962" t="s">
        <v>133</v>
      </c>
      <c r="D6962" s="9">
        <v>40590.686400462961</v>
      </c>
      <c r="E6962" t="s">
        <v>131</v>
      </c>
      <c r="F6962">
        <f t="shared" ca="1" si="218"/>
        <v>3.9527777777777779</v>
      </c>
      <c r="G6962">
        <f t="shared" ca="1" si="219"/>
        <v>0</v>
      </c>
    </row>
    <row r="6963" spans="1:7">
      <c r="A6963">
        <v>2441</v>
      </c>
      <c r="B6963" t="s">
        <v>20</v>
      </c>
      <c r="C6963" t="s">
        <v>123</v>
      </c>
      <c r="D6963" s="9">
        <v>41302.652418981481</v>
      </c>
      <c r="E6963" t="s">
        <v>21</v>
      </c>
      <c r="F6963">
        <f t="shared" ca="1" si="218"/>
        <v>2.0027777777777778</v>
      </c>
      <c r="G6963">
        <f t="shared" ca="1" si="219"/>
        <v>0</v>
      </c>
    </row>
    <row r="6964" spans="1:7">
      <c r="A6964">
        <v>2442</v>
      </c>
      <c r="B6964" t="s">
        <v>131</v>
      </c>
      <c r="C6964" t="s">
        <v>133</v>
      </c>
      <c r="D6964" s="9">
        <v>40591.717199074075</v>
      </c>
      <c r="E6964" t="s">
        <v>101</v>
      </c>
      <c r="F6964">
        <f t="shared" ca="1" si="218"/>
        <v>3.95</v>
      </c>
      <c r="G6964">
        <f t="shared" ca="1" si="219"/>
        <v>0</v>
      </c>
    </row>
    <row r="6965" spans="1:7">
      <c r="A6965">
        <v>2444</v>
      </c>
      <c r="B6965" t="s">
        <v>99</v>
      </c>
      <c r="C6965" t="s">
        <v>132</v>
      </c>
      <c r="D6965" s="9">
        <v>40665.824374999997</v>
      </c>
      <c r="E6965" t="s">
        <v>32</v>
      </c>
      <c r="F6965">
        <f t="shared" ca="1" si="218"/>
        <v>3.7416666666666667</v>
      </c>
      <c r="G6965">
        <f t="shared" ca="1" si="219"/>
        <v>0</v>
      </c>
    </row>
    <row r="6966" spans="1:7">
      <c r="A6966">
        <v>2455</v>
      </c>
      <c r="B6966" t="s">
        <v>99</v>
      </c>
      <c r="C6966" t="s">
        <v>133</v>
      </c>
      <c r="D6966" s="9">
        <v>40591.789814814816</v>
      </c>
      <c r="E6966" t="s">
        <v>36</v>
      </c>
      <c r="F6966">
        <f t="shared" ca="1" si="218"/>
        <v>3.95</v>
      </c>
      <c r="G6966">
        <f t="shared" ca="1" si="219"/>
        <v>0</v>
      </c>
    </row>
    <row r="6967" spans="1:7">
      <c r="A6967">
        <v>2456</v>
      </c>
      <c r="B6967" t="s">
        <v>99</v>
      </c>
      <c r="C6967" t="s">
        <v>132</v>
      </c>
      <c r="D6967" s="9">
        <v>40665.801759259259</v>
      </c>
      <c r="E6967" t="s">
        <v>11</v>
      </c>
      <c r="F6967">
        <f t="shared" ca="1" si="218"/>
        <v>3.7416666666666667</v>
      </c>
      <c r="G6967">
        <f t="shared" ca="1" si="219"/>
        <v>0</v>
      </c>
    </row>
    <row r="6968" spans="1:7">
      <c r="A6968">
        <v>2457</v>
      </c>
      <c r="B6968" t="s">
        <v>44</v>
      </c>
      <c r="C6968" t="s">
        <v>132</v>
      </c>
      <c r="D6968" s="9">
        <v>40660.842870370368</v>
      </c>
      <c r="E6968" t="s">
        <v>99</v>
      </c>
      <c r="F6968">
        <f t="shared" ca="1" si="218"/>
        <v>3.7555555555555555</v>
      </c>
      <c r="G6968">
        <f t="shared" ca="1" si="219"/>
        <v>0</v>
      </c>
    </row>
    <row r="6969" spans="1:7">
      <c r="A6969">
        <v>2473</v>
      </c>
      <c r="B6969" t="s">
        <v>20</v>
      </c>
      <c r="C6969" t="s">
        <v>130</v>
      </c>
      <c r="D6969" s="9">
        <v>40720.873217592591</v>
      </c>
      <c r="E6969" t="s">
        <v>36</v>
      </c>
      <c r="F6969">
        <f t="shared" ca="1" si="218"/>
        <v>3.5916666666666668</v>
      </c>
      <c r="G6969">
        <f t="shared" ca="1" si="219"/>
        <v>0</v>
      </c>
    </row>
    <row r="6970" spans="1:7">
      <c r="A6970">
        <v>2489</v>
      </c>
      <c r="B6970" t="s">
        <v>34</v>
      </c>
      <c r="C6970" t="s">
        <v>132</v>
      </c>
      <c r="D6970" s="9">
        <v>40666.443576388891</v>
      </c>
      <c r="E6970" t="s">
        <v>131</v>
      </c>
      <c r="F6970">
        <f t="shared" ca="1" si="218"/>
        <v>3.7388888888888889</v>
      </c>
      <c r="G6970">
        <f t="shared" ca="1" si="219"/>
        <v>0</v>
      </c>
    </row>
    <row r="6971" spans="1:7">
      <c r="A6971">
        <v>2499</v>
      </c>
      <c r="B6971" t="s">
        <v>211</v>
      </c>
      <c r="C6971" t="s">
        <v>209</v>
      </c>
      <c r="D6971" s="9">
        <v>41866.620347222219</v>
      </c>
      <c r="E6971" t="s">
        <v>19</v>
      </c>
      <c r="F6971">
        <f t="shared" ca="1" si="218"/>
        <v>0.45555555555555555</v>
      </c>
      <c r="G6971">
        <f t="shared" ca="1" si="219"/>
        <v>1</v>
      </c>
    </row>
    <row r="6972" spans="1:7">
      <c r="A6972">
        <v>2503</v>
      </c>
      <c r="B6972" t="s">
        <v>99</v>
      </c>
      <c r="C6972" t="s">
        <v>132</v>
      </c>
      <c r="D6972" s="9">
        <v>40644.850208333337</v>
      </c>
      <c r="E6972" t="s">
        <v>36</v>
      </c>
      <c r="F6972">
        <f t="shared" ca="1" si="218"/>
        <v>3.8</v>
      </c>
      <c r="G6972">
        <f t="shared" ca="1" si="219"/>
        <v>0</v>
      </c>
    </row>
    <row r="6973" spans="1:7">
      <c r="A6973">
        <v>2504</v>
      </c>
      <c r="B6973" t="s">
        <v>99</v>
      </c>
      <c r="C6973" t="s">
        <v>128</v>
      </c>
      <c r="D6973" s="9">
        <v>40920.653229166666</v>
      </c>
      <c r="E6973" t="s">
        <v>11</v>
      </c>
      <c r="F6973">
        <f t="shared" ca="1" si="218"/>
        <v>3.0472222222222221</v>
      </c>
      <c r="G6973">
        <f t="shared" ca="1" si="219"/>
        <v>0</v>
      </c>
    </row>
    <row r="6974" spans="1:7">
      <c r="A6974">
        <v>2509</v>
      </c>
      <c r="B6974" t="s">
        <v>99</v>
      </c>
      <c r="C6974" t="s">
        <v>132</v>
      </c>
      <c r="D6974" s="9">
        <v>40661.519895833335</v>
      </c>
      <c r="E6974" t="s">
        <v>131</v>
      </c>
      <c r="F6974">
        <f t="shared" ca="1" si="218"/>
        <v>3.7527777777777778</v>
      </c>
      <c r="G6974">
        <f t="shared" ca="1" si="219"/>
        <v>0</v>
      </c>
    </row>
    <row r="6975" spans="1:7">
      <c r="A6975">
        <v>2514</v>
      </c>
      <c r="C6975" t="s">
        <v>132</v>
      </c>
      <c r="D6975" s="9">
        <v>40660.800104166665</v>
      </c>
      <c r="E6975" t="s">
        <v>11</v>
      </c>
      <c r="F6975">
        <f t="shared" ca="1" si="218"/>
        <v>3.7555555555555555</v>
      </c>
      <c r="G6975">
        <f t="shared" ca="1" si="219"/>
        <v>0</v>
      </c>
    </row>
    <row r="6976" spans="1:7">
      <c r="A6976">
        <v>2521</v>
      </c>
      <c r="B6976" t="s">
        <v>102</v>
      </c>
      <c r="C6976" t="s">
        <v>132</v>
      </c>
      <c r="D6976" s="9">
        <v>40660.812893518516</v>
      </c>
      <c r="E6976" t="s">
        <v>11</v>
      </c>
      <c r="F6976">
        <f t="shared" ca="1" si="218"/>
        <v>3.7555555555555555</v>
      </c>
      <c r="G6976">
        <f t="shared" ca="1" si="219"/>
        <v>0</v>
      </c>
    </row>
    <row r="6977" spans="1:7">
      <c r="A6977">
        <v>2525</v>
      </c>
      <c r="B6977" t="s">
        <v>11</v>
      </c>
      <c r="C6977" t="s">
        <v>129</v>
      </c>
      <c r="D6977" s="9">
        <v>40805.711342592593</v>
      </c>
      <c r="E6977" t="s">
        <v>8</v>
      </c>
      <c r="F6977">
        <f t="shared" ca="1" si="218"/>
        <v>3.3611111111111112</v>
      </c>
      <c r="G6977">
        <f t="shared" ca="1" si="219"/>
        <v>0</v>
      </c>
    </row>
    <row r="6978" spans="1:7">
      <c r="A6978">
        <v>2531</v>
      </c>
      <c r="B6978" t="s">
        <v>131</v>
      </c>
      <c r="C6978" t="s">
        <v>132</v>
      </c>
      <c r="D6978" s="9">
        <v>40665.665023148147</v>
      </c>
      <c r="E6978" t="s">
        <v>36</v>
      </c>
      <c r="F6978">
        <f t="shared" ca="1" si="218"/>
        <v>3.7416666666666667</v>
      </c>
      <c r="G6978">
        <f t="shared" ca="1" si="219"/>
        <v>0</v>
      </c>
    </row>
    <row r="6979" spans="1:7">
      <c r="A6979">
        <v>2540</v>
      </c>
      <c r="B6979" t="s">
        <v>99</v>
      </c>
      <c r="C6979" t="s">
        <v>132</v>
      </c>
      <c r="D6979" s="9">
        <v>40665.790335648147</v>
      </c>
      <c r="E6979" t="s">
        <v>32</v>
      </c>
      <c r="F6979">
        <f t="shared" ca="1" si="218"/>
        <v>3.7416666666666667</v>
      </c>
      <c r="G6979">
        <f t="shared" ca="1" si="219"/>
        <v>0</v>
      </c>
    </row>
    <row r="6980" spans="1:7">
      <c r="A6980">
        <v>2541</v>
      </c>
      <c r="B6980" t="s">
        <v>131</v>
      </c>
      <c r="C6980" t="s">
        <v>132</v>
      </c>
      <c r="D6980" s="9">
        <v>40666.726782407408</v>
      </c>
      <c r="E6980" t="s">
        <v>8</v>
      </c>
      <c r="F6980">
        <f t="shared" ca="1" si="218"/>
        <v>3.7388888888888889</v>
      </c>
      <c r="G6980">
        <f t="shared" ca="1" si="219"/>
        <v>0</v>
      </c>
    </row>
    <row r="6981" spans="1:7">
      <c r="A6981">
        <v>2547</v>
      </c>
      <c r="B6981" t="s">
        <v>131</v>
      </c>
      <c r="C6981" t="s">
        <v>132</v>
      </c>
      <c r="D6981" s="9">
        <v>40661.111539351848</v>
      </c>
      <c r="E6981" t="s">
        <v>38</v>
      </c>
      <c r="F6981">
        <f t="shared" ca="1" si="218"/>
        <v>3.7527777777777778</v>
      </c>
      <c r="G6981">
        <f t="shared" ca="1" si="219"/>
        <v>0</v>
      </c>
    </row>
    <row r="6982" spans="1:7">
      <c r="A6982">
        <v>2551</v>
      </c>
      <c r="B6982" t="s">
        <v>8</v>
      </c>
      <c r="C6982" t="s">
        <v>132</v>
      </c>
      <c r="D6982" s="9">
        <v>40661.788530092592</v>
      </c>
      <c r="E6982" t="s">
        <v>99</v>
      </c>
      <c r="F6982">
        <f t="shared" ca="1" si="218"/>
        <v>3.7527777777777778</v>
      </c>
      <c r="G6982">
        <f t="shared" ca="1" si="219"/>
        <v>0</v>
      </c>
    </row>
    <row r="6983" spans="1:7">
      <c r="A6983">
        <v>2554</v>
      </c>
      <c r="B6983" t="s">
        <v>99</v>
      </c>
      <c r="C6983" t="s">
        <v>132</v>
      </c>
      <c r="D6983" s="9">
        <v>40665.826863425929</v>
      </c>
      <c r="E6983" t="s">
        <v>27</v>
      </c>
      <c r="F6983">
        <f t="shared" ref="F6983:F7046" ca="1" si="220">YEARFRAC(TODAY(),$D6983)</f>
        <v>3.7416666666666667</v>
      </c>
      <c r="G6983">
        <f t="shared" ref="G6983:G7046" ca="1" si="221">IF($F6983&lt;1,1,0)</f>
        <v>0</v>
      </c>
    </row>
    <row r="6984" spans="1:7">
      <c r="A6984">
        <v>2569</v>
      </c>
      <c r="B6984" t="s">
        <v>99</v>
      </c>
      <c r="C6984" t="s">
        <v>132</v>
      </c>
      <c r="D6984" s="9">
        <v>40665.760509259257</v>
      </c>
      <c r="E6984" t="s">
        <v>32</v>
      </c>
      <c r="F6984">
        <f t="shared" ca="1" si="220"/>
        <v>3.7416666666666667</v>
      </c>
      <c r="G6984">
        <f t="shared" ca="1" si="221"/>
        <v>0</v>
      </c>
    </row>
    <row r="6985" spans="1:7">
      <c r="A6985">
        <v>2575</v>
      </c>
      <c r="B6985" t="s">
        <v>112</v>
      </c>
      <c r="C6985" t="s">
        <v>132</v>
      </c>
      <c r="D6985" s="9">
        <v>40660.704247685186</v>
      </c>
      <c r="E6985" t="s">
        <v>131</v>
      </c>
      <c r="F6985">
        <f t="shared" ca="1" si="220"/>
        <v>3.7555555555555555</v>
      </c>
      <c r="G6985">
        <f t="shared" ca="1" si="221"/>
        <v>0</v>
      </c>
    </row>
    <row r="6986" spans="1:7">
      <c r="A6986">
        <v>2582</v>
      </c>
      <c r="B6986" t="s">
        <v>99</v>
      </c>
      <c r="C6986" t="s">
        <v>132</v>
      </c>
      <c r="D6986" s="9">
        <v>40662.174687500003</v>
      </c>
      <c r="E6986" t="s">
        <v>36</v>
      </c>
      <c r="F6986">
        <f t="shared" ca="1" si="220"/>
        <v>3.75</v>
      </c>
      <c r="G6986">
        <f t="shared" ca="1" si="221"/>
        <v>0</v>
      </c>
    </row>
    <row r="6987" spans="1:7">
      <c r="A6987">
        <v>2583</v>
      </c>
      <c r="B6987" t="s">
        <v>99</v>
      </c>
      <c r="C6987" t="s">
        <v>132</v>
      </c>
      <c r="D6987" s="9">
        <v>40662.001168981478</v>
      </c>
      <c r="E6987" t="s">
        <v>36</v>
      </c>
      <c r="F6987">
        <f t="shared" ca="1" si="220"/>
        <v>3.75</v>
      </c>
      <c r="G6987">
        <f t="shared" ca="1" si="221"/>
        <v>0</v>
      </c>
    </row>
    <row r="6988" spans="1:7">
      <c r="A6988">
        <v>2591</v>
      </c>
      <c r="B6988" t="s">
        <v>99</v>
      </c>
      <c r="C6988" t="s">
        <v>132</v>
      </c>
      <c r="D6988" s="9">
        <v>40662.000567129631</v>
      </c>
      <c r="E6988" t="s">
        <v>36</v>
      </c>
      <c r="F6988">
        <f t="shared" ca="1" si="220"/>
        <v>3.75</v>
      </c>
      <c r="G6988">
        <f t="shared" ca="1" si="221"/>
        <v>0</v>
      </c>
    </row>
    <row r="6989" spans="1:7">
      <c r="A6989">
        <v>2619</v>
      </c>
      <c r="B6989" t="s">
        <v>99</v>
      </c>
      <c r="C6989" t="s">
        <v>132</v>
      </c>
      <c r="D6989" s="9">
        <v>40661.634502314817</v>
      </c>
      <c r="E6989" t="s">
        <v>131</v>
      </c>
      <c r="F6989">
        <f t="shared" ca="1" si="220"/>
        <v>3.7527777777777778</v>
      </c>
      <c r="G6989">
        <f t="shared" ca="1" si="221"/>
        <v>0</v>
      </c>
    </row>
    <row r="6990" spans="1:7">
      <c r="A6990">
        <v>2621</v>
      </c>
      <c r="B6990" t="s">
        <v>32</v>
      </c>
      <c r="C6990" t="s">
        <v>132</v>
      </c>
      <c r="D6990" s="9">
        <v>40661.791215277779</v>
      </c>
      <c r="E6990" t="s">
        <v>99</v>
      </c>
      <c r="F6990">
        <f t="shared" ca="1" si="220"/>
        <v>3.7527777777777778</v>
      </c>
      <c r="G6990">
        <f t="shared" ca="1" si="221"/>
        <v>0</v>
      </c>
    </row>
    <row r="6991" spans="1:7">
      <c r="A6991">
        <v>2630</v>
      </c>
      <c r="B6991" t="s">
        <v>32</v>
      </c>
      <c r="C6991" t="s">
        <v>132</v>
      </c>
      <c r="D6991" s="9">
        <v>40666.75885416667</v>
      </c>
      <c r="E6991" t="s">
        <v>38</v>
      </c>
      <c r="F6991">
        <f t="shared" ca="1" si="220"/>
        <v>3.7388888888888889</v>
      </c>
      <c r="G6991">
        <f t="shared" ca="1" si="221"/>
        <v>0</v>
      </c>
    </row>
    <row r="6992" spans="1:7">
      <c r="A6992">
        <v>2632</v>
      </c>
      <c r="B6992" t="s">
        <v>99</v>
      </c>
      <c r="C6992" t="s">
        <v>132</v>
      </c>
      <c r="D6992" s="9">
        <v>40662.060810185183</v>
      </c>
      <c r="E6992" t="s">
        <v>38</v>
      </c>
      <c r="F6992">
        <f t="shared" ca="1" si="220"/>
        <v>3.75</v>
      </c>
      <c r="G6992">
        <f t="shared" ca="1" si="221"/>
        <v>0</v>
      </c>
    </row>
    <row r="6993" spans="1:7">
      <c r="A6993">
        <v>2664</v>
      </c>
      <c r="B6993" t="s">
        <v>101</v>
      </c>
      <c r="C6993" t="s">
        <v>132</v>
      </c>
      <c r="D6993" s="9">
        <v>40666.783425925925</v>
      </c>
      <c r="E6993" t="s">
        <v>27</v>
      </c>
      <c r="F6993">
        <f t="shared" ca="1" si="220"/>
        <v>3.7388888888888889</v>
      </c>
      <c r="G6993">
        <f t="shared" ca="1" si="221"/>
        <v>0</v>
      </c>
    </row>
    <row r="6994" spans="1:7">
      <c r="A6994">
        <v>2667</v>
      </c>
      <c r="B6994" t="s">
        <v>20</v>
      </c>
      <c r="C6994" t="s">
        <v>132</v>
      </c>
      <c r="D6994" s="9">
        <v>40659.441412037035</v>
      </c>
      <c r="E6994" t="s">
        <v>131</v>
      </c>
      <c r="F6994">
        <f t="shared" ca="1" si="220"/>
        <v>3.7583333333333333</v>
      </c>
      <c r="G6994">
        <f t="shared" ca="1" si="221"/>
        <v>0</v>
      </c>
    </row>
    <row r="6995" spans="1:7">
      <c r="A6995">
        <v>2671</v>
      </c>
      <c r="B6995" t="s">
        <v>44</v>
      </c>
      <c r="C6995" t="s">
        <v>132</v>
      </c>
      <c r="D6995" s="9">
        <v>40665.671805555554</v>
      </c>
      <c r="E6995" t="s">
        <v>36</v>
      </c>
      <c r="F6995">
        <f t="shared" ca="1" si="220"/>
        <v>3.7416666666666667</v>
      </c>
      <c r="G6995">
        <f t="shared" ca="1" si="221"/>
        <v>0</v>
      </c>
    </row>
    <row r="6996" spans="1:7">
      <c r="A6996">
        <v>2675</v>
      </c>
      <c r="B6996" t="s">
        <v>99</v>
      </c>
      <c r="C6996" t="s">
        <v>132</v>
      </c>
      <c r="D6996" s="9">
        <v>40665.570590277777</v>
      </c>
      <c r="E6996" t="s">
        <v>32</v>
      </c>
      <c r="F6996">
        <f t="shared" ca="1" si="220"/>
        <v>3.7416666666666667</v>
      </c>
      <c r="G6996">
        <f t="shared" ca="1" si="221"/>
        <v>0</v>
      </c>
    </row>
    <row r="6997" spans="1:7">
      <c r="A6997">
        <v>2679</v>
      </c>
      <c r="B6997" t="s">
        <v>131</v>
      </c>
      <c r="C6997" t="s">
        <v>132</v>
      </c>
      <c r="D6997" s="9">
        <v>40666.458032407405</v>
      </c>
      <c r="E6997" t="s">
        <v>44</v>
      </c>
      <c r="F6997">
        <f t="shared" ca="1" si="220"/>
        <v>3.7388888888888889</v>
      </c>
      <c r="G6997">
        <f t="shared" ca="1" si="221"/>
        <v>0</v>
      </c>
    </row>
    <row r="6998" spans="1:7">
      <c r="A6998">
        <v>2682</v>
      </c>
      <c r="B6998" t="s">
        <v>111</v>
      </c>
      <c r="C6998" t="s">
        <v>132</v>
      </c>
      <c r="D6998" s="9">
        <v>40661.814803240741</v>
      </c>
      <c r="E6998" t="s">
        <v>99</v>
      </c>
      <c r="F6998">
        <f t="shared" ca="1" si="220"/>
        <v>3.7527777777777778</v>
      </c>
      <c r="G6998">
        <f t="shared" ca="1" si="221"/>
        <v>0</v>
      </c>
    </row>
    <row r="6999" spans="1:7">
      <c r="A6999">
        <v>2691</v>
      </c>
      <c r="B6999" t="s">
        <v>99</v>
      </c>
      <c r="C6999" t="s">
        <v>132</v>
      </c>
      <c r="D6999" s="9">
        <v>40666.481203703705</v>
      </c>
      <c r="E6999" t="s">
        <v>19</v>
      </c>
      <c r="F6999">
        <f t="shared" ca="1" si="220"/>
        <v>3.7388888888888889</v>
      </c>
      <c r="G6999">
        <f t="shared" ca="1" si="221"/>
        <v>0</v>
      </c>
    </row>
    <row r="7000" spans="1:7">
      <c r="A7000">
        <v>2696</v>
      </c>
      <c r="B7000" t="s">
        <v>20</v>
      </c>
      <c r="C7000" t="s">
        <v>132</v>
      </c>
      <c r="D7000" s="9">
        <v>40661.624872685185</v>
      </c>
      <c r="E7000" t="s">
        <v>131</v>
      </c>
      <c r="F7000">
        <f t="shared" ca="1" si="220"/>
        <v>3.7527777777777778</v>
      </c>
      <c r="G7000">
        <f t="shared" ca="1" si="221"/>
        <v>0</v>
      </c>
    </row>
    <row r="7001" spans="1:7">
      <c r="A7001">
        <v>2722</v>
      </c>
      <c r="B7001" t="s">
        <v>11</v>
      </c>
      <c r="C7001" t="s">
        <v>132</v>
      </c>
      <c r="D7001" s="9">
        <v>40665.866030092591</v>
      </c>
      <c r="E7001" t="s">
        <v>20</v>
      </c>
      <c r="F7001">
        <f t="shared" ca="1" si="220"/>
        <v>3.7416666666666667</v>
      </c>
      <c r="G7001">
        <f t="shared" ca="1" si="221"/>
        <v>0</v>
      </c>
    </row>
    <row r="7002" spans="1:7">
      <c r="A7002">
        <v>2743</v>
      </c>
      <c r="B7002" t="s">
        <v>99</v>
      </c>
      <c r="C7002" t="s">
        <v>132</v>
      </c>
      <c r="D7002" s="9">
        <v>40665.827627314815</v>
      </c>
      <c r="E7002" t="s">
        <v>32</v>
      </c>
      <c r="F7002">
        <f t="shared" ca="1" si="220"/>
        <v>3.7416666666666667</v>
      </c>
      <c r="G7002">
        <f t="shared" ca="1" si="221"/>
        <v>0</v>
      </c>
    </row>
    <row r="7003" spans="1:7">
      <c r="A7003">
        <v>2749</v>
      </c>
      <c r="B7003" t="s">
        <v>99</v>
      </c>
      <c r="C7003" t="s">
        <v>132</v>
      </c>
      <c r="D7003" s="9">
        <v>40666.584756944445</v>
      </c>
      <c r="E7003" t="s">
        <v>27</v>
      </c>
      <c r="F7003">
        <f t="shared" ca="1" si="220"/>
        <v>3.7388888888888889</v>
      </c>
      <c r="G7003">
        <f t="shared" ca="1" si="221"/>
        <v>0</v>
      </c>
    </row>
    <row r="7004" spans="1:7">
      <c r="A7004">
        <v>2750</v>
      </c>
      <c r="B7004" t="s">
        <v>99</v>
      </c>
      <c r="C7004" t="s">
        <v>132</v>
      </c>
      <c r="D7004" s="9">
        <v>40661.393206018518</v>
      </c>
      <c r="E7004" t="s">
        <v>131</v>
      </c>
      <c r="F7004">
        <f t="shared" ca="1" si="220"/>
        <v>3.7527777777777778</v>
      </c>
      <c r="G7004">
        <f t="shared" ca="1" si="221"/>
        <v>0</v>
      </c>
    </row>
    <row r="7005" spans="1:7">
      <c r="A7005">
        <v>2766</v>
      </c>
      <c r="B7005" t="s">
        <v>99</v>
      </c>
      <c r="C7005" t="s">
        <v>132</v>
      </c>
      <c r="D7005" s="9">
        <v>40665.846388888887</v>
      </c>
      <c r="E7005" t="s">
        <v>27</v>
      </c>
      <c r="F7005">
        <f t="shared" ca="1" si="220"/>
        <v>3.7416666666666667</v>
      </c>
      <c r="G7005">
        <f t="shared" ca="1" si="221"/>
        <v>0</v>
      </c>
    </row>
    <row r="7006" spans="1:7">
      <c r="A7006">
        <v>2773</v>
      </c>
      <c r="B7006" t="s">
        <v>99</v>
      </c>
      <c r="C7006" t="s">
        <v>132</v>
      </c>
      <c r="D7006" s="9">
        <v>40665.783159722225</v>
      </c>
      <c r="E7006" t="s">
        <v>32</v>
      </c>
      <c r="F7006">
        <f t="shared" ca="1" si="220"/>
        <v>3.7416666666666667</v>
      </c>
      <c r="G7006">
        <f t="shared" ca="1" si="221"/>
        <v>0</v>
      </c>
    </row>
    <row r="7007" spans="1:7">
      <c r="A7007">
        <v>2788</v>
      </c>
      <c r="B7007" t="s">
        <v>99</v>
      </c>
      <c r="C7007" t="s">
        <v>132</v>
      </c>
      <c r="D7007" s="9">
        <v>40665.812488425923</v>
      </c>
      <c r="E7007" t="s">
        <v>27</v>
      </c>
      <c r="F7007">
        <f t="shared" ca="1" si="220"/>
        <v>3.7416666666666667</v>
      </c>
      <c r="G7007">
        <f t="shared" ca="1" si="221"/>
        <v>0</v>
      </c>
    </row>
    <row r="7008" spans="1:7">
      <c r="A7008">
        <v>2808</v>
      </c>
      <c r="B7008" t="s">
        <v>32</v>
      </c>
      <c r="C7008" t="s">
        <v>130</v>
      </c>
      <c r="D7008" s="9">
        <v>40722.704259259262</v>
      </c>
      <c r="E7008" t="s">
        <v>8</v>
      </c>
      <c r="F7008">
        <f t="shared" ca="1" si="220"/>
        <v>3.5861111111111112</v>
      </c>
      <c r="G7008">
        <f t="shared" ca="1" si="221"/>
        <v>0</v>
      </c>
    </row>
    <row r="7009" spans="1:7">
      <c r="A7009">
        <v>2825</v>
      </c>
      <c r="B7009" t="s">
        <v>20</v>
      </c>
      <c r="C7009" t="s">
        <v>132</v>
      </c>
      <c r="D7009" s="9">
        <v>40665.667048611111</v>
      </c>
      <c r="E7009" t="s">
        <v>36</v>
      </c>
      <c r="F7009">
        <f t="shared" ca="1" si="220"/>
        <v>3.7416666666666667</v>
      </c>
      <c r="G7009">
        <f t="shared" ca="1" si="221"/>
        <v>0</v>
      </c>
    </row>
    <row r="7010" spans="1:7">
      <c r="A7010">
        <v>2843</v>
      </c>
      <c r="B7010" t="s">
        <v>19</v>
      </c>
      <c r="C7010" t="s">
        <v>130</v>
      </c>
      <c r="D7010" s="9">
        <v>40721.669537037036</v>
      </c>
      <c r="E7010" t="s">
        <v>99</v>
      </c>
      <c r="F7010">
        <f t="shared" ca="1" si="220"/>
        <v>3.588888888888889</v>
      </c>
      <c r="G7010">
        <f t="shared" ca="1" si="221"/>
        <v>0</v>
      </c>
    </row>
    <row r="7011" spans="1:7">
      <c r="A7011">
        <v>2847</v>
      </c>
      <c r="B7011" t="s">
        <v>44</v>
      </c>
      <c r="C7011" t="s">
        <v>132</v>
      </c>
      <c r="D7011" s="9">
        <v>40659.700567129628</v>
      </c>
      <c r="E7011" t="s">
        <v>131</v>
      </c>
      <c r="F7011">
        <f t="shared" ca="1" si="220"/>
        <v>3.7583333333333333</v>
      </c>
      <c r="G7011">
        <f t="shared" ca="1" si="221"/>
        <v>0</v>
      </c>
    </row>
    <row r="7012" spans="1:7">
      <c r="A7012">
        <v>2859</v>
      </c>
      <c r="B7012" t="s">
        <v>32</v>
      </c>
      <c r="C7012" t="s">
        <v>130</v>
      </c>
      <c r="D7012" s="9">
        <v>40721.798425925925</v>
      </c>
      <c r="E7012" t="s">
        <v>27</v>
      </c>
      <c r="F7012">
        <f t="shared" ca="1" si="220"/>
        <v>3.588888888888889</v>
      </c>
      <c r="G7012">
        <f t="shared" ca="1" si="221"/>
        <v>0</v>
      </c>
    </row>
    <row r="7013" spans="1:7">
      <c r="A7013">
        <v>2860</v>
      </c>
      <c r="B7013" t="s">
        <v>38</v>
      </c>
      <c r="C7013" t="s">
        <v>129</v>
      </c>
      <c r="D7013" s="9">
        <v>40805.803414351853</v>
      </c>
      <c r="E7013" t="s">
        <v>11</v>
      </c>
      <c r="F7013">
        <f t="shared" ca="1" si="220"/>
        <v>3.3611111111111112</v>
      </c>
      <c r="G7013">
        <f t="shared" ca="1" si="221"/>
        <v>0</v>
      </c>
    </row>
    <row r="7014" spans="1:7">
      <c r="A7014">
        <v>2863</v>
      </c>
      <c r="B7014" t="s">
        <v>44</v>
      </c>
      <c r="C7014" t="s">
        <v>130</v>
      </c>
      <c r="D7014" s="9">
        <v>40723.572071759256</v>
      </c>
      <c r="E7014" t="s">
        <v>8</v>
      </c>
      <c r="F7014">
        <f t="shared" ca="1" si="220"/>
        <v>3.5833333333333335</v>
      </c>
      <c r="G7014">
        <f t="shared" ca="1" si="221"/>
        <v>0</v>
      </c>
    </row>
    <row r="7015" spans="1:7">
      <c r="A7015">
        <v>2870</v>
      </c>
      <c r="B7015" t="s">
        <v>36</v>
      </c>
      <c r="C7015" t="s">
        <v>130</v>
      </c>
      <c r="D7015" s="9">
        <v>40723.783576388887</v>
      </c>
      <c r="E7015" t="s">
        <v>99</v>
      </c>
      <c r="F7015">
        <f t="shared" ca="1" si="220"/>
        <v>3.5833333333333335</v>
      </c>
      <c r="G7015">
        <f t="shared" ca="1" si="221"/>
        <v>0</v>
      </c>
    </row>
    <row r="7016" spans="1:7">
      <c r="A7016">
        <v>2871</v>
      </c>
      <c r="B7016" t="s">
        <v>99</v>
      </c>
      <c r="C7016" t="s">
        <v>130</v>
      </c>
      <c r="D7016" s="9">
        <v>40722.7575</v>
      </c>
      <c r="E7016" t="s">
        <v>32</v>
      </c>
      <c r="F7016">
        <f t="shared" ca="1" si="220"/>
        <v>3.5861111111111112</v>
      </c>
      <c r="G7016">
        <f t="shared" ca="1" si="221"/>
        <v>0</v>
      </c>
    </row>
    <row r="7017" spans="1:7">
      <c r="A7017">
        <v>2900</v>
      </c>
      <c r="B7017" t="s">
        <v>44</v>
      </c>
      <c r="C7017" t="s">
        <v>130</v>
      </c>
      <c r="D7017" s="9">
        <v>40721.787303240744</v>
      </c>
      <c r="E7017" t="s">
        <v>27</v>
      </c>
      <c r="F7017">
        <f t="shared" ca="1" si="220"/>
        <v>3.588888888888889</v>
      </c>
      <c r="G7017">
        <f t="shared" ca="1" si="221"/>
        <v>0</v>
      </c>
    </row>
    <row r="7018" spans="1:7">
      <c r="A7018">
        <v>2931</v>
      </c>
      <c r="B7018" t="s">
        <v>44</v>
      </c>
      <c r="C7018" t="s">
        <v>130</v>
      </c>
      <c r="D7018" s="9">
        <v>40722.166307870371</v>
      </c>
      <c r="E7018" t="s">
        <v>38</v>
      </c>
      <c r="F7018">
        <f t="shared" ca="1" si="220"/>
        <v>3.5861111111111112</v>
      </c>
      <c r="G7018">
        <f t="shared" ca="1" si="221"/>
        <v>0</v>
      </c>
    </row>
    <row r="7019" spans="1:7">
      <c r="A7019">
        <v>2932</v>
      </c>
      <c r="B7019" t="s">
        <v>11</v>
      </c>
      <c r="C7019" t="s">
        <v>125</v>
      </c>
      <c r="D7019" s="9">
        <v>41212.800775462965</v>
      </c>
      <c r="E7019" t="s">
        <v>27</v>
      </c>
      <c r="F7019">
        <f t="shared" ca="1" si="220"/>
        <v>2.2472222222222222</v>
      </c>
      <c r="G7019">
        <f t="shared" ca="1" si="221"/>
        <v>0</v>
      </c>
    </row>
    <row r="7020" spans="1:7">
      <c r="A7020">
        <v>2934</v>
      </c>
      <c r="B7020" t="s">
        <v>99</v>
      </c>
      <c r="C7020" t="s">
        <v>130</v>
      </c>
      <c r="D7020" s="9">
        <v>40721.882951388892</v>
      </c>
      <c r="E7020" t="s">
        <v>20</v>
      </c>
      <c r="F7020">
        <f t="shared" ca="1" si="220"/>
        <v>3.588888888888889</v>
      </c>
      <c r="G7020">
        <f t="shared" ca="1" si="221"/>
        <v>0</v>
      </c>
    </row>
    <row r="7021" spans="1:7">
      <c r="A7021">
        <v>2937</v>
      </c>
      <c r="B7021" t="s">
        <v>11</v>
      </c>
      <c r="C7021" t="s">
        <v>130</v>
      </c>
      <c r="D7021" s="9">
        <v>40721.490115740744</v>
      </c>
      <c r="E7021" t="s">
        <v>112</v>
      </c>
      <c r="F7021">
        <f t="shared" ca="1" si="220"/>
        <v>3.588888888888889</v>
      </c>
      <c r="G7021">
        <f t="shared" ca="1" si="221"/>
        <v>0</v>
      </c>
    </row>
    <row r="7022" spans="1:7">
      <c r="A7022">
        <v>2947</v>
      </c>
      <c r="B7022" t="s">
        <v>27</v>
      </c>
      <c r="C7022" t="s">
        <v>121</v>
      </c>
      <c r="D7022" s="9">
        <v>41436.826296296298</v>
      </c>
      <c r="E7022" t="s">
        <v>111</v>
      </c>
      <c r="F7022">
        <f t="shared" ca="1" si="220"/>
        <v>1.6333333333333333</v>
      </c>
      <c r="G7022">
        <f t="shared" ca="1" si="221"/>
        <v>0</v>
      </c>
    </row>
    <row r="7023" spans="1:7">
      <c r="A7023">
        <v>2952</v>
      </c>
      <c r="B7023" t="s">
        <v>99</v>
      </c>
      <c r="C7023" t="s">
        <v>130</v>
      </c>
      <c r="D7023" s="9">
        <v>40721.890046296299</v>
      </c>
      <c r="E7023" t="s">
        <v>20</v>
      </c>
      <c r="F7023">
        <f t="shared" ca="1" si="220"/>
        <v>3.588888888888889</v>
      </c>
      <c r="G7023">
        <f t="shared" ca="1" si="221"/>
        <v>0</v>
      </c>
    </row>
    <row r="7024" spans="1:7">
      <c r="A7024">
        <v>2956</v>
      </c>
      <c r="B7024" t="s">
        <v>27</v>
      </c>
      <c r="C7024" t="s">
        <v>130</v>
      </c>
      <c r="D7024" s="9">
        <v>40721.352500000001</v>
      </c>
      <c r="E7024" t="s">
        <v>19</v>
      </c>
      <c r="F7024">
        <f t="shared" ca="1" si="220"/>
        <v>3.588888888888889</v>
      </c>
      <c r="G7024">
        <f t="shared" ca="1" si="221"/>
        <v>0</v>
      </c>
    </row>
    <row r="7025" spans="1:7">
      <c r="A7025">
        <v>2957</v>
      </c>
      <c r="B7025" t="s">
        <v>19</v>
      </c>
      <c r="C7025" t="s">
        <v>130</v>
      </c>
      <c r="D7025" s="9">
        <v>40721.670428240737</v>
      </c>
      <c r="E7025" t="s">
        <v>27</v>
      </c>
      <c r="F7025">
        <f t="shared" ca="1" si="220"/>
        <v>3.588888888888889</v>
      </c>
      <c r="G7025">
        <f t="shared" ca="1" si="221"/>
        <v>0</v>
      </c>
    </row>
    <row r="7026" spans="1:7">
      <c r="A7026">
        <v>2968</v>
      </c>
      <c r="B7026" t="s">
        <v>27</v>
      </c>
      <c r="C7026" t="s">
        <v>129</v>
      </c>
      <c r="D7026" s="9">
        <v>40807.436111111114</v>
      </c>
      <c r="E7026" t="s">
        <v>19</v>
      </c>
      <c r="F7026">
        <f t="shared" ca="1" si="220"/>
        <v>3.3555555555555556</v>
      </c>
      <c r="G7026">
        <f t="shared" ca="1" si="221"/>
        <v>0</v>
      </c>
    </row>
    <row r="7027" spans="1:7">
      <c r="A7027">
        <v>2976</v>
      </c>
      <c r="B7027" t="s">
        <v>112</v>
      </c>
      <c r="C7027" t="s">
        <v>130</v>
      </c>
      <c r="D7027" s="9">
        <v>40721.86509259259</v>
      </c>
      <c r="E7027" t="s">
        <v>27</v>
      </c>
      <c r="F7027">
        <f t="shared" ca="1" si="220"/>
        <v>3.588888888888889</v>
      </c>
      <c r="G7027">
        <f t="shared" ca="1" si="221"/>
        <v>0</v>
      </c>
    </row>
    <row r="7028" spans="1:7">
      <c r="A7028">
        <v>2977</v>
      </c>
      <c r="B7028" t="s">
        <v>112</v>
      </c>
      <c r="C7028" t="s">
        <v>130</v>
      </c>
      <c r="D7028" s="9">
        <v>40721.958402777775</v>
      </c>
      <c r="E7028" t="s">
        <v>27</v>
      </c>
      <c r="F7028">
        <f t="shared" ca="1" si="220"/>
        <v>3.588888888888889</v>
      </c>
      <c r="G7028">
        <f t="shared" ca="1" si="221"/>
        <v>0</v>
      </c>
    </row>
    <row r="7029" spans="1:7">
      <c r="A7029">
        <v>2983</v>
      </c>
      <c r="B7029" t="s">
        <v>99</v>
      </c>
      <c r="C7029" t="s">
        <v>130</v>
      </c>
      <c r="D7029" s="9">
        <v>40722.376377314817</v>
      </c>
      <c r="E7029" t="s">
        <v>19</v>
      </c>
      <c r="F7029">
        <f t="shared" ca="1" si="220"/>
        <v>3.5861111111111112</v>
      </c>
      <c r="G7029">
        <f t="shared" ca="1" si="221"/>
        <v>0</v>
      </c>
    </row>
    <row r="7030" spans="1:7">
      <c r="A7030">
        <v>2984</v>
      </c>
      <c r="B7030" t="s">
        <v>99</v>
      </c>
      <c r="C7030" t="s">
        <v>130</v>
      </c>
      <c r="D7030" s="9">
        <v>40721.687025462961</v>
      </c>
      <c r="E7030" t="s">
        <v>27</v>
      </c>
      <c r="F7030">
        <f t="shared" ca="1" si="220"/>
        <v>3.588888888888889</v>
      </c>
      <c r="G7030">
        <f t="shared" ca="1" si="221"/>
        <v>0</v>
      </c>
    </row>
    <row r="7031" spans="1:7">
      <c r="A7031">
        <v>2996</v>
      </c>
      <c r="B7031" t="s">
        <v>99</v>
      </c>
      <c r="C7031" t="s">
        <v>130</v>
      </c>
      <c r="D7031" s="9">
        <v>40721.83085648148</v>
      </c>
      <c r="E7031" t="s">
        <v>20</v>
      </c>
      <c r="F7031">
        <f t="shared" ca="1" si="220"/>
        <v>3.588888888888889</v>
      </c>
      <c r="G7031">
        <f t="shared" ca="1" si="221"/>
        <v>0</v>
      </c>
    </row>
    <row r="7032" spans="1:7">
      <c r="A7032">
        <v>2997</v>
      </c>
      <c r="B7032" t="s">
        <v>112</v>
      </c>
      <c r="C7032" t="s">
        <v>130</v>
      </c>
      <c r="D7032" s="9">
        <v>40721.844768518517</v>
      </c>
      <c r="E7032" t="s">
        <v>99</v>
      </c>
      <c r="F7032">
        <f t="shared" ca="1" si="220"/>
        <v>3.588888888888889</v>
      </c>
      <c r="G7032">
        <f t="shared" ca="1" si="221"/>
        <v>0</v>
      </c>
    </row>
    <row r="7033" spans="1:7">
      <c r="A7033">
        <v>3000</v>
      </c>
      <c r="B7033" t="s">
        <v>11</v>
      </c>
      <c r="C7033" t="s">
        <v>130</v>
      </c>
      <c r="D7033" s="9">
        <v>40723.419733796298</v>
      </c>
      <c r="E7033" t="s">
        <v>8</v>
      </c>
      <c r="F7033">
        <f t="shared" ca="1" si="220"/>
        <v>3.5833333333333335</v>
      </c>
      <c r="G7033">
        <f t="shared" ca="1" si="221"/>
        <v>0</v>
      </c>
    </row>
    <row r="7034" spans="1:7">
      <c r="A7034">
        <v>3023</v>
      </c>
      <c r="B7034" t="s">
        <v>99</v>
      </c>
      <c r="C7034" t="s">
        <v>130</v>
      </c>
      <c r="D7034" s="9">
        <v>40721.412847222222</v>
      </c>
      <c r="E7034" t="s">
        <v>19</v>
      </c>
      <c r="F7034">
        <f t="shared" ca="1" si="220"/>
        <v>3.588888888888889</v>
      </c>
      <c r="G7034">
        <f t="shared" ca="1" si="221"/>
        <v>0</v>
      </c>
    </row>
    <row r="7035" spans="1:7">
      <c r="A7035">
        <v>3024</v>
      </c>
      <c r="B7035" t="s">
        <v>99</v>
      </c>
      <c r="C7035" t="s">
        <v>130</v>
      </c>
      <c r="D7035" s="9">
        <v>40722.669733796298</v>
      </c>
      <c r="E7035" t="s">
        <v>21</v>
      </c>
      <c r="F7035">
        <f t="shared" ca="1" si="220"/>
        <v>3.5861111111111112</v>
      </c>
      <c r="G7035">
        <f t="shared" ca="1" si="221"/>
        <v>0</v>
      </c>
    </row>
    <row r="7036" spans="1:7">
      <c r="A7036">
        <v>3026</v>
      </c>
      <c r="B7036" t="s">
        <v>99</v>
      </c>
      <c r="C7036" t="s">
        <v>130</v>
      </c>
      <c r="D7036" s="9">
        <v>40722.790381944447</v>
      </c>
      <c r="E7036" t="s">
        <v>32</v>
      </c>
      <c r="F7036">
        <f t="shared" ca="1" si="220"/>
        <v>3.5861111111111112</v>
      </c>
      <c r="G7036">
        <f t="shared" ca="1" si="221"/>
        <v>0</v>
      </c>
    </row>
    <row r="7037" spans="1:7">
      <c r="A7037">
        <v>3027</v>
      </c>
      <c r="B7037" t="s">
        <v>19</v>
      </c>
      <c r="C7037" t="s">
        <v>130</v>
      </c>
      <c r="D7037" s="9">
        <v>40721.591898148145</v>
      </c>
      <c r="E7037" t="s">
        <v>104</v>
      </c>
      <c r="F7037">
        <f t="shared" ca="1" si="220"/>
        <v>3.588888888888889</v>
      </c>
      <c r="G7037">
        <f t="shared" ca="1" si="221"/>
        <v>0</v>
      </c>
    </row>
    <row r="7038" spans="1:7">
      <c r="A7038">
        <v>3029</v>
      </c>
      <c r="B7038" t="s">
        <v>19</v>
      </c>
      <c r="C7038" t="s">
        <v>130</v>
      </c>
      <c r="D7038" s="9">
        <v>40721.615324074075</v>
      </c>
      <c r="E7038" t="s">
        <v>27</v>
      </c>
      <c r="F7038">
        <f t="shared" ca="1" si="220"/>
        <v>3.588888888888889</v>
      </c>
      <c r="G7038">
        <f t="shared" ca="1" si="221"/>
        <v>0</v>
      </c>
    </row>
    <row r="7039" spans="1:7">
      <c r="A7039">
        <v>3032</v>
      </c>
      <c r="B7039" t="s">
        <v>19</v>
      </c>
      <c r="C7039" t="s">
        <v>130</v>
      </c>
      <c r="D7039" s="9">
        <v>40721.717164351852</v>
      </c>
      <c r="E7039" t="s">
        <v>99</v>
      </c>
      <c r="F7039">
        <f t="shared" ca="1" si="220"/>
        <v>3.588888888888889</v>
      </c>
      <c r="G7039">
        <f t="shared" ca="1" si="221"/>
        <v>0</v>
      </c>
    </row>
    <row r="7040" spans="1:7">
      <c r="A7040">
        <v>3038</v>
      </c>
      <c r="B7040" t="s">
        <v>44</v>
      </c>
      <c r="C7040" t="s">
        <v>130</v>
      </c>
      <c r="D7040" s="9">
        <v>40722.801585648151</v>
      </c>
      <c r="E7040" t="s">
        <v>27</v>
      </c>
      <c r="F7040">
        <f t="shared" ca="1" si="220"/>
        <v>3.5861111111111112</v>
      </c>
      <c r="G7040">
        <f t="shared" ca="1" si="221"/>
        <v>0</v>
      </c>
    </row>
    <row r="7041" spans="1:7">
      <c r="A7041">
        <v>3039</v>
      </c>
      <c r="B7041" t="s">
        <v>112</v>
      </c>
      <c r="C7041" t="s">
        <v>130</v>
      </c>
      <c r="D7041" s="9">
        <v>40724.442546296297</v>
      </c>
      <c r="E7041" t="s">
        <v>19</v>
      </c>
      <c r="F7041">
        <f t="shared" ca="1" si="220"/>
        <v>3.5805555555555557</v>
      </c>
      <c r="G7041">
        <f t="shared" ca="1" si="221"/>
        <v>0</v>
      </c>
    </row>
    <row r="7042" spans="1:7">
      <c r="A7042">
        <v>3040</v>
      </c>
      <c r="B7042" t="s">
        <v>44</v>
      </c>
      <c r="C7042" t="s">
        <v>130</v>
      </c>
      <c r="D7042" s="9">
        <v>40721.946134259262</v>
      </c>
      <c r="E7042" t="s">
        <v>27</v>
      </c>
      <c r="F7042">
        <f t="shared" ca="1" si="220"/>
        <v>3.588888888888889</v>
      </c>
      <c r="G7042">
        <f t="shared" ca="1" si="221"/>
        <v>0</v>
      </c>
    </row>
    <row r="7043" spans="1:7">
      <c r="A7043">
        <v>3051</v>
      </c>
      <c r="B7043" t="s">
        <v>99</v>
      </c>
      <c r="C7043" t="s">
        <v>128</v>
      </c>
      <c r="D7043" s="9">
        <v>40919.746724537035</v>
      </c>
      <c r="E7043" t="s">
        <v>43</v>
      </c>
      <c r="F7043">
        <f t="shared" ca="1" si="220"/>
        <v>3.05</v>
      </c>
      <c r="G7043">
        <f t="shared" ca="1" si="221"/>
        <v>0</v>
      </c>
    </row>
    <row r="7044" spans="1:7">
      <c r="A7044">
        <v>3056</v>
      </c>
      <c r="B7044" t="s">
        <v>99</v>
      </c>
      <c r="C7044" t="s">
        <v>130</v>
      </c>
      <c r="D7044" s="9">
        <v>40720.890081018515</v>
      </c>
      <c r="E7044" t="s">
        <v>36</v>
      </c>
      <c r="F7044">
        <f t="shared" ca="1" si="220"/>
        <v>3.5916666666666668</v>
      </c>
      <c r="G7044">
        <f t="shared" ca="1" si="221"/>
        <v>0</v>
      </c>
    </row>
    <row r="7045" spans="1:7">
      <c r="A7045">
        <v>3080</v>
      </c>
      <c r="B7045" t="s">
        <v>99</v>
      </c>
      <c r="C7045" t="s">
        <v>130</v>
      </c>
      <c r="D7045" s="9">
        <v>40721.783784722225</v>
      </c>
      <c r="E7045" t="s">
        <v>32</v>
      </c>
      <c r="F7045">
        <f t="shared" ca="1" si="220"/>
        <v>3.588888888888889</v>
      </c>
      <c r="G7045">
        <f t="shared" ca="1" si="221"/>
        <v>0</v>
      </c>
    </row>
    <row r="7046" spans="1:7">
      <c r="A7046">
        <v>3097</v>
      </c>
      <c r="B7046" t="s">
        <v>99</v>
      </c>
      <c r="C7046" t="s">
        <v>130</v>
      </c>
      <c r="D7046" s="9">
        <v>40722.692986111113</v>
      </c>
      <c r="E7046" t="s">
        <v>19</v>
      </c>
      <c r="F7046">
        <f t="shared" ca="1" si="220"/>
        <v>3.5861111111111112</v>
      </c>
      <c r="G7046">
        <f t="shared" ca="1" si="221"/>
        <v>0</v>
      </c>
    </row>
    <row r="7047" spans="1:7">
      <c r="A7047">
        <v>3100</v>
      </c>
      <c r="B7047" t="s">
        <v>99</v>
      </c>
      <c r="C7047" t="s">
        <v>130</v>
      </c>
      <c r="D7047" s="9">
        <v>40722.670046296298</v>
      </c>
      <c r="E7047" t="s">
        <v>21</v>
      </c>
      <c r="F7047">
        <f t="shared" ref="F7047:F7110" ca="1" si="222">YEARFRAC(TODAY(),$D7047)</f>
        <v>3.5861111111111112</v>
      </c>
      <c r="G7047">
        <f t="shared" ref="G7047:G7110" ca="1" si="223">IF($F7047&lt;1,1,0)</f>
        <v>0</v>
      </c>
    </row>
    <row r="7048" spans="1:7">
      <c r="A7048">
        <v>3101</v>
      </c>
      <c r="B7048" t="s">
        <v>99</v>
      </c>
      <c r="C7048" t="s">
        <v>130</v>
      </c>
      <c r="D7048" s="9">
        <v>40722.40766203704</v>
      </c>
      <c r="E7048" t="s">
        <v>8</v>
      </c>
      <c r="F7048">
        <f t="shared" ca="1" si="222"/>
        <v>3.5861111111111112</v>
      </c>
      <c r="G7048">
        <f t="shared" ca="1" si="223"/>
        <v>0</v>
      </c>
    </row>
    <row r="7049" spans="1:7">
      <c r="A7049">
        <v>3109</v>
      </c>
      <c r="B7049" t="s">
        <v>19</v>
      </c>
      <c r="C7049" t="s">
        <v>130</v>
      </c>
      <c r="D7049" s="9">
        <v>40721.707002314812</v>
      </c>
      <c r="E7049" t="s">
        <v>99</v>
      </c>
      <c r="F7049">
        <f t="shared" ca="1" si="222"/>
        <v>3.588888888888889</v>
      </c>
      <c r="G7049">
        <f t="shared" ca="1" si="223"/>
        <v>0</v>
      </c>
    </row>
    <row r="7050" spans="1:7">
      <c r="A7050">
        <v>3112</v>
      </c>
      <c r="B7050" t="s">
        <v>112</v>
      </c>
      <c r="C7050" t="s">
        <v>130</v>
      </c>
      <c r="D7050" s="9">
        <v>40722.503206018519</v>
      </c>
      <c r="E7050" t="s">
        <v>8</v>
      </c>
      <c r="F7050">
        <f t="shared" ca="1" si="222"/>
        <v>3.5861111111111112</v>
      </c>
      <c r="G7050">
        <f t="shared" ca="1" si="223"/>
        <v>0</v>
      </c>
    </row>
    <row r="7051" spans="1:7">
      <c r="A7051">
        <v>3125</v>
      </c>
      <c r="B7051" t="s">
        <v>44</v>
      </c>
      <c r="C7051" t="s">
        <v>130</v>
      </c>
      <c r="D7051" s="9">
        <v>40721.847546296296</v>
      </c>
      <c r="E7051" t="s">
        <v>99</v>
      </c>
      <c r="F7051">
        <f t="shared" ca="1" si="222"/>
        <v>3.588888888888889</v>
      </c>
      <c r="G7051">
        <f t="shared" ca="1" si="223"/>
        <v>0</v>
      </c>
    </row>
    <row r="7052" spans="1:7">
      <c r="A7052">
        <v>3128</v>
      </c>
      <c r="B7052" t="s">
        <v>99</v>
      </c>
      <c r="C7052" t="s">
        <v>130</v>
      </c>
      <c r="D7052" s="9">
        <v>40722.714398148149</v>
      </c>
      <c r="E7052" t="s">
        <v>8</v>
      </c>
      <c r="F7052">
        <f t="shared" ca="1" si="222"/>
        <v>3.5861111111111112</v>
      </c>
      <c r="G7052">
        <f t="shared" ca="1" si="223"/>
        <v>0</v>
      </c>
    </row>
    <row r="7053" spans="1:7">
      <c r="A7053">
        <v>3140</v>
      </c>
      <c r="B7053" t="s">
        <v>19</v>
      </c>
      <c r="C7053" t="s">
        <v>130</v>
      </c>
      <c r="D7053" s="9">
        <v>40721.667662037034</v>
      </c>
      <c r="E7053" t="s">
        <v>99</v>
      </c>
      <c r="F7053">
        <f t="shared" ca="1" si="222"/>
        <v>3.588888888888889</v>
      </c>
      <c r="G7053">
        <f t="shared" ca="1" si="223"/>
        <v>0</v>
      </c>
    </row>
    <row r="7054" spans="1:7">
      <c r="A7054">
        <v>3141</v>
      </c>
      <c r="B7054" t="s">
        <v>111</v>
      </c>
      <c r="C7054" t="s">
        <v>130</v>
      </c>
      <c r="D7054" s="9">
        <v>40722.504386574074</v>
      </c>
      <c r="E7054" t="s">
        <v>8</v>
      </c>
      <c r="F7054">
        <f t="shared" ca="1" si="222"/>
        <v>3.5861111111111112</v>
      </c>
      <c r="G7054">
        <f t="shared" ca="1" si="223"/>
        <v>0</v>
      </c>
    </row>
    <row r="7055" spans="1:7">
      <c r="A7055">
        <v>3143</v>
      </c>
      <c r="B7055" t="s">
        <v>20</v>
      </c>
      <c r="C7055" t="s">
        <v>130</v>
      </c>
      <c r="D7055" s="9">
        <v>40721.483460648145</v>
      </c>
      <c r="E7055" t="s">
        <v>112</v>
      </c>
      <c r="F7055">
        <f t="shared" ca="1" si="222"/>
        <v>3.588888888888889</v>
      </c>
      <c r="G7055">
        <f t="shared" ca="1" si="223"/>
        <v>0</v>
      </c>
    </row>
    <row r="7056" spans="1:7">
      <c r="A7056">
        <v>3145</v>
      </c>
      <c r="C7056" t="s">
        <v>129</v>
      </c>
      <c r="D7056" s="9">
        <v>40806.631643518522</v>
      </c>
      <c r="E7056" t="s">
        <v>27</v>
      </c>
      <c r="F7056">
        <f t="shared" ca="1" si="222"/>
        <v>3.3583333333333334</v>
      </c>
      <c r="G7056">
        <f t="shared" ca="1" si="223"/>
        <v>0</v>
      </c>
    </row>
    <row r="7057" spans="1:7">
      <c r="A7057">
        <v>3153</v>
      </c>
      <c r="B7057" t="s">
        <v>112</v>
      </c>
      <c r="C7057" t="s">
        <v>118</v>
      </c>
      <c r="D7057" s="9">
        <v>41703.671064814815</v>
      </c>
      <c r="E7057" t="s">
        <v>27</v>
      </c>
      <c r="F7057">
        <f t="shared" ca="1" si="222"/>
        <v>0.9</v>
      </c>
      <c r="G7057">
        <f t="shared" ca="1" si="223"/>
        <v>1</v>
      </c>
    </row>
    <row r="7058" spans="1:7">
      <c r="A7058">
        <v>3154</v>
      </c>
      <c r="B7058" t="s">
        <v>20</v>
      </c>
      <c r="C7058" t="s">
        <v>125</v>
      </c>
      <c r="D7058" s="9">
        <v>41211.903935185182</v>
      </c>
      <c r="E7058" t="s">
        <v>21</v>
      </c>
      <c r="F7058">
        <f t="shared" ca="1" si="222"/>
        <v>2.25</v>
      </c>
      <c r="G7058">
        <f t="shared" ca="1" si="223"/>
        <v>0</v>
      </c>
    </row>
    <row r="7059" spans="1:7">
      <c r="A7059">
        <v>3155</v>
      </c>
      <c r="B7059" t="s">
        <v>20</v>
      </c>
      <c r="C7059" t="s">
        <v>128</v>
      </c>
      <c r="D7059" s="9">
        <v>40917.828657407408</v>
      </c>
      <c r="E7059" t="s">
        <v>99</v>
      </c>
      <c r="F7059">
        <f t="shared" ca="1" si="222"/>
        <v>3.0555555555555554</v>
      </c>
      <c r="G7059">
        <f t="shared" ca="1" si="223"/>
        <v>0</v>
      </c>
    </row>
    <row r="7060" spans="1:7">
      <c r="A7060">
        <v>3195</v>
      </c>
      <c r="B7060" t="s">
        <v>99</v>
      </c>
      <c r="C7060" t="s">
        <v>130</v>
      </c>
      <c r="D7060" s="9">
        <v>40721.680590277778</v>
      </c>
      <c r="E7060" t="s">
        <v>36</v>
      </c>
      <c r="F7060">
        <f t="shared" ca="1" si="222"/>
        <v>3.588888888888889</v>
      </c>
      <c r="G7060">
        <f t="shared" ca="1" si="223"/>
        <v>0</v>
      </c>
    </row>
    <row r="7061" spans="1:7">
      <c r="A7061">
        <v>3196</v>
      </c>
      <c r="B7061" t="s">
        <v>20</v>
      </c>
      <c r="C7061" t="s">
        <v>130</v>
      </c>
      <c r="D7061" s="9">
        <v>40724.782349537039</v>
      </c>
      <c r="E7061" t="s">
        <v>21</v>
      </c>
      <c r="F7061">
        <f t="shared" ca="1" si="222"/>
        <v>3.5805555555555557</v>
      </c>
      <c r="G7061">
        <f t="shared" ca="1" si="223"/>
        <v>0</v>
      </c>
    </row>
    <row r="7062" spans="1:7">
      <c r="A7062">
        <v>3202</v>
      </c>
      <c r="B7062" t="s">
        <v>99</v>
      </c>
      <c r="C7062" t="s">
        <v>130</v>
      </c>
      <c r="D7062" s="9">
        <v>40722.874965277777</v>
      </c>
      <c r="E7062" t="s">
        <v>32</v>
      </c>
      <c r="F7062">
        <f t="shared" ca="1" si="222"/>
        <v>3.5861111111111112</v>
      </c>
      <c r="G7062">
        <f t="shared" ca="1" si="223"/>
        <v>0</v>
      </c>
    </row>
    <row r="7063" spans="1:7">
      <c r="A7063">
        <v>3212</v>
      </c>
      <c r="B7063" t="s">
        <v>99</v>
      </c>
      <c r="C7063" t="s">
        <v>130</v>
      </c>
      <c r="D7063" s="9">
        <v>40722.378217592595</v>
      </c>
      <c r="E7063" t="s">
        <v>19</v>
      </c>
      <c r="F7063">
        <f t="shared" ca="1" si="222"/>
        <v>3.5861111111111112</v>
      </c>
      <c r="G7063">
        <f t="shared" ca="1" si="223"/>
        <v>0</v>
      </c>
    </row>
    <row r="7064" spans="1:7">
      <c r="A7064">
        <v>3218</v>
      </c>
      <c r="B7064" t="s">
        <v>99</v>
      </c>
      <c r="C7064" t="s">
        <v>129</v>
      </c>
      <c r="D7064" s="9">
        <v>40806.705914351849</v>
      </c>
      <c r="E7064" t="s">
        <v>27</v>
      </c>
      <c r="F7064">
        <f t="shared" ca="1" si="222"/>
        <v>3.3583333333333334</v>
      </c>
      <c r="G7064">
        <f t="shared" ca="1" si="223"/>
        <v>0</v>
      </c>
    </row>
    <row r="7065" spans="1:7">
      <c r="A7065">
        <v>3222</v>
      </c>
      <c r="B7065" t="s">
        <v>99</v>
      </c>
      <c r="C7065" t="s">
        <v>130</v>
      </c>
      <c r="D7065" s="9">
        <v>40721.462870370371</v>
      </c>
      <c r="E7065" t="s">
        <v>19</v>
      </c>
      <c r="F7065">
        <f t="shared" ca="1" si="222"/>
        <v>3.588888888888889</v>
      </c>
      <c r="G7065">
        <f t="shared" ca="1" si="223"/>
        <v>0</v>
      </c>
    </row>
    <row r="7066" spans="1:7">
      <c r="A7066">
        <v>3225</v>
      </c>
      <c r="B7066" t="s">
        <v>44</v>
      </c>
      <c r="C7066" t="s">
        <v>128</v>
      </c>
      <c r="D7066" s="9">
        <v>40918.939791666664</v>
      </c>
      <c r="E7066" t="s">
        <v>27</v>
      </c>
      <c r="F7066">
        <f t="shared" ca="1" si="222"/>
        <v>3.0527777777777776</v>
      </c>
      <c r="G7066">
        <f t="shared" ca="1" si="223"/>
        <v>0</v>
      </c>
    </row>
    <row r="7067" spans="1:7">
      <c r="A7067">
        <v>3246</v>
      </c>
      <c r="B7067" t="s">
        <v>11</v>
      </c>
      <c r="C7067" t="s">
        <v>127</v>
      </c>
      <c r="D7067" s="9">
        <v>41030.927951388891</v>
      </c>
      <c r="E7067" t="s">
        <v>36</v>
      </c>
      <c r="F7067">
        <f t="shared" ca="1" si="222"/>
        <v>2.7444444444444445</v>
      </c>
      <c r="G7067">
        <f t="shared" ca="1" si="223"/>
        <v>0</v>
      </c>
    </row>
    <row r="7068" spans="1:7">
      <c r="A7068">
        <v>3251</v>
      </c>
      <c r="B7068" t="s">
        <v>143</v>
      </c>
      <c r="C7068" t="s">
        <v>128</v>
      </c>
      <c r="D7068" s="9">
        <v>40917.612534722219</v>
      </c>
      <c r="E7068" t="s">
        <v>27</v>
      </c>
      <c r="F7068">
        <f t="shared" ca="1" si="222"/>
        <v>3.0555555555555554</v>
      </c>
      <c r="G7068">
        <f t="shared" ca="1" si="223"/>
        <v>0</v>
      </c>
    </row>
    <row r="7069" spans="1:7">
      <c r="A7069">
        <v>3252</v>
      </c>
      <c r="B7069" t="s">
        <v>38</v>
      </c>
      <c r="C7069" t="s">
        <v>128</v>
      </c>
      <c r="D7069" s="9">
        <v>40918.670277777775</v>
      </c>
      <c r="E7069" t="s">
        <v>27</v>
      </c>
      <c r="F7069">
        <f t="shared" ca="1" si="222"/>
        <v>3.0527777777777776</v>
      </c>
      <c r="G7069">
        <f t="shared" ca="1" si="223"/>
        <v>0</v>
      </c>
    </row>
    <row r="7070" spans="1:7">
      <c r="A7070">
        <v>3253</v>
      </c>
      <c r="B7070" t="s">
        <v>21</v>
      </c>
      <c r="C7070" t="s">
        <v>129</v>
      </c>
      <c r="D7070" s="9">
        <v>40806.629305555558</v>
      </c>
      <c r="E7070" t="s">
        <v>32</v>
      </c>
      <c r="F7070">
        <f t="shared" ca="1" si="222"/>
        <v>3.3583333333333334</v>
      </c>
      <c r="G7070">
        <f t="shared" ca="1" si="223"/>
        <v>0</v>
      </c>
    </row>
    <row r="7071" spans="1:7">
      <c r="A7071">
        <v>3255</v>
      </c>
      <c r="B7071" t="s">
        <v>69</v>
      </c>
      <c r="C7071" t="s">
        <v>118</v>
      </c>
      <c r="D7071" s="9">
        <v>41767.621793981481</v>
      </c>
      <c r="E7071" t="s">
        <v>20</v>
      </c>
      <c r="F7071">
        <f t="shared" ca="1" si="222"/>
        <v>0.72499999999999998</v>
      </c>
      <c r="G7071">
        <f t="shared" ca="1" si="223"/>
        <v>1</v>
      </c>
    </row>
    <row r="7072" spans="1:7">
      <c r="A7072">
        <v>3275</v>
      </c>
      <c r="B7072" t="s">
        <v>101</v>
      </c>
      <c r="C7072" t="s">
        <v>129</v>
      </c>
      <c r="D7072" s="9">
        <v>40806.438738425924</v>
      </c>
      <c r="E7072" t="s">
        <v>44</v>
      </c>
      <c r="F7072">
        <f t="shared" ca="1" si="222"/>
        <v>3.3583333333333334</v>
      </c>
      <c r="G7072">
        <f t="shared" ca="1" si="223"/>
        <v>0</v>
      </c>
    </row>
    <row r="7073" spans="1:7">
      <c r="A7073">
        <v>3291</v>
      </c>
      <c r="B7073" t="s">
        <v>99</v>
      </c>
      <c r="C7073" t="s">
        <v>129</v>
      </c>
      <c r="D7073" s="9">
        <v>40806.616585648146</v>
      </c>
      <c r="E7073" t="s">
        <v>27</v>
      </c>
      <c r="F7073">
        <f t="shared" ca="1" si="222"/>
        <v>3.3583333333333334</v>
      </c>
      <c r="G7073">
        <f t="shared" ca="1" si="223"/>
        <v>0</v>
      </c>
    </row>
    <row r="7074" spans="1:7">
      <c r="A7074">
        <v>3305</v>
      </c>
      <c r="B7074" t="s">
        <v>101</v>
      </c>
      <c r="C7074" t="s">
        <v>129</v>
      </c>
      <c r="D7074" s="9">
        <v>40805.795983796299</v>
      </c>
      <c r="E7074" t="s">
        <v>11</v>
      </c>
      <c r="F7074">
        <f t="shared" ca="1" si="222"/>
        <v>3.3611111111111112</v>
      </c>
      <c r="G7074">
        <f t="shared" ca="1" si="223"/>
        <v>0</v>
      </c>
    </row>
    <row r="7075" spans="1:7">
      <c r="A7075">
        <v>3313</v>
      </c>
      <c r="B7075" t="s">
        <v>44</v>
      </c>
      <c r="C7075" t="s">
        <v>128</v>
      </c>
      <c r="D7075" s="9">
        <v>40919.875208333331</v>
      </c>
      <c r="E7075" t="s">
        <v>32</v>
      </c>
      <c r="F7075">
        <f t="shared" ca="1" si="222"/>
        <v>3.05</v>
      </c>
      <c r="G7075">
        <f t="shared" ca="1" si="223"/>
        <v>0</v>
      </c>
    </row>
    <row r="7076" spans="1:7">
      <c r="A7076">
        <v>3321</v>
      </c>
      <c r="B7076" t="s">
        <v>11</v>
      </c>
      <c r="C7076" t="s">
        <v>129</v>
      </c>
      <c r="D7076" s="9">
        <v>40806.703217592592</v>
      </c>
      <c r="E7076" t="s">
        <v>32</v>
      </c>
      <c r="F7076">
        <f t="shared" ca="1" si="222"/>
        <v>3.3583333333333334</v>
      </c>
      <c r="G7076">
        <f t="shared" ca="1" si="223"/>
        <v>0</v>
      </c>
    </row>
    <row r="7077" spans="1:7">
      <c r="A7077">
        <v>3352</v>
      </c>
      <c r="B7077" t="s">
        <v>34</v>
      </c>
      <c r="C7077" t="s">
        <v>129</v>
      </c>
      <c r="D7077" s="9">
        <v>40805.881747685184</v>
      </c>
      <c r="E7077" t="s">
        <v>11</v>
      </c>
      <c r="F7077">
        <f t="shared" ca="1" si="222"/>
        <v>3.3611111111111112</v>
      </c>
      <c r="G7077">
        <f t="shared" ca="1" si="223"/>
        <v>0</v>
      </c>
    </row>
    <row r="7078" spans="1:7">
      <c r="A7078">
        <v>3353</v>
      </c>
      <c r="B7078" t="s">
        <v>19</v>
      </c>
      <c r="C7078" t="s">
        <v>129</v>
      </c>
      <c r="D7078" s="9">
        <v>40805.787407407406</v>
      </c>
      <c r="E7078" t="s">
        <v>99</v>
      </c>
      <c r="F7078">
        <f t="shared" ca="1" si="222"/>
        <v>3.3611111111111112</v>
      </c>
      <c r="G7078">
        <f t="shared" ca="1" si="223"/>
        <v>0</v>
      </c>
    </row>
    <row r="7079" spans="1:7">
      <c r="A7079">
        <v>3356</v>
      </c>
      <c r="B7079" t="s">
        <v>19</v>
      </c>
      <c r="C7079" t="s">
        <v>128</v>
      </c>
      <c r="D7079" s="9">
        <v>40917.591400462959</v>
      </c>
      <c r="E7079" t="s">
        <v>27</v>
      </c>
      <c r="F7079">
        <f t="shared" ca="1" si="222"/>
        <v>3.0555555555555554</v>
      </c>
      <c r="G7079">
        <f t="shared" ca="1" si="223"/>
        <v>0</v>
      </c>
    </row>
    <row r="7080" spans="1:7">
      <c r="A7080">
        <v>3374</v>
      </c>
      <c r="B7080" t="s">
        <v>32</v>
      </c>
      <c r="C7080" t="s">
        <v>129</v>
      </c>
      <c r="D7080" s="9">
        <v>40807.644745370373</v>
      </c>
      <c r="E7080" t="s">
        <v>21</v>
      </c>
      <c r="F7080">
        <f t="shared" ca="1" si="222"/>
        <v>3.3555555555555556</v>
      </c>
      <c r="G7080">
        <f t="shared" ca="1" si="223"/>
        <v>0</v>
      </c>
    </row>
    <row r="7081" spans="1:7">
      <c r="A7081">
        <v>3378</v>
      </c>
      <c r="B7081" t="s">
        <v>11</v>
      </c>
      <c r="C7081" t="s">
        <v>129</v>
      </c>
      <c r="D7081" s="9">
        <v>40806.852048611108</v>
      </c>
      <c r="E7081" t="s">
        <v>99</v>
      </c>
      <c r="F7081">
        <f t="shared" ca="1" si="222"/>
        <v>3.3583333333333334</v>
      </c>
      <c r="G7081">
        <f t="shared" ca="1" si="223"/>
        <v>0</v>
      </c>
    </row>
    <row r="7082" spans="1:7">
      <c r="A7082">
        <v>3379</v>
      </c>
      <c r="B7082" t="s">
        <v>99</v>
      </c>
      <c r="C7082" t="s">
        <v>129</v>
      </c>
      <c r="D7082" s="9">
        <v>40806.413472222222</v>
      </c>
      <c r="E7082" t="s">
        <v>36</v>
      </c>
      <c r="F7082">
        <f t="shared" ca="1" si="222"/>
        <v>3.3583333333333334</v>
      </c>
      <c r="G7082">
        <f t="shared" ca="1" si="223"/>
        <v>0</v>
      </c>
    </row>
    <row r="7083" spans="1:7">
      <c r="A7083">
        <v>3384</v>
      </c>
      <c r="B7083" t="s">
        <v>111</v>
      </c>
      <c r="C7083" t="s">
        <v>129</v>
      </c>
      <c r="D7083" s="9">
        <v>40806.67559027778</v>
      </c>
      <c r="E7083" t="s">
        <v>27</v>
      </c>
      <c r="F7083">
        <f t="shared" ca="1" si="222"/>
        <v>3.3583333333333334</v>
      </c>
      <c r="G7083">
        <f t="shared" ca="1" si="223"/>
        <v>0</v>
      </c>
    </row>
    <row r="7084" spans="1:7">
      <c r="A7084">
        <v>3387</v>
      </c>
      <c r="B7084" t="s">
        <v>20</v>
      </c>
      <c r="C7084" t="s">
        <v>129</v>
      </c>
      <c r="D7084" s="9">
        <v>40805.838900462964</v>
      </c>
      <c r="E7084" t="s">
        <v>99</v>
      </c>
      <c r="F7084">
        <f t="shared" ca="1" si="222"/>
        <v>3.3611111111111112</v>
      </c>
      <c r="G7084">
        <f t="shared" ca="1" si="223"/>
        <v>0</v>
      </c>
    </row>
    <row r="7085" spans="1:7">
      <c r="A7085">
        <v>3388</v>
      </c>
      <c r="B7085" t="s">
        <v>11</v>
      </c>
      <c r="C7085" t="s">
        <v>129</v>
      </c>
      <c r="D7085" s="9">
        <v>40805.67900462963</v>
      </c>
      <c r="E7085" t="s">
        <v>99</v>
      </c>
      <c r="F7085">
        <f t="shared" ca="1" si="222"/>
        <v>3.3611111111111112</v>
      </c>
      <c r="G7085">
        <f t="shared" ca="1" si="223"/>
        <v>0</v>
      </c>
    </row>
    <row r="7086" spans="1:7">
      <c r="A7086">
        <v>3393</v>
      </c>
      <c r="B7086" t="s">
        <v>36</v>
      </c>
      <c r="C7086" t="s">
        <v>142</v>
      </c>
      <c r="D7086" s="9">
        <v>41423.718009259261</v>
      </c>
      <c r="E7086" t="s">
        <v>11</v>
      </c>
      <c r="F7086">
        <f t="shared" ca="1" si="222"/>
        <v>1.6666666666666667</v>
      </c>
      <c r="G7086">
        <f t="shared" ca="1" si="223"/>
        <v>0</v>
      </c>
    </row>
    <row r="7087" spans="1:7">
      <c r="A7087">
        <v>3395</v>
      </c>
      <c r="B7087" t="s">
        <v>11</v>
      </c>
      <c r="C7087" t="s">
        <v>129</v>
      </c>
      <c r="D7087" s="9">
        <v>40806.583865740744</v>
      </c>
      <c r="E7087" t="s">
        <v>27</v>
      </c>
      <c r="F7087">
        <f t="shared" ca="1" si="222"/>
        <v>3.3583333333333334</v>
      </c>
      <c r="G7087">
        <f t="shared" ca="1" si="223"/>
        <v>0</v>
      </c>
    </row>
    <row r="7088" spans="1:7">
      <c r="A7088">
        <v>3397</v>
      </c>
      <c r="B7088" t="s">
        <v>32</v>
      </c>
      <c r="C7088" t="s">
        <v>129</v>
      </c>
      <c r="D7088" s="9">
        <v>40807.828750000001</v>
      </c>
      <c r="E7088" t="s">
        <v>27</v>
      </c>
      <c r="F7088">
        <f t="shared" ca="1" si="222"/>
        <v>3.3555555555555556</v>
      </c>
      <c r="G7088">
        <f t="shared" ca="1" si="223"/>
        <v>0</v>
      </c>
    </row>
    <row r="7089" spans="1:7">
      <c r="A7089">
        <v>3399</v>
      </c>
      <c r="B7089" t="s">
        <v>11</v>
      </c>
      <c r="C7089" t="s">
        <v>129</v>
      </c>
      <c r="D7089" s="9">
        <v>40805.706574074073</v>
      </c>
      <c r="E7089" t="s">
        <v>111</v>
      </c>
      <c r="F7089">
        <f t="shared" ca="1" si="222"/>
        <v>3.3611111111111112</v>
      </c>
      <c r="G7089">
        <f t="shared" ca="1" si="223"/>
        <v>0</v>
      </c>
    </row>
    <row r="7090" spans="1:7">
      <c r="A7090">
        <v>3402</v>
      </c>
      <c r="B7090" t="s">
        <v>112</v>
      </c>
      <c r="C7090" t="s">
        <v>122</v>
      </c>
      <c r="D7090" s="9">
        <v>41383.670474537037</v>
      </c>
      <c r="E7090" t="s">
        <v>20</v>
      </c>
      <c r="F7090">
        <f t="shared" ca="1" si="222"/>
        <v>1.7777777777777777</v>
      </c>
      <c r="G7090">
        <f t="shared" ca="1" si="223"/>
        <v>0</v>
      </c>
    </row>
    <row r="7091" spans="1:7">
      <c r="A7091">
        <v>3404</v>
      </c>
      <c r="B7091" t="s">
        <v>101</v>
      </c>
      <c r="C7091" t="s">
        <v>129</v>
      </c>
      <c r="D7091" s="9">
        <v>40806.428287037037</v>
      </c>
      <c r="E7091" t="s">
        <v>44</v>
      </c>
      <c r="F7091">
        <f t="shared" ca="1" si="222"/>
        <v>3.3583333333333334</v>
      </c>
      <c r="G7091">
        <f t="shared" ca="1" si="223"/>
        <v>0</v>
      </c>
    </row>
    <row r="7092" spans="1:7">
      <c r="A7092">
        <v>3427</v>
      </c>
      <c r="B7092" t="s">
        <v>101</v>
      </c>
      <c r="C7092" t="s">
        <v>129</v>
      </c>
      <c r="D7092" s="9">
        <v>40806.446388888886</v>
      </c>
      <c r="E7092" t="s">
        <v>44</v>
      </c>
      <c r="F7092">
        <f t="shared" ca="1" si="222"/>
        <v>3.3583333333333334</v>
      </c>
      <c r="G7092">
        <f t="shared" ca="1" si="223"/>
        <v>0</v>
      </c>
    </row>
    <row r="7093" spans="1:7">
      <c r="A7093">
        <v>3434</v>
      </c>
      <c r="B7093" t="s">
        <v>99</v>
      </c>
      <c r="C7093" t="s">
        <v>129</v>
      </c>
      <c r="D7093" s="9">
        <v>40805.882743055554</v>
      </c>
      <c r="E7093" t="s">
        <v>11</v>
      </c>
      <c r="F7093">
        <f t="shared" ca="1" si="222"/>
        <v>3.3611111111111112</v>
      </c>
      <c r="G7093">
        <f t="shared" ca="1" si="223"/>
        <v>0</v>
      </c>
    </row>
    <row r="7094" spans="1:7">
      <c r="A7094">
        <v>3436</v>
      </c>
      <c r="B7094" t="s">
        <v>36</v>
      </c>
      <c r="C7094" t="s">
        <v>129</v>
      </c>
      <c r="D7094" s="9">
        <v>40805.602731481478</v>
      </c>
      <c r="E7094" t="s">
        <v>38</v>
      </c>
      <c r="F7094">
        <f t="shared" ca="1" si="222"/>
        <v>3.3611111111111112</v>
      </c>
      <c r="G7094">
        <f t="shared" ca="1" si="223"/>
        <v>0</v>
      </c>
    </row>
    <row r="7095" spans="1:7">
      <c r="A7095">
        <v>3437</v>
      </c>
      <c r="B7095" t="s">
        <v>43</v>
      </c>
      <c r="C7095" t="s">
        <v>127</v>
      </c>
      <c r="D7095" s="9">
        <v>41031.600740740738</v>
      </c>
      <c r="E7095" t="s">
        <v>38</v>
      </c>
      <c r="F7095">
        <f t="shared" ca="1" si="222"/>
        <v>2.7416666666666667</v>
      </c>
      <c r="G7095">
        <f t="shared" ca="1" si="223"/>
        <v>0</v>
      </c>
    </row>
    <row r="7096" spans="1:7">
      <c r="A7096">
        <v>3441</v>
      </c>
      <c r="B7096" t="s">
        <v>19</v>
      </c>
      <c r="C7096" t="s">
        <v>129</v>
      </c>
      <c r="D7096" s="9">
        <v>40806.632511574076</v>
      </c>
      <c r="E7096" t="s">
        <v>27</v>
      </c>
      <c r="F7096">
        <f t="shared" ca="1" si="222"/>
        <v>3.3583333333333334</v>
      </c>
      <c r="G7096">
        <f t="shared" ca="1" si="223"/>
        <v>0</v>
      </c>
    </row>
    <row r="7097" spans="1:7">
      <c r="A7097">
        <v>3447</v>
      </c>
      <c r="B7097" t="s">
        <v>27</v>
      </c>
      <c r="C7097" t="s">
        <v>129</v>
      </c>
      <c r="D7097" s="9">
        <v>40806.664027777777</v>
      </c>
      <c r="E7097" t="s">
        <v>19</v>
      </c>
      <c r="F7097">
        <f t="shared" ca="1" si="222"/>
        <v>3.3583333333333334</v>
      </c>
      <c r="G7097">
        <f t="shared" ca="1" si="223"/>
        <v>0</v>
      </c>
    </row>
    <row r="7098" spans="1:7">
      <c r="A7098">
        <v>3450</v>
      </c>
      <c r="B7098" t="s">
        <v>32</v>
      </c>
      <c r="C7098" t="s">
        <v>129</v>
      </c>
      <c r="D7098" s="9">
        <v>40806.692314814813</v>
      </c>
      <c r="E7098" t="s">
        <v>99</v>
      </c>
      <c r="F7098">
        <f t="shared" ca="1" si="222"/>
        <v>3.3583333333333334</v>
      </c>
      <c r="G7098">
        <f t="shared" ca="1" si="223"/>
        <v>0</v>
      </c>
    </row>
    <row r="7099" spans="1:7">
      <c r="A7099">
        <v>3456</v>
      </c>
      <c r="B7099" t="s">
        <v>99</v>
      </c>
      <c r="C7099" t="s">
        <v>129</v>
      </c>
      <c r="D7099" s="9">
        <v>40806.588958333334</v>
      </c>
      <c r="E7099" t="s">
        <v>8</v>
      </c>
      <c r="F7099">
        <f t="shared" ca="1" si="222"/>
        <v>3.3583333333333334</v>
      </c>
      <c r="G7099">
        <f t="shared" ca="1" si="223"/>
        <v>0</v>
      </c>
    </row>
    <row r="7100" spans="1:7">
      <c r="A7100">
        <v>3463</v>
      </c>
      <c r="B7100" t="s">
        <v>112</v>
      </c>
      <c r="C7100" t="s">
        <v>121</v>
      </c>
      <c r="D7100" s="9">
        <v>41480.513101851851</v>
      </c>
      <c r="E7100" t="s">
        <v>111</v>
      </c>
      <c r="F7100">
        <f t="shared" ca="1" si="222"/>
        <v>1.5111111111111111</v>
      </c>
      <c r="G7100">
        <f t="shared" ca="1" si="223"/>
        <v>0</v>
      </c>
    </row>
    <row r="7101" spans="1:7">
      <c r="A7101">
        <v>3464</v>
      </c>
      <c r="B7101" t="s">
        <v>17</v>
      </c>
      <c r="C7101" t="s">
        <v>120</v>
      </c>
      <c r="D7101" s="9">
        <v>41570.442719907405</v>
      </c>
      <c r="E7101" t="s">
        <v>11</v>
      </c>
      <c r="F7101">
        <f t="shared" ca="1" si="222"/>
        <v>1.2666666666666666</v>
      </c>
      <c r="G7101">
        <f t="shared" ca="1" si="223"/>
        <v>0</v>
      </c>
    </row>
    <row r="7102" spans="1:7">
      <c r="A7102">
        <v>3472</v>
      </c>
      <c r="B7102" t="s">
        <v>11</v>
      </c>
      <c r="C7102" t="s">
        <v>129</v>
      </c>
      <c r="D7102" s="9">
        <v>40806.403738425928</v>
      </c>
      <c r="E7102" t="s">
        <v>36</v>
      </c>
      <c r="F7102">
        <f t="shared" ca="1" si="222"/>
        <v>3.3583333333333334</v>
      </c>
      <c r="G7102">
        <f t="shared" ca="1" si="223"/>
        <v>0</v>
      </c>
    </row>
    <row r="7103" spans="1:7">
      <c r="A7103">
        <v>3492</v>
      </c>
      <c r="B7103" t="s">
        <v>99</v>
      </c>
      <c r="C7103" t="s">
        <v>129</v>
      </c>
      <c r="D7103" s="9">
        <v>40806.679895833331</v>
      </c>
      <c r="E7103" t="s">
        <v>19</v>
      </c>
      <c r="F7103">
        <f t="shared" ca="1" si="222"/>
        <v>3.3583333333333334</v>
      </c>
      <c r="G7103">
        <f t="shared" ca="1" si="223"/>
        <v>0</v>
      </c>
    </row>
    <row r="7104" spans="1:7">
      <c r="A7104">
        <v>3495</v>
      </c>
      <c r="B7104" t="s">
        <v>23</v>
      </c>
      <c r="C7104" t="s">
        <v>129</v>
      </c>
      <c r="D7104" s="9">
        <v>40805.956689814811</v>
      </c>
      <c r="E7104" t="s">
        <v>27</v>
      </c>
      <c r="F7104">
        <f t="shared" ca="1" si="222"/>
        <v>3.3611111111111112</v>
      </c>
      <c r="G7104">
        <f t="shared" ca="1" si="223"/>
        <v>0</v>
      </c>
    </row>
    <row r="7105" spans="1:7">
      <c r="A7105">
        <v>3497</v>
      </c>
      <c r="B7105" t="s">
        <v>32</v>
      </c>
      <c r="C7105" t="s">
        <v>128</v>
      </c>
      <c r="D7105" s="9">
        <v>40920.811898148146</v>
      </c>
      <c r="E7105" t="s">
        <v>20</v>
      </c>
      <c r="F7105">
        <f t="shared" ca="1" si="222"/>
        <v>3.0472222222222221</v>
      </c>
      <c r="G7105">
        <f t="shared" ca="1" si="223"/>
        <v>0</v>
      </c>
    </row>
    <row r="7106" spans="1:7">
      <c r="A7106">
        <v>3499</v>
      </c>
      <c r="B7106" t="s">
        <v>21</v>
      </c>
      <c r="C7106" t="s">
        <v>129</v>
      </c>
      <c r="D7106" s="9">
        <v>40807.685196759259</v>
      </c>
      <c r="E7106" t="s">
        <v>8</v>
      </c>
      <c r="F7106">
        <f t="shared" ca="1" si="222"/>
        <v>3.3555555555555556</v>
      </c>
      <c r="G7106">
        <f t="shared" ca="1" si="223"/>
        <v>0</v>
      </c>
    </row>
    <row r="7107" spans="1:7">
      <c r="A7107">
        <v>3500</v>
      </c>
      <c r="B7107" t="s">
        <v>20</v>
      </c>
      <c r="C7107" t="s">
        <v>129</v>
      </c>
      <c r="D7107" s="9">
        <v>40805.599444444444</v>
      </c>
      <c r="E7107" t="s">
        <v>32</v>
      </c>
      <c r="F7107">
        <f t="shared" ca="1" si="222"/>
        <v>3.3611111111111112</v>
      </c>
      <c r="G7107">
        <f t="shared" ca="1" si="223"/>
        <v>0</v>
      </c>
    </row>
    <row r="7108" spans="1:7">
      <c r="A7108">
        <v>3508</v>
      </c>
      <c r="B7108" t="s">
        <v>32</v>
      </c>
      <c r="C7108" t="s">
        <v>129</v>
      </c>
      <c r="D7108" s="9">
        <v>40806.693240740744</v>
      </c>
      <c r="E7108" t="s">
        <v>99</v>
      </c>
      <c r="F7108">
        <f t="shared" ca="1" si="222"/>
        <v>3.3583333333333334</v>
      </c>
      <c r="G7108">
        <f t="shared" ca="1" si="223"/>
        <v>0</v>
      </c>
    </row>
    <row r="7109" spans="1:7">
      <c r="A7109">
        <v>3518</v>
      </c>
      <c r="B7109" t="s">
        <v>99</v>
      </c>
      <c r="C7109" t="s">
        <v>129</v>
      </c>
      <c r="D7109" s="9">
        <v>40807.601689814815</v>
      </c>
      <c r="E7109" t="s">
        <v>27</v>
      </c>
      <c r="F7109">
        <f t="shared" ca="1" si="222"/>
        <v>3.3555555555555556</v>
      </c>
      <c r="G7109">
        <f t="shared" ca="1" si="223"/>
        <v>0</v>
      </c>
    </row>
    <row r="7110" spans="1:7">
      <c r="A7110">
        <v>3520</v>
      </c>
      <c r="B7110" t="s">
        <v>99</v>
      </c>
      <c r="C7110" t="s">
        <v>129</v>
      </c>
      <c r="D7110" s="9">
        <v>40805.832349537035</v>
      </c>
      <c r="E7110" t="s">
        <v>32</v>
      </c>
      <c r="F7110">
        <f t="shared" ca="1" si="222"/>
        <v>3.3611111111111112</v>
      </c>
      <c r="G7110">
        <f t="shared" ca="1" si="223"/>
        <v>0</v>
      </c>
    </row>
    <row r="7111" spans="1:7">
      <c r="A7111">
        <v>3525</v>
      </c>
      <c r="B7111" t="s">
        <v>99</v>
      </c>
      <c r="C7111" t="s">
        <v>129</v>
      </c>
      <c r="D7111" s="9">
        <v>40806.717962962961</v>
      </c>
      <c r="E7111" t="s">
        <v>11</v>
      </c>
      <c r="F7111">
        <f t="shared" ref="F7111:F7174" ca="1" si="224">YEARFRAC(TODAY(),$D7111)</f>
        <v>3.3583333333333334</v>
      </c>
      <c r="G7111">
        <f t="shared" ref="G7111:G7174" ca="1" si="225">IF($F7111&lt;1,1,0)</f>
        <v>0</v>
      </c>
    </row>
    <row r="7112" spans="1:7">
      <c r="A7112">
        <v>3528</v>
      </c>
      <c r="B7112" t="s">
        <v>27</v>
      </c>
      <c r="C7112" t="s">
        <v>129</v>
      </c>
      <c r="D7112" s="9">
        <v>40806.665324074071</v>
      </c>
      <c r="E7112" t="s">
        <v>99</v>
      </c>
      <c r="F7112">
        <f t="shared" ca="1" si="224"/>
        <v>3.3583333333333334</v>
      </c>
      <c r="G7112">
        <f t="shared" ca="1" si="225"/>
        <v>0</v>
      </c>
    </row>
    <row r="7113" spans="1:7">
      <c r="A7113">
        <v>3529</v>
      </c>
      <c r="B7113" t="s">
        <v>27</v>
      </c>
      <c r="C7113" t="s">
        <v>129</v>
      </c>
      <c r="D7113" s="9">
        <v>40807.455393518518</v>
      </c>
      <c r="E7113" t="s">
        <v>19</v>
      </c>
      <c r="F7113">
        <f t="shared" ca="1" si="224"/>
        <v>3.3555555555555556</v>
      </c>
      <c r="G7113">
        <f t="shared" ca="1" si="225"/>
        <v>0</v>
      </c>
    </row>
    <row r="7114" spans="1:7">
      <c r="A7114">
        <v>3530</v>
      </c>
      <c r="B7114" t="s">
        <v>99</v>
      </c>
      <c r="C7114" t="s">
        <v>129</v>
      </c>
      <c r="D7114" s="9">
        <v>40806.681631944448</v>
      </c>
      <c r="E7114" t="s">
        <v>27</v>
      </c>
      <c r="F7114">
        <f t="shared" ca="1" si="224"/>
        <v>3.3583333333333334</v>
      </c>
      <c r="G7114">
        <f t="shared" ca="1" si="225"/>
        <v>0</v>
      </c>
    </row>
    <row r="7115" spans="1:7">
      <c r="A7115">
        <v>3531</v>
      </c>
      <c r="B7115" t="s">
        <v>32</v>
      </c>
      <c r="C7115" t="s">
        <v>129</v>
      </c>
      <c r="D7115" s="9">
        <v>40805.684340277781</v>
      </c>
      <c r="E7115" t="s">
        <v>99</v>
      </c>
      <c r="F7115">
        <f t="shared" ca="1" si="224"/>
        <v>3.3611111111111112</v>
      </c>
      <c r="G7115">
        <f t="shared" ca="1" si="225"/>
        <v>0</v>
      </c>
    </row>
    <row r="7116" spans="1:7">
      <c r="A7116">
        <v>3544</v>
      </c>
      <c r="B7116" t="s">
        <v>36</v>
      </c>
      <c r="C7116" t="s">
        <v>129</v>
      </c>
      <c r="D7116" s="9">
        <v>40805.677743055552</v>
      </c>
      <c r="E7116" t="s">
        <v>38</v>
      </c>
      <c r="F7116">
        <f t="shared" ca="1" si="224"/>
        <v>3.3611111111111112</v>
      </c>
      <c r="G7116">
        <f t="shared" ca="1" si="225"/>
        <v>0</v>
      </c>
    </row>
    <row r="7117" spans="1:7">
      <c r="A7117">
        <v>3548</v>
      </c>
      <c r="B7117" t="s">
        <v>44</v>
      </c>
      <c r="C7117" t="s">
        <v>129</v>
      </c>
      <c r="D7117" s="9">
        <v>40805.703587962962</v>
      </c>
      <c r="E7117" t="s">
        <v>111</v>
      </c>
      <c r="F7117">
        <f t="shared" ca="1" si="224"/>
        <v>3.3611111111111112</v>
      </c>
      <c r="G7117">
        <f t="shared" ca="1" si="225"/>
        <v>0</v>
      </c>
    </row>
    <row r="7118" spans="1:7">
      <c r="A7118">
        <v>3562</v>
      </c>
      <c r="B7118" t="s">
        <v>11</v>
      </c>
      <c r="C7118" t="s">
        <v>127</v>
      </c>
      <c r="D7118" s="9">
        <v>41031.728298611109</v>
      </c>
      <c r="E7118" t="s">
        <v>37</v>
      </c>
      <c r="F7118">
        <f t="shared" ca="1" si="224"/>
        <v>2.7416666666666667</v>
      </c>
      <c r="G7118">
        <f t="shared" ca="1" si="225"/>
        <v>0</v>
      </c>
    </row>
    <row r="7119" spans="1:7">
      <c r="A7119">
        <v>3584</v>
      </c>
      <c r="B7119" t="s">
        <v>44</v>
      </c>
      <c r="C7119" t="s">
        <v>129</v>
      </c>
      <c r="D7119" s="9">
        <v>40807.636261574073</v>
      </c>
      <c r="E7119" t="s">
        <v>8</v>
      </c>
      <c r="F7119">
        <f t="shared" ca="1" si="224"/>
        <v>3.3555555555555556</v>
      </c>
      <c r="G7119">
        <f t="shared" ca="1" si="225"/>
        <v>0</v>
      </c>
    </row>
    <row r="7120" spans="1:7">
      <c r="A7120">
        <v>3588</v>
      </c>
      <c r="B7120" t="s">
        <v>11</v>
      </c>
      <c r="C7120" t="s">
        <v>129</v>
      </c>
      <c r="D7120" s="9">
        <v>40805.69258101852</v>
      </c>
      <c r="E7120" t="s">
        <v>99</v>
      </c>
      <c r="F7120">
        <f t="shared" ca="1" si="224"/>
        <v>3.3611111111111112</v>
      </c>
      <c r="G7120">
        <f t="shared" ca="1" si="225"/>
        <v>0</v>
      </c>
    </row>
    <row r="7121" spans="1:7">
      <c r="A7121">
        <v>3589</v>
      </c>
      <c r="B7121" t="s">
        <v>99</v>
      </c>
      <c r="C7121" t="s">
        <v>129</v>
      </c>
      <c r="D7121" s="9">
        <v>40805.830092592594</v>
      </c>
      <c r="E7121" t="s">
        <v>32</v>
      </c>
      <c r="F7121">
        <f t="shared" ca="1" si="224"/>
        <v>3.3611111111111112</v>
      </c>
      <c r="G7121">
        <f t="shared" ca="1" si="225"/>
        <v>0</v>
      </c>
    </row>
    <row r="7122" spans="1:7">
      <c r="A7122">
        <v>3595</v>
      </c>
      <c r="B7122" t="s">
        <v>19</v>
      </c>
      <c r="C7122" t="s">
        <v>129</v>
      </c>
      <c r="D7122" s="9">
        <v>40806.684270833335</v>
      </c>
      <c r="E7122" t="s">
        <v>27</v>
      </c>
      <c r="F7122">
        <f t="shared" ca="1" si="224"/>
        <v>3.3583333333333334</v>
      </c>
      <c r="G7122">
        <f t="shared" ca="1" si="225"/>
        <v>0</v>
      </c>
    </row>
    <row r="7123" spans="1:7">
      <c r="A7123">
        <v>3596</v>
      </c>
      <c r="B7123" t="s">
        <v>20</v>
      </c>
      <c r="C7123" t="s">
        <v>129</v>
      </c>
      <c r="D7123" s="9">
        <v>40805.704699074071</v>
      </c>
      <c r="E7123" t="s">
        <v>111</v>
      </c>
      <c r="F7123">
        <f t="shared" ca="1" si="224"/>
        <v>3.3611111111111112</v>
      </c>
      <c r="G7123">
        <f t="shared" ca="1" si="225"/>
        <v>0</v>
      </c>
    </row>
    <row r="7124" spans="1:7">
      <c r="A7124">
        <v>3598</v>
      </c>
      <c r="B7124" t="s">
        <v>11</v>
      </c>
      <c r="C7124" t="s">
        <v>129</v>
      </c>
      <c r="D7124" s="9">
        <v>40806.704247685186</v>
      </c>
      <c r="E7124" t="s">
        <v>27</v>
      </c>
      <c r="F7124">
        <f t="shared" ca="1" si="224"/>
        <v>3.3583333333333334</v>
      </c>
      <c r="G7124">
        <f t="shared" ca="1" si="225"/>
        <v>0</v>
      </c>
    </row>
    <row r="7125" spans="1:7">
      <c r="A7125">
        <v>3619</v>
      </c>
      <c r="B7125" t="s">
        <v>99</v>
      </c>
      <c r="C7125" t="s">
        <v>129</v>
      </c>
      <c r="D7125" s="9">
        <v>40806.454502314817</v>
      </c>
      <c r="E7125" t="s">
        <v>8</v>
      </c>
      <c r="F7125">
        <f t="shared" ca="1" si="224"/>
        <v>3.3583333333333334</v>
      </c>
      <c r="G7125">
        <f t="shared" ca="1" si="225"/>
        <v>0</v>
      </c>
    </row>
    <row r="7126" spans="1:7">
      <c r="A7126">
        <v>3620</v>
      </c>
      <c r="B7126" t="s">
        <v>99</v>
      </c>
      <c r="C7126" t="s">
        <v>129</v>
      </c>
      <c r="D7126" s="9">
        <v>40806.575879629629</v>
      </c>
      <c r="E7126" t="s">
        <v>8</v>
      </c>
      <c r="F7126">
        <f t="shared" ca="1" si="224"/>
        <v>3.3583333333333334</v>
      </c>
      <c r="G7126">
        <f t="shared" ca="1" si="225"/>
        <v>0</v>
      </c>
    </row>
    <row r="7127" spans="1:7">
      <c r="A7127">
        <v>3626</v>
      </c>
      <c r="B7127" t="s">
        <v>20</v>
      </c>
      <c r="C7127" t="s">
        <v>129</v>
      </c>
      <c r="D7127" s="9">
        <v>40805.82912037037</v>
      </c>
      <c r="E7127" t="s">
        <v>32</v>
      </c>
      <c r="F7127">
        <f t="shared" ca="1" si="224"/>
        <v>3.3611111111111112</v>
      </c>
      <c r="G7127">
        <f t="shared" ca="1" si="225"/>
        <v>0</v>
      </c>
    </row>
    <row r="7128" spans="1:7">
      <c r="A7128">
        <v>3627</v>
      </c>
      <c r="B7128" t="s">
        <v>27</v>
      </c>
      <c r="C7128" t="s">
        <v>129</v>
      </c>
      <c r="D7128" s="9">
        <v>40807.767812500002</v>
      </c>
      <c r="E7128" t="s">
        <v>20</v>
      </c>
      <c r="F7128">
        <f t="shared" ca="1" si="224"/>
        <v>3.3555555555555556</v>
      </c>
      <c r="G7128">
        <f t="shared" ca="1" si="225"/>
        <v>0</v>
      </c>
    </row>
    <row r="7129" spans="1:7">
      <c r="A7129">
        <v>3631</v>
      </c>
      <c r="B7129" t="s">
        <v>99</v>
      </c>
      <c r="C7129" t="s">
        <v>128</v>
      </c>
      <c r="D7129" s="9">
        <v>40919.693182870367</v>
      </c>
      <c r="E7129" t="s">
        <v>43</v>
      </c>
      <c r="F7129">
        <f t="shared" ca="1" si="224"/>
        <v>3.05</v>
      </c>
      <c r="G7129">
        <f t="shared" ca="1" si="225"/>
        <v>0</v>
      </c>
    </row>
    <row r="7130" spans="1:7">
      <c r="A7130">
        <v>3633</v>
      </c>
      <c r="B7130" t="s">
        <v>27</v>
      </c>
      <c r="C7130" t="s">
        <v>129</v>
      </c>
      <c r="D7130" s="9">
        <v>40805.832025462965</v>
      </c>
      <c r="E7130" t="s">
        <v>99</v>
      </c>
      <c r="F7130">
        <f t="shared" ca="1" si="224"/>
        <v>3.3611111111111112</v>
      </c>
      <c r="G7130">
        <f t="shared" ca="1" si="225"/>
        <v>0</v>
      </c>
    </row>
    <row r="7131" spans="1:7">
      <c r="A7131">
        <v>3643</v>
      </c>
      <c r="B7131" t="s">
        <v>20</v>
      </c>
      <c r="C7131" t="s">
        <v>129</v>
      </c>
      <c r="D7131" s="9">
        <v>40805.602418981478</v>
      </c>
      <c r="E7131" t="s">
        <v>32</v>
      </c>
      <c r="F7131">
        <f t="shared" ca="1" si="224"/>
        <v>3.3611111111111112</v>
      </c>
      <c r="G7131">
        <f t="shared" ca="1" si="225"/>
        <v>0</v>
      </c>
    </row>
    <row r="7132" spans="1:7">
      <c r="A7132">
        <v>3646</v>
      </c>
      <c r="B7132" t="s">
        <v>99</v>
      </c>
      <c r="C7132" t="s">
        <v>128</v>
      </c>
      <c r="D7132" s="9">
        <v>40920.643182870372</v>
      </c>
      <c r="E7132" t="s">
        <v>11</v>
      </c>
      <c r="F7132">
        <f t="shared" ca="1" si="224"/>
        <v>3.0472222222222221</v>
      </c>
      <c r="G7132">
        <f t="shared" ca="1" si="225"/>
        <v>0</v>
      </c>
    </row>
    <row r="7133" spans="1:7">
      <c r="A7133">
        <v>3647</v>
      </c>
      <c r="B7133" t="s">
        <v>27</v>
      </c>
      <c r="C7133" t="s">
        <v>129</v>
      </c>
      <c r="D7133" s="9">
        <v>40805.710717592592</v>
      </c>
      <c r="E7133" t="s">
        <v>8</v>
      </c>
      <c r="F7133">
        <f t="shared" ca="1" si="224"/>
        <v>3.3611111111111112</v>
      </c>
      <c r="G7133">
        <f t="shared" ca="1" si="225"/>
        <v>0</v>
      </c>
    </row>
    <row r="7134" spans="1:7">
      <c r="A7134">
        <v>3649</v>
      </c>
      <c r="B7134" t="s">
        <v>11</v>
      </c>
      <c r="C7134" t="s">
        <v>129</v>
      </c>
      <c r="D7134" s="9">
        <v>40805.708333333336</v>
      </c>
      <c r="E7134" t="s">
        <v>111</v>
      </c>
      <c r="F7134">
        <f t="shared" ca="1" si="224"/>
        <v>3.3611111111111112</v>
      </c>
      <c r="G7134">
        <f t="shared" ca="1" si="225"/>
        <v>0</v>
      </c>
    </row>
    <row r="7135" spans="1:7">
      <c r="A7135">
        <v>3653</v>
      </c>
      <c r="B7135" t="s">
        <v>34</v>
      </c>
      <c r="C7135" t="s">
        <v>129</v>
      </c>
      <c r="D7135" s="9">
        <v>40805.889409722222</v>
      </c>
      <c r="E7135" t="s">
        <v>11</v>
      </c>
      <c r="F7135">
        <f t="shared" ca="1" si="224"/>
        <v>3.3611111111111112</v>
      </c>
      <c r="G7135">
        <f t="shared" ca="1" si="225"/>
        <v>0</v>
      </c>
    </row>
    <row r="7136" spans="1:7">
      <c r="A7136">
        <v>3654</v>
      </c>
      <c r="B7136" t="s">
        <v>99</v>
      </c>
      <c r="C7136" t="s">
        <v>128</v>
      </c>
      <c r="D7136" s="9">
        <v>40919.559212962966</v>
      </c>
      <c r="E7136" t="s">
        <v>32</v>
      </c>
      <c r="F7136">
        <f t="shared" ca="1" si="224"/>
        <v>3.05</v>
      </c>
      <c r="G7136">
        <f t="shared" ca="1" si="225"/>
        <v>0</v>
      </c>
    </row>
    <row r="7137" spans="1:7">
      <c r="A7137">
        <v>3690</v>
      </c>
      <c r="B7137" t="s">
        <v>11</v>
      </c>
      <c r="C7137" t="s">
        <v>129</v>
      </c>
      <c r="D7137" s="9">
        <v>40805.660115740742</v>
      </c>
      <c r="E7137" t="s">
        <v>8</v>
      </c>
      <c r="F7137">
        <f t="shared" ca="1" si="224"/>
        <v>3.3611111111111112</v>
      </c>
      <c r="G7137">
        <f t="shared" ca="1" si="225"/>
        <v>0</v>
      </c>
    </row>
    <row r="7138" spans="1:7">
      <c r="A7138">
        <v>3702</v>
      </c>
      <c r="B7138" t="s">
        <v>27</v>
      </c>
      <c r="C7138" t="s">
        <v>129</v>
      </c>
      <c r="D7138" s="9">
        <v>40805.636342592596</v>
      </c>
      <c r="E7138" t="s">
        <v>8</v>
      </c>
      <c r="F7138">
        <f t="shared" ca="1" si="224"/>
        <v>3.3611111111111112</v>
      </c>
      <c r="G7138">
        <f t="shared" ca="1" si="225"/>
        <v>0</v>
      </c>
    </row>
    <row r="7139" spans="1:7">
      <c r="A7139">
        <v>3703</v>
      </c>
      <c r="B7139" t="s">
        <v>11</v>
      </c>
      <c r="C7139" t="s">
        <v>129</v>
      </c>
      <c r="D7139" s="9">
        <v>40805.716192129628</v>
      </c>
      <c r="E7139" t="s">
        <v>99</v>
      </c>
      <c r="F7139">
        <f t="shared" ca="1" si="224"/>
        <v>3.3611111111111112</v>
      </c>
      <c r="G7139">
        <f t="shared" ca="1" si="225"/>
        <v>0</v>
      </c>
    </row>
    <row r="7140" spans="1:7">
      <c r="A7140">
        <v>3709</v>
      </c>
      <c r="B7140" t="s">
        <v>30</v>
      </c>
      <c r="C7140" t="s">
        <v>128</v>
      </c>
      <c r="D7140" s="9">
        <v>40919.600902777776</v>
      </c>
      <c r="E7140" t="s">
        <v>44</v>
      </c>
      <c r="F7140">
        <f t="shared" ca="1" si="224"/>
        <v>3.05</v>
      </c>
      <c r="G7140">
        <f t="shared" ca="1" si="225"/>
        <v>0</v>
      </c>
    </row>
    <row r="7141" spans="1:7">
      <c r="A7141">
        <v>3720</v>
      </c>
      <c r="B7141" t="s">
        <v>99</v>
      </c>
      <c r="C7141" t="s">
        <v>129</v>
      </c>
      <c r="D7141" s="9">
        <v>40806.662604166668</v>
      </c>
      <c r="E7141" t="s">
        <v>19</v>
      </c>
      <c r="F7141">
        <f t="shared" ca="1" si="224"/>
        <v>3.3583333333333334</v>
      </c>
      <c r="G7141">
        <f t="shared" ca="1" si="225"/>
        <v>0</v>
      </c>
    </row>
    <row r="7142" spans="1:7">
      <c r="A7142">
        <v>3724</v>
      </c>
      <c r="B7142" t="s">
        <v>99</v>
      </c>
      <c r="C7142" t="s">
        <v>128</v>
      </c>
      <c r="D7142" s="9">
        <v>40919.716678240744</v>
      </c>
      <c r="E7142" t="s">
        <v>36</v>
      </c>
      <c r="F7142">
        <f t="shared" ca="1" si="224"/>
        <v>3.05</v>
      </c>
      <c r="G7142">
        <f t="shared" ca="1" si="225"/>
        <v>0</v>
      </c>
    </row>
    <row r="7143" spans="1:7">
      <c r="A7143">
        <v>3727</v>
      </c>
      <c r="B7143" t="s">
        <v>19</v>
      </c>
      <c r="C7143" t="s">
        <v>128</v>
      </c>
      <c r="D7143" s="9">
        <v>40918.583865740744</v>
      </c>
      <c r="E7143" t="s">
        <v>27</v>
      </c>
      <c r="F7143">
        <f t="shared" ca="1" si="224"/>
        <v>3.0527777777777776</v>
      </c>
      <c r="G7143">
        <f t="shared" ca="1" si="225"/>
        <v>0</v>
      </c>
    </row>
    <row r="7144" spans="1:7">
      <c r="A7144">
        <v>3730</v>
      </c>
      <c r="B7144" t="s">
        <v>34</v>
      </c>
      <c r="C7144" t="s">
        <v>129</v>
      </c>
      <c r="D7144" s="9">
        <v>40805.823425925926</v>
      </c>
      <c r="E7144" t="s">
        <v>99</v>
      </c>
      <c r="F7144">
        <f t="shared" ca="1" si="224"/>
        <v>3.3611111111111112</v>
      </c>
      <c r="G7144">
        <f t="shared" ca="1" si="225"/>
        <v>0</v>
      </c>
    </row>
    <row r="7145" spans="1:7">
      <c r="A7145">
        <v>3741</v>
      </c>
      <c r="B7145" t="s">
        <v>99</v>
      </c>
      <c r="C7145" t="s">
        <v>128</v>
      </c>
      <c r="D7145" s="9">
        <v>40920.586574074077</v>
      </c>
      <c r="E7145" t="s">
        <v>21</v>
      </c>
      <c r="F7145">
        <f t="shared" ca="1" si="224"/>
        <v>3.0472222222222221</v>
      </c>
      <c r="G7145">
        <f t="shared" ca="1" si="225"/>
        <v>0</v>
      </c>
    </row>
    <row r="7146" spans="1:7">
      <c r="A7146">
        <v>3745</v>
      </c>
      <c r="B7146" t="s">
        <v>11</v>
      </c>
      <c r="C7146" t="s">
        <v>126</v>
      </c>
      <c r="D7146" s="9">
        <v>41127.659432870372</v>
      </c>
      <c r="E7146" t="s">
        <v>8</v>
      </c>
      <c r="F7146">
        <f t="shared" ca="1" si="224"/>
        <v>2.4805555555555556</v>
      </c>
      <c r="G7146">
        <f t="shared" ca="1" si="225"/>
        <v>0</v>
      </c>
    </row>
    <row r="7147" spans="1:7">
      <c r="A7147">
        <v>3757</v>
      </c>
      <c r="B7147" t="s">
        <v>8</v>
      </c>
      <c r="C7147" t="s">
        <v>129</v>
      </c>
      <c r="D7147" s="9">
        <v>40807.619085648148</v>
      </c>
      <c r="E7147" t="s">
        <v>11</v>
      </c>
      <c r="F7147">
        <f t="shared" ca="1" si="224"/>
        <v>3.3555555555555556</v>
      </c>
      <c r="G7147">
        <f t="shared" ca="1" si="225"/>
        <v>0</v>
      </c>
    </row>
    <row r="7148" spans="1:7">
      <c r="A7148">
        <v>3776</v>
      </c>
      <c r="B7148" t="s">
        <v>44</v>
      </c>
      <c r="C7148" t="s">
        <v>128</v>
      </c>
      <c r="D7148" s="9">
        <v>40919.638449074075</v>
      </c>
      <c r="E7148" t="s">
        <v>143</v>
      </c>
      <c r="F7148">
        <f t="shared" ca="1" si="224"/>
        <v>3.05</v>
      </c>
      <c r="G7148">
        <f t="shared" ca="1" si="225"/>
        <v>0</v>
      </c>
    </row>
    <row r="7149" spans="1:7">
      <c r="A7149">
        <v>3795</v>
      </c>
      <c r="B7149" t="s">
        <v>99</v>
      </c>
      <c r="C7149" t="s">
        <v>128</v>
      </c>
      <c r="D7149" s="9">
        <v>40918.833692129629</v>
      </c>
      <c r="E7149" t="s">
        <v>52</v>
      </c>
      <c r="F7149">
        <f t="shared" ca="1" si="224"/>
        <v>3.0527777777777776</v>
      </c>
      <c r="G7149">
        <f t="shared" ca="1" si="225"/>
        <v>0</v>
      </c>
    </row>
    <row r="7150" spans="1:7">
      <c r="A7150">
        <v>3812</v>
      </c>
      <c r="B7150" t="s">
        <v>112</v>
      </c>
      <c r="C7150" t="s">
        <v>118</v>
      </c>
      <c r="D7150" s="9">
        <v>41704.529780092591</v>
      </c>
      <c r="E7150" t="s">
        <v>17</v>
      </c>
      <c r="F7150">
        <f t="shared" ca="1" si="224"/>
        <v>0.89722222222222225</v>
      </c>
      <c r="G7150">
        <f t="shared" ca="1" si="225"/>
        <v>1</v>
      </c>
    </row>
    <row r="7151" spans="1:7">
      <c r="A7151">
        <v>3827</v>
      </c>
      <c r="B7151" t="s">
        <v>17</v>
      </c>
      <c r="C7151" t="s">
        <v>120</v>
      </c>
      <c r="D7151" s="9">
        <v>41576.707743055558</v>
      </c>
      <c r="E7151" t="s">
        <v>112</v>
      </c>
      <c r="F7151">
        <f t="shared" ca="1" si="224"/>
        <v>1.25</v>
      </c>
      <c r="G7151">
        <f t="shared" ca="1" si="225"/>
        <v>0</v>
      </c>
    </row>
    <row r="7152" spans="1:7">
      <c r="A7152">
        <v>3828</v>
      </c>
      <c r="B7152" t="s">
        <v>34</v>
      </c>
      <c r="C7152" t="s">
        <v>120</v>
      </c>
      <c r="D7152" s="9">
        <v>41572.651562500003</v>
      </c>
      <c r="E7152" t="s">
        <v>18</v>
      </c>
      <c r="F7152">
        <f t="shared" ca="1" si="224"/>
        <v>1.2611111111111111</v>
      </c>
      <c r="G7152">
        <f t="shared" ca="1" si="225"/>
        <v>0</v>
      </c>
    </row>
    <row r="7153" spans="1:7">
      <c r="A7153">
        <v>3834</v>
      </c>
      <c r="B7153" t="s">
        <v>11</v>
      </c>
      <c r="C7153" t="s">
        <v>128</v>
      </c>
      <c r="D7153" s="9">
        <v>40918.791145833333</v>
      </c>
      <c r="E7153" t="s">
        <v>32</v>
      </c>
      <c r="F7153">
        <f t="shared" ca="1" si="224"/>
        <v>3.0527777777777776</v>
      </c>
      <c r="G7153">
        <f t="shared" ca="1" si="225"/>
        <v>0</v>
      </c>
    </row>
    <row r="7154" spans="1:7">
      <c r="A7154">
        <v>3847</v>
      </c>
      <c r="B7154" t="s">
        <v>143</v>
      </c>
      <c r="C7154" t="s">
        <v>128</v>
      </c>
      <c r="D7154" s="9">
        <v>40917.630231481482</v>
      </c>
      <c r="E7154" t="s">
        <v>37</v>
      </c>
      <c r="F7154">
        <f t="shared" ca="1" si="224"/>
        <v>3.0555555555555554</v>
      </c>
      <c r="G7154">
        <f t="shared" ca="1" si="225"/>
        <v>0</v>
      </c>
    </row>
    <row r="7155" spans="1:7">
      <c r="A7155">
        <v>3849</v>
      </c>
      <c r="B7155" t="s">
        <v>99</v>
      </c>
      <c r="C7155" t="s">
        <v>128</v>
      </c>
      <c r="D7155" s="9">
        <v>40919.786724537036</v>
      </c>
      <c r="E7155" t="s">
        <v>43</v>
      </c>
      <c r="F7155">
        <f t="shared" ca="1" si="224"/>
        <v>3.05</v>
      </c>
      <c r="G7155">
        <f t="shared" ca="1" si="225"/>
        <v>0</v>
      </c>
    </row>
    <row r="7156" spans="1:7">
      <c r="A7156">
        <v>3856</v>
      </c>
      <c r="B7156" t="s">
        <v>44</v>
      </c>
      <c r="C7156" t="s">
        <v>128</v>
      </c>
      <c r="D7156" s="9">
        <v>40917.668912037036</v>
      </c>
      <c r="E7156" t="s">
        <v>52</v>
      </c>
      <c r="F7156">
        <f t="shared" ca="1" si="224"/>
        <v>3.0555555555555554</v>
      </c>
      <c r="G7156">
        <f t="shared" ca="1" si="225"/>
        <v>0</v>
      </c>
    </row>
    <row r="7157" spans="1:7">
      <c r="A7157">
        <v>3862</v>
      </c>
      <c r="B7157" t="s">
        <v>20</v>
      </c>
      <c r="C7157" t="s">
        <v>128</v>
      </c>
      <c r="D7157" s="9">
        <v>40919.634652777779</v>
      </c>
      <c r="E7157" t="s">
        <v>99</v>
      </c>
      <c r="F7157">
        <f t="shared" ca="1" si="224"/>
        <v>3.05</v>
      </c>
      <c r="G7157">
        <f t="shared" ca="1" si="225"/>
        <v>0</v>
      </c>
    </row>
    <row r="7158" spans="1:7">
      <c r="A7158">
        <v>3865</v>
      </c>
      <c r="B7158" t="s">
        <v>20</v>
      </c>
      <c r="C7158" t="s">
        <v>128</v>
      </c>
      <c r="D7158" s="9">
        <v>40918.781342592592</v>
      </c>
      <c r="E7158" t="s">
        <v>32</v>
      </c>
      <c r="F7158">
        <f t="shared" ca="1" si="224"/>
        <v>3.0527777777777776</v>
      </c>
      <c r="G7158">
        <f t="shared" ca="1" si="225"/>
        <v>0</v>
      </c>
    </row>
    <row r="7159" spans="1:7">
      <c r="A7159">
        <v>3883</v>
      </c>
      <c r="B7159" t="s">
        <v>99</v>
      </c>
      <c r="C7159" t="s">
        <v>128</v>
      </c>
      <c r="D7159" s="9">
        <v>40920.670937499999</v>
      </c>
      <c r="E7159" t="s">
        <v>37</v>
      </c>
      <c r="F7159">
        <f t="shared" ca="1" si="224"/>
        <v>3.0472222222222221</v>
      </c>
      <c r="G7159">
        <f t="shared" ca="1" si="225"/>
        <v>0</v>
      </c>
    </row>
    <row r="7160" spans="1:7">
      <c r="A7160">
        <v>3902</v>
      </c>
      <c r="B7160" t="s">
        <v>99</v>
      </c>
      <c r="C7160" t="s">
        <v>128</v>
      </c>
      <c r="D7160" s="9">
        <v>40917.646307870367</v>
      </c>
      <c r="E7160" t="s">
        <v>32</v>
      </c>
      <c r="F7160">
        <f t="shared" ca="1" si="224"/>
        <v>3.0555555555555554</v>
      </c>
      <c r="G7160">
        <f t="shared" ca="1" si="225"/>
        <v>0</v>
      </c>
    </row>
    <row r="7161" spans="1:7">
      <c r="A7161">
        <v>3928</v>
      </c>
      <c r="B7161" t="s">
        <v>36</v>
      </c>
      <c r="C7161" t="s">
        <v>128</v>
      </c>
      <c r="D7161" s="9">
        <v>40918.797199074077</v>
      </c>
      <c r="E7161" t="s">
        <v>43</v>
      </c>
      <c r="F7161">
        <f t="shared" ca="1" si="224"/>
        <v>3.0527777777777776</v>
      </c>
      <c r="G7161">
        <f t="shared" ca="1" si="225"/>
        <v>0</v>
      </c>
    </row>
    <row r="7162" spans="1:7">
      <c r="A7162">
        <v>3942</v>
      </c>
      <c r="B7162" t="s">
        <v>21</v>
      </c>
      <c r="C7162" t="s">
        <v>128</v>
      </c>
      <c r="D7162" s="9">
        <v>40919.554293981484</v>
      </c>
      <c r="E7162" t="s">
        <v>32</v>
      </c>
      <c r="F7162">
        <f t="shared" ca="1" si="224"/>
        <v>3.05</v>
      </c>
      <c r="G7162">
        <f t="shared" ca="1" si="225"/>
        <v>0</v>
      </c>
    </row>
    <row r="7163" spans="1:7">
      <c r="A7163">
        <v>3961</v>
      </c>
      <c r="B7163" t="s">
        <v>20</v>
      </c>
      <c r="C7163" t="s">
        <v>128</v>
      </c>
      <c r="D7163" s="9">
        <v>40918.679398148146</v>
      </c>
      <c r="E7163" t="s">
        <v>52</v>
      </c>
      <c r="F7163">
        <f t="shared" ca="1" si="224"/>
        <v>3.0527777777777776</v>
      </c>
      <c r="G7163">
        <f t="shared" ca="1" si="225"/>
        <v>0</v>
      </c>
    </row>
    <row r="7164" spans="1:7">
      <c r="A7164">
        <v>3970</v>
      </c>
      <c r="B7164" t="s">
        <v>44</v>
      </c>
      <c r="C7164" t="s">
        <v>127</v>
      </c>
      <c r="D7164" s="9">
        <v>41031.873912037037</v>
      </c>
      <c r="E7164" t="s">
        <v>36</v>
      </c>
      <c r="F7164">
        <f t="shared" ca="1" si="224"/>
        <v>2.7416666666666667</v>
      </c>
      <c r="G7164">
        <f t="shared" ca="1" si="225"/>
        <v>0</v>
      </c>
    </row>
    <row r="7165" spans="1:7">
      <c r="A7165">
        <v>3972</v>
      </c>
      <c r="B7165" t="s">
        <v>20</v>
      </c>
      <c r="C7165" t="s">
        <v>128</v>
      </c>
      <c r="D7165" s="9">
        <v>40918.787754629629</v>
      </c>
      <c r="E7165" t="s">
        <v>32</v>
      </c>
      <c r="F7165">
        <f t="shared" ca="1" si="224"/>
        <v>3.0527777777777776</v>
      </c>
      <c r="G7165">
        <f t="shared" ca="1" si="225"/>
        <v>0</v>
      </c>
    </row>
    <row r="7166" spans="1:7">
      <c r="A7166">
        <v>3973</v>
      </c>
      <c r="B7166" t="s">
        <v>36</v>
      </c>
      <c r="C7166" t="s">
        <v>128</v>
      </c>
      <c r="D7166" s="9">
        <v>40918.834768518522</v>
      </c>
      <c r="E7166" t="s">
        <v>43</v>
      </c>
      <c r="F7166">
        <f t="shared" ca="1" si="224"/>
        <v>3.0527777777777776</v>
      </c>
      <c r="G7166">
        <f t="shared" ca="1" si="225"/>
        <v>0</v>
      </c>
    </row>
    <row r="7167" spans="1:7">
      <c r="A7167">
        <v>3983</v>
      </c>
      <c r="B7167" t="s">
        <v>99</v>
      </c>
      <c r="C7167" t="s">
        <v>128</v>
      </c>
      <c r="D7167" s="9">
        <v>40918.846990740742</v>
      </c>
      <c r="E7167" t="s">
        <v>36</v>
      </c>
      <c r="F7167">
        <f t="shared" ca="1" si="224"/>
        <v>3.0527777777777776</v>
      </c>
      <c r="G7167">
        <f t="shared" ca="1" si="225"/>
        <v>0</v>
      </c>
    </row>
    <row r="7168" spans="1:7">
      <c r="A7168">
        <v>3993</v>
      </c>
      <c r="B7168" t="s">
        <v>99</v>
      </c>
      <c r="C7168" t="s">
        <v>128</v>
      </c>
      <c r="D7168" s="9">
        <v>40917.771817129629</v>
      </c>
      <c r="E7168" t="s">
        <v>36</v>
      </c>
      <c r="F7168">
        <f t="shared" ca="1" si="224"/>
        <v>3.0555555555555554</v>
      </c>
      <c r="G7168">
        <f t="shared" ca="1" si="225"/>
        <v>0</v>
      </c>
    </row>
    <row r="7169" spans="1:7">
      <c r="A7169">
        <v>3994</v>
      </c>
      <c r="B7169" t="s">
        <v>99</v>
      </c>
      <c r="C7169" t="s">
        <v>128</v>
      </c>
      <c r="D7169" s="9">
        <v>40918.915532407409</v>
      </c>
      <c r="E7169" t="s">
        <v>36</v>
      </c>
      <c r="F7169">
        <f t="shared" ca="1" si="224"/>
        <v>3.0527777777777776</v>
      </c>
      <c r="G7169">
        <f t="shared" ca="1" si="225"/>
        <v>0</v>
      </c>
    </row>
    <row r="7170" spans="1:7">
      <c r="A7170">
        <v>4008</v>
      </c>
      <c r="B7170" t="s">
        <v>30</v>
      </c>
      <c r="C7170" t="s">
        <v>128</v>
      </c>
      <c r="D7170" s="9">
        <v>40918.78806712963</v>
      </c>
      <c r="E7170" t="s">
        <v>52</v>
      </c>
      <c r="F7170">
        <f t="shared" ca="1" si="224"/>
        <v>3.0527777777777776</v>
      </c>
      <c r="G7170">
        <f t="shared" ca="1" si="225"/>
        <v>0</v>
      </c>
    </row>
    <row r="7171" spans="1:7">
      <c r="A7171">
        <v>4015</v>
      </c>
      <c r="B7171" t="s">
        <v>99</v>
      </c>
      <c r="C7171" t="s">
        <v>128</v>
      </c>
      <c r="D7171" s="9">
        <v>40918.834224537037</v>
      </c>
      <c r="E7171" t="s">
        <v>36</v>
      </c>
      <c r="F7171">
        <f t="shared" ca="1" si="224"/>
        <v>3.0527777777777776</v>
      </c>
      <c r="G7171">
        <f t="shared" ca="1" si="225"/>
        <v>0</v>
      </c>
    </row>
    <row r="7172" spans="1:7">
      <c r="A7172">
        <v>4029</v>
      </c>
      <c r="B7172" t="s">
        <v>32</v>
      </c>
      <c r="C7172" t="s">
        <v>128</v>
      </c>
      <c r="D7172" s="9">
        <v>40919.6799537037</v>
      </c>
      <c r="E7172" t="s">
        <v>30</v>
      </c>
      <c r="F7172">
        <f t="shared" ca="1" si="224"/>
        <v>3.05</v>
      </c>
      <c r="G7172">
        <f t="shared" ca="1" si="225"/>
        <v>0</v>
      </c>
    </row>
    <row r="7173" spans="1:7">
      <c r="A7173">
        <v>4033</v>
      </c>
      <c r="B7173" t="s">
        <v>37</v>
      </c>
      <c r="C7173" t="s">
        <v>128</v>
      </c>
      <c r="D7173" s="9">
        <v>40917.641377314816</v>
      </c>
      <c r="E7173" t="s">
        <v>143</v>
      </c>
      <c r="F7173">
        <f t="shared" ca="1" si="224"/>
        <v>3.0555555555555554</v>
      </c>
      <c r="G7173">
        <f t="shared" ca="1" si="225"/>
        <v>0</v>
      </c>
    </row>
    <row r="7174" spans="1:7">
      <c r="A7174">
        <v>4035</v>
      </c>
      <c r="B7174" t="s">
        <v>112</v>
      </c>
      <c r="C7174" t="s">
        <v>122</v>
      </c>
      <c r="D7174" s="9">
        <v>41298.44840277778</v>
      </c>
      <c r="E7174" t="s">
        <v>112</v>
      </c>
      <c r="F7174">
        <f t="shared" ca="1" si="224"/>
        <v>2.0138888888888888</v>
      </c>
      <c r="G7174">
        <f t="shared" ca="1" si="225"/>
        <v>0</v>
      </c>
    </row>
    <row r="7175" spans="1:7">
      <c r="A7175">
        <v>4046</v>
      </c>
      <c r="B7175" t="s">
        <v>99</v>
      </c>
      <c r="C7175" t="s">
        <v>128</v>
      </c>
      <c r="D7175" s="9">
        <v>40918.909560185188</v>
      </c>
      <c r="E7175" t="s">
        <v>36</v>
      </c>
      <c r="F7175">
        <f t="shared" ref="F7175:F7238" ca="1" si="226">YEARFRAC(TODAY(),$D7175)</f>
        <v>3.0527777777777776</v>
      </c>
      <c r="G7175">
        <f t="shared" ref="G7175:G7238" ca="1" si="227">IF($F7175&lt;1,1,0)</f>
        <v>0</v>
      </c>
    </row>
    <row r="7176" spans="1:7">
      <c r="A7176">
        <v>4050</v>
      </c>
      <c r="B7176" t="s">
        <v>99</v>
      </c>
      <c r="C7176" t="s">
        <v>128</v>
      </c>
      <c r="D7176" s="9">
        <v>40918.778310185182</v>
      </c>
      <c r="E7176" t="s">
        <v>32</v>
      </c>
      <c r="F7176">
        <f t="shared" ca="1" si="226"/>
        <v>3.0527777777777776</v>
      </c>
      <c r="G7176">
        <f t="shared" ca="1" si="227"/>
        <v>0</v>
      </c>
    </row>
    <row r="7177" spans="1:7">
      <c r="A7177">
        <v>4067</v>
      </c>
      <c r="B7177" t="s">
        <v>11</v>
      </c>
      <c r="C7177" t="s">
        <v>128</v>
      </c>
      <c r="D7177" s="9">
        <v>40920.685717592591</v>
      </c>
      <c r="E7177" t="s">
        <v>27</v>
      </c>
      <c r="F7177">
        <f t="shared" ca="1" si="226"/>
        <v>3.0472222222222221</v>
      </c>
      <c r="G7177">
        <f t="shared" ca="1" si="227"/>
        <v>0</v>
      </c>
    </row>
    <row r="7178" spans="1:7">
      <c r="A7178">
        <v>4070</v>
      </c>
      <c r="B7178" t="s">
        <v>36</v>
      </c>
      <c r="C7178" t="s">
        <v>128</v>
      </c>
      <c r="D7178" s="9">
        <v>40918.831111111111</v>
      </c>
      <c r="E7178" t="s">
        <v>52</v>
      </c>
      <c r="F7178">
        <f t="shared" ca="1" si="226"/>
        <v>3.0527777777777776</v>
      </c>
      <c r="G7178">
        <f t="shared" ca="1" si="227"/>
        <v>0</v>
      </c>
    </row>
    <row r="7179" spans="1:7">
      <c r="A7179">
        <v>4076</v>
      </c>
      <c r="B7179" t="s">
        <v>30</v>
      </c>
      <c r="C7179" t="s">
        <v>123</v>
      </c>
      <c r="D7179" s="9">
        <v>41303.589120370372</v>
      </c>
      <c r="E7179" t="s">
        <v>112</v>
      </c>
      <c r="F7179">
        <f t="shared" ca="1" si="226"/>
        <v>2</v>
      </c>
      <c r="G7179">
        <f t="shared" ca="1" si="227"/>
        <v>0</v>
      </c>
    </row>
    <row r="7180" spans="1:7">
      <c r="A7180">
        <v>4077</v>
      </c>
      <c r="B7180" t="s">
        <v>11</v>
      </c>
      <c r="C7180" t="s">
        <v>128</v>
      </c>
      <c r="D7180" s="9">
        <v>40918.84337962963</v>
      </c>
      <c r="E7180" t="s">
        <v>43</v>
      </c>
      <c r="F7180">
        <f t="shared" ca="1" si="226"/>
        <v>3.0527777777777776</v>
      </c>
      <c r="G7180">
        <f t="shared" ca="1" si="227"/>
        <v>0</v>
      </c>
    </row>
    <row r="7181" spans="1:7">
      <c r="A7181">
        <v>4093</v>
      </c>
      <c r="B7181" t="s">
        <v>17</v>
      </c>
      <c r="C7181" t="s">
        <v>118</v>
      </c>
      <c r="D7181" s="9">
        <v>41792.618900462963</v>
      </c>
      <c r="E7181" t="s">
        <v>19</v>
      </c>
      <c r="F7181">
        <f t="shared" ca="1" si="226"/>
        <v>0.65833333333333333</v>
      </c>
      <c r="G7181">
        <f t="shared" ca="1" si="227"/>
        <v>1</v>
      </c>
    </row>
    <row r="7182" spans="1:7">
      <c r="A7182">
        <v>4123</v>
      </c>
      <c r="B7182" t="s">
        <v>43</v>
      </c>
      <c r="C7182" t="s">
        <v>127</v>
      </c>
      <c r="D7182" s="9">
        <v>41029.939525462964</v>
      </c>
      <c r="E7182" t="s">
        <v>99</v>
      </c>
      <c r="F7182">
        <f t="shared" ca="1" si="226"/>
        <v>2.7472222222222222</v>
      </c>
      <c r="G7182">
        <f t="shared" ca="1" si="227"/>
        <v>0</v>
      </c>
    </row>
    <row r="7183" spans="1:7">
      <c r="A7183">
        <v>4124</v>
      </c>
      <c r="B7183" t="s">
        <v>43</v>
      </c>
      <c r="C7183" t="s">
        <v>128</v>
      </c>
      <c r="D7183" s="9">
        <v>40917.912407407406</v>
      </c>
      <c r="E7183" t="s">
        <v>52</v>
      </c>
      <c r="F7183">
        <f t="shared" ca="1" si="226"/>
        <v>3.0555555555555554</v>
      </c>
      <c r="G7183">
        <f t="shared" ca="1" si="227"/>
        <v>0</v>
      </c>
    </row>
    <row r="7184" spans="1:7">
      <c r="A7184">
        <v>4144</v>
      </c>
      <c r="B7184" t="s">
        <v>99</v>
      </c>
      <c r="C7184" t="s">
        <v>128</v>
      </c>
      <c r="D7184" s="9">
        <v>40917.701331018521</v>
      </c>
      <c r="E7184" t="s">
        <v>21</v>
      </c>
      <c r="F7184">
        <f t="shared" ca="1" si="226"/>
        <v>3.0555555555555554</v>
      </c>
      <c r="G7184">
        <f t="shared" ca="1" si="227"/>
        <v>0</v>
      </c>
    </row>
    <row r="7185" spans="1:7">
      <c r="A7185">
        <v>4156</v>
      </c>
      <c r="B7185" t="s">
        <v>99</v>
      </c>
      <c r="C7185" t="s">
        <v>128</v>
      </c>
      <c r="D7185" s="9">
        <v>40919.779756944445</v>
      </c>
      <c r="E7185" t="s">
        <v>36</v>
      </c>
      <c r="F7185">
        <f t="shared" ca="1" si="226"/>
        <v>3.05</v>
      </c>
      <c r="G7185">
        <f t="shared" ca="1" si="227"/>
        <v>0</v>
      </c>
    </row>
    <row r="7186" spans="1:7">
      <c r="A7186">
        <v>4180</v>
      </c>
      <c r="B7186" t="s">
        <v>99</v>
      </c>
      <c r="C7186" t="s">
        <v>128</v>
      </c>
      <c r="D7186" s="9">
        <v>40918.678194444445</v>
      </c>
      <c r="E7186" t="s">
        <v>27</v>
      </c>
      <c r="F7186">
        <f t="shared" ca="1" si="226"/>
        <v>3.0527777777777776</v>
      </c>
      <c r="G7186">
        <f t="shared" ca="1" si="227"/>
        <v>0</v>
      </c>
    </row>
    <row r="7187" spans="1:7">
      <c r="A7187">
        <v>4186</v>
      </c>
      <c r="B7187" t="s">
        <v>8</v>
      </c>
      <c r="C7187" t="s">
        <v>127</v>
      </c>
      <c r="D7187" s="9">
        <v>41030.716180555559</v>
      </c>
      <c r="E7187" t="s">
        <v>36</v>
      </c>
      <c r="F7187">
        <f t="shared" ca="1" si="226"/>
        <v>2.7444444444444445</v>
      </c>
      <c r="G7187">
        <f t="shared" ca="1" si="227"/>
        <v>0</v>
      </c>
    </row>
    <row r="7188" spans="1:7">
      <c r="A7188">
        <v>4187</v>
      </c>
      <c r="B7188" t="s">
        <v>36</v>
      </c>
      <c r="C7188" t="s">
        <v>128</v>
      </c>
      <c r="D7188" s="9">
        <v>40917.788449074076</v>
      </c>
      <c r="E7188" t="s">
        <v>21</v>
      </c>
      <c r="F7188">
        <f t="shared" ca="1" si="226"/>
        <v>3.0555555555555554</v>
      </c>
      <c r="G7188">
        <f t="shared" ca="1" si="227"/>
        <v>0</v>
      </c>
    </row>
    <row r="7189" spans="1:7">
      <c r="A7189">
        <v>4192</v>
      </c>
      <c r="B7189" t="s">
        <v>99</v>
      </c>
      <c r="C7189" t="s">
        <v>128</v>
      </c>
      <c r="D7189" s="9">
        <v>40917.852638888886</v>
      </c>
      <c r="E7189" t="s">
        <v>36</v>
      </c>
      <c r="F7189">
        <f t="shared" ca="1" si="226"/>
        <v>3.0555555555555554</v>
      </c>
      <c r="G7189">
        <f t="shared" ca="1" si="227"/>
        <v>0</v>
      </c>
    </row>
    <row r="7190" spans="1:7">
      <c r="A7190">
        <v>4207</v>
      </c>
      <c r="B7190" t="s">
        <v>99</v>
      </c>
      <c r="C7190" t="s">
        <v>128</v>
      </c>
      <c r="D7190" s="9">
        <v>40919.789409722223</v>
      </c>
      <c r="E7190" t="s">
        <v>36</v>
      </c>
      <c r="F7190">
        <f t="shared" ca="1" si="226"/>
        <v>3.05</v>
      </c>
      <c r="G7190">
        <f t="shared" ca="1" si="227"/>
        <v>0</v>
      </c>
    </row>
    <row r="7191" spans="1:7">
      <c r="A7191">
        <v>4208</v>
      </c>
      <c r="B7191" t="s">
        <v>20</v>
      </c>
      <c r="C7191" t="s">
        <v>128</v>
      </c>
      <c r="D7191" s="9">
        <v>40918.773576388892</v>
      </c>
      <c r="E7191" t="s">
        <v>32</v>
      </c>
      <c r="F7191">
        <f t="shared" ca="1" si="226"/>
        <v>3.0527777777777776</v>
      </c>
      <c r="G7191">
        <f t="shared" ca="1" si="227"/>
        <v>0</v>
      </c>
    </row>
    <row r="7192" spans="1:7">
      <c r="A7192">
        <v>4209</v>
      </c>
      <c r="B7192" t="s">
        <v>20</v>
      </c>
      <c r="C7192" t="s">
        <v>128</v>
      </c>
      <c r="D7192" s="9">
        <v>40920.76966435185</v>
      </c>
      <c r="E7192" t="s">
        <v>64</v>
      </c>
      <c r="F7192">
        <f t="shared" ca="1" si="226"/>
        <v>3.0472222222222221</v>
      </c>
      <c r="G7192">
        <f t="shared" ca="1" si="227"/>
        <v>0</v>
      </c>
    </row>
    <row r="7193" spans="1:7">
      <c r="A7193">
        <v>4216</v>
      </c>
      <c r="B7193" t="s">
        <v>99</v>
      </c>
      <c r="C7193" t="s">
        <v>128</v>
      </c>
      <c r="D7193" s="9">
        <v>40919.780671296299</v>
      </c>
      <c r="E7193" t="s">
        <v>36</v>
      </c>
      <c r="F7193">
        <f t="shared" ca="1" si="226"/>
        <v>3.05</v>
      </c>
      <c r="G7193">
        <f t="shared" ca="1" si="227"/>
        <v>0</v>
      </c>
    </row>
    <row r="7194" spans="1:7">
      <c r="A7194">
        <v>4238</v>
      </c>
      <c r="B7194" t="s">
        <v>99</v>
      </c>
      <c r="C7194" t="s">
        <v>128</v>
      </c>
      <c r="D7194" s="9">
        <v>40918.676400462966</v>
      </c>
      <c r="E7194" t="s">
        <v>27</v>
      </c>
      <c r="F7194">
        <f t="shared" ca="1" si="226"/>
        <v>3.0527777777777776</v>
      </c>
      <c r="G7194">
        <f t="shared" ca="1" si="227"/>
        <v>0</v>
      </c>
    </row>
    <row r="7195" spans="1:7">
      <c r="A7195">
        <v>4245</v>
      </c>
      <c r="B7195" t="s">
        <v>36</v>
      </c>
      <c r="C7195" t="s">
        <v>128</v>
      </c>
      <c r="D7195" s="9">
        <v>40918.784305555557</v>
      </c>
      <c r="E7195" t="s">
        <v>32</v>
      </c>
      <c r="F7195">
        <f t="shared" ca="1" si="226"/>
        <v>3.0527777777777776</v>
      </c>
      <c r="G7195">
        <f t="shared" ca="1" si="227"/>
        <v>0</v>
      </c>
    </row>
    <row r="7196" spans="1:7">
      <c r="A7196">
        <v>4262</v>
      </c>
      <c r="B7196" t="s">
        <v>99</v>
      </c>
      <c r="C7196" t="s">
        <v>128</v>
      </c>
      <c r="D7196" s="9">
        <v>40917.847129629627</v>
      </c>
      <c r="E7196" t="s">
        <v>21</v>
      </c>
      <c r="F7196">
        <f t="shared" ca="1" si="226"/>
        <v>3.0555555555555554</v>
      </c>
      <c r="G7196">
        <f t="shared" ca="1" si="227"/>
        <v>0</v>
      </c>
    </row>
    <row r="7197" spans="1:7">
      <c r="A7197">
        <v>4271</v>
      </c>
      <c r="B7197" t="s">
        <v>99</v>
      </c>
      <c r="C7197" t="s">
        <v>128</v>
      </c>
      <c r="D7197" s="9">
        <v>40919.786863425928</v>
      </c>
      <c r="E7197" t="s">
        <v>36</v>
      </c>
      <c r="F7197">
        <f t="shared" ca="1" si="226"/>
        <v>3.05</v>
      </c>
      <c r="G7197">
        <f t="shared" ca="1" si="227"/>
        <v>0</v>
      </c>
    </row>
    <row r="7198" spans="1:7">
      <c r="A7198">
        <v>4280</v>
      </c>
      <c r="B7198" t="s">
        <v>36</v>
      </c>
      <c r="C7198" t="s">
        <v>128</v>
      </c>
      <c r="D7198" s="9">
        <v>40917.821666666663</v>
      </c>
      <c r="E7198" t="s">
        <v>99</v>
      </c>
      <c r="F7198">
        <f t="shared" ca="1" si="226"/>
        <v>3.0555555555555554</v>
      </c>
      <c r="G7198">
        <f t="shared" ca="1" si="227"/>
        <v>0</v>
      </c>
    </row>
    <row r="7199" spans="1:7">
      <c r="A7199">
        <v>4302</v>
      </c>
      <c r="B7199" t="s">
        <v>27</v>
      </c>
      <c r="C7199" t="s">
        <v>128</v>
      </c>
      <c r="D7199" s="9">
        <v>40920.674895833334</v>
      </c>
      <c r="E7199" t="s">
        <v>19</v>
      </c>
      <c r="F7199">
        <f t="shared" ca="1" si="226"/>
        <v>3.0472222222222221</v>
      </c>
      <c r="G7199">
        <f t="shared" ca="1" si="227"/>
        <v>0</v>
      </c>
    </row>
    <row r="7200" spans="1:7">
      <c r="A7200">
        <v>4306</v>
      </c>
      <c r="B7200" t="s">
        <v>99</v>
      </c>
      <c r="C7200" t="s">
        <v>128</v>
      </c>
      <c r="D7200" s="9">
        <v>40919.754062499997</v>
      </c>
      <c r="E7200" t="s">
        <v>43</v>
      </c>
      <c r="F7200">
        <f t="shared" ca="1" si="226"/>
        <v>3.05</v>
      </c>
      <c r="G7200">
        <f t="shared" ca="1" si="227"/>
        <v>0</v>
      </c>
    </row>
    <row r="7201" spans="1:7">
      <c r="A7201">
        <v>4327</v>
      </c>
      <c r="B7201" t="s">
        <v>8</v>
      </c>
      <c r="C7201" t="s">
        <v>128</v>
      </c>
      <c r="D7201" s="9">
        <v>40919.857592592591</v>
      </c>
      <c r="E7201" t="s">
        <v>11</v>
      </c>
      <c r="F7201">
        <f t="shared" ca="1" si="226"/>
        <v>3.05</v>
      </c>
      <c r="G7201">
        <f t="shared" ca="1" si="227"/>
        <v>0</v>
      </c>
    </row>
    <row r="7202" spans="1:7">
      <c r="A7202">
        <v>4346</v>
      </c>
      <c r="B7202" t="s">
        <v>99</v>
      </c>
      <c r="C7202" t="s">
        <v>128</v>
      </c>
      <c r="D7202" s="9">
        <v>40918.635057870371</v>
      </c>
      <c r="E7202" t="s">
        <v>27</v>
      </c>
      <c r="F7202">
        <f t="shared" ca="1" si="226"/>
        <v>3.0527777777777776</v>
      </c>
      <c r="G7202">
        <f t="shared" ca="1" si="227"/>
        <v>0</v>
      </c>
    </row>
    <row r="7203" spans="1:7">
      <c r="A7203">
        <v>4353</v>
      </c>
      <c r="B7203" t="s">
        <v>99</v>
      </c>
      <c r="C7203" t="s">
        <v>128</v>
      </c>
      <c r="D7203" s="9">
        <v>40918.768645833334</v>
      </c>
      <c r="E7203" t="s">
        <v>32</v>
      </c>
      <c r="F7203">
        <f t="shared" ca="1" si="226"/>
        <v>3.0527777777777776</v>
      </c>
      <c r="G7203">
        <f t="shared" ca="1" si="227"/>
        <v>0</v>
      </c>
    </row>
    <row r="7204" spans="1:7">
      <c r="A7204">
        <v>4359</v>
      </c>
      <c r="B7204" t="s">
        <v>36</v>
      </c>
      <c r="C7204" t="s">
        <v>128</v>
      </c>
      <c r="D7204" s="9">
        <v>40917.665590277778</v>
      </c>
      <c r="E7204" t="s">
        <v>52</v>
      </c>
      <c r="F7204">
        <f t="shared" ca="1" si="226"/>
        <v>3.0555555555555554</v>
      </c>
      <c r="G7204">
        <f t="shared" ca="1" si="227"/>
        <v>0</v>
      </c>
    </row>
    <row r="7205" spans="1:7">
      <c r="A7205">
        <v>4365</v>
      </c>
      <c r="B7205" t="s">
        <v>36</v>
      </c>
      <c r="C7205" t="s">
        <v>128</v>
      </c>
      <c r="D7205" s="9">
        <v>40917.651516203703</v>
      </c>
      <c r="E7205" t="s">
        <v>52</v>
      </c>
      <c r="F7205">
        <f t="shared" ca="1" si="226"/>
        <v>3.0555555555555554</v>
      </c>
      <c r="G7205">
        <f t="shared" ca="1" si="227"/>
        <v>0</v>
      </c>
    </row>
    <row r="7206" spans="1:7">
      <c r="A7206">
        <v>4367</v>
      </c>
      <c r="B7206" t="s">
        <v>99</v>
      </c>
      <c r="C7206" t="s">
        <v>128</v>
      </c>
      <c r="D7206" s="9">
        <v>40920.394849537035</v>
      </c>
      <c r="E7206" t="s">
        <v>37</v>
      </c>
      <c r="F7206">
        <f t="shared" ca="1" si="226"/>
        <v>3.0472222222222221</v>
      </c>
      <c r="G7206">
        <f t="shared" ca="1" si="227"/>
        <v>0</v>
      </c>
    </row>
    <row r="7207" spans="1:7">
      <c r="A7207">
        <v>4368</v>
      </c>
      <c r="B7207" t="s">
        <v>20</v>
      </c>
      <c r="C7207" t="s">
        <v>128</v>
      </c>
      <c r="D7207" s="9">
        <v>40917.954652777778</v>
      </c>
      <c r="E7207" t="s">
        <v>27</v>
      </c>
      <c r="F7207">
        <f t="shared" ca="1" si="226"/>
        <v>3.0555555555555554</v>
      </c>
      <c r="G7207">
        <f t="shared" ca="1" si="227"/>
        <v>0</v>
      </c>
    </row>
    <row r="7208" spans="1:7">
      <c r="A7208">
        <v>4372</v>
      </c>
      <c r="B7208" t="s">
        <v>99</v>
      </c>
      <c r="C7208" t="s">
        <v>128</v>
      </c>
      <c r="D7208" s="9">
        <v>40919.820034722223</v>
      </c>
      <c r="E7208" t="s">
        <v>27</v>
      </c>
      <c r="F7208">
        <f t="shared" ca="1" si="226"/>
        <v>3.05</v>
      </c>
      <c r="G7208">
        <f t="shared" ca="1" si="227"/>
        <v>0</v>
      </c>
    </row>
    <row r="7209" spans="1:7">
      <c r="A7209">
        <v>4397</v>
      </c>
      <c r="B7209" t="s">
        <v>99</v>
      </c>
      <c r="C7209" t="s">
        <v>128</v>
      </c>
      <c r="D7209" s="9">
        <v>40917.953680555554</v>
      </c>
      <c r="E7209" t="s">
        <v>27</v>
      </c>
      <c r="F7209">
        <f t="shared" ca="1" si="226"/>
        <v>3.0555555555555554</v>
      </c>
      <c r="G7209">
        <f t="shared" ca="1" si="227"/>
        <v>0</v>
      </c>
    </row>
    <row r="7210" spans="1:7">
      <c r="A7210">
        <v>4429</v>
      </c>
      <c r="B7210" t="s">
        <v>30</v>
      </c>
      <c r="C7210" t="s">
        <v>127</v>
      </c>
      <c r="D7210" s="9">
        <v>41029.696493055555</v>
      </c>
      <c r="E7210" t="s">
        <v>43</v>
      </c>
      <c r="F7210">
        <f t="shared" ca="1" si="226"/>
        <v>2.7472222222222222</v>
      </c>
      <c r="G7210">
        <f t="shared" ca="1" si="227"/>
        <v>0</v>
      </c>
    </row>
    <row r="7211" spans="1:7">
      <c r="A7211">
        <v>4438</v>
      </c>
      <c r="B7211" t="s">
        <v>99</v>
      </c>
      <c r="C7211" t="s">
        <v>127</v>
      </c>
      <c r="D7211" s="9">
        <v>41031.699861111112</v>
      </c>
      <c r="E7211" t="s">
        <v>36</v>
      </c>
      <c r="F7211">
        <f t="shared" ca="1" si="226"/>
        <v>2.7416666666666667</v>
      </c>
      <c r="G7211">
        <f t="shared" ca="1" si="227"/>
        <v>0</v>
      </c>
    </row>
    <row r="7212" spans="1:7">
      <c r="A7212">
        <v>4446</v>
      </c>
      <c r="B7212" t="s">
        <v>99</v>
      </c>
      <c r="C7212" t="s">
        <v>128</v>
      </c>
      <c r="D7212" s="9">
        <v>40919.892418981479</v>
      </c>
      <c r="E7212" t="s">
        <v>27</v>
      </c>
      <c r="F7212">
        <f t="shared" ca="1" si="226"/>
        <v>3.05</v>
      </c>
      <c r="G7212">
        <f t="shared" ca="1" si="227"/>
        <v>0</v>
      </c>
    </row>
    <row r="7213" spans="1:7">
      <c r="A7213">
        <v>4465</v>
      </c>
      <c r="B7213" t="s">
        <v>99</v>
      </c>
      <c r="C7213" t="s">
        <v>127</v>
      </c>
      <c r="D7213" s="9">
        <v>41029.720451388886</v>
      </c>
      <c r="E7213" t="s">
        <v>36</v>
      </c>
      <c r="F7213">
        <f t="shared" ca="1" si="226"/>
        <v>2.7472222222222222</v>
      </c>
      <c r="G7213">
        <f t="shared" ca="1" si="227"/>
        <v>0</v>
      </c>
    </row>
    <row r="7214" spans="1:7">
      <c r="A7214">
        <v>4470</v>
      </c>
      <c r="B7214" t="s">
        <v>11</v>
      </c>
      <c r="C7214" t="s">
        <v>127</v>
      </c>
      <c r="D7214" s="9">
        <v>41029.724317129629</v>
      </c>
      <c r="E7214" t="s">
        <v>99</v>
      </c>
      <c r="F7214">
        <f t="shared" ca="1" si="226"/>
        <v>2.7472222222222222</v>
      </c>
      <c r="G7214">
        <f t="shared" ca="1" si="227"/>
        <v>0</v>
      </c>
    </row>
    <row r="7215" spans="1:7">
      <c r="A7215">
        <v>4477</v>
      </c>
      <c r="B7215" t="s">
        <v>30</v>
      </c>
      <c r="C7215" t="s">
        <v>127</v>
      </c>
      <c r="D7215" s="9">
        <v>41030.652766203704</v>
      </c>
      <c r="E7215" t="s">
        <v>143</v>
      </c>
      <c r="F7215">
        <f t="shared" ca="1" si="226"/>
        <v>2.7444444444444445</v>
      </c>
      <c r="G7215">
        <f t="shared" ca="1" si="227"/>
        <v>0</v>
      </c>
    </row>
    <row r="7216" spans="1:7">
      <c r="A7216">
        <v>4494</v>
      </c>
      <c r="B7216" t="s">
        <v>143</v>
      </c>
      <c r="C7216" t="s">
        <v>127</v>
      </c>
      <c r="D7216" s="9">
        <v>41030.97997685185</v>
      </c>
      <c r="E7216" t="s">
        <v>43</v>
      </c>
      <c r="F7216">
        <f t="shared" ca="1" si="226"/>
        <v>2.7444444444444445</v>
      </c>
      <c r="G7216">
        <f t="shared" ca="1" si="227"/>
        <v>0</v>
      </c>
    </row>
    <row r="7217" spans="1:7">
      <c r="A7217">
        <v>4495</v>
      </c>
      <c r="B7217" t="s">
        <v>29</v>
      </c>
      <c r="C7217" t="s">
        <v>121</v>
      </c>
      <c r="D7217" s="9">
        <v>41478.730613425927</v>
      </c>
      <c r="E7217" t="s">
        <v>111</v>
      </c>
      <c r="F7217">
        <f t="shared" ca="1" si="226"/>
        <v>1.5166666666666666</v>
      </c>
      <c r="G7217">
        <f t="shared" ca="1" si="227"/>
        <v>0</v>
      </c>
    </row>
    <row r="7218" spans="1:7">
      <c r="A7218">
        <v>4496</v>
      </c>
      <c r="B7218" t="s">
        <v>32</v>
      </c>
      <c r="C7218" t="s">
        <v>127</v>
      </c>
      <c r="D7218" s="9">
        <v>41029.949386574073</v>
      </c>
      <c r="E7218" t="s">
        <v>99</v>
      </c>
      <c r="F7218">
        <f t="shared" ca="1" si="226"/>
        <v>2.7472222222222222</v>
      </c>
      <c r="G7218">
        <f t="shared" ca="1" si="227"/>
        <v>0</v>
      </c>
    </row>
    <row r="7219" spans="1:7">
      <c r="A7219">
        <v>4500</v>
      </c>
      <c r="B7219" t="s">
        <v>99</v>
      </c>
      <c r="C7219" t="s">
        <v>128</v>
      </c>
      <c r="D7219" s="9">
        <v>40926.690717592595</v>
      </c>
      <c r="E7219" t="s">
        <v>27</v>
      </c>
      <c r="F7219">
        <f t="shared" ca="1" si="226"/>
        <v>3.0305555555555554</v>
      </c>
      <c r="G7219">
        <f t="shared" ca="1" si="227"/>
        <v>0</v>
      </c>
    </row>
    <row r="7220" spans="1:7">
      <c r="A7220">
        <v>4536</v>
      </c>
      <c r="B7220" t="s">
        <v>99</v>
      </c>
      <c r="C7220" t="s">
        <v>128</v>
      </c>
      <c r="D7220" s="9">
        <v>40940.927303240744</v>
      </c>
      <c r="E7220" t="s">
        <v>38</v>
      </c>
      <c r="F7220">
        <f t="shared" ca="1" si="226"/>
        <v>2.9944444444444445</v>
      </c>
      <c r="G7220">
        <f t="shared" ca="1" si="227"/>
        <v>0</v>
      </c>
    </row>
    <row r="7221" spans="1:7">
      <c r="A7221">
        <v>4542</v>
      </c>
      <c r="B7221" t="s">
        <v>8</v>
      </c>
      <c r="C7221" t="s">
        <v>127</v>
      </c>
      <c r="D7221" s="9">
        <v>41030.930659722224</v>
      </c>
      <c r="E7221" t="s">
        <v>38</v>
      </c>
      <c r="F7221">
        <f t="shared" ca="1" si="226"/>
        <v>2.7444444444444445</v>
      </c>
      <c r="G7221">
        <f t="shared" ca="1" si="227"/>
        <v>0</v>
      </c>
    </row>
    <row r="7222" spans="1:7">
      <c r="A7222">
        <v>4552</v>
      </c>
      <c r="B7222" t="s">
        <v>27</v>
      </c>
      <c r="C7222" t="s">
        <v>128</v>
      </c>
      <c r="D7222" s="9">
        <v>40928.814398148148</v>
      </c>
      <c r="E7222" t="s">
        <v>20</v>
      </c>
      <c r="F7222">
        <f t="shared" ca="1" si="226"/>
        <v>3.0249999999999999</v>
      </c>
      <c r="G7222">
        <f t="shared" ca="1" si="227"/>
        <v>0</v>
      </c>
    </row>
    <row r="7223" spans="1:7">
      <c r="A7223">
        <v>4555</v>
      </c>
      <c r="B7223" t="s">
        <v>19</v>
      </c>
      <c r="C7223" t="s">
        <v>128</v>
      </c>
      <c r="D7223" s="9">
        <v>40928.916192129633</v>
      </c>
      <c r="E7223" t="s">
        <v>36</v>
      </c>
      <c r="F7223">
        <f t="shared" ca="1" si="226"/>
        <v>3.0249999999999999</v>
      </c>
      <c r="G7223">
        <f t="shared" ca="1" si="227"/>
        <v>0</v>
      </c>
    </row>
    <row r="7224" spans="1:7">
      <c r="A7224">
        <v>4558</v>
      </c>
      <c r="B7224" t="s">
        <v>27</v>
      </c>
      <c r="C7224" t="s">
        <v>128</v>
      </c>
      <c r="D7224" s="9">
        <v>40927.653993055559</v>
      </c>
      <c r="E7224" t="s">
        <v>19</v>
      </c>
      <c r="F7224">
        <f t="shared" ca="1" si="226"/>
        <v>3.0277777777777777</v>
      </c>
      <c r="G7224">
        <f t="shared" ca="1" si="227"/>
        <v>0</v>
      </c>
    </row>
    <row r="7225" spans="1:7">
      <c r="A7225">
        <v>4584</v>
      </c>
      <c r="B7225" t="s">
        <v>30</v>
      </c>
      <c r="C7225" t="s">
        <v>127</v>
      </c>
      <c r="D7225" s="9">
        <v>41031.162303240744</v>
      </c>
      <c r="E7225" t="s">
        <v>36</v>
      </c>
      <c r="F7225">
        <f t="shared" ca="1" si="226"/>
        <v>2.7416666666666667</v>
      </c>
      <c r="G7225">
        <f t="shared" ca="1" si="227"/>
        <v>0</v>
      </c>
    </row>
    <row r="7226" spans="1:7">
      <c r="A7226">
        <v>4588</v>
      </c>
      <c r="B7226" t="s">
        <v>99</v>
      </c>
      <c r="C7226" t="s">
        <v>128</v>
      </c>
      <c r="D7226" s="9">
        <v>40928.873935185184</v>
      </c>
      <c r="E7226" t="s">
        <v>38</v>
      </c>
      <c r="F7226">
        <f t="shared" ca="1" si="226"/>
        <v>3.0249999999999999</v>
      </c>
      <c r="G7226">
        <f t="shared" ca="1" si="227"/>
        <v>0</v>
      </c>
    </row>
    <row r="7227" spans="1:7">
      <c r="A7227">
        <v>4598</v>
      </c>
      <c r="B7227" t="s">
        <v>21</v>
      </c>
      <c r="C7227" t="s">
        <v>127</v>
      </c>
      <c r="D7227" s="9">
        <v>41029.903148148151</v>
      </c>
      <c r="E7227" t="s">
        <v>36</v>
      </c>
      <c r="F7227">
        <f t="shared" ca="1" si="226"/>
        <v>2.7472222222222222</v>
      </c>
      <c r="G7227">
        <f t="shared" ca="1" si="227"/>
        <v>0</v>
      </c>
    </row>
    <row r="7228" spans="1:7">
      <c r="A7228">
        <v>4600</v>
      </c>
      <c r="B7228" t="s">
        <v>21</v>
      </c>
      <c r="C7228" t="s">
        <v>127</v>
      </c>
      <c r="D7228" s="9">
        <v>41029.904409722221</v>
      </c>
      <c r="E7228" t="s">
        <v>36</v>
      </c>
      <c r="F7228">
        <f t="shared" ca="1" si="226"/>
        <v>2.7472222222222222</v>
      </c>
      <c r="G7228">
        <f t="shared" ca="1" si="227"/>
        <v>0</v>
      </c>
    </row>
    <row r="7229" spans="1:7">
      <c r="A7229">
        <v>4601</v>
      </c>
      <c r="B7229" t="s">
        <v>21</v>
      </c>
      <c r="C7229" t="s">
        <v>127</v>
      </c>
      <c r="D7229" s="9">
        <v>41029.91002314815</v>
      </c>
      <c r="E7229" t="s">
        <v>36</v>
      </c>
      <c r="F7229">
        <f t="shared" ca="1" si="226"/>
        <v>2.7472222222222222</v>
      </c>
      <c r="G7229">
        <f t="shared" ca="1" si="227"/>
        <v>0</v>
      </c>
    </row>
    <row r="7230" spans="1:7">
      <c r="A7230">
        <v>4608</v>
      </c>
      <c r="B7230" t="s">
        <v>37</v>
      </c>
      <c r="C7230" t="s">
        <v>128</v>
      </c>
      <c r="D7230" s="9">
        <v>40933.681192129632</v>
      </c>
      <c r="E7230" t="s">
        <v>36</v>
      </c>
      <c r="F7230">
        <f t="shared" ca="1" si="226"/>
        <v>3.0111111111111111</v>
      </c>
      <c r="G7230">
        <f t="shared" ca="1" si="227"/>
        <v>0</v>
      </c>
    </row>
    <row r="7231" spans="1:7">
      <c r="A7231">
        <v>4616</v>
      </c>
      <c r="B7231" t="s">
        <v>99</v>
      </c>
      <c r="C7231" t="s">
        <v>127</v>
      </c>
      <c r="D7231" s="9">
        <v>41029.780173611114</v>
      </c>
      <c r="E7231" t="s">
        <v>43</v>
      </c>
      <c r="F7231">
        <f t="shared" ca="1" si="226"/>
        <v>2.7472222222222222</v>
      </c>
      <c r="G7231">
        <f t="shared" ca="1" si="227"/>
        <v>0</v>
      </c>
    </row>
    <row r="7232" spans="1:7">
      <c r="A7232">
        <v>4630</v>
      </c>
      <c r="B7232" t="s">
        <v>11</v>
      </c>
      <c r="C7232" t="s">
        <v>128</v>
      </c>
      <c r="D7232" s="9">
        <v>40934.673449074071</v>
      </c>
      <c r="E7232" t="s">
        <v>99</v>
      </c>
      <c r="F7232">
        <f t="shared" ca="1" si="226"/>
        <v>3.0083333333333333</v>
      </c>
      <c r="G7232">
        <f t="shared" ca="1" si="227"/>
        <v>0</v>
      </c>
    </row>
    <row r="7233" spans="1:7">
      <c r="A7233">
        <v>4640</v>
      </c>
      <c r="B7233" t="s">
        <v>37</v>
      </c>
      <c r="C7233" t="s">
        <v>128</v>
      </c>
      <c r="D7233" s="9">
        <v>40935.641435185185</v>
      </c>
      <c r="E7233" t="s">
        <v>143</v>
      </c>
      <c r="F7233">
        <f t="shared" ca="1" si="226"/>
        <v>3.0055555555555555</v>
      </c>
      <c r="G7233">
        <f t="shared" ca="1" si="227"/>
        <v>0</v>
      </c>
    </row>
    <row r="7234" spans="1:7">
      <c r="A7234">
        <v>4670</v>
      </c>
      <c r="B7234" t="s">
        <v>27</v>
      </c>
      <c r="C7234" t="s">
        <v>127</v>
      </c>
      <c r="D7234" s="9">
        <v>41030.429699074077</v>
      </c>
      <c r="E7234" t="s">
        <v>19</v>
      </c>
      <c r="F7234">
        <f t="shared" ca="1" si="226"/>
        <v>2.7444444444444445</v>
      </c>
      <c r="G7234">
        <f t="shared" ca="1" si="227"/>
        <v>0</v>
      </c>
    </row>
    <row r="7235" spans="1:7">
      <c r="A7235">
        <v>4709</v>
      </c>
      <c r="B7235" t="s">
        <v>143</v>
      </c>
      <c r="C7235" t="s">
        <v>128</v>
      </c>
      <c r="D7235" s="9">
        <v>40940.716805555552</v>
      </c>
      <c r="E7235" t="s">
        <v>38</v>
      </c>
      <c r="F7235">
        <f t="shared" ca="1" si="226"/>
        <v>2.9944444444444445</v>
      </c>
      <c r="G7235">
        <f t="shared" ca="1" si="227"/>
        <v>0</v>
      </c>
    </row>
    <row r="7236" spans="1:7">
      <c r="A7236">
        <v>4719</v>
      </c>
      <c r="B7236" t="s">
        <v>11</v>
      </c>
      <c r="C7236" t="s">
        <v>128</v>
      </c>
      <c r="D7236" s="9">
        <v>40941.444525462961</v>
      </c>
      <c r="E7236" t="s">
        <v>34</v>
      </c>
      <c r="F7236">
        <f t="shared" ca="1" si="226"/>
        <v>2.9916666666666667</v>
      </c>
      <c r="G7236">
        <f t="shared" ca="1" si="227"/>
        <v>0</v>
      </c>
    </row>
    <row r="7237" spans="1:7">
      <c r="A7237">
        <v>4728</v>
      </c>
      <c r="B7237" t="s">
        <v>99</v>
      </c>
      <c r="C7237" t="s">
        <v>127</v>
      </c>
      <c r="D7237" s="9">
        <v>41031.789618055554</v>
      </c>
      <c r="E7237" t="s">
        <v>11</v>
      </c>
      <c r="F7237">
        <f t="shared" ca="1" si="226"/>
        <v>2.7416666666666667</v>
      </c>
      <c r="G7237">
        <f t="shared" ca="1" si="227"/>
        <v>0</v>
      </c>
    </row>
    <row r="7238" spans="1:7">
      <c r="A7238">
        <v>4739</v>
      </c>
      <c r="B7238" t="s">
        <v>19</v>
      </c>
      <c r="C7238" t="s">
        <v>125</v>
      </c>
      <c r="D7238" s="9">
        <v>41211.773715277777</v>
      </c>
      <c r="E7238" t="s">
        <v>27</v>
      </c>
      <c r="F7238">
        <f t="shared" ca="1" si="226"/>
        <v>2.25</v>
      </c>
      <c r="G7238">
        <f t="shared" ca="1" si="227"/>
        <v>0</v>
      </c>
    </row>
    <row r="7239" spans="1:7">
      <c r="A7239">
        <v>4767</v>
      </c>
      <c r="B7239" t="s">
        <v>38</v>
      </c>
      <c r="C7239" t="s">
        <v>127</v>
      </c>
      <c r="D7239" s="9">
        <v>41029.646481481483</v>
      </c>
      <c r="E7239" t="s">
        <v>36</v>
      </c>
      <c r="F7239">
        <f t="shared" ref="F7239:F7302" ca="1" si="228">YEARFRAC(TODAY(),$D7239)</f>
        <v>2.7472222222222222</v>
      </c>
      <c r="G7239">
        <f t="shared" ref="G7239:G7302" ca="1" si="229">IF($F7239&lt;1,1,0)</f>
        <v>0</v>
      </c>
    </row>
    <row r="7240" spans="1:7">
      <c r="A7240">
        <v>4780</v>
      </c>
      <c r="B7240" t="s">
        <v>99</v>
      </c>
      <c r="C7240" t="s">
        <v>127</v>
      </c>
      <c r="D7240" s="9">
        <v>41029.908912037034</v>
      </c>
      <c r="E7240" t="s">
        <v>43</v>
      </c>
      <c r="F7240">
        <f t="shared" ca="1" si="228"/>
        <v>2.7472222222222222</v>
      </c>
      <c r="G7240">
        <f t="shared" ca="1" si="229"/>
        <v>0</v>
      </c>
    </row>
    <row r="7241" spans="1:7">
      <c r="A7241">
        <v>4788</v>
      </c>
      <c r="B7241" t="s">
        <v>99</v>
      </c>
      <c r="C7241" t="s">
        <v>127</v>
      </c>
      <c r="D7241" s="9">
        <v>41029.859270833331</v>
      </c>
      <c r="E7241" t="s">
        <v>32</v>
      </c>
      <c r="F7241">
        <f t="shared" ca="1" si="228"/>
        <v>2.7472222222222222</v>
      </c>
      <c r="G7241">
        <f t="shared" ca="1" si="229"/>
        <v>0</v>
      </c>
    </row>
    <row r="7242" spans="1:7">
      <c r="A7242">
        <v>4794</v>
      </c>
      <c r="B7242" t="s">
        <v>99</v>
      </c>
      <c r="C7242" t="s">
        <v>127</v>
      </c>
      <c r="D7242" s="9">
        <v>41031.741331018522</v>
      </c>
      <c r="E7242" t="s">
        <v>27</v>
      </c>
      <c r="F7242">
        <f t="shared" ca="1" si="228"/>
        <v>2.7416666666666667</v>
      </c>
      <c r="G7242">
        <f t="shared" ca="1" si="229"/>
        <v>0</v>
      </c>
    </row>
    <row r="7243" spans="1:7">
      <c r="A7243">
        <v>4799</v>
      </c>
      <c r="B7243" t="s">
        <v>19</v>
      </c>
      <c r="C7243" t="s">
        <v>127</v>
      </c>
      <c r="D7243" s="9">
        <v>41029.757268518515</v>
      </c>
      <c r="E7243" t="s">
        <v>99</v>
      </c>
      <c r="F7243">
        <f t="shared" ca="1" si="228"/>
        <v>2.7472222222222222</v>
      </c>
      <c r="G7243">
        <f t="shared" ca="1" si="229"/>
        <v>0</v>
      </c>
    </row>
    <row r="7244" spans="1:7">
      <c r="A7244">
        <v>4805</v>
      </c>
      <c r="B7244" t="s">
        <v>20</v>
      </c>
      <c r="C7244" t="s">
        <v>127</v>
      </c>
      <c r="D7244" s="9">
        <v>41030.853587962964</v>
      </c>
      <c r="E7244" t="s">
        <v>32</v>
      </c>
      <c r="F7244">
        <f t="shared" ca="1" si="228"/>
        <v>2.7444444444444445</v>
      </c>
      <c r="G7244">
        <f t="shared" ca="1" si="229"/>
        <v>0</v>
      </c>
    </row>
    <row r="7245" spans="1:7">
      <c r="A7245">
        <v>4806</v>
      </c>
      <c r="B7245" t="s">
        <v>20</v>
      </c>
      <c r="C7245" t="s">
        <v>127</v>
      </c>
      <c r="D7245" s="9">
        <v>41030.85665509259</v>
      </c>
      <c r="E7245" t="s">
        <v>21</v>
      </c>
      <c r="F7245">
        <f t="shared" ca="1" si="228"/>
        <v>2.7444444444444445</v>
      </c>
      <c r="G7245">
        <f t="shared" ca="1" si="229"/>
        <v>0</v>
      </c>
    </row>
    <row r="7246" spans="1:7">
      <c r="A7246">
        <v>4811</v>
      </c>
      <c r="B7246" t="s">
        <v>19</v>
      </c>
      <c r="C7246" t="s">
        <v>127</v>
      </c>
      <c r="D7246" s="9">
        <v>41029.855844907404</v>
      </c>
      <c r="E7246" t="s">
        <v>27</v>
      </c>
      <c r="F7246">
        <f t="shared" ca="1" si="228"/>
        <v>2.7472222222222222</v>
      </c>
      <c r="G7246">
        <f t="shared" ca="1" si="229"/>
        <v>0</v>
      </c>
    </row>
    <row r="7247" spans="1:7">
      <c r="A7247">
        <v>4828</v>
      </c>
      <c r="B7247" t="s">
        <v>99</v>
      </c>
      <c r="C7247" t="s">
        <v>127</v>
      </c>
      <c r="D7247" s="9">
        <v>41029.880208333336</v>
      </c>
      <c r="E7247" t="s">
        <v>32</v>
      </c>
      <c r="F7247">
        <f t="shared" ca="1" si="228"/>
        <v>2.7472222222222222</v>
      </c>
      <c r="G7247">
        <f t="shared" ca="1" si="229"/>
        <v>0</v>
      </c>
    </row>
    <row r="7248" spans="1:7">
      <c r="A7248">
        <v>4829</v>
      </c>
      <c r="B7248" t="s">
        <v>99</v>
      </c>
      <c r="C7248" t="s">
        <v>127</v>
      </c>
      <c r="D7248" s="9">
        <v>41031.763958333337</v>
      </c>
      <c r="E7248" t="s">
        <v>32</v>
      </c>
      <c r="F7248">
        <f t="shared" ca="1" si="228"/>
        <v>2.7416666666666667</v>
      </c>
      <c r="G7248">
        <f t="shared" ca="1" si="229"/>
        <v>0</v>
      </c>
    </row>
    <row r="7249" spans="1:7">
      <c r="A7249">
        <v>4833</v>
      </c>
      <c r="B7249" t="s">
        <v>143</v>
      </c>
      <c r="C7249" t="s">
        <v>127</v>
      </c>
      <c r="D7249" s="9">
        <v>41029.601631944446</v>
      </c>
      <c r="E7249" t="s">
        <v>44</v>
      </c>
      <c r="F7249">
        <f t="shared" ca="1" si="228"/>
        <v>2.7472222222222222</v>
      </c>
      <c r="G7249">
        <f t="shared" ca="1" si="229"/>
        <v>0</v>
      </c>
    </row>
    <row r="7250" spans="1:7">
      <c r="A7250">
        <v>4841</v>
      </c>
      <c r="B7250" t="s">
        <v>14</v>
      </c>
      <c r="C7250" t="s">
        <v>120</v>
      </c>
      <c r="D7250" s="9">
        <v>41554.497175925928</v>
      </c>
      <c r="E7250" t="s">
        <v>23</v>
      </c>
      <c r="F7250">
        <f t="shared" ca="1" si="228"/>
        <v>1.3111111111111111</v>
      </c>
      <c r="G7250">
        <f t="shared" ca="1" si="229"/>
        <v>0</v>
      </c>
    </row>
    <row r="7251" spans="1:7">
      <c r="A7251">
        <v>4844</v>
      </c>
      <c r="B7251" t="s">
        <v>20</v>
      </c>
      <c r="C7251" t="s">
        <v>127</v>
      </c>
      <c r="D7251" s="9">
        <v>41030.907835648148</v>
      </c>
      <c r="E7251" t="s">
        <v>21</v>
      </c>
      <c r="F7251">
        <f t="shared" ca="1" si="228"/>
        <v>2.7444444444444445</v>
      </c>
      <c r="G7251">
        <f t="shared" ca="1" si="229"/>
        <v>0</v>
      </c>
    </row>
    <row r="7252" spans="1:7">
      <c r="A7252">
        <v>4858</v>
      </c>
      <c r="B7252" t="s">
        <v>30</v>
      </c>
      <c r="C7252" t="s">
        <v>127</v>
      </c>
      <c r="D7252" s="9">
        <v>41760.469861111109</v>
      </c>
      <c r="E7252" t="s">
        <v>43</v>
      </c>
      <c r="F7252">
        <f t="shared" ca="1" si="228"/>
        <v>0.74444444444444446</v>
      </c>
      <c r="G7252">
        <f t="shared" ca="1" si="229"/>
        <v>1</v>
      </c>
    </row>
    <row r="7253" spans="1:7">
      <c r="A7253">
        <v>4861</v>
      </c>
      <c r="B7253" t="s">
        <v>99</v>
      </c>
      <c r="C7253" t="s">
        <v>127</v>
      </c>
      <c r="D7253" s="9">
        <v>41030.168622685182</v>
      </c>
      <c r="E7253" t="s">
        <v>36</v>
      </c>
      <c r="F7253">
        <f t="shared" ca="1" si="228"/>
        <v>2.7444444444444445</v>
      </c>
      <c r="G7253">
        <f t="shared" ca="1" si="229"/>
        <v>0</v>
      </c>
    </row>
    <row r="7254" spans="1:7">
      <c r="A7254">
        <v>4863</v>
      </c>
      <c r="B7254" t="s">
        <v>51</v>
      </c>
      <c r="C7254" t="s">
        <v>123</v>
      </c>
      <c r="D7254" s="9">
        <v>41303.620162037034</v>
      </c>
      <c r="E7254" t="s">
        <v>38</v>
      </c>
      <c r="F7254">
        <f t="shared" ca="1" si="228"/>
        <v>2</v>
      </c>
      <c r="G7254">
        <f t="shared" ca="1" si="229"/>
        <v>0</v>
      </c>
    </row>
    <row r="7255" spans="1:7">
      <c r="A7255">
        <v>4881</v>
      </c>
      <c r="B7255" t="s">
        <v>21</v>
      </c>
      <c r="C7255" t="s">
        <v>127</v>
      </c>
      <c r="D7255" s="9">
        <v>41029.626030092593</v>
      </c>
      <c r="E7255" t="s">
        <v>32</v>
      </c>
      <c r="F7255">
        <f t="shared" ca="1" si="228"/>
        <v>2.7472222222222222</v>
      </c>
      <c r="G7255">
        <f t="shared" ca="1" si="229"/>
        <v>0</v>
      </c>
    </row>
    <row r="7256" spans="1:7">
      <c r="A7256">
        <v>4897</v>
      </c>
      <c r="B7256" t="s">
        <v>99</v>
      </c>
      <c r="C7256" t="s">
        <v>127</v>
      </c>
      <c r="D7256" s="9">
        <v>41033.703576388885</v>
      </c>
      <c r="E7256" t="s">
        <v>36</v>
      </c>
      <c r="F7256">
        <f t="shared" ca="1" si="228"/>
        <v>2.7361111111111112</v>
      </c>
      <c r="G7256">
        <f t="shared" ca="1" si="229"/>
        <v>0</v>
      </c>
    </row>
    <row r="7257" spans="1:7">
      <c r="A7257">
        <v>4898</v>
      </c>
      <c r="B7257" t="s">
        <v>99</v>
      </c>
      <c r="C7257" t="s">
        <v>127</v>
      </c>
      <c r="D7257" s="9">
        <v>41031.712083333332</v>
      </c>
      <c r="E7257" t="s">
        <v>38</v>
      </c>
      <c r="F7257">
        <f t="shared" ca="1" si="228"/>
        <v>2.7416666666666667</v>
      </c>
      <c r="G7257">
        <f t="shared" ca="1" si="229"/>
        <v>0</v>
      </c>
    </row>
    <row r="7258" spans="1:7">
      <c r="A7258">
        <v>4903</v>
      </c>
      <c r="B7258" t="s">
        <v>99</v>
      </c>
      <c r="C7258" t="s">
        <v>127</v>
      </c>
      <c r="D7258" s="9">
        <v>41029.777708333335</v>
      </c>
      <c r="E7258" t="s">
        <v>43</v>
      </c>
      <c r="F7258">
        <f t="shared" ca="1" si="228"/>
        <v>2.7472222222222222</v>
      </c>
      <c r="G7258">
        <f t="shared" ca="1" si="229"/>
        <v>0</v>
      </c>
    </row>
    <row r="7259" spans="1:7">
      <c r="A7259">
        <v>4928</v>
      </c>
      <c r="B7259" t="s">
        <v>44</v>
      </c>
      <c r="C7259" t="s">
        <v>118</v>
      </c>
      <c r="D7259" s="9">
        <v>41683.850543981483</v>
      </c>
      <c r="E7259" t="s">
        <v>11</v>
      </c>
      <c r="F7259">
        <f t="shared" ca="1" si="228"/>
        <v>0.96111111111111114</v>
      </c>
      <c r="G7259">
        <f t="shared" ca="1" si="229"/>
        <v>1</v>
      </c>
    </row>
    <row r="7260" spans="1:7">
      <c r="A7260">
        <v>4930</v>
      </c>
      <c r="B7260" t="s">
        <v>20</v>
      </c>
      <c r="C7260" t="s">
        <v>127</v>
      </c>
      <c r="D7260" s="9">
        <v>41031.707337962966</v>
      </c>
      <c r="E7260" t="s">
        <v>43</v>
      </c>
      <c r="F7260">
        <f t="shared" ca="1" si="228"/>
        <v>2.7416666666666667</v>
      </c>
      <c r="G7260">
        <f t="shared" ca="1" si="229"/>
        <v>0</v>
      </c>
    </row>
    <row r="7261" spans="1:7">
      <c r="A7261">
        <v>4934</v>
      </c>
      <c r="B7261" t="s">
        <v>19</v>
      </c>
      <c r="C7261" t="s">
        <v>127</v>
      </c>
      <c r="D7261" s="9">
        <v>41029.929016203707</v>
      </c>
      <c r="E7261" t="s">
        <v>38</v>
      </c>
      <c r="F7261">
        <f t="shared" ca="1" si="228"/>
        <v>2.7472222222222222</v>
      </c>
      <c r="G7261">
        <f t="shared" ca="1" si="229"/>
        <v>0</v>
      </c>
    </row>
    <row r="7262" spans="1:7">
      <c r="A7262">
        <v>4941</v>
      </c>
      <c r="B7262" t="s">
        <v>99</v>
      </c>
      <c r="C7262" t="s">
        <v>127</v>
      </c>
      <c r="D7262" s="9">
        <v>41030.592789351853</v>
      </c>
      <c r="E7262" t="s">
        <v>27</v>
      </c>
      <c r="F7262">
        <f t="shared" ca="1" si="228"/>
        <v>2.7444444444444445</v>
      </c>
      <c r="G7262">
        <f t="shared" ca="1" si="229"/>
        <v>0</v>
      </c>
    </row>
    <row r="7263" spans="1:7">
      <c r="A7263">
        <v>4942</v>
      </c>
      <c r="B7263" t="s">
        <v>11</v>
      </c>
      <c r="C7263" t="s">
        <v>127</v>
      </c>
      <c r="D7263" s="9">
        <v>41030.697233796294</v>
      </c>
      <c r="E7263" t="s">
        <v>36</v>
      </c>
      <c r="F7263">
        <f t="shared" ca="1" si="228"/>
        <v>2.7444444444444445</v>
      </c>
      <c r="G7263">
        <f t="shared" ca="1" si="229"/>
        <v>0</v>
      </c>
    </row>
    <row r="7264" spans="1:7">
      <c r="A7264">
        <v>4967</v>
      </c>
      <c r="B7264" t="s">
        <v>99</v>
      </c>
      <c r="C7264" t="s">
        <v>127</v>
      </c>
      <c r="D7264" s="9">
        <v>41030.850439814814</v>
      </c>
      <c r="E7264" t="s">
        <v>36</v>
      </c>
      <c r="F7264">
        <f t="shared" ca="1" si="228"/>
        <v>2.7444444444444445</v>
      </c>
      <c r="G7264">
        <f t="shared" ca="1" si="229"/>
        <v>0</v>
      </c>
    </row>
    <row r="7265" spans="1:7">
      <c r="A7265">
        <v>5005</v>
      </c>
      <c r="B7265" t="s">
        <v>32</v>
      </c>
      <c r="C7265" t="s">
        <v>127</v>
      </c>
      <c r="D7265" s="9">
        <v>41029.950578703705</v>
      </c>
      <c r="E7265" t="s">
        <v>21</v>
      </c>
      <c r="F7265">
        <f t="shared" ca="1" si="228"/>
        <v>2.7472222222222222</v>
      </c>
      <c r="G7265">
        <f t="shared" ca="1" si="229"/>
        <v>0</v>
      </c>
    </row>
    <row r="7266" spans="1:7">
      <c r="A7266">
        <v>5010</v>
      </c>
      <c r="B7266" t="s">
        <v>99</v>
      </c>
      <c r="C7266" t="s">
        <v>127</v>
      </c>
      <c r="D7266" s="9">
        <v>41029.918391203704</v>
      </c>
      <c r="E7266" t="s">
        <v>21</v>
      </c>
      <c r="F7266">
        <f t="shared" ca="1" si="228"/>
        <v>2.7472222222222222</v>
      </c>
      <c r="G7266">
        <f t="shared" ca="1" si="229"/>
        <v>0</v>
      </c>
    </row>
    <row r="7267" spans="1:7">
      <c r="A7267">
        <v>5024</v>
      </c>
      <c r="B7267" t="s">
        <v>99</v>
      </c>
      <c r="C7267" t="s">
        <v>127</v>
      </c>
      <c r="D7267" s="9">
        <v>41033.703587962962</v>
      </c>
      <c r="E7267" t="s">
        <v>36</v>
      </c>
      <c r="F7267">
        <f t="shared" ca="1" si="228"/>
        <v>2.7361111111111112</v>
      </c>
      <c r="G7267">
        <f t="shared" ca="1" si="229"/>
        <v>0</v>
      </c>
    </row>
    <row r="7268" spans="1:7">
      <c r="A7268">
        <v>5025</v>
      </c>
      <c r="B7268" t="s">
        <v>11</v>
      </c>
      <c r="C7268" t="s">
        <v>127</v>
      </c>
      <c r="D7268" s="9">
        <v>41030.636400462965</v>
      </c>
      <c r="E7268" t="s">
        <v>34</v>
      </c>
      <c r="F7268">
        <f t="shared" ca="1" si="228"/>
        <v>2.7444444444444445</v>
      </c>
      <c r="G7268">
        <f t="shared" ca="1" si="229"/>
        <v>0</v>
      </c>
    </row>
    <row r="7269" spans="1:7">
      <c r="A7269">
        <v>5034</v>
      </c>
      <c r="B7269" t="s">
        <v>99</v>
      </c>
      <c r="C7269" t="s">
        <v>127</v>
      </c>
      <c r="D7269" s="9">
        <v>41030.43891203704</v>
      </c>
      <c r="E7269" t="s">
        <v>19</v>
      </c>
      <c r="F7269">
        <f t="shared" ca="1" si="228"/>
        <v>2.7444444444444445</v>
      </c>
      <c r="G7269">
        <f t="shared" ca="1" si="229"/>
        <v>0</v>
      </c>
    </row>
    <row r="7270" spans="1:7">
      <c r="A7270">
        <v>5059</v>
      </c>
      <c r="B7270" t="s">
        <v>99</v>
      </c>
      <c r="C7270" t="s">
        <v>127</v>
      </c>
      <c r="D7270" s="9">
        <v>41033.703784722224</v>
      </c>
      <c r="E7270" t="s">
        <v>38</v>
      </c>
      <c r="F7270">
        <f t="shared" ca="1" si="228"/>
        <v>2.7361111111111112</v>
      </c>
      <c r="G7270">
        <f t="shared" ca="1" si="229"/>
        <v>0</v>
      </c>
    </row>
    <row r="7271" spans="1:7">
      <c r="A7271">
        <v>5068</v>
      </c>
      <c r="B7271" t="s">
        <v>99</v>
      </c>
      <c r="C7271" t="s">
        <v>127</v>
      </c>
      <c r="D7271" s="9">
        <v>41029.787870370368</v>
      </c>
      <c r="E7271" t="s">
        <v>43</v>
      </c>
      <c r="F7271">
        <f t="shared" ca="1" si="228"/>
        <v>2.7472222222222222</v>
      </c>
      <c r="G7271">
        <f t="shared" ca="1" si="229"/>
        <v>0</v>
      </c>
    </row>
    <row r="7272" spans="1:7">
      <c r="A7272">
        <v>5071</v>
      </c>
      <c r="B7272" t="s">
        <v>52</v>
      </c>
      <c r="C7272" t="s">
        <v>125</v>
      </c>
      <c r="D7272" s="9">
        <v>41698.610277777778</v>
      </c>
      <c r="E7272" t="s">
        <v>11</v>
      </c>
      <c r="F7272">
        <f t="shared" ca="1" si="228"/>
        <v>0.91388888888888886</v>
      </c>
      <c r="G7272">
        <f t="shared" ca="1" si="229"/>
        <v>1</v>
      </c>
    </row>
    <row r="7273" spans="1:7">
      <c r="A7273">
        <v>5077</v>
      </c>
      <c r="B7273" t="s">
        <v>32</v>
      </c>
      <c r="C7273" t="s">
        <v>127</v>
      </c>
      <c r="D7273" s="9">
        <v>41015.622384259259</v>
      </c>
      <c r="E7273" t="s">
        <v>20</v>
      </c>
      <c r="F7273">
        <f t="shared" ca="1" si="228"/>
        <v>2.786111111111111</v>
      </c>
      <c r="G7273">
        <f t="shared" ca="1" si="229"/>
        <v>0</v>
      </c>
    </row>
    <row r="7274" spans="1:7">
      <c r="A7274">
        <v>5079</v>
      </c>
      <c r="B7274" t="s">
        <v>99</v>
      </c>
      <c r="C7274" t="s">
        <v>127</v>
      </c>
      <c r="D7274" s="9">
        <v>41030.704699074071</v>
      </c>
      <c r="E7274" t="s">
        <v>27</v>
      </c>
      <c r="F7274">
        <f t="shared" ca="1" si="228"/>
        <v>2.7444444444444445</v>
      </c>
      <c r="G7274">
        <f t="shared" ca="1" si="229"/>
        <v>0</v>
      </c>
    </row>
    <row r="7275" spans="1:7">
      <c r="A7275">
        <v>5100</v>
      </c>
      <c r="B7275" t="s">
        <v>20</v>
      </c>
      <c r="C7275" t="s">
        <v>127</v>
      </c>
      <c r="D7275" s="9">
        <v>41029.8202662037</v>
      </c>
      <c r="E7275" t="s">
        <v>43</v>
      </c>
      <c r="F7275">
        <f t="shared" ca="1" si="228"/>
        <v>2.7472222222222222</v>
      </c>
      <c r="G7275">
        <f t="shared" ca="1" si="229"/>
        <v>0</v>
      </c>
    </row>
    <row r="7276" spans="1:7">
      <c r="A7276">
        <v>5101</v>
      </c>
      <c r="B7276" t="s">
        <v>27</v>
      </c>
      <c r="C7276" t="s">
        <v>126</v>
      </c>
      <c r="D7276" s="9">
        <v>41127.942395833335</v>
      </c>
      <c r="E7276" t="s">
        <v>21</v>
      </c>
      <c r="F7276">
        <f t="shared" ca="1" si="228"/>
        <v>2.4805555555555556</v>
      </c>
      <c r="G7276">
        <f t="shared" ca="1" si="229"/>
        <v>0</v>
      </c>
    </row>
    <row r="7277" spans="1:7">
      <c r="A7277">
        <v>5122</v>
      </c>
      <c r="B7277" t="s">
        <v>19</v>
      </c>
      <c r="C7277" t="s">
        <v>127</v>
      </c>
      <c r="D7277" s="9">
        <v>41029.770995370367</v>
      </c>
      <c r="E7277" t="s">
        <v>38</v>
      </c>
      <c r="F7277">
        <f t="shared" ca="1" si="228"/>
        <v>2.7472222222222222</v>
      </c>
      <c r="G7277">
        <f t="shared" ca="1" si="229"/>
        <v>0</v>
      </c>
    </row>
    <row r="7278" spans="1:7">
      <c r="A7278">
        <v>5145</v>
      </c>
      <c r="B7278" t="s">
        <v>19</v>
      </c>
      <c r="C7278" t="s">
        <v>127</v>
      </c>
      <c r="D7278" s="9">
        <v>41029.674699074072</v>
      </c>
      <c r="E7278" t="s">
        <v>99</v>
      </c>
      <c r="F7278">
        <f t="shared" ca="1" si="228"/>
        <v>2.7472222222222222</v>
      </c>
      <c r="G7278">
        <f t="shared" ca="1" si="229"/>
        <v>0</v>
      </c>
    </row>
    <row r="7279" spans="1:7">
      <c r="A7279">
        <v>5147</v>
      </c>
      <c r="B7279" t="s">
        <v>8</v>
      </c>
      <c r="C7279" t="s">
        <v>127</v>
      </c>
      <c r="D7279" s="9">
        <v>41029.857372685183</v>
      </c>
      <c r="E7279" t="s">
        <v>38</v>
      </c>
      <c r="F7279">
        <f t="shared" ca="1" si="228"/>
        <v>2.7472222222222222</v>
      </c>
      <c r="G7279">
        <f t="shared" ca="1" si="229"/>
        <v>0</v>
      </c>
    </row>
    <row r="7280" spans="1:7">
      <c r="A7280">
        <v>5148</v>
      </c>
      <c r="B7280" t="s">
        <v>20</v>
      </c>
      <c r="C7280" t="s">
        <v>127</v>
      </c>
      <c r="D7280" s="9">
        <v>41029.938518518517</v>
      </c>
      <c r="E7280" t="s">
        <v>21</v>
      </c>
      <c r="F7280">
        <f t="shared" ca="1" si="228"/>
        <v>2.7472222222222222</v>
      </c>
      <c r="G7280">
        <f t="shared" ca="1" si="229"/>
        <v>0</v>
      </c>
    </row>
    <row r="7281" spans="1:7">
      <c r="A7281">
        <v>5149</v>
      </c>
      <c r="B7281" t="s">
        <v>36</v>
      </c>
      <c r="C7281" t="s">
        <v>127</v>
      </c>
      <c r="D7281" s="9">
        <v>41030.623912037037</v>
      </c>
      <c r="E7281" t="s">
        <v>27</v>
      </c>
      <c r="F7281">
        <f t="shared" ca="1" si="228"/>
        <v>2.7444444444444445</v>
      </c>
      <c r="G7281">
        <f t="shared" ca="1" si="229"/>
        <v>0</v>
      </c>
    </row>
    <row r="7282" spans="1:7">
      <c r="A7282">
        <v>5168</v>
      </c>
      <c r="B7282" t="s">
        <v>20</v>
      </c>
      <c r="C7282" t="s">
        <v>127</v>
      </c>
      <c r="D7282" s="9">
        <v>41029.617164351854</v>
      </c>
      <c r="E7282" t="s">
        <v>32</v>
      </c>
      <c r="F7282">
        <f t="shared" ca="1" si="228"/>
        <v>2.7472222222222222</v>
      </c>
      <c r="G7282">
        <f t="shared" ca="1" si="229"/>
        <v>0</v>
      </c>
    </row>
    <row r="7283" spans="1:7">
      <c r="A7283">
        <v>5169</v>
      </c>
      <c r="B7283" t="s">
        <v>32</v>
      </c>
      <c r="C7283" t="s">
        <v>127</v>
      </c>
      <c r="D7283" s="9">
        <v>41029.904236111113</v>
      </c>
      <c r="E7283" t="s">
        <v>43</v>
      </c>
      <c r="F7283">
        <f t="shared" ca="1" si="228"/>
        <v>2.7472222222222222</v>
      </c>
      <c r="G7283">
        <f t="shared" ca="1" si="229"/>
        <v>0</v>
      </c>
    </row>
    <row r="7284" spans="1:7">
      <c r="A7284">
        <v>5173</v>
      </c>
      <c r="B7284" t="s">
        <v>19</v>
      </c>
      <c r="C7284" t="s">
        <v>126</v>
      </c>
      <c r="D7284" s="9">
        <v>41127.593287037038</v>
      </c>
      <c r="E7284" t="s">
        <v>8</v>
      </c>
      <c r="F7284">
        <f t="shared" ca="1" si="228"/>
        <v>2.4805555555555556</v>
      </c>
      <c r="G7284">
        <f t="shared" ca="1" si="229"/>
        <v>0</v>
      </c>
    </row>
    <row r="7285" spans="1:7">
      <c r="A7285">
        <v>5174</v>
      </c>
      <c r="B7285" t="s">
        <v>11</v>
      </c>
      <c r="C7285" t="s">
        <v>122</v>
      </c>
      <c r="D7285" s="9">
        <v>41334.470648148148</v>
      </c>
      <c r="E7285" t="s">
        <v>112</v>
      </c>
      <c r="F7285">
        <f t="shared" ca="1" si="228"/>
        <v>1.9111111111111112</v>
      </c>
      <c r="G7285">
        <f t="shared" ca="1" si="229"/>
        <v>0</v>
      </c>
    </row>
    <row r="7286" spans="1:7">
      <c r="A7286">
        <v>5185</v>
      </c>
      <c r="B7286" t="s">
        <v>32</v>
      </c>
      <c r="C7286" t="s">
        <v>127</v>
      </c>
      <c r="D7286" s="9">
        <v>41030.615949074076</v>
      </c>
      <c r="E7286" t="s">
        <v>99</v>
      </c>
      <c r="F7286">
        <f t="shared" ca="1" si="228"/>
        <v>2.7444444444444445</v>
      </c>
      <c r="G7286">
        <f t="shared" ca="1" si="229"/>
        <v>0</v>
      </c>
    </row>
    <row r="7287" spans="1:7">
      <c r="A7287">
        <v>5186</v>
      </c>
      <c r="B7287" t="s">
        <v>21</v>
      </c>
      <c r="C7287" t="s">
        <v>126</v>
      </c>
      <c r="D7287" s="9">
        <v>41127.807106481479</v>
      </c>
      <c r="E7287" t="s">
        <v>36</v>
      </c>
      <c r="F7287">
        <f t="shared" ca="1" si="228"/>
        <v>2.4805555555555556</v>
      </c>
      <c r="G7287">
        <f t="shared" ca="1" si="229"/>
        <v>0</v>
      </c>
    </row>
    <row r="7288" spans="1:7">
      <c r="A7288">
        <v>5195</v>
      </c>
      <c r="B7288" t="s">
        <v>21</v>
      </c>
      <c r="C7288" t="s">
        <v>126</v>
      </c>
      <c r="D7288" s="9">
        <v>41127.815347222226</v>
      </c>
      <c r="E7288" t="s">
        <v>32</v>
      </c>
      <c r="F7288">
        <f t="shared" ca="1" si="228"/>
        <v>2.4805555555555556</v>
      </c>
      <c r="G7288">
        <f t="shared" ca="1" si="229"/>
        <v>0</v>
      </c>
    </row>
    <row r="7289" spans="1:7">
      <c r="A7289">
        <v>5209</v>
      </c>
      <c r="B7289" t="s">
        <v>112</v>
      </c>
      <c r="C7289" t="s">
        <v>122</v>
      </c>
      <c r="D7289" s="9">
        <v>41383.670428240737</v>
      </c>
      <c r="E7289" t="s">
        <v>38</v>
      </c>
      <c r="F7289">
        <f t="shared" ca="1" si="228"/>
        <v>1.7777777777777777</v>
      </c>
      <c r="G7289">
        <f t="shared" ca="1" si="229"/>
        <v>0</v>
      </c>
    </row>
    <row r="7290" spans="1:7">
      <c r="A7290">
        <v>5211</v>
      </c>
      <c r="B7290" t="s">
        <v>99</v>
      </c>
      <c r="C7290" t="s">
        <v>127</v>
      </c>
      <c r="D7290" s="9">
        <v>41033.703622685185</v>
      </c>
      <c r="E7290" t="s">
        <v>38</v>
      </c>
      <c r="F7290">
        <f t="shared" ca="1" si="228"/>
        <v>2.7361111111111112</v>
      </c>
      <c r="G7290">
        <f t="shared" ca="1" si="229"/>
        <v>0</v>
      </c>
    </row>
    <row r="7291" spans="1:7">
      <c r="A7291">
        <v>5213</v>
      </c>
      <c r="B7291" t="s">
        <v>23</v>
      </c>
      <c r="C7291" t="s">
        <v>127</v>
      </c>
      <c r="D7291" s="9">
        <v>41033.703715277778</v>
      </c>
      <c r="E7291" t="s">
        <v>11</v>
      </c>
      <c r="F7291">
        <f t="shared" ca="1" si="228"/>
        <v>2.7361111111111112</v>
      </c>
      <c r="G7291">
        <f t="shared" ca="1" si="229"/>
        <v>0</v>
      </c>
    </row>
    <row r="7292" spans="1:7">
      <c r="A7292">
        <v>5218</v>
      </c>
      <c r="B7292" t="s">
        <v>11</v>
      </c>
      <c r="C7292" t="s">
        <v>127</v>
      </c>
      <c r="D7292" s="9">
        <v>41033.703634259262</v>
      </c>
      <c r="E7292" t="s">
        <v>36</v>
      </c>
      <c r="F7292">
        <f t="shared" ca="1" si="228"/>
        <v>2.7361111111111112</v>
      </c>
      <c r="G7292">
        <f t="shared" ca="1" si="229"/>
        <v>0</v>
      </c>
    </row>
    <row r="7293" spans="1:7">
      <c r="A7293">
        <v>5230</v>
      </c>
      <c r="B7293" t="s">
        <v>99</v>
      </c>
      <c r="C7293" t="s">
        <v>126</v>
      </c>
      <c r="D7293" s="9">
        <v>41127.610312500001</v>
      </c>
      <c r="E7293" t="s">
        <v>32</v>
      </c>
      <c r="F7293">
        <f t="shared" ca="1" si="228"/>
        <v>2.4805555555555556</v>
      </c>
      <c r="G7293">
        <f t="shared" ca="1" si="229"/>
        <v>0</v>
      </c>
    </row>
    <row r="7294" spans="1:7">
      <c r="A7294">
        <v>5253</v>
      </c>
      <c r="B7294" t="s">
        <v>36</v>
      </c>
      <c r="C7294" t="s">
        <v>126</v>
      </c>
      <c r="D7294" s="9">
        <v>41128.768229166664</v>
      </c>
      <c r="E7294" t="s">
        <v>27</v>
      </c>
      <c r="F7294">
        <f t="shared" ca="1" si="228"/>
        <v>2.4777777777777779</v>
      </c>
      <c r="G7294">
        <f t="shared" ca="1" si="229"/>
        <v>0</v>
      </c>
    </row>
    <row r="7295" spans="1:7">
      <c r="A7295">
        <v>5254</v>
      </c>
      <c r="B7295" t="s">
        <v>19</v>
      </c>
      <c r="C7295" t="s">
        <v>127</v>
      </c>
      <c r="D7295" s="9">
        <v>41033.703958333332</v>
      </c>
      <c r="E7295" t="s">
        <v>11</v>
      </c>
      <c r="F7295">
        <f t="shared" ca="1" si="228"/>
        <v>2.7361111111111112</v>
      </c>
      <c r="G7295">
        <f t="shared" ca="1" si="229"/>
        <v>0</v>
      </c>
    </row>
    <row r="7296" spans="1:7">
      <c r="A7296">
        <v>5262</v>
      </c>
      <c r="B7296" t="s">
        <v>11</v>
      </c>
      <c r="C7296" t="s">
        <v>126</v>
      </c>
      <c r="D7296" s="9">
        <v>41127.566296296296</v>
      </c>
      <c r="E7296" t="s">
        <v>8</v>
      </c>
      <c r="F7296">
        <f t="shared" ca="1" si="228"/>
        <v>2.4805555555555556</v>
      </c>
      <c r="G7296">
        <f t="shared" ca="1" si="229"/>
        <v>0</v>
      </c>
    </row>
    <row r="7297" spans="1:7">
      <c r="A7297">
        <v>5273</v>
      </c>
      <c r="B7297" t="s">
        <v>19</v>
      </c>
      <c r="C7297" t="s">
        <v>126</v>
      </c>
      <c r="D7297" s="9">
        <v>41127.733576388891</v>
      </c>
      <c r="E7297" t="s">
        <v>11</v>
      </c>
      <c r="F7297">
        <f t="shared" ca="1" si="228"/>
        <v>2.4805555555555556</v>
      </c>
      <c r="G7297">
        <f t="shared" ca="1" si="229"/>
        <v>0</v>
      </c>
    </row>
    <row r="7298" spans="1:7">
      <c r="A7298">
        <v>5276</v>
      </c>
      <c r="B7298" t="s">
        <v>34</v>
      </c>
      <c r="C7298" t="s">
        <v>126</v>
      </c>
      <c r="D7298" s="9">
        <v>41127.721145833333</v>
      </c>
      <c r="E7298" t="s">
        <v>43</v>
      </c>
      <c r="F7298">
        <f t="shared" ca="1" si="228"/>
        <v>2.4805555555555556</v>
      </c>
      <c r="G7298">
        <f t="shared" ca="1" si="229"/>
        <v>0</v>
      </c>
    </row>
    <row r="7299" spans="1:7">
      <c r="A7299">
        <v>5280</v>
      </c>
      <c r="B7299" t="s">
        <v>19</v>
      </c>
      <c r="C7299" t="s">
        <v>126</v>
      </c>
      <c r="D7299" s="9">
        <v>41127.454548611109</v>
      </c>
      <c r="E7299" t="s">
        <v>8</v>
      </c>
      <c r="F7299">
        <f t="shared" ca="1" si="228"/>
        <v>2.4805555555555556</v>
      </c>
      <c r="G7299">
        <f t="shared" ca="1" si="229"/>
        <v>0</v>
      </c>
    </row>
    <row r="7300" spans="1:7">
      <c r="A7300">
        <v>5294</v>
      </c>
      <c r="B7300" t="s">
        <v>20</v>
      </c>
      <c r="C7300" t="s">
        <v>123</v>
      </c>
      <c r="D7300" s="9">
        <v>41303.622384259259</v>
      </c>
      <c r="E7300" t="s">
        <v>21</v>
      </c>
      <c r="F7300">
        <f t="shared" ca="1" si="228"/>
        <v>2</v>
      </c>
      <c r="G7300">
        <f t="shared" ca="1" si="229"/>
        <v>0</v>
      </c>
    </row>
    <row r="7301" spans="1:7">
      <c r="A7301">
        <v>5295</v>
      </c>
      <c r="B7301" t="s">
        <v>20</v>
      </c>
      <c r="C7301" t="s">
        <v>123</v>
      </c>
      <c r="D7301" s="9">
        <v>41302.654074074075</v>
      </c>
      <c r="E7301" t="s">
        <v>21</v>
      </c>
      <c r="F7301">
        <f t="shared" ca="1" si="228"/>
        <v>2.0027777777777778</v>
      </c>
      <c r="G7301">
        <f t="shared" ca="1" si="229"/>
        <v>0</v>
      </c>
    </row>
    <row r="7302" spans="1:7">
      <c r="A7302">
        <v>5312</v>
      </c>
      <c r="B7302" t="s">
        <v>11</v>
      </c>
      <c r="C7302" t="s">
        <v>126</v>
      </c>
      <c r="D7302" s="9">
        <v>41127.660810185182</v>
      </c>
      <c r="E7302" t="s">
        <v>32</v>
      </c>
      <c r="F7302">
        <f t="shared" ca="1" si="228"/>
        <v>2.4805555555555556</v>
      </c>
      <c r="G7302">
        <f t="shared" ca="1" si="229"/>
        <v>0</v>
      </c>
    </row>
    <row r="7303" spans="1:7">
      <c r="A7303">
        <v>5327</v>
      </c>
      <c r="B7303" t="s">
        <v>20</v>
      </c>
      <c r="C7303" t="s">
        <v>125</v>
      </c>
      <c r="D7303" s="9">
        <v>41215.697129629632</v>
      </c>
      <c r="E7303" t="s">
        <v>21</v>
      </c>
      <c r="F7303">
        <f t="shared" ref="F7303:F7366" ca="1" si="230">YEARFRAC(TODAY(),$D7303)</f>
        <v>2.2416666666666667</v>
      </c>
      <c r="G7303">
        <f t="shared" ref="G7303:G7366" ca="1" si="231">IF($F7303&lt;1,1,0)</f>
        <v>0</v>
      </c>
    </row>
    <row r="7304" spans="1:7">
      <c r="A7304">
        <v>5333</v>
      </c>
      <c r="B7304" t="s">
        <v>21</v>
      </c>
      <c r="C7304" t="s">
        <v>126</v>
      </c>
      <c r="D7304" s="9">
        <v>41127.655219907407</v>
      </c>
      <c r="E7304" t="s">
        <v>43</v>
      </c>
      <c r="F7304">
        <f t="shared" ca="1" si="230"/>
        <v>2.4805555555555556</v>
      </c>
      <c r="G7304">
        <f t="shared" ca="1" si="231"/>
        <v>0</v>
      </c>
    </row>
    <row r="7305" spans="1:7">
      <c r="A7305">
        <v>5363</v>
      </c>
      <c r="B7305" t="s">
        <v>143</v>
      </c>
      <c r="C7305" t="s">
        <v>126</v>
      </c>
      <c r="D7305" s="9">
        <v>41127.689467592594</v>
      </c>
      <c r="E7305" t="s">
        <v>37</v>
      </c>
      <c r="F7305">
        <f t="shared" ca="1" si="230"/>
        <v>2.4805555555555556</v>
      </c>
      <c r="G7305">
        <f t="shared" ca="1" si="231"/>
        <v>0</v>
      </c>
    </row>
    <row r="7306" spans="1:7">
      <c r="A7306">
        <v>5366</v>
      </c>
      <c r="B7306" t="s">
        <v>11</v>
      </c>
      <c r="C7306" t="s">
        <v>122</v>
      </c>
      <c r="D7306" s="9">
        <v>41334.853067129632</v>
      </c>
      <c r="E7306" t="s">
        <v>32</v>
      </c>
      <c r="F7306">
        <f t="shared" ca="1" si="230"/>
        <v>1.9111111111111112</v>
      </c>
      <c r="G7306">
        <f t="shared" ca="1" si="231"/>
        <v>0</v>
      </c>
    </row>
    <row r="7307" spans="1:7">
      <c r="A7307">
        <v>5377</v>
      </c>
      <c r="B7307" t="s">
        <v>43</v>
      </c>
      <c r="C7307" t="s">
        <v>126</v>
      </c>
      <c r="D7307" s="9">
        <v>41128.509710648148</v>
      </c>
      <c r="E7307" t="s">
        <v>8</v>
      </c>
      <c r="F7307">
        <f t="shared" ca="1" si="230"/>
        <v>2.4777777777777779</v>
      </c>
      <c r="G7307">
        <f t="shared" ca="1" si="231"/>
        <v>0</v>
      </c>
    </row>
    <row r="7308" spans="1:7">
      <c r="A7308">
        <v>5381</v>
      </c>
      <c r="B7308" t="s">
        <v>43</v>
      </c>
      <c r="C7308" t="s">
        <v>126</v>
      </c>
      <c r="D7308" s="9">
        <v>41128.66510416667</v>
      </c>
      <c r="E7308" t="s">
        <v>36</v>
      </c>
      <c r="F7308">
        <f t="shared" ca="1" si="230"/>
        <v>2.4777777777777779</v>
      </c>
      <c r="G7308">
        <f t="shared" ca="1" si="231"/>
        <v>0</v>
      </c>
    </row>
    <row r="7309" spans="1:7">
      <c r="A7309">
        <v>5399</v>
      </c>
      <c r="B7309" t="s">
        <v>19</v>
      </c>
      <c r="C7309" t="s">
        <v>126</v>
      </c>
      <c r="D7309" s="9">
        <v>41127.803043981483</v>
      </c>
      <c r="E7309" t="s">
        <v>11</v>
      </c>
      <c r="F7309">
        <f t="shared" ca="1" si="230"/>
        <v>2.4805555555555556</v>
      </c>
      <c r="G7309">
        <f t="shared" ca="1" si="231"/>
        <v>0</v>
      </c>
    </row>
    <row r="7310" spans="1:7">
      <c r="A7310">
        <v>5400</v>
      </c>
      <c r="B7310" t="s">
        <v>20</v>
      </c>
      <c r="C7310" t="s">
        <v>123</v>
      </c>
      <c r="D7310" s="9">
        <v>41303.936249999999</v>
      </c>
      <c r="E7310" t="s">
        <v>36</v>
      </c>
      <c r="F7310">
        <f t="shared" ca="1" si="230"/>
        <v>2</v>
      </c>
      <c r="G7310">
        <f t="shared" ca="1" si="231"/>
        <v>0</v>
      </c>
    </row>
    <row r="7311" spans="1:7">
      <c r="A7311">
        <v>5408</v>
      </c>
      <c r="B7311" t="s">
        <v>143</v>
      </c>
      <c r="C7311" t="s">
        <v>126</v>
      </c>
      <c r="D7311" s="9">
        <v>41127.690844907411</v>
      </c>
      <c r="E7311" t="s">
        <v>37</v>
      </c>
      <c r="F7311">
        <f t="shared" ca="1" si="230"/>
        <v>2.4805555555555556</v>
      </c>
      <c r="G7311">
        <f t="shared" ca="1" si="231"/>
        <v>0</v>
      </c>
    </row>
    <row r="7312" spans="1:7">
      <c r="A7312">
        <v>5420</v>
      </c>
      <c r="B7312" t="s">
        <v>21</v>
      </c>
      <c r="C7312" t="s">
        <v>125</v>
      </c>
      <c r="D7312" s="9">
        <v>41215.698321759257</v>
      </c>
      <c r="E7312" t="s">
        <v>11</v>
      </c>
      <c r="F7312">
        <f t="shared" ca="1" si="230"/>
        <v>2.2416666666666667</v>
      </c>
      <c r="G7312">
        <f t="shared" ca="1" si="231"/>
        <v>0</v>
      </c>
    </row>
    <row r="7313" spans="1:7">
      <c r="A7313">
        <v>5447</v>
      </c>
      <c r="B7313" t="s">
        <v>36</v>
      </c>
      <c r="C7313" t="s">
        <v>126</v>
      </c>
      <c r="D7313" s="9">
        <v>41127.954895833333</v>
      </c>
      <c r="E7313" t="s">
        <v>27</v>
      </c>
      <c r="F7313">
        <f t="shared" ca="1" si="230"/>
        <v>2.4805555555555556</v>
      </c>
      <c r="G7313">
        <f t="shared" ca="1" si="231"/>
        <v>0</v>
      </c>
    </row>
    <row r="7314" spans="1:7">
      <c r="A7314">
        <v>5455</v>
      </c>
      <c r="B7314" t="s">
        <v>11</v>
      </c>
      <c r="C7314" t="s">
        <v>126</v>
      </c>
      <c r="D7314" s="9">
        <v>41127.654687499999</v>
      </c>
      <c r="E7314" t="s">
        <v>43</v>
      </c>
      <c r="F7314">
        <f t="shared" ca="1" si="230"/>
        <v>2.4805555555555556</v>
      </c>
      <c r="G7314">
        <f t="shared" ca="1" si="231"/>
        <v>0</v>
      </c>
    </row>
    <row r="7315" spans="1:7">
      <c r="A7315">
        <v>5479</v>
      </c>
      <c r="B7315" t="s">
        <v>19</v>
      </c>
      <c r="C7315" t="s">
        <v>126</v>
      </c>
      <c r="D7315" s="9">
        <v>41127.662881944445</v>
      </c>
      <c r="E7315" t="s">
        <v>32</v>
      </c>
      <c r="F7315">
        <f t="shared" ca="1" si="230"/>
        <v>2.4805555555555556</v>
      </c>
      <c r="G7315">
        <f t="shared" ca="1" si="231"/>
        <v>0</v>
      </c>
    </row>
    <row r="7316" spans="1:7">
      <c r="A7316">
        <v>5482</v>
      </c>
      <c r="B7316" t="s">
        <v>44</v>
      </c>
      <c r="C7316" t="s">
        <v>119</v>
      </c>
      <c r="D7316" s="9">
        <v>41599.872210648151</v>
      </c>
      <c r="E7316" t="s">
        <v>11</v>
      </c>
      <c r="F7316">
        <f t="shared" ca="1" si="230"/>
        <v>1.1888888888888889</v>
      </c>
      <c r="G7316">
        <f t="shared" ca="1" si="231"/>
        <v>0</v>
      </c>
    </row>
    <row r="7317" spans="1:7">
      <c r="A7317">
        <v>5486</v>
      </c>
      <c r="B7317" t="s">
        <v>37</v>
      </c>
      <c r="C7317" t="s">
        <v>126</v>
      </c>
      <c r="D7317" s="9">
        <v>41129.698587962965</v>
      </c>
      <c r="E7317" t="s">
        <v>19</v>
      </c>
      <c r="F7317">
        <f t="shared" ca="1" si="230"/>
        <v>2.4750000000000001</v>
      </c>
      <c r="G7317">
        <f t="shared" ca="1" si="231"/>
        <v>0</v>
      </c>
    </row>
    <row r="7318" spans="1:7">
      <c r="A7318">
        <v>5492</v>
      </c>
      <c r="B7318" t="s">
        <v>19</v>
      </c>
      <c r="C7318" t="s">
        <v>126</v>
      </c>
      <c r="D7318" s="9">
        <v>41127.711875000001</v>
      </c>
      <c r="E7318" t="s">
        <v>43</v>
      </c>
      <c r="F7318">
        <f t="shared" ca="1" si="230"/>
        <v>2.4805555555555556</v>
      </c>
      <c r="G7318">
        <f t="shared" ca="1" si="231"/>
        <v>0</v>
      </c>
    </row>
    <row r="7319" spans="1:7">
      <c r="A7319">
        <v>5593</v>
      </c>
      <c r="B7319" t="s">
        <v>37</v>
      </c>
      <c r="C7319" t="s">
        <v>126</v>
      </c>
      <c r="D7319" s="9">
        <v>41135.822974537034</v>
      </c>
      <c r="E7319" t="s">
        <v>43</v>
      </c>
      <c r="F7319">
        <f t="shared" ca="1" si="230"/>
        <v>2.4583333333333335</v>
      </c>
      <c r="G7319">
        <f t="shared" ca="1" si="231"/>
        <v>0</v>
      </c>
    </row>
    <row r="7320" spans="1:7">
      <c r="A7320">
        <v>5598</v>
      </c>
      <c r="B7320" t="s">
        <v>19</v>
      </c>
      <c r="C7320" t="s">
        <v>126</v>
      </c>
      <c r="D7320" s="9">
        <v>41127.943715277775</v>
      </c>
      <c r="E7320" t="s">
        <v>11</v>
      </c>
      <c r="F7320">
        <f t="shared" ca="1" si="230"/>
        <v>2.4805555555555556</v>
      </c>
      <c r="G7320">
        <f t="shared" ca="1" si="231"/>
        <v>0</v>
      </c>
    </row>
    <row r="7321" spans="1:7">
      <c r="A7321">
        <v>5600</v>
      </c>
      <c r="B7321" t="s">
        <v>11</v>
      </c>
      <c r="C7321" t="s">
        <v>126</v>
      </c>
      <c r="D7321" s="9">
        <v>41127.614861111113</v>
      </c>
      <c r="E7321" t="s">
        <v>32</v>
      </c>
      <c r="F7321">
        <f t="shared" ca="1" si="230"/>
        <v>2.4805555555555556</v>
      </c>
      <c r="G7321">
        <f t="shared" ca="1" si="231"/>
        <v>0</v>
      </c>
    </row>
    <row r="7322" spans="1:7">
      <c r="A7322">
        <v>5601</v>
      </c>
      <c r="B7322" t="s">
        <v>19</v>
      </c>
      <c r="C7322" t="s">
        <v>126</v>
      </c>
      <c r="D7322" s="9">
        <v>41127.708090277774</v>
      </c>
      <c r="E7322" t="s">
        <v>43</v>
      </c>
      <c r="F7322">
        <f t="shared" ca="1" si="230"/>
        <v>2.4805555555555556</v>
      </c>
      <c r="G7322">
        <f t="shared" ca="1" si="231"/>
        <v>0</v>
      </c>
    </row>
    <row r="7323" spans="1:7">
      <c r="A7323">
        <v>5606</v>
      </c>
      <c r="B7323" t="s">
        <v>19</v>
      </c>
      <c r="C7323" t="s">
        <v>126</v>
      </c>
      <c r="D7323" s="9">
        <v>41215.69636574074</v>
      </c>
      <c r="E7323" t="s">
        <v>43</v>
      </c>
      <c r="F7323">
        <f t="shared" ca="1" si="230"/>
        <v>2.2416666666666667</v>
      </c>
      <c r="G7323">
        <f t="shared" ca="1" si="231"/>
        <v>0</v>
      </c>
    </row>
    <row r="7324" spans="1:7">
      <c r="A7324">
        <v>5617</v>
      </c>
      <c r="B7324" t="s">
        <v>19</v>
      </c>
      <c r="C7324" t="s">
        <v>126</v>
      </c>
      <c r="D7324" s="9">
        <v>41128.689340277779</v>
      </c>
      <c r="E7324" t="s">
        <v>32</v>
      </c>
      <c r="F7324">
        <f t="shared" ca="1" si="230"/>
        <v>2.4777777777777779</v>
      </c>
      <c r="G7324">
        <f t="shared" ca="1" si="231"/>
        <v>0</v>
      </c>
    </row>
    <row r="7325" spans="1:7">
      <c r="A7325">
        <v>5639</v>
      </c>
      <c r="B7325" t="s">
        <v>19</v>
      </c>
      <c r="C7325" t="s">
        <v>126</v>
      </c>
      <c r="D7325" s="9">
        <v>41127.704629629632</v>
      </c>
      <c r="E7325" t="s">
        <v>43</v>
      </c>
      <c r="F7325">
        <f t="shared" ca="1" si="230"/>
        <v>2.4805555555555556</v>
      </c>
      <c r="G7325">
        <f t="shared" ca="1" si="231"/>
        <v>0</v>
      </c>
    </row>
    <row r="7326" spans="1:7">
      <c r="A7326">
        <v>5643</v>
      </c>
      <c r="B7326" t="s">
        <v>19</v>
      </c>
      <c r="C7326" t="s">
        <v>126</v>
      </c>
      <c r="D7326" s="9">
        <v>41127.659861111111</v>
      </c>
      <c r="E7326" t="s">
        <v>43</v>
      </c>
      <c r="F7326">
        <f t="shared" ca="1" si="230"/>
        <v>2.4805555555555556</v>
      </c>
      <c r="G7326">
        <f t="shared" ca="1" si="231"/>
        <v>0</v>
      </c>
    </row>
    <row r="7327" spans="1:7">
      <c r="A7327">
        <v>5654</v>
      </c>
      <c r="B7327" t="s">
        <v>11</v>
      </c>
      <c r="C7327" t="s">
        <v>126</v>
      </c>
      <c r="D7327" s="9">
        <v>41127.655972222223</v>
      </c>
      <c r="E7327" t="s">
        <v>43</v>
      </c>
      <c r="F7327">
        <f t="shared" ca="1" si="230"/>
        <v>2.4805555555555556</v>
      </c>
      <c r="G7327">
        <f t="shared" ca="1" si="231"/>
        <v>0</v>
      </c>
    </row>
    <row r="7328" spans="1:7">
      <c r="A7328">
        <v>5676</v>
      </c>
      <c r="B7328" t="s">
        <v>19</v>
      </c>
      <c r="C7328" t="s">
        <v>126</v>
      </c>
      <c r="D7328" s="9">
        <v>41135.822662037041</v>
      </c>
      <c r="E7328" t="s">
        <v>43</v>
      </c>
      <c r="F7328">
        <f t="shared" ca="1" si="230"/>
        <v>2.4583333333333335</v>
      </c>
      <c r="G7328">
        <f t="shared" ca="1" si="231"/>
        <v>0</v>
      </c>
    </row>
    <row r="7329" spans="1:7">
      <c r="A7329">
        <v>5679</v>
      </c>
      <c r="B7329" t="s">
        <v>19</v>
      </c>
      <c r="C7329" t="s">
        <v>125</v>
      </c>
      <c r="D7329" s="9">
        <v>41212.63994212963</v>
      </c>
      <c r="E7329" t="s">
        <v>112</v>
      </c>
      <c r="F7329">
        <f t="shared" ca="1" si="230"/>
        <v>2.2472222222222222</v>
      </c>
      <c r="G7329">
        <f t="shared" ca="1" si="231"/>
        <v>0</v>
      </c>
    </row>
    <row r="7330" spans="1:7">
      <c r="A7330">
        <v>5729</v>
      </c>
      <c r="B7330" t="s">
        <v>8</v>
      </c>
      <c r="C7330" t="s">
        <v>123</v>
      </c>
      <c r="D7330" s="9">
        <v>41303.719571759262</v>
      </c>
      <c r="E7330" t="s">
        <v>38</v>
      </c>
      <c r="F7330">
        <f t="shared" ca="1" si="230"/>
        <v>2</v>
      </c>
      <c r="G7330">
        <f t="shared" ca="1" si="231"/>
        <v>0</v>
      </c>
    </row>
    <row r="7331" spans="1:7">
      <c r="A7331">
        <v>5738</v>
      </c>
      <c r="B7331" t="s">
        <v>11</v>
      </c>
      <c r="C7331" t="s">
        <v>209</v>
      </c>
      <c r="D7331" s="9">
        <v>41806.898090277777</v>
      </c>
      <c r="F7331">
        <f t="shared" ca="1" si="230"/>
        <v>0.61944444444444446</v>
      </c>
      <c r="G7331">
        <f t="shared" ca="1" si="231"/>
        <v>1</v>
      </c>
    </row>
    <row r="7332" spans="1:7">
      <c r="A7332">
        <v>5745</v>
      </c>
      <c r="B7332" t="s">
        <v>49</v>
      </c>
      <c r="C7332" t="s">
        <v>125</v>
      </c>
      <c r="D7332" s="9">
        <v>41212.900567129633</v>
      </c>
      <c r="E7332" t="s">
        <v>11</v>
      </c>
      <c r="F7332">
        <f t="shared" ca="1" si="230"/>
        <v>2.2472222222222222</v>
      </c>
      <c r="G7332">
        <f t="shared" ca="1" si="231"/>
        <v>0</v>
      </c>
    </row>
    <row r="7333" spans="1:7">
      <c r="A7333">
        <v>5767</v>
      </c>
      <c r="B7333" t="s">
        <v>11</v>
      </c>
      <c r="C7333" t="s">
        <v>125</v>
      </c>
      <c r="D7333" s="9">
        <v>41211.621678240743</v>
      </c>
      <c r="E7333" t="s">
        <v>23</v>
      </c>
      <c r="F7333">
        <f t="shared" ca="1" si="230"/>
        <v>2.25</v>
      </c>
      <c r="G7333">
        <f t="shared" ca="1" si="231"/>
        <v>0</v>
      </c>
    </row>
    <row r="7334" spans="1:7">
      <c r="A7334">
        <v>5772</v>
      </c>
      <c r="B7334" t="s">
        <v>54</v>
      </c>
      <c r="C7334" t="s">
        <v>123</v>
      </c>
      <c r="D7334" s="9">
        <v>41303.61409722222</v>
      </c>
      <c r="F7334">
        <f t="shared" ca="1" si="230"/>
        <v>2</v>
      </c>
      <c r="G7334">
        <f t="shared" ca="1" si="231"/>
        <v>0</v>
      </c>
    </row>
    <row r="7335" spans="1:7">
      <c r="A7335">
        <v>5783</v>
      </c>
      <c r="B7335" t="s">
        <v>19</v>
      </c>
      <c r="C7335" t="s">
        <v>125</v>
      </c>
      <c r="D7335" s="9">
        <v>41212.637870370374</v>
      </c>
      <c r="E7335" t="s">
        <v>112</v>
      </c>
      <c r="F7335">
        <f t="shared" ca="1" si="230"/>
        <v>2.2472222222222222</v>
      </c>
      <c r="G7335">
        <f t="shared" ca="1" si="231"/>
        <v>0</v>
      </c>
    </row>
    <row r="7336" spans="1:7">
      <c r="A7336">
        <v>5785</v>
      </c>
      <c r="B7336" t="s">
        <v>23</v>
      </c>
      <c r="C7336" t="s">
        <v>125</v>
      </c>
      <c r="D7336" s="9">
        <v>41213.446435185186</v>
      </c>
      <c r="E7336" t="s">
        <v>34</v>
      </c>
      <c r="F7336">
        <f t="shared" ca="1" si="230"/>
        <v>2.2472222222222222</v>
      </c>
      <c r="G7336">
        <f t="shared" ca="1" si="231"/>
        <v>0</v>
      </c>
    </row>
    <row r="7337" spans="1:7">
      <c r="A7337">
        <v>5786</v>
      </c>
      <c r="B7337" t="s">
        <v>43</v>
      </c>
      <c r="C7337" t="s">
        <v>123</v>
      </c>
      <c r="D7337" s="9">
        <v>41303.930578703701</v>
      </c>
      <c r="E7337" t="s">
        <v>36</v>
      </c>
      <c r="F7337">
        <f t="shared" ca="1" si="230"/>
        <v>2</v>
      </c>
      <c r="G7337">
        <f t="shared" ca="1" si="231"/>
        <v>0</v>
      </c>
    </row>
    <row r="7338" spans="1:7">
      <c r="A7338">
        <v>5789</v>
      </c>
      <c r="B7338" t="s">
        <v>23</v>
      </c>
      <c r="C7338" t="s">
        <v>125</v>
      </c>
      <c r="D7338" s="9">
        <v>41215.698275462964</v>
      </c>
      <c r="E7338" t="s">
        <v>34</v>
      </c>
      <c r="F7338">
        <f t="shared" ca="1" si="230"/>
        <v>2.2416666666666667</v>
      </c>
      <c r="G7338">
        <f t="shared" ca="1" si="231"/>
        <v>0</v>
      </c>
    </row>
    <row r="7339" spans="1:7">
      <c r="A7339">
        <v>5804</v>
      </c>
      <c r="B7339" t="s">
        <v>11</v>
      </c>
      <c r="C7339" t="s">
        <v>125</v>
      </c>
      <c r="D7339" s="9">
        <v>41211.790127314816</v>
      </c>
      <c r="E7339" t="s">
        <v>21</v>
      </c>
      <c r="F7339">
        <f t="shared" ca="1" si="230"/>
        <v>2.25</v>
      </c>
      <c r="G7339">
        <f t="shared" ca="1" si="231"/>
        <v>0</v>
      </c>
    </row>
    <row r="7340" spans="1:7">
      <c r="A7340">
        <v>5824</v>
      </c>
      <c r="B7340" t="s">
        <v>11</v>
      </c>
      <c r="C7340" t="s">
        <v>125</v>
      </c>
      <c r="D7340" s="9">
        <v>41211.715543981481</v>
      </c>
      <c r="E7340" t="s">
        <v>36</v>
      </c>
      <c r="F7340">
        <f t="shared" ca="1" si="230"/>
        <v>2.25</v>
      </c>
      <c r="G7340">
        <f t="shared" ca="1" si="231"/>
        <v>0</v>
      </c>
    </row>
    <row r="7341" spans="1:7">
      <c r="A7341">
        <v>5828</v>
      </c>
      <c r="B7341" t="s">
        <v>11</v>
      </c>
      <c r="C7341" t="s">
        <v>125</v>
      </c>
      <c r="D7341" s="9">
        <v>41215.697800925926</v>
      </c>
      <c r="E7341" t="s">
        <v>32</v>
      </c>
      <c r="F7341">
        <f t="shared" ca="1" si="230"/>
        <v>2.2416666666666667</v>
      </c>
      <c r="G7341">
        <f t="shared" ca="1" si="231"/>
        <v>0</v>
      </c>
    </row>
    <row r="7342" spans="1:7">
      <c r="A7342">
        <v>5835</v>
      </c>
      <c r="B7342" t="s">
        <v>11</v>
      </c>
      <c r="C7342" t="s">
        <v>125</v>
      </c>
      <c r="D7342" s="9">
        <v>41212.720289351855</v>
      </c>
      <c r="E7342" t="s">
        <v>21</v>
      </c>
      <c r="F7342">
        <f t="shared" ca="1" si="230"/>
        <v>2.2472222222222222</v>
      </c>
      <c r="G7342">
        <f t="shared" ca="1" si="231"/>
        <v>0</v>
      </c>
    </row>
    <row r="7343" spans="1:7">
      <c r="A7343">
        <v>5868</v>
      </c>
      <c r="B7343" t="s">
        <v>54</v>
      </c>
      <c r="C7343" t="s">
        <v>125</v>
      </c>
      <c r="D7343" s="9">
        <v>41215.69635416667</v>
      </c>
      <c r="E7343" t="s">
        <v>49</v>
      </c>
      <c r="F7343">
        <f t="shared" ca="1" si="230"/>
        <v>2.2416666666666667</v>
      </c>
      <c r="G7343">
        <f t="shared" ca="1" si="231"/>
        <v>0</v>
      </c>
    </row>
    <row r="7344" spans="1:7">
      <c r="A7344">
        <v>5869</v>
      </c>
      <c r="B7344" t="s">
        <v>21</v>
      </c>
      <c r="C7344" t="s">
        <v>125</v>
      </c>
      <c r="D7344" s="9">
        <v>41215.697812500002</v>
      </c>
      <c r="E7344" t="s">
        <v>20</v>
      </c>
      <c r="F7344">
        <f t="shared" ca="1" si="230"/>
        <v>2.2416666666666667</v>
      </c>
      <c r="G7344">
        <f t="shared" ca="1" si="231"/>
        <v>0</v>
      </c>
    </row>
    <row r="7345" spans="1:7">
      <c r="A7345">
        <v>5882</v>
      </c>
      <c r="B7345" t="s">
        <v>19</v>
      </c>
      <c r="C7345" t="s">
        <v>123</v>
      </c>
      <c r="D7345" s="9">
        <v>41303.931562500002</v>
      </c>
      <c r="E7345" t="s">
        <v>36</v>
      </c>
      <c r="F7345">
        <f t="shared" ca="1" si="230"/>
        <v>2</v>
      </c>
      <c r="G7345">
        <f t="shared" ca="1" si="231"/>
        <v>0</v>
      </c>
    </row>
    <row r="7346" spans="1:7">
      <c r="A7346">
        <v>5897</v>
      </c>
      <c r="B7346" t="s">
        <v>20</v>
      </c>
      <c r="C7346" t="s">
        <v>125</v>
      </c>
      <c r="D7346" s="9">
        <v>41215.697060185186</v>
      </c>
      <c r="E7346" t="s">
        <v>27</v>
      </c>
      <c r="F7346">
        <f t="shared" ca="1" si="230"/>
        <v>2.2416666666666667</v>
      </c>
      <c r="G7346">
        <f t="shared" ca="1" si="231"/>
        <v>0</v>
      </c>
    </row>
    <row r="7347" spans="1:7">
      <c r="A7347">
        <v>5898</v>
      </c>
      <c r="B7347" t="s">
        <v>20</v>
      </c>
      <c r="C7347" t="s">
        <v>125</v>
      </c>
      <c r="D7347" s="9">
        <v>41215.696956018517</v>
      </c>
      <c r="E7347" t="s">
        <v>11</v>
      </c>
      <c r="F7347">
        <f t="shared" ca="1" si="230"/>
        <v>2.2416666666666667</v>
      </c>
      <c r="G7347">
        <f t="shared" ca="1" si="231"/>
        <v>0</v>
      </c>
    </row>
    <row r="7348" spans="1:7">
      <c r="A7348">
        <v>5901</v>
      </c>
      <c r="B7348" t="s">
        <v>43</v>
      </c>
      <c r="C7348" t="s">
        <v>125</v>
      </c>
      <c r="D7348" s="9">
        <v>41215.697002314817</v>
      </c>
      <c r="E7348" t="s">
        <v>36</v>
      </c>
      <c r="F7348">
        <f t="shared" ca="1" si="230"/>
        <v>2.2416666666666667</v>
      </c>
      <c r="G7348">
        <f t="shared" ca="1" si="231"/>
        <v>0</v>
      </c>
    </row>
    <row r="7349" spans="1:7">
      <c r="A7349">
        <v>5903</v>
      </c>
      <c r="B7349" t="s">
        <v>11</v>
      </c>
      <c r="C7349" t="s">
        <v>125</v>
      </c>
      <c r="D7349" s="9">
        <v>41215.697013888886</v>
      </c>
      <c r="E7349" t="s">
        <v>23</v>
      </c>
      <c r="F7349">
        <f t="shared" ca="1" si="230"/>
        <v>2.2416666666666667</v>
      </c>
      <c r="G7349">
        <f t="shared" ca="1" si="231"/>
        <v>0</v>
      </c>
    </row>
    <row r="7350" spans="1:7">
      <c r="A7350">
        <v>5910</v>
      </c>
      <c r="B7350" t="s">
        <v>19</v>
      </c>
      <c r="C7350" t="s">
        <v>125</v>
      </c>
      <c r="D7350" s="9">
        <v>41215.697199074071</v>
      </c>
      <c r="E7350" t="s">
        <v>44</v>
      </c>
      <c r="F7350">
        <f t="shared" ca="1" si="230"/>
        <v>2.2416666666666667</v>
      </c>
      <c r="G7350">
        <f t="shared" ca="1" si="231"/>
        <v>0</v>
      </c>
    </row>
    <row r="7351" spans="1:7">
      <c r="A7351">
        <v>5929</v>
      </c>
      <c r="B7351" t="s">
        <v>19</v>
      </c>
      <c r="C7351" t="s">
        <v>125</v>
      </c>
      <c r="D7351" s="9">
        <v>41215.697372685187</v>
      </c>
      <c r="E7351" t="s">
        <v>11</v>
      </c>
      <c r="F7351">
        <f t="shared" ca="1" si="230"/>
        <v>2.2416666666666667</v>
      </c>
      <c r="G7351">
        <f t="shared" ca="1" si="231"/>
        <v>0</v>
      </c>
    </row>
    <row r="7352" spans="1:7">
      <c r="A7352">
        <v>5936</v>
      </c>
      <c r="B7352" t="s">
        <v>24</v>
      </c>
      <c r="C7352" t="s">
        <v>125</v>
      </c>
      <c r="D7352" s="9">
        <v>41211.711192129631</v>
      </c>
      <c r="E7352" t="s">
        <v>51</v>
      </c>
      <c r="F7352">
        <f t="shared" ca="1" si="230"/>
        <v>2.25</v>
      </c>
      <c r="G7352">
        <f t="shared" ca="1" si="231"/>
        <v>0</v>
      </c>
    </row>
    <row r="7353" spans="1:7">
      <c r="A7353">
        <v>5953</v>
      </c>
      <c r="B7353" t="s">
        <v>8</v>
      </c>
      <c r="C7353" t="s">
        <v>125</v>
      </c>
      <c r="D7353" s="9">
        <v>41215.697581018518</v>
      </c>
      <c r="E7353" t="s">
        <v>11</v>
      </c>
      <c r="F7353">
        <f t="shared" ca="1" si="230"/>
        <v>2.2416666666666667</v>
      </c>
      <c r="G7353">
        <f t="shared" ca="1" si="231"/>
        <v>0</v>
      </c>
    </row>
    <row r="7354" spans="1:7">
      <c r="A7354">
        <v>5977</v>
      </c>
      <c r="B7354" t="s">
        <v>211</v>
      </c>
      <c r="C7354" t="s">
        <v>209</v>
      </c>
      <c r="D7354" s="9">
        <v>41855.393888888888</v>
      </c>
      <c r="F7354">
        <f t="shared" ca="1" si="230"/>
        <v>0.4861111111111111</v>
      </c>
      <c r="G7354">
        <f t="shared" ca="1" si="231"/>
        <v>1</v>
      </c>
    </row>
    <row r="7355" spans="1:7">
      <c r="A7355">
        <v>5978</v>
      </c>
      <c r="B7355" t="s">
        <v>44</v>
      </c>
      <c r="C7355" t="s">
        <v>209</v>
      </c>
      <c r="D7355" s="9">
        <v>41941.600995370369</v>
      </c>
      <c r="E7355" t="s">
        <v>211</v>
      </c>
      <c r="F7355">
        <f t="shared" ca="1" si="230"/>
        <v>0.25</v>
      </c>
      <c r="G7355">
        <f t="shared" ca="1" si="231"/>
        <v>1</v>
      </c>
    </row>
    <row r="7356" spans="1:7">
      <c r="A7356">
        <v>5983</v>
      </c>
      <c r="B7356" t="s">
        <v>34</v>
      </c>
      <c r="C7356" t="s">
        <v>209</v>
      </c>
      <c r="D7356" s="9">
        <v>41884.886805555558</v>
      </c>
      <c r="E7356" t="s">
        <v>27</v>
      </c>
      <c r="F7356">
        <f t="shared" ca="1" si="230"/>
        <v>0.40833333333333333</v>
      </c>
      <c r="G7356">
        <f t="shared" ca="1" si="231"/>
        <v>1</v>
      </c>
    </row>
    <row r="7357" spans="1:7">
      <c r="A7357">
        <v>5988</v>
      </c>
      <c r="B7357" t="s">
        <v>19</v>
      </c>
      <c r="C7357" t="s">
        <v>125</v>
      </c>
      <c r="D7357" s="9">
        <v>41215.698391203703</v>
      </c>
      <c r="E7357" t="s">
        <v>112</v>
      </c>
      <c r="F7357">
        <f t="shared" ca="1" si="230"/>
        <v>2.2416666666666667</v>
      </c>
      <c r="G7357">
        <f t="shared" ca="1" si="231"/>
        <v>0</v>
      </c>
    </row>
    <row r="7358" spans="1:7">
      <c r="A7358">
        <v>5990</v>
      </c>
      <c r="B7358" t="s">
        <v>19</v>
      </c>
      <c r="C7358" t="s">
        <v>125</v>
      </c>
      <c r="D7358" s="9">
        <v>41249.8825462963</v>
      </c>
      <c r="E7358" t="s">
        <v>44</v>
      </c>
      <c r="F7358">
        <f t="shared" ca="1" si="230"/>
        <v>2.1472222222222221</v>
      </c>
      <c r="G7358">
        <f t="shared" ca="1" si="231"/>
        <v>0</v>
      </c>
    </row>
    <row r="7359" spans="1:7">
      <c r="A7359">
        <v>6012</v>
      </c>
      <c r="B7359" t="s">
        <v>19</v>
      </c>
      <c r="C7359" t="s">
        <v>125</v>
      </c>
      <c r="D7359" s="9">
        <v>41215.698576388888</v>
      </c>
      <c r="E7359" t="s">
        <v>24</v>
      </c>
      <c r="F7359">
        <f t="shared" ca="1" si="230"/>
        <v>2.2416666666666667</v>
      </c>
      <c r="G7359">
        <f t="shared" ca="1" si="231"/>
        <v>0</v>
      </c>
    </row>
    <row r="7360" spans="1:7">
      <c r="A7360">
        <v>6013</v>
      </c>
      <c r="B7360" t="s">
        <v>32</v>
      </c>
      <c r="C7360" t="s">
        <v>125</v>
      </c>
      <c r="D7360" s="9">
        <v>41215.698518518519</v>
      </c>
      <c r="E7360" t="s">
        <v>11</v>
      </c>
      <c r="F7360">
        <f t="shared" ca="1" si="230"/>
        <v>2.2416666666666667</v>
      </c>
      <c r="G7360">
        <f t="shared" ca="1" si="231"/>
        <v>0</v>
      </c>
    </row>
    <row r="7361" spans="1:7">
      <c r="A7361">
        <v>6026</v>
      </c>
      <c r="B7361" t="s">
        <v>24</v>
      </c>
      <c r="C7361" t="s">
        <v>125</v>
      </c>
      <c r="D7361" s="9">
        <v>41215.698483796295</v>
      </c>
      <c r="E7361" t="s">
        <v>36</v>
      </c>
      <c r="F7361">
        <f t="shared" ca="1" si="230"/>
        <v>2.2416666666666667</v>
      </c>
      <c r="G7361">
        <f t="shared" ca="1" si="231"/>
        <v>0</v>
      </c>
    </row>
    <row r="7362" spans="1:7">
      <c r="A7362">
        <v>6036</v>
      </c>
      <c r="B7362" t="s">
        <v>20</v>
      </c>
      <c r="C7362" t="s">
        <v>123</v>
      </c>
      <c r="D7362" s="9">
        <v>41303.718969907408</v>
      </c>
      <c r="E7362" t="s">
        <v>36</v>
      </c>
      <c r="F7362">
        <f t="shared" ca="1" si="230"/>
        <v>2</v>
      </c>
      <c r="G7362">
        <f t="shared" ca="1" si="231"/>
        <v>0</v>
      </c>
    </row>
    <row r="7363" spans="1:7">
      <c r="A7363">
        <v>6059</v>
      </c>
      <c r="B7363" t="s">
        <v>36</v>
      </c>
      <c r="C7363" t="s">
        <v>123</v>
      </c>
      <c r="D7363" s="9">
        <v>41303.617777777778</v>
      </c>
      <c r="E7363" t="s">
        <v>43</v>
      </c>
      <c r="F7363">
        <f t="shared" ca="1" si="230"/>
        <v>2</v>
      </c>
      <c r="G7363">
        <f t="shared" ca="1" si="231"/>
        <v>0</v>
      </c>
    </row>
    <row r="7364" spans="1:7">
      <c r="A7364">
        <v>6095</v>
      </c>
      <c r="B7364" t="s">
        <v>21</v>
      </c>
      <c r="C7364" t="s">
        <v>123</v>
      </c>
      <c r="D7364" s="9">
        <v>41302.639965277776</v>
      </c>
      <c r="E7364" t="s">
        <v>8</v>
      </c>
      <c r="F7364">
        <f t="shared" ca="1" si="230"/>
        <v>2.0027777777777778</v>
      </c>
      <c r="G7364">
        <f t="shared" ca="1" si="231"/>
        <v>0</v>
      </c>
    </row>
    <row r="7365" spans="1:7">
      <c r="A7365">
        <v>6096</v>
      </c>
      <c r="B7365" t="s">
        <v>112</v>
      </c>
      <c r="C7365" t="s">
        <v>123</v>
      </c>
      <c r="D7365" s="9">
        <v>41309.464178240742</v>
      </c>
      <c r="E7365" t="s">
        <v>38</v>
      </c>
      <c r="F7365">
        <f t="shared" ca="1" si="230"/>
        <v>1.9861111111111112</v>
      </c>
      <c r="G7365">
        <f t="shared" ca="1" si="231"/>
        <v>0</v>
      </c>
    </row>
    <row r="7366" spans="1:7">
      <c r="A7366">
        <v>6097</v>
      </c>
      <c r="B7366" t="s">
        <v>112</v>
      </c>
      <c r="C7366" t="s">
        <v>123</v>
      </c>
      <c r="D7366" s="9">
        <v>41304.9530787037</v>
      </c>
      <c r="E7366" t="s">
        <v>38</v>
      </c>
      <c r="F7366">
        <f t="shared" ca="1" si="230"/>
        <v>1.9972222222222222</v>
      </c>
      <c r="G7366">
        <f t="shared" ca="1" si="231"/>
        <v>0</v>
      </c>
    </row>
    <row r="7367" spans="1:7">
      <c r="A7367">
        <v>6098</v>
      </c>
      <c r="B7367" t="s">
        <v>112</v>
      </c>
      <c r="C7367" t="s">
        <v>123</v>
      </c>
      <c r="D7367" s="9">
        <v>41304.953564814816</v>
      </c>
      <c r="E7367" t="s">
        <v>38</v>
      </c>
      <c r="F7367">
        <f t="shared" ref="F7367:F7430" ca="1" si="232">YEARFRAC(TODAY(),$D7367)</f>
        <v>1.9972222222222222</v>
      </c>
      <c r="G7367">
        <f t="shared" ref="G7367:G7430" ca="1" si="233">IF($F7367&lt;1,1,0)</f>
        <v>0</v>
      </c>
    </row>
    <row r="7368" spans="1:7">
      <c r="A7368">
        <v>6099</v>
      </c>
      <c r="B7368" t="s">
        <v>8</v>
      </c>
      <c r="C7368" t="s">
        <v>123</v>
      </c>
      <c r="D7368" s="9">
        <v>41303.707418981481</v>
      </c>
      <c r="E7368" t="s">
        <v>11</v>
      </c>
      <c r="F7368">
        <f t="shared" ca="1" si="232"/>
        <v>2</v>
      </c>
      <c r="G7368">
        <f t="shared" ca="1" si="233"/>
        <v>0</v>
      </c>
    </row>
    <row r="7369" spans="1:7">
      <c r="A7369">
        <v>6102</v>
      </c>
      <c r="B7369" t="s">
        <v>21</v>
      </c>
      <c r="C7369" t="s">
        <v>123</v>
      </c>
      <c r="D7369" s="9">
        <v>41303.615694444445</v>
      </c>
      <c r="E7369" t="s">
        <v>43</v>
      </c>
      <c r="F7369">
        <f t="shared" ca="1" si="232"/>
        <v>2</v>
      </c>
      <c r="G7369">
        <f t="shared" ca="1" si="233"/>
        <v>0</v>
      </c>
    </row>
    <row r="7370" spans="1:7">
      <c r="A7370">
        <v>6118</v>
      </c>
      <c r="B7370" t="s">
        <v>43</v>
      </c>
      <c r="C7370" t="s">
        <v>123</v>
      </c>
      <c r="D7370" s="9">
        <v>41302.644629629627</v>
      </c>
      <c r="E7370" t="s">
        <v>8</v>
      </c>
      <c r="F7370">
        <f t="shared" ca="1" si="232"/>
        <v>2.0027777777777778</v>
      </c>
      <c r="G7370">
        <f t="shared" ca="1" si="233"/>
        <v>0</v>
      </c>
    </row>
    <row r="7371" spans="1:7">
      <c r="A7371">
        <v>6132</v>
      </c>
      <c r="B7371" t="s">
        <v>49</v>
      </c>
      <c r="C7371" t="s">
        <v>121</v>
      </c>
      <c r="D7371" s="9">
        <v>41452.536504629628</v>
      </c>
      <c r="E7371" t="s">
        <v>32</v>
      </c>
      <c r="F7371">
        <f t="shared" ca="1" si="232"/>
        <v>1.5888888888888888</v>
      </c>
      <c r="G7371">
        <f t="shared" ca="1" si="233"/>
        <v>0</v>
      </c>
    </row>
    <row r="7372" spans="1:7">
      <c r="A7372">
        <v>6209</v>
      </c>
      <c r="B7372" t="s">
        <v>19</v>
      </c>
      <c r="C7372" t="s">
        <v>123</v>
      </c>
      <c r="D7372" s="9">
        <v>41302.669374999998</v>
      </c>
      <c r="E7372" t="s">
        <v>24</v>
      </c>
      <c r="F7372">
        <f t="shared" ca="1" si="232"/>
        <v>2.0027777777777778</v>
      </c>
      <c r="G7372">
        <f t="shared" ca="1" si="233"/>
        <v>0</v>
      </c>
    </row>
    <row r="7373" spans="1:7">
      <c r="A7373">
        <v>6218</v>
      </c>
      <c r="B7373" t="s">
        <v>8</v>
      </c>
      <c r="C7373" t="s">
        <v>123</v>
      </c>
      <c r="D7373" s="9">
        <v>41302.916550925926</v>
      </c>
      <c r="E7373" t="s">
        <v>11</v>
      </c>
      <c r="F7373">
        <f t="shared" ca="1" si="232"/>
        <v>2.0027777777777778</v>
      </c>
      <c r="G7373">
        <f t="shared" ca="1" si="233"/>
        <v>0</v>
      </c>
    </row>
    <row r="7374" spans="1:7">
      <c r="A7374">
        <v>6222</v>
      </c>
      <c r="B7374" t="s">
        <v>19</v>
      </c>
      <c r="C7374" t="s">
        <v>123</v>
      </c>
      <c r="D7374" s="9">
        <v>41303.713541666664</v>
      </c>
      <c r="E7374" t="s">
        <v>38</v>
      </c>
      <c r="F7374">
        <f t="shared" ca="1" si="232"/>
        <v>2</v>
      </c>
      <c r="G7374">
        <f t="shared" ca="1" si="233"/>
        <v>0</v>
      </c>
    </row>
    <row r="7375" spans="1:7">
      <c r="A7375">
        <v>6225</v>
      </c>
      <c r="B7375" t="s">
        <v>24</v>
      </c>
      <c r="C7375" t="s">
        <v>123</v>
      </c>
      <c r="D7375" s="9">
        <v>41305.495000000003</v>
      </c>
      <c r="E7375" t="s">
        <v>8</v>
      </c>
      <c r="F7375">
        <f t="shared" ca="1" si="232"/>
        <v>1.9972222222222222</v>
      </c>
      <c r="G7375">
        <f t="shared" ca="1" si="233"/>
        <v>0</v>
      </c>
    </row>
    <row r="7376" spans="1:7">
      <c r="A7376">
        <v>6231</v>
      </c>
      <c r="B7376" t="s">
        <v>44</v>
      </c>
      <c r="C7376" t="s">
        <v>123</v>
      </c>
      <c r="D7376" s="9">
        <v>41302.623668981483</v>
      </c>
      <c r="E7376" t="s">
        <v>8</v>
      </c>
      <c r="F7376">
        <f t="shared" ca="1" si="232"/>
        <v>2.0027777777777778</v>
      </c>
      <c r="G7376">
        <f t="shared" ca="1" si="233"/>
        <v>0</v>
      </c>
    </row>
    <row r="7377" spans="1:7">
      <c r="A7377">
        <v>6266</v>
      </c>
      <c r="B7377" t="s">
        <v>19</v>
      </c>
      <c r="C7377" t="s">
        <v>123</v>
      </c>
      <c r="D7377" s="9">
        <v>41303.725590277776</v>
      </c>
      <c r="E7377" t="s">
        <v>38</v>
      </c>
      <c r="F7377">
        <f t="shared" ca="1" si="232"/>
        <v>2</v>
      </c>
      <c r="G7377">
        <f t="shared" ca="1" si="233"/>
        <v>0</v>
      </c>
    </row>
    <row r="7378" spans="1:7">
      <c r="A7378">
        <v>6274</v>
      </c>
      <c r="B7378" t="s">
        <v>11</v>
      </c>
      <c r="C7378" t="s">
        <v>120</v>
      </c>
      <c r="D7378" s="9">
        <v>41502.59003472222</v>
      </c>
      <c r="E7378" t="s">
        <v>27</v>
      </c>
      <c r="F7378">
        <f t="shared" ca="1" si="232"/>
        <v>1.4527777777777777</v>
      </c>
      <c r="G7378">
        <f t="shared" ca="1" si="233"/>
        <v>0</v>
      </c>
    </row>
    <row r="7379" spans="1:7">
      <c r="A7379">
        <v>6302</v>
      </c>
      <c r="B7379" t="s">
        <v>19</v>
      </c>
      <c r="C7379" t="s">
        <v>123</v>
      </c>
      <c r="D7379" s="9">
        <v>41304.83</v>
      </c>
      <c r="E7379" t="s">
        <v>27</v>
      </c>
      <c r="F7379">
        <f t="shared" ca="1" si="232"/>
        <v>1.9972222222222222</v>
      </c>
      <c r="G7379">
        <f t="shared" ca="1" si="233"/>
        <v>0</v>
      </c>
    </row>
    <row r="7380" spans="1:7">
      <c r="A7380">
        <v>6308</v>
      </c>
      <c r="B7380" t="s">
        <v>11</v>
      </c>
      <c r="C7380" t="s">
        <v>123</v>
      </c>
      <c r="D7380" s="9">
        <v>41302.83556712963</v>
      </c>
      <c r="E7380" t="s">
        <v>36</v>
      </c>
      <c r="F7380">
        <f t="shared" ca="1" si="232"/>
        <v>2.0027777777777778</v>
      </c>
      <c r="G7380">
        <f t="shared" ca="1" si="233"/>
        <v>0</v>
      </c>
    </row>
    <row r="7381" spans="1:7">
      <c r="A7381">
        <v>6337</v>
      </c>
      <c r="B7381" t="s">
        <v>11</v>
      </c>
      <c r="C7381" t="s">
        <v>123</v>
      </c>
      <c r="D7381" s="9">
        <v>41303.894652777781</v>
      </c>
      <c r="E7381" t="s">
        <v>21</v>
      </c>
      <c r="F7381">
        <f t="shared" ca="1" si="232"/>
        <v>2</v>
      </c>
      <c r="G7381">
        <f t="shared" ca="1" si="233"/>
        <v>0</v>
      </c>
    </row>
    <row r="7382" spans="1:7">
      <c r="A7382">
        <v>6348</v>
      </c>
      <c r="B7382" t="s">
        <v>21</v>
      </c>
      <c r="C7382" t="s">
        <v>123</v>
      </c>
      <c r="D7382" s="9">
        <v>41303.776203703703</v>
      </c>
      <c r="E7382" t="s">
        <v>20</v>
      </c>
      <c r="F7382">
        <f t="shared" ca="1" si="232"/>
        <v>2</v>
      </c>
      <c r="G7382">
        <f t="shared" ca="1" si="233"/>
        <v>0</v>
      </c>
    </row>
    <row r="7383" spans="1:7">
      <c r="A7383">
        <v>6357</v>
      </c>
      <c r="B7383" t="s">
        <v>19</v>
      </c>
      <c r="C7383" t="s">
        <v>123</v>
      </c>
      <c r="D7383" s="9">
        <v>41303.580231481479</v>
      </c>
      <c r="E7383" t="s">
        <v>8</v>
      </c>
      <c r="F7383">
        <f t="shared" ca="1" si="232"/>
        <v>2</v>
      </c>
      <c r="G7383">
        <f t="shared" ca="1" si="233"/>
        <v>0</v>
      </c>
    </row>
    <row r="7384" spans="1:7">
      <c r="A7384">
        <v>6359</v>
      </c>
      <c r="B7384" t="s">
        <v>11</v>
      </c>
      <c r="C7384" t="s">
        <v>121</v>
      </c>
      <c r="D7384" s="9">
        <v>41460.909803240742</v>
      </c>
      <c r="E7384" t="s">
        <v>27</v>
      </c>
      <c r="F7384">
        <f t="shared" ca="1" si="232"/>
        <v>1.5666666666666667</v>
      </c>
      <c r="G7384">
        <f t="shared" ca="1" si="233"/>
        <v>0</v>
      </c>
    </row>
    <row r="7385" spans="1:7">
      <c r="A7385">
        <v>6361</v>
      </c>
      <c r="B7385" t="s">
        <v>19</v>
      </c>
      <c r="C7385" t="s">
        <v>123</v>
      </c>
      <c r="D7385" s="9">
        <v>41302.826111111113</v>
      </c>
      <c r="E7385" t="s">
        <v>11</v>
      </c>
      <c r="F7385">
        <f t="shared" ca="1" si="232"/>
        <v>2.0027777777777778</v>
      </c>
      <c r="G7385">
        <f t="shared" ca="1" si="233"/>
        <v>0</v>
      </c>
    </row>
    <row r="7386" spans="1:7">
      <c r="A7386">
        <v>6368</v>
      </c>
      <c r="B7386" t="s">
        <v>43</v>
      </c>
      <c r="C7386" t="s">
        <v>123</v>
      </c>
      <c r="D7386" s="9">
        <v>41304.770810185182</v>
      </c>
      <c r="E7386" t="s">
        <v>36</v>
      </c>
      <c r="F7386">
        <f t="shared" ca="1" si="232"/>
        <v>1.9972222222222222</v>
      </c>
      <c r="G7386">
        <f t="shared" ca="1" si="233"/>
        <v>0</v>
      </c>
    </row>
    <row r="7387" spans="1:7">
      <c r="A7387">
        <v>6370</v>
      </c>
      <c r="B7387" t="s">
        <v>20</v>
      </c>
      <c r="C7387" t="s">
        <v>123</v>
      </c>
      <c r="D7387" s="9">
        <v>41303.612604166665</v>
      </c>
      <c r="E7387" t="s">
        <v>43</v>
      </c>
      <c r="F7387">
        <f t="shared" ca="1" si="232"/>
        <v>2</v>
      </c>
      <c r="G7387">
        <f t="shared" ca="1" si="233"/>
        <v>0</v>
      </c>
    </row>
    <row r="7388" spans="1:7">
      <c r="A7388">
        <v>6387</v>
      </c>
      <c r="B7388" t="s">
        <v>20</v>
      </c>
      <c r="C7388" t="s">
        <v>123</v>
      </c>
      <c r="D7388" s="9">
        <v>41303.707615740743</v>
      </c>
      <c r="E7388" t="s">
        <v>38</v>
      </c>
      <c r="F7388">
        <f t="shared" ca="1" si="232"/>
        <v>2</v>
      </c>
      <c r="G7388">
        <f t="shared" ca="1" si="233"/>
        <v>0</v>
      </c>
    </row>
    <row r="7389" spans="1:7">
      <c r="A7389">
        <v>6398</v>
      </c>
      <c r="B7389" t="s">
        <v>11</v>
      </c>
      <c r="C7389" t="s">
        <v>123</v>
      </c>
      <c r="D7389" s="9">
        <v>41302.788865740738</v>
      </c>
      <c r="E7389" t="s">
        <v>43</v>
      </c>
      <c r="F7389">
        <f t="shared" ca="1" si="232"/>
        <v>2.0027777777777778</v>
      </c>
      <c r="G7389">
        <f t="shared" ca="1" si="233"/>
        <v>0</v>
      </c>
    </row>
    <row r="7390" spans="1:7">
      <c r="A7390">
        <v>6466</v>
      </c>
      <c r="B7390" t="s">
        <v>43</v>
      </c>
      <c r="C7390" t="s">
        <v>122</v>
      </c>
      <c r="D7390" s="9">
        <v>41410.94295138889</v>
      </c>
      <c r="E7390" t="s">
        <v>36</v>
      </c>
      <c r="F7390">
        <f t="shared" ca="1" si="232"/>
        <v>1.7027777777777777</v>
      </c>
      <c r="G7390">
        <f t="shared" ca="1" si="233"/>
        <v>0</v>
      </c>
    </row>
    <row r="7391" spans="1:7">
      <c r="A7391">
        <v>6488</v>
      </c>
      <c r="B7391" t="s">
        <v>45</v>
      </c>
      <c r="C7391" t="s">
        <v>122</v>
      </c>
      <c r="D7391" s="9">
        <v>41333.63013888889</v>
      </c>
      <c r="E7391" t="s">
        <v>20</v>
      </c>
      <c r="F7391">
        <f t="shared" ca="1" si="232"/>
        <v>1.913888888888889</v>
      </c>
      <c r="G7391">
        <f t="shared" ca="1" si="233"/>
        <v>0</v>
      </c>
    </row>
    <row r="7392" spans="1:7">
      <c r="A7392">
        <v>6494</v>
      </c>
      <c r="B7392" t="s">
        <v>11</v>
      </c>
      <c r="C7392" t="s">
        <v>120</v>
      </c>
      <c r="D7392" s="9">
        <v>41544.642418981479</v>
      </c>
      <c r="E7392" t="s">
        <v>21</v>
      </c>
      <c r="F7392">
        <f t="shared" ca="1" si="232"/>
        <v>1.3388888888888888</v>
      </c>
      <c r="G7392">
        <f t="shared" ca="1" si="233"/>
        <v>0</v>
      </c>
    </row>
    <row r="7393" spans="1:7">
      <c r="A7393">
        <v>6510</v>
      </c>
      <c r="B7393" t="s">
        <v>36</v>
      </c>
      <c r="C7393" t="s">
        <v>122</v>
      </c>
      <c r="D7393" s="9">
        <v>41334.545300925929</v>
      </c>
      <c r="E7393" t="s">
        <v>8</v>
      </c>
      <c r="F7393">
        <f t="shared" ca="1" si="232"/>
        <v>1.9111111111111112</v>
      </c>
      <c r="G7393">
        <f t="shared" ca="1" si="233"/>
        <v>0</v>
      </c>
    </row>
    <row r="7394" spans="1:7">
      <c r="A7394">
        <v>6526</v>
      </c>
      <c r="B7394" t="s">
        <v>21</v>
      </c>
      <c r="C7394" t="s">
        <v>119</v>
      </c>
      <c r="D7394" s="9">
        <v>41586.693576388891</v>
      </c>
      <c r="E7394" t="s">
        <v>36</v>
      </c>
      <c r="F7394">
        <f t="shared" ca="1" si="232"/>
        <v>1.2250000000000001</v>
      </c>
      <c r="G7394">
        <f t="shared" ca="1" si="233"/>
        <v>0</v>
      </c>
    </row>
    <row r="7395" spans="1:7">
      <c r="A7395">
        <v>6534</v>
      </c>
      <c r="B7395" t="s">
        <v>51</v>
      </c>
      <c r="C7395" t="s">
        <v>122</v>
      </c>
      <c r="D7395" s="9">
        <v>41334.527442129627</v>
      </c>
      <c r="E7395" t="s">
        <v>8</v>
      </c>
      <c r="F7395">
        <f t="shared" ca="1" si="232"/>
        <v>1.9111111111111112</v>
      </c>
      <c r="G7395">
        <f t="shared" ca="1" si="233"/>
        <v>0</v>
      </c>
    </row>
    <row r="7396" spans="1:7">
      <c r="A7396">
        <v>6535</v>
      </c>
      <c r="B7396" t="s">
        <v>51</v>
      </c>
      <c r="C7396" t="s">
        <v>122</v>
      </c>
      <c r="D7396" s="9">
        <v>41410.943020833336</v>
      </c>
      <c r="E7396" t="s">
        <v>38</v>
      </c>
      <c r="F7396">
        <f t="shared" ca="1" si="232"/>
        <v>1.7027777777777777</v>
      </c>
      <c r="G7396">
        <f t="shared" ca="1" si="233"/>
        <v>0</v>
      </c>
    </row>
    <row r="7397" spans="1:7">
      <c r="A7397">
        <v>6572</v>
      </c>
      <c r="B7397" t="s">
        <v>11</v>
      </c>
      <c r="C7397" t="s">
        <v>122</v>
      </c>
      <c r="D7397" s="9">
        <v>41334.464444444442</v>
      </c>
      <c r="E7397" t="s">
        <v>30</v>
      </c>
      <c r="F7397">
        <f t="shared" ca="1" si="232"/>
        <v>1.9111111111111112</v>
      </c>
      <c r="G7397">
        <f t="shared" ca="1" si="233"/>
        <v>0</v>
      </c>
    </row>
    <row r="7398" spans="1:7">
      <c r="A7398">
        <v>6591</v>
      </c>
      <c r="B7398" t="s">
        <v>54</v>
      </c>
      <c r="C7398" t="s">
        <v>122</v>
      </c>
      <c r="D7398" s="9">
        <v>41341.65488425926</v>
      </c>
      <c r="E7398" t="s">
        <v>112</v>
      </c>
      <c r="F7398">
        <f t="shared" ca="1" si="232"/>
        <v>1.8916666666666666</v>
      </c>
      <c r="G7398">
        <f t="shared" ca="1" si="233"/>
        <v>0</v>
      </c>
    </row>
    <row r="7399" spans="1:7">
      <c r="A7399">
        <v>6598</v>
      </c>
      <c r="B7399" t="s">
        <v>19</v>
      </c>
      <c r="C7399" t="s">
        <v>122</v>
      </c>
      <c r="D7399" s="9">
        <v>41401.577916666669</v>
      </c>
      <c r="E7399" t="s">
        <v>27</v>
      </c>
      <c r="F7399">
        <f t="shared" ca="1" si="232"/>
        <v>1.7277777777777779</v>
      </c>
      <c r="G7399">
        <f t="shared" ca="1" si="233"/>
        <v>0</v>
      </c>
    </row>
    <row r="7400" spans="1:7">
      <c r="A7400">
        <v>6607</v>
      </c>
      <c r="B7400" t="s">
        <v>54</v>
      </c>
      <c r="C7400" t="s">
        <v>122</v>
      </c>
      <c r="D7400" s="9">
        <v>41341.722881944443</v>
      </c>
      <c r="E7400" t="s">
        <v>51</v>
      </c>
      <c r="F7400">
        <f t="shared" ca="1" si="232"/>
        <v>1.8916666666666666</v>
      </c>
      <c r="G7400">
        <f t="shared" ca="1" si="233"/>
        <v>0</v>
      </c>
    </row>
    <row r="7401" spans="1:7">
      <c r="A7401">
        <v>6618</v>
      </c>
      <c r="B7401" t="s">
        <v>19</v>
      </c>
      <c r="C7401" t="s">
        <v>122</v>
      </c>
      <c r="D7401" s="9">
        <v>41334.478912037041</v>
      </c>
      <c r="E7401" t="s">
        <v>112</v>
      </c>
      <c r="F7401">
        <f t="shared" ca="1" si="232"/>
        <v>1.9111111111111112</v>
      </c>
      <c r="G7401">
        <f t="shared" ca="1" si="233"/>
        <v>0</v>
      </c>
    </row>
    <row r="7402" spans="1:7">
      <c r="A7402">
        <v>6620</v>
      </c>
      <c r="B7402" t="s">
        <v>19</v>
      </c>
      <c r="C7402" t="s">
        <v>122</v>
      </c>
      <c r="D7402" s="9">
        <v>41341.650706018518</v>
      </c>
      <c r="E7402" t="s">
        <v>24</v>
      </c>
      <c r="F7402">
        <f t="shared" ca="1" si="232"/>
        <v>1.8916666666666666</v>
      </c>
      <c r="G7402">
        <f t="shared" ca="1" si="233"/>
        <v>0</v>
      </c>
    </row>
    <row r="7403" spans="1:7">
      <c r="A7403">
        <v>6631</v>
      </c>
      <c r="B7403" t="s">
        <v>20</v>
      </c>
      <c r="C7403" t="s">
        <v>122</v>
      </c>
      <c r="D7403" s="9">
        <v>41386.605891203704</v>
      </c>
      <c r="E7403" t="s">
        <v>27</v>
      </c>
      <c r="F7403">
        <f t="shared" ca="1" si="232"/>
        <v>1.7694444444444444</v>
      </c>
      <c r="G7403">
        <f t="shared" ca="1" si="233"/>
        <v>0</v>
      </c>
    </row>
    <row r="7404" spans="1:7">
      <c r="A7404">
        <v>6660</v>
      </c>
      <c r="B7404" t="s">
        <v>19</v>
      </c>
      <c r="C7404" t="s">
        <v>122</v>
      </c>
      <c r="D7404" s="9">
        <v>41369.533009259256</v>
      </c>
      <c r="E7404" t="s">
        <v>38</v>
      </c>
      <c r="F7404">
        <f t="shared" ca="1" si="232"/>
        <v>1.8166666666666667</v>
      </c>
      <c r="G7404">
        <f t="shared" ca="1" si="233"/>
        <v>0</v>
      </c>
    </row>
    <row r="7405" spans="1:7">
      <c r="A7405">
        <v>6698</v>
      </c>
      <c r="B7405" t="s">
        <v>54</v>
      </c>
      <c r="C7405" t="s">
        <v>122</v>
      </c>
      <c r="D7405" s="9">
        <v>41369.533229166664</v>
      </c>
      <c r="E7405" t="s">
        <v>32</v>
      </c>
      <c r="F7405">
        <f t="shared" ca="1" si="232"/>
        <v>1.8166666666666667</v>
      </c>
      <c r="G7405">
        <f t="shared" ca="1" si="233"/>
        <v>0</v>
      </c>
    </row>
    <row r="7406" spans="1:7">
      <c r="A7406">
        <v>6699</v>
      </c>
      <c r="B7406" t="s">
        <v>20</v>
      </c>
      <c r="C7406" t="s">
        <v>122</v>
      </c>
      <c r="D7406" s="9">
        <v>41346.858240740738</v>
      </c>
      <c r="E7406" t="s">
        <v>21</v>
      </c>
      <c r="F7406">
        <f t="shared" ca="1" si="232"/>
        <v>1.8777777777777778</v>
      </c>
      <c r="G7406">
        <f t="shared" ca="1" si="233"/>
        <v>0</v>
      </c>
    </row>
    <row r="7407" spans="1:7">
      <c r="A7407">
        <v>6701</v>
      </c>
      <c r="B7407" t="s">
        <v>19</v>
      </c>
      <c r="C7407" t="s">
        <v>122</v>
      </c>
      <c r="D7407" s="9">
        <v>41369.533194444448</v>
      </c>
      <c r="E7407" t="s">
        <v>38</v>
      </c>
      <c r="F7407">
        <f t="shared" ca="1" si="232"/>
        <v>1.8166666666666667</v>
      </c>
      <c r="G7407">
        <f t="shared" ca="1" si="233"/>
        <v>0</v>
      </c>
    </row>
    <row r="7408" spans="1:7">
      <c r="A7408">
        <v>6704</v>
      </c>
      <c r="B7408" t="s">
        <v>54</v>
      </c>
      <c r="C7408" t="s">
        <v>122</v>
      </c>
      <c r="D7408" s="9">
        <v>41380.479004629633</v>
      </c>
      <c r="E7408" t="s">
        <v>24</v>
      </c>
      <c r="F7408">
        <f t="shared" ca="1" si="232"/>
        <v>1.7861111111111112</v>
      </c>
      <c r="G7408">
        <f t="shared" ca="1" si="233"/>
        <v>0</v>
      </c>
    </row>
    <row r="7409" spans="1:7">
      <c r="A7409">
        <v>6705</v>
      </c>
      <c r="B7409" t="s">
        <v>8</v>
      </c>
      <c r="C7409" t="s">
        <v>121</v>
      </c>
      <c r="D7409" s="9">
        <v>41411.68445601852</v>
      </c>
      <c r="E7409" t="s">
        <v>112</v>
      </c>
      <c r="F7409">
        <f t="shared" ca="1" si="232"/>
        <v>1.7</v>
      </c>
      <c r="G7409">
        <f t="shared" ca="1" si="233"/>
        <v>0</v>
      </c>
    </row>
    <row r="7410" spans="1:7">
      <c r="A7410">
        <v>6721</v>
      </c>
      <c r="B7410" t="s">
        <v>32</v>
      </c>
      <c r="C7410" t="s">
        <v>122</v>
      </c>
      <c r="D7410" s="9">
        <v>41383.67015046296</v>
      </c>
      <c r="E7410" t="s">
        <v>11</v>
      </c>
      <c r="F7410">
        <f t="shared" ca="1" si="232"/>
        <v>1.7777777777777777</v>
      </c>
      <c r="G7410">
        <f t="shared" ca="1" si="233"/>
        <v>0</v>
      </c>
    </row>
    <row r="7411" spans="1:7">
      <c r="A7411">
        <v>6723</v>
      </c>
      <c r="B7411" t="s">
        <v>20</v>
      </c>
      <c r="C7411" t="s">
        <v>142</v>
      </c>
      <c r="D7411" s="9">
        <v>41414.907812500001</v>
      </c>
      <c r="E7411" t="s">
        <v>32</v>
      </c>
      <c r="F7411">
        <f t="shared" ca="1" si="232"/>
        <v>1.6916666666666667</v>
      </c>
      <c r="G7411">
        <f t="shared" ca="1" si="233"/>
        <v>0</v>
      </c>
    </row>
    <row r="7412" spans="1:7">
      <c r="A7412">
        <v>6735</v>
      </c>
      <c r="B7412" t="s">
        <v>19</v>
      </c>
      <c r="C7412" t="s">
        <v>122</v>
      </c>
      <c r="D7412" s="9">
        <v>41383.670219907406</v>
      </c>
      <c r="E7412" t="s">
        <v>27</v>
      </c>
      <c r="F7412">
        <f t="shared" ca="1" si="232"/>
        <v>1.7777777777777777</v>
      </c>
      <c r="G7412">
        <f t="shared" ca="1" si="233"/>
        <v>0</v>
      </c>
    </row>
    <row r="7413" spans="1:7">
      <c r="A7413">
        <v>6743</v>
      </c>
      <c r="B7413" t="s">
        <v>19</v>
      </c>
      <c r="C7413" t="s">
        <v>121</v>
      </c>
      <c r="D7413" s="9">
        <v>41479.71471064815</v>
      </c>
      <c r="E7413" t="s">
        <v>24</v>
      </c>
      <c r="F7413">
        <f t="shared" ca="1" si="232"/>
        <v>1.5138888888888888</v>
      </c>
      <c r="G7413">
        <f t="shared" ca="1" si="233"/>
        <v>0</v>
      </c>
    </row>
    <row r="7414" spans="1:7">
      <c r="A7414">
        <v>6745</v>
      </c>
      <c r="B7414" t="s">
        <v>21</v>
      </c>
      <c r="C7414" t="s">
        <v>122</v>
      </c>
      <c r="D7414" s="9">
        <v>41383.670254629629</v>
      </c>
      <c r="E7414" t="s">
        <v>11</v>
      </c>
      <c r="F7414">
        <f t="shared" ca="1" si="232"/>
        <v>1.7777777777777777</v>
      </c>
      <c r="G7414">
        <f t="shared" ca="1" si="233"/>
        <v>0</v>
      </c>
    </row>
    <row r="7415" spans="1:7">
      <c r="A7415">
        <v>6771</v>
      </c>
      <c r="B7415" t="s">
        <v>50</v>
      </c>
      <c r="C7415" t="s">
        <v>121</v>
      </c>
      <c r="D7415" s="9">
        <v>41474.673333333332</v>
      </c>
      <c r="E7415" t="s">
        <v>30</v>
      </c>
      <c r="F7415">
        <f t="shared" ca="1" si="232"/>
        <v>1.5277777777777777</v>
      </c>
      <c r="G7415">
        <f t="shared" ca="1" si="233"/>
        <v>0</v>
      </c>
    </row>
    <row r="7416" spans="1:7">
      <c r="A7416">
        <v>6785</v>
      </c>
      <c r="B7416" t="s">
        <v>11</v>
      </c>
      <c r="C7416" t="s">
        <v>122</v>
      </c>
      <c r="D7416" s="9">
        <v>41383.670543981483</v>
      </c>
      <c r="E7416" t="s">
        <v>51</v>
      </c>
      <c r="F7416">
        <f t="shared" ca="1" si="232"/>
        <v>1.7777777777777777</v>
      </c>
      <c r="G7416">
        <f t="shared" ca="1" si="233"/>
        <v>0</v>
      </c>
    </row>
    <row r="7417" spans="1:7">
      <c r="A7417">
        <v>6801</v>
      </c>
      <c r="B7417" t="s">
        <v>20</v>
      </c>
      <c r="C7417" t="s">
        <v>122</v>
      </c>
      <c r="D7417" s="9">
        <v>41410.942974537036</v>
      </c>
      <c r="E7417" t="s">
        <v>11</v>
      </c>
      <c r="F7417">
        <f t="shared" ca="1" si="232"/>
        <v>1.7027777777777777</v>
      </c>
      <c r="G7417">
        <f t="shared" ca="1" si="233"/>
        <v>0</v>
      </c>
    </row>
    <row r="7418" spans="1:7">
      <c r="A7418">
        <v>6802</v>
      </c>
      <c r="B7418" t="s">
        <v>11</v>
      </c>
      <c r="C7418" t="s">
        <v>122</v>
      </c>
      <c r="D7418" s="9">
        <v>41410.944490740738</v>
      </c>
      <c r="E7418" t="s">
        <v>21</v>
      </c>
      <c r="F7418">
        <f t="shared" ca="1" si="232"/>
        <v>1.7027777777777777</v>
      </c>
      <c r="G7418">
        <f t="shared" ca="1" si="233"/>
        <v>0</v>
      </c>
    </row>
    <row r="7419" spans="1:7">
      <c r="A7419">
        <v>6806</v>
      </c>
      <c r="B7419" t="s">
        <v>11</v>
      </c>
      <c r="C7419" t="s">
        <v>120</v>
      </c>
      <c r="D7419" s="9">
        <v>41551.566840277781</v>
      </c>
      <c r="E7419" t="s">
        <v>34</v>
      </c>
      <c r="F7419">
        <f t="shared" ca="1" si="232"/>
        <v>1.3194444444444444</v>
      </c>
      <c r="G7419">
        <f t="shared" ca="1" si="233"/>
        <v>0</v>
      </c>
    </row>
    <row r="7420" spans="1:7">
      <c r="A7420">
        <v>6807</v>
      </c>
      <c r="B7420" t="s">
        <v>11</v>
      </c>
      <c r="C7420" t="s">
        <v>118</v>
      </c>
      <c r="D7420" s="9">
        <v>41813.41847222222</v>
      </c>
      <c r="E7420" t="s">
        <v>112</v>
      </c>
      <c r="F7420">
        <f t="shared" ca="1" si="232"/>
        <v>0.6</v>
      </c>
      <c r="G7420">
        <f t="shared" ca="1" si="233"/>
        <v>1</v>
      </c>
    </row>
    <row r="7421" spans="1:7">
      <c r="A7421">
        <v>6809</v>
      </c>
      <c r="B7421" t="s">
        <v>20</v>
      </c>
      <c r="C7421" t="s">
        <v>122</v>
      </c>
      <c r="D7421" s="9">
        <v>41410.942916666667</v>
      </c>
      <c r="E7421" t="s">
        <v>19</v>
      </c>
      <c r="F7421">
        <f t="shared" ca="1" si="232"/>
        <v>1.7027777777777777</v>
      </c>
      <c r="G7421">
        <f t="shared" ca="1" si="233"/>
        <v>0</v>
      </c>
    </row>
    <row r="7422" spans="1:7">
      <c r="A7422">
        <v>6811</v>
      </c>
      <c r="B7422" t="s">
        <v>11</v>
      </c>
      <c r="C7422" t="s">
        <v>122</v>
      </c>
      <c r="D7422" s="9">
        <v>41410.942962962959</v>
      </c>
      <c r="E7422" t="s">
        <v>8</v>
      </c>
      <c r="F7422">
        <f t="shared" ca="1" si="232"/>
        <v>1.7027777777777777</v>
      </c>
      <c r="G7422">
        <f t="shared" ca="1" si="233"/>
        <v>0</v>
      </c>
    </row>
    <row r="7423" spans="1:7">
      <c r="A7423">
        <v>6813</v>
      </c>
      <c r="B7423" t="s">
        <v>11</v>
      </c>
      <c r="C7423" t="s">
        <v>118</v>
      </c>
      <c r="D7423" s="9">
        <v>41809.325694444444</v>
      </c>
      <c r="E7423" t="s">
        <v>8</v>
      </c>
      <c r="F7423">
        <f t="shared" ca="1" si="232"/>
        <v>0.61111111111111116</v>
      </c>
      <c r="G7423">
        <f t="shared" ca="1" si="233"/>
        <v>1</v>
      </c>
    </row>
    <row r="7424" spans="1:7">
      <c r="A7424">
        <v>6823</v>
      </c>
      <c r="B7424" t="s">
        <v>36</v>
      </c>
      <c r="C7424" t="s">
        <v>122</v>
      </c>
      <c r="D7424" s="9">
        <v>41410.943136574075</v>
      </c>
      <c r="E7424" t="s">
        <v>43</v>
      </c>
      <c r="F7424">
        <f t="shared" ca="1" si="232"/>
        <v>1.7027777777777777</v>
      </c>
      <c r="G7424">
        <f t="shared" ca="1" si="233"/>
        <v>0</v>
      </c>
    </row>
    <row r="7425" spans="1:7">
      <c r="A7425">
        <v>6830</v>
      </c>
      <c r="B7425" t="s">
        <v>11</v>
      </c>
      <c r="C7425" t="s">
        <v>118</v>
      </c>
      <c r="D7425" s="9">
        <v>41813.687789351854</v>
      </c>
      <c r="E7425" t="s">
        <v>32</v>
      </c>
      <c r="F7425">
        <f t="shared" ca="1" si="232"/>
        <v>0.6</v>
      </c>
      <c r="G7425">
        <f t="shared" ca="1" si="233"/>
        <v>1</v>
      </c>
    </row>
    <row r="7426" spans="1:7">
      <c r="A7426">
        <v>6831</v>
      </c>
      <c r="B7426" t="s">
        <v>14</v>
      </c>
      <c r="C7426" t="s">
        <v>120</v>
      </c>
      <c r="D7426" s="9">
        <v>41544.650706018518</v>
      </c>
      <c r="E7426" t="s">
        <v>17</v>
      </c>
      <c r="F7426">
        <f t="shared" ca="1" si="232"/>
        <v>1.3388888888888888</v>
      </c>
      <c r="G7426">
        <f t="shared" ca="1" si="233"/>
        <v>0</v>
      </c>
    </row>
    <row r="7427" spans="1:7">
      <c r="A7427">
        <v>6838</v>
      </c>
      <c r="B7427" t="s">
        <v>54</v>
      </c>
      <c r="C7427" t="s">
        <v>122</v>
      </c>
      <c r="D7427" s="9">
        <v>41410.943310185183</v>
      </c>
      <c r="E7427" t="s">
        <v>32</v>
      </c>
      <c r="F7427">
        <f t="shared" ca="1" si="232"/>
        <v>1.7027777777777777</v>
      </c>
      <c r="G7427">
        <f t="shared" ca="1" si="233"/>
        <v>0</v>
      </c>
    </row>
    <row r="7428" spans="1:7">
      <c r="A7428">
        <v>6851</v>
      </c>
      <c r="B7428" t="s">
        <v>21</v>
      </c>
      <c r="C7428" t="s">
        <v>122</v>
      </c>
      <c r="D7428" s="9">
        <v>41410.944398148145</v>
      </c>
      <c r="E7428" t="s">
        <v>32</v>
      </c>
      <c r="F7428">
        <f t="shared" ca="1" si="232"/>
        <v>1.7027777777777777</v>
      </c>
      <c r="G7428">
        <f t="shared" ca="1" si="233"/>
        <v>0</v>
      </c>
    </row>
    <row r="7429" spans="1:7">
      <c r="A7429">
        <v>6853</v>
      </c>
      <c r="B7429" t="s">
        <v>54</v>
      </c>
      <c r="C7429" t="s">
        <v>122</v>
      </c>
      <c r="D7429" s="9">
        <v>41410.943391203706</v>
      </c>
      <c r="E7429" t="s">
        <v>32</v>
      </c>
      <c r="F7429">
        <f t="shared" ca="1" si="232"/>
        <v>1.7027777777777777</v>
      </c>
      <c r="G7429">
        <f t="shared" ca="1" si="233"/>
        <v>0</v>
      </c>
    </row>
    <row r="7430" spans="1:7">
      <c r="A7430">
        <v>6932</v>
      </c>
      <c r="B7430" t="s">
        <v>45</v>
      </c>
      <c r="C7430" t="s">
        <v>121</v>
      </c>
      <c r="D7430" s="9">
        <v>41424.939421296294</v>
      </c>
      <c r="E7430" t="s">
        <v>11</v>
      </c>
      <c r="F7430">
        <f t="shared" ca="1" si="232"/>
        <v>1.663888888888889</v>
      </c>
      <c r="G7430">
        <f t="shared" ca="1" si="233"/>
        <v>0</v>
      </c>
    </row>
    <row r="7431" spans="1:7">
      <c r="A7431">
        <v>6941</v>
      </c>
      <c r="B7431" t="s">
        <v>11</v>
      </c>
      <c r="C7431" t="s">
        <v>122</v>
      </c>
      <c r="D7431" s="9">
        <v>41416.490057870367</v>
      </c>
      <c r="E7431" t="s">
        <v>112</v>
      </c>
      <c r="F7431">
        <f t="shared" ref="F7431:F7494" ca="1" si="234">YEARFRAC(TODAY(),$D7431)</f>
        <v>1.6861111111111111</v>
      </c>
      <c r="G7431">
        <f t="shared" ref="G7431:G7494" ca="1" si="235">IF($F7431&lt;1,1,0)</f>
        <v>0</v>
      </c>
    </row>
    <row r="7432" spans="1:7">
      <c r="A7432">
        <v>6967</v>
      </c>
      <c r="B7432" t="s">
        <v>36</v>
      </c>
      <c r="C7432" t="s">
        <v>121</v>
      </c>
      <c r="D7432" s="9">
        <v>41481.652638888889</v>
      </c>
      <c r="E7432" t="s">
        <v>14</v>
      </c>
      <c r="F7432">
        <f t="shared" ca="1" si="234"/>
        <v>1.5083333333333333</v>
      </c>
      <c r="G7432">
        <f t="shared" ca="1" si="235"/>
        <v>0</v>
      </c>
    </row>
    <row r="7433" spans="1:7">
      <c r="A7433">
        <v>7026</v>
      </c>
      <c r="B7433" t="s">
        <v>20</v>
      </c>
      <c r="C7433" t="s">
        <v>121</v>
      </c>
      <c r="D7433" s="9">
        <v>41431.831192129626</v>
      </c>
      <c r="E7433" t="s">
        <v>111</v>
      </c>
      <c r="F7433">
        <f t="shared" ca="1" si="234"/>
        <v>1.6472222222222221</v>
      </c>
      <c r="G7433">
        <f t="shared" ca="1" si="235"/>
        <v>0</v>
      </c>
    </row>
    <row r="7434" spans="1:7">
      <c r="A7434">
        <v>7033</v>
      </c>
      <c r="B7434" t="s">
        <v>8</v>
      </c>
      <c r="C7434" t="s">
        <v>121</v>
      </c>
      <c r="D7434" s="9">
        <v>41474.8203125</v>
      </c>
      <c r="E7434" t="s">
        <v>11</v>
      </c>
      <c r="F7434">
        <f t="shared" ca="1" si="234"/>
        <v>1.5277777777777777</v>
      </c>
      <c r="G7434">
        <f t="shared" ca="1" si="235"/>
        <v>0</v>
      </c>
    </row>
    <row r="7435" spans="1:7">
      <c r="A7435">
        <v>7035</v>
      </c>
      <c r="B7435" t="s">
        <v>64</v>
      </c>
      <c r="C7435" t="s">
        <v>122</v>
      </c>
      <c r="D7435" s="9">
        <v>41410.945011574076</v>
      </c>
      <c r="E7435" t="s">
        <v>32</v>
      </c>
      <c r="F7435">
        <f t="shared" ca="1" si="234"/>
        <v>1.7027777777777777</v>
      </c>
      <c r="G7435">
        <f t="shared" ca="1" si="235"/>
        <v>0</v>
      </c>
    </row>
    <row r="7436" spans="1:7">
      <c r="A7436">
        <v>7079</v>
      </c>
      <c r="B7436" t="s">
        <v>19</v>
      </c>
      <c r="C7436" t="s">
        <v>121</v>
      </c>
      <c r="D7436" s="9">
        <v>41414.396747685183</v>
      </c>
      <c r="E7436" t="s">
        <v>112</v>
      </c>
      <c r="F7436">
        <f t="shared" ca="1" si="234"/>
        <v>1.6916666666666667</v>
      </c>
      <c r="G7436">
        <f t="shared" ca="1" si="235"/>
        <v>0</v>
      </c>
    </row>
    <row r="7437" spans="1:7">
      <c r="A7437">
        <v>7085</v>
      </c>
      <c r="B7437" t="s">
        <v>19</v>
      </c>
      <c r="C7437" t="s">
        <v>121</v>
      </c>
      <c r="D7437" s="9">
        <v>41534.427627314813</v>
      </c>
      <c r="E7437" t="s">
        <v>27</v>
      </c>
      <c r="F7437">
        <f t="shared" ca="1" si="234"/>
        <v>1.3666666666666667</v>
      </c>
      <c r="G7437">
        <f t="shared" ca="1" si="235"/>
        <v>0</v>
      </c>
    </row>
    <row r="7438" spans="1:7">
      <c r="A7438">
        <v>7094</v>
      </c>
      <c r="B7438" t="s">
        <v>32</v>
      </c>
      <c r="C7438" t="s">
        <v>142</v>
      </c>
      <c r="D7438" s="9">
        <v>41423.717997685184</v>
      </c>
      <c r="E7438" t="s">
        <v>112</v>
      </c>
      <c r="F7438">
        <f t="shared" ca="1" si="234"/>
        <v>1.6666666666666667</v>
      </c>
      <c r="G7438">
        <f t="shared" ca="1" si="235"/>
        <v>0</v>
      </c>
    </row>
    <row r="7439" spans="1:7">
      <c r="A7439">
        <v>7109</v>
      </c>
      <c r="B7439" t="s">
        <v>54</v>
      </c>
      <c r="C7439" t="s">
        <v>121</v>
      </c>
      <c r="D7439" s="9">
        <v>41537.668113425927</v>
      </c>
      <c r="E7439" t="s">
        <v>32</v>
      </c>
      <c r="F7439">
        <f t="shared" ca="1" si="234"/>
        <v>1.3583333333333334</v>
      </c>
      <c r="G7439">
        <f t="shared" ca="1" si="235"/>
        <v>0</v>
      </c>
    </row>
    <row r="7440" spans="1:7">
      <c r="A7440">
        <v>7149</v>
      </c>
      <c r="B7440" t="s">
        <v>43</v>
      </c>
      <c r="C7440" t="s">
        <v>121</v>
      </c>
      <c r="D7440" s="9">
        <v>41480.516365740739</v>
      </c>
      <c r="E7440" t="s">
        <v>36</v>
      </c>
      <c r="F7440">
        <f t="shared" ca="1" si="234"/>
        <v>1.5111111111111111</v>
      </c>
      <c r="G7440">
        <f t="shared" ca="1" si="235"/>
        <v>0</v>
      </c>
    </row>
    <row r="7441" spans="1:7">
      <c r="A7441">
        <v>7169</v>
      </c>
      <c r="B7441" t="s">
        <v>36</v>
      </c>
      <c r="C7441" t="s">
        <v>121</v>
      </c>
      <c r="D7441" s="9">
        <v>41481.935706018521</v>
      </c>
      <c r="E7441" t="s">
        <v>11</v>
      </c>
      <c r="F7441">
        <f t="shared" ca="1" si="234"/>
        <v>1.5083333333333333</v>
      </c>
      <c r="G7441">
        <f t="shared" ca="1" si="235"/>
        <v>0</v>
      </c>
    </row>
    <row r="7442" spans="1:7">
      <c r="A7442">
        <v>7176</v>
      </c>
      <c r="B7442" t="s">
        <v>112</v>
      </c>
      <c r="C7442" t="s">
        <v>121</v>
      </c>
      <c r="D7442" s="9">
        <v>41463.428865740738</v>
      </c>
      <c r="E7442" t="s">
        <v>111</v>
      </c>
      <c r="F7442">
        <f t="shared" ca="1" si="234"/>
        <v>1.5583333333333333</v>
      </c>
      <c r="G7442">
        <f t="shared" ca="1" si="235"/>
        <v>0</v>
      </c>
    </row>
    <row r="7443" spans="1:7">
      <c r="A7443">
        <v>7184</v>
      </c>
      <c r="B7443" t="s">
        <v>21</v>
      </c>
      <c r="C7443" t="s">
        <v>121</v>
      </c>
      <c r="D7443" s="9">
        <v>41480.516770833332</v>
      </c>
      <c r="E7443" t="s">
        <v>20</v>
      </c>
      <c r="F7443">
        <f t="shared" ca="1" si="234"/>
        <v>1.5111111111111111</v>
      </c>
      <c r="G7443">
        <f t="shared" ca="1" si="235"/>
        <v>0</v>
      </c>
    </row>
    <row r="7444" spans="1:7">
      <c r="A7444">
        <v>7204</v>
      </c>
      <c r="B7444" t="s">
        <v>11</v>
      </c>
      <c r="C7444" t="s">
        <v>121</v>
      </c>
      <c r="D7444" s="9">
        <v>41428.363993055558</v>
      </c>
      <c r="E7444" t="s">
        <v>8</v>
      </c>
      <c r="F7444">
        <f t="shared" ca="1" si="234"/>
        <v>1.6555555555555554</v>
      </c>
      <c r="G7444">
        <f t="shared" ca="1" si="235"/>
        <v>0</v>
      </c>
    </row>
    <row r="7445" spans="1:7">
      <c r="A7445">
        <v>7206</v>
      </c>
      <c r="B7445" t="s">
        <v>36</v>
      </c>
      <c r="C7445" t="s">
        <v>121</v>
      </c>
      <c r="D7445" s="9">
        <v>41480.517314814817</v>
      </c>
      <c r="E7445" t="s">
        <v>43</v>
      </c>
      <c r="F7445">
        <f t="shared" ca="1" si="234"/>
        <v>1.5111111111111111</v>
      </c>
      <c r="G7445">
        <f t="shared" ca="1" si="235"/>
        <v>0</v>
      </c>
    </row>
    <row r="7446" spans="1:7">
      <c r="A7446">
        <v>7209</v>
      </c>
      <c r="B7446" t="s">
        <v>45</v>
      </c>
      <c r="C7446" t="s">
        <v>118</v>
      </c>
      <c r="D7446" s="9">
        <v>41751.943541666667</v>
      </c>
      <c r="E7446" t="s">
        <v>11</v>
      </c>
      <c r="F7446">
        <f t="shared" ca="1" si="234"/>
        <v>0.76944444444444449</v>
      </c>
      <c r="G7446">
        <f t="shared" ca="1" si="235"/>
        <v>1</v>
      </c>
    </row>
    <row r="7447" spans="1:7">
      <c r="A7447">
        <v>7239</v>
      </c>
      <c r="B7447" t="s">
        <v>27</v>
      </c>
      <c r="C7447" t="s">
        <v>120</v>
      </c>
      <c r="D7447" s="9">
        <v>41551.580763888887</v>
      </c>
      <c r="E7447" t="s">
        <v>38</v>
      </c>
      <c r="F7447">
        <f t="shared" ca="1" si="234"/>
        <v>1.3194444444444444</v>
      </c>
      <c r="G7447">
        <f t="shared" ca="1" si="235"/>
        <v>0</v>
      </c>
    </row>
    <row r="7448" spans="1:7">
      <c r="A7448">
        <v>7304</v>
      </c>
      <c r="B7448" t="s">
        <v>19</v>
      </c>
      <c r="C7448" t="s">
        <v>121</v>
      </c>
      <c r="D7448" s="9">
        <v>41480.517534722225</v>
      </c>
      <c r="E7448" t="s">
        <v>111</v>
      </c>
      <c r="F7448">
        <f t="shared" ca="1" si="234"/>
        <v>1.5111111111111111</v>
      </c>
      <c r="G7448">
        <f t="shared" ca="1" si="235"/>
        <v>0</v>
      </c>
    </row>
    <row r="7449" spans="1:7">
      <c r="A7449">
        <v>7312</v>
      </c>
      <c r="B7449" t="s">
        <v>27</v>
      </c>
      <c r="C7449" t="s">
        <v>121</v>
      </c>
      <c r="D7449" s="9">
        <v>41479.714548611111</v>
      </c>
      <c r="E7449" t="s">
        <v>19</v>
      </c>
      <c r="F7449">
        <f t="shared" ca="1" si="234"/>
        <v>1.5138888888888888</v>
      </c>
      <c r="G7449">
        <f t="shared" ca="1" si="235"/>
        <v>0</v>
      </c>
    </row>
    <row r="7450" spans="1:7">
      <c r="A7450">
        <v>7315</v>
      </c>
      <c r="B7450" t="s">
        <v>27</v>
      </c>
      <c r="C7450" t="s">
        <v>121</v>
      </c>
      <c r="D7450" s="9">
        <v>41479.714131944442</v>
      </c>
      <c r="E7450" t="s">
        <v>23</v>
      </c>
      <c r="F7450">
        <f t="shared" ca="1" si="234"/>
        <v>1.5138888888888888</v>
      </c>
      <c r="G7450">
        <f t="shared" ca="1" si="235"/>
        <v>0</v>
      </c>
    </row>
    <row r="7451" spans="1:7">
      <c r="A7451">
        <v>7316</v>
      </c>
      <c r="B7451" t="s">
        <v>20</v>
      </c>
      <c r="C7451" t="s">
        <v>121</v>
      </c>
      <c r="D7451" s="9">
        <v>41480.51771990741</v>
      </c>
      <c r="E7451" t="s">
        <v>27</v>
      </c>
      <c r="F7451">
        <f t="shared" ca="1" si="234"/>
        <v>1.5111111111111111</v>
      </c>
      <c r="G7451">
        <f t="shared" ca="1" si="235"/>
        <v>0</v>
      </c>
    </row>
    <row r="7452" spans="1:7">
      <c r="A7452">
        <v>7326</v>
      </c>
      <c r="B7452" t="s">
        <v>19</v>
      </c>
      <c r="C7452" t="s">
        <v>121</v>
      </c>
      <c r="D7452" s="9">
        <v>41445.821550925924</v>
      </c>
      <c r="E7452" t="s">
        <v>111</v>
      </c>
      <c r="F7452">
        <f t="shared" ca="1" si="234"/>
        <v>1.6083333333333334</v>
      </c>
      <c r="G7452">
        <f t="shared" ca="1" si="235"/>
        <v>0</v>
      </c>
    </row>
    <row r="7453" spans="1:7">
      <c r="A7453">
        <v>7342</v>
      </c>
      <c r="B7453" t="s">
        <v>27</v>
      </c>
      <c r="C7453" t="s">
        <v>121</v>
      </c>
      <c r="D7453" s="9">
        <v>41479.412314814814</v>
      </c>
      <c r="E7453" t="s">
        <v>20</v>
      </c>
      <c r="F7453">
        <f t="shared" ca="1" si="234"/>
        <v>1.5138888888888888</v>
      </c>
      <c r="G7453">
        <f t="shared" ca="1" si="235"/>
        <v>0</v>
      </c>
    </row>
    <row r="7454" spans="1:7">
      <c r="A7454">
        <v>7344</v>
      </c>
      <c r="B7454" t="s">
        <v>8</v>
      </c>
      <c r="C7454" t="s">
        <v>121</v>
      </c>
      <c r="D7454" s="9">
        <v>41480.517997685187</v>
      </c>
      <c r="E7454" t="s">
        <v>27</v>
      </c>
      <c r="F7454">
        <f t="shared" ca="1" si="234"/>
        <v>1.5111111111111111</v>
      </c>
      <c r="G7454">
        <f t="shared" ca="1" si="235"/>
        <v>0</v>
      </c>
    </row>
    <row r="7455" spans="1:7">
      <c r="A7455">
        <v>7350</v>
      </c>
      <c r="B7455" t="s">
        <v>8</v>
      </c>
      <c r="C7455" t="s">
        <v>121</v>
      </c>
      <c r="D7455" s="9">
        <v>41480.518078703702</v>
      </c>
      <c r="E7455" t="s">
        <v>111</v>
      </c>
      <c r="F7455">
        <f t="shared" ca="1" si="234"/>
        <v>1.5111111111111111</v>
      </c>
      <c r="G7455">
        <f t="shared" ca="1" si="235"/>
        <v>0</v>
      </c>
    </row>
    <row r="7456" spans="1:7">
      <c r="A7456">
        <v>7400</v>
      </c>
      <c r="B7456" t="s">
        <v>19</v>
      </c>
      <c r="C7456" t="s">
        <v>121</v>
      </c>
      <c r="D7456" s="9">
        <v>41470.446527777778</v>
      </c>
      <c r="E7456" t="s">
        <v>8</v>
      </c>
      <c r="F7456">
        <f t="shared" ca="1" si="234"/>
        <v>1.538888888888889</v>
      </c>
      <c r="G7456">
        <f t="shared" ca="1" si="235"/>
        <v>0</v>
      </c>
    </row>
    <row r="7457" spans="1:7">
      <c r="A7457">
        <v>7409</v>
      </c>
      <c r="B7457" t="s">
        <v>19</v>
      </c>
      <c r="C7457" t="s">
        <v>121</v>
      </c>
      <c r="D7457" s="9">
        <v>41479.704872685186</v>
      </c>
      <c r="E7457" t="s">
        <v>27</v>
      </c>
      <c r="F7457">
        <f t="shared" ca="1" si="234"/>
        <v>1.5138888888888888</v>
      </c>
      <c r="G7457">
        <f t="shared" ca="1" si="235"/>
        <v>0</v>
      </c>
    </row>
    <row r="7458" spans="1:7">
      <c r="A7458">
        <v>7424</v>
      </c>
      <c r="B7458" t="s">
        <v>11</v>
      </c>
      <c r="C7458" t="s">
        <v>121</v>
      </c>
      <c r="D7458" s="9">
        <v>41473.719548611109</v>
      </c>
      <c r="E7458" t="s">
        <v>111</v>
      </c>
      <c r="F7458">
        <f t="shared" ca="1" si="234"/>
        <v>1.5305555555555554</v>
      </c>
      <c r="G7458">
        <f t="shared" ca="1" si="235"/>
        <v>0</v>
      </c>
    </row>
    <row r="7459" spans="1:7">
      <c r="A7459">
        <v>7435</v>
      </c>
      <c r="B7459" t="s">
        <v>44</v>
      </c>
      <c r="C7459" t="s">
        <v>121</v>
      </c>
      <c r="D7459" s="9">
        <v>41480.518379629626</v>
      </c>
      <c r="E7459" t="s">
        <v>30</v>
      </c>
      <c r="F7459">
        <f t="shared" ca="1" si="234"/>
        <v>1.5111111111111111</v>
      </c>
      <c r="G7459">
        <f t="shared" ca="1" si="235"/>
        <v>0</v>
      </c>
    </row>
    <row r="7460" spans="1:7">
      <c r="A7460">
        <v>7441</v>
      </c>
      <c r="B7460" t="s">
        <v>18</v>
      </c>
      <c r="C7460" t="s">
        <v>121</v>
      </c>
      <c r="D7460" s="9">
        <v>41481.418726851851</v>
      </c>
      <c r="E7460" t="s">
        <v>29</v>
      </c>
      <c r="F7460">
        <f t="shared" ca="1" si="234"/>
        <v>1.5083333333333333</v>
      </c>
      <c r="G7460">
        <f t="shared" ca="1" si="235"/>
        <v>0</v>
      </c>
    </row>
    <row r="7461" spans="1:7">
      <c r="A7461">
        <v>7480</v>
      </c>
      <c r="B7461" t="s">
        <v>11</v>
      </c>
      <c r="C7461" t="s">
        <v>121</v>
      </c>
      <c r="D7461" s="9">
        <v>41477.631469907406</v>
      </c>
      <c r="E7461" t="s">
        <v>36</v>
      </c>
      <c r="F7461">
        <f t="shared" ca="1" si="234"/>
        <v>1.5194444444444444</v>
      </c>
      <c r="G7461">
        <f t="shared" ca="1" si="235"/>
        <v>0</v>
      </c>
    </row>
    <row r="7462" spans="1:7">
      <c r="A7462">
        <v>7503</v>
      </c>
      <c r="B7462" t="s">
        <v>24</v>
      </c>
      <c r="C7462" t="s">
        <v>121</v>
      </c>
      <c r="D7462" s="9">
        <v>41484.430219907408</v>
      </c>
      <c r="E7462" t="s">
        <v>17</v>
      </c>
      <c r="F7462">
        <f t="shared" ca="1" si="234"/>
        <v>1.5</v>
      </c>
      <c r="G7462">
        <f t="shared" ca="1" si="235"/>
        <v>0</v>
      </c>
    </row>
    <row r="7463" spans="1:7">
      <c r="A7463">
        <v>7511</v>
      </c>
      <c r="B7463" t="s">
        <v>24</v>
      </c>
      <c r="C7463" t="s">
        <v>121</v>
      </c>
      <c r="D7463" s="9">
        <v>41480.663217592592</v>
      </c>
      <c r="E7463" t="s">
        <v>29</v>
      </c>
      <c r="F7463">
        <f t="shared" ca="1" si="234"/>
        <v>1.5111111111111111</v>
      </c>
      <c r="G7463">
        <f t="shared" ca="1" si="235"/>
        <v>0</v>
      </c>
    </row>
    <row r="7464" spans="1:7">
      <c r="A7464">
        <v>7543</v>
      </c>
      <c r="B7464" t="s">
        <v>14</v>
      </c>
      <c r="C7464" t="s">
        <v>118</v>
      </c>
      <c r="D7464" s="9">
        <v>41800.685127314813</v>
      </c>
      <c r="E7464" t="s">
        <v>17</v>
      </c>
      <c r="F7464">
        <f t="shared" ca="1" si="234"/>
        <v>0.63611111111111107</v>
      </c>
      <c r="G7464">
        <f t="shared" ca="1" si="235"/>
        <v>1</v>
      </c>
    </row>
    <row r="7465" spans="1:7">
      <c r="A7465">
        <v>7550</v>
      </c>
      <c r="B7465" t="s">
        <v>14</v>
      </c>
      <c r="C7465" t="s">
        <v>120</v>
      </c>
      <c r="D7465" s="9">
        <v>41570.439687500002</v>
      </c>
      <c r="E7465" t="s">
        <v>17</v>
      </c>
      <c r="F7465">
        <f t="shared" ca="1" si="234"/>
        <v>1.2666666666666666</v>
      </c>
      <c r="G7465">
        <f t="shared" ca="1" si="235"/>
        <v>0</v>
      </c>
    </row>
    <row r="7466" spans="1:7">
      <c r="A7466">
        <v>7573</v>
      </c>
      <c r="B7466" t="s">
        <v>211</v>
      </c>
      <c r="C7466" t="s">
        <v>209</v>
      </c>
      <c r="D7466" s="9">
        <v>41859.652465277781</v>
      </c>
      <c r="E7466" t="s">
        <v>112</v>
      </c>
      <c r="F7466">
        <f t="shared" ca="1" si="234"/>
        <v>0.47499999999999998</v>
      </c>
      <c r="G7466">
        <f t="shared" ca="1" si="235"/>
        <v>1</v>
      </c>
    </row>
    <row r="7467" spans="1:7">
      <c r="A7467">
        <v>7575</v>
      </c>
      <c r="B7467" t="s">
        <v>14</v>
      </c>
      <c r="C7467" t="s">
        <v>120</v>
      </c>
      <c r="D7467" s="9">
        <v>41570.439027777778</v>
      </c>
      <c r="E7467" t="s">
        <v>17</v>
      </c>
      <c r="F7467">
        <f t="shared" ca="1" si="234"/>
        <v>1.2666666666666666</v>
      </c>
      <c r="G7467">
        <f t="shared" ca="1" si="235"/>
        <v>0</v>
      </c>
    </row>
    <row r="7468" spans="1:7">
      <c r="A7468">
        <v>7582</v>
      </c>
      <c r="B7468" t="s">
        <v>29</v>
      </c>
      <c r="C7468" t="s">
        <v>118</v>
      </c>
      <c r="D7468" s="9">
        <v>41683.416261574072</v>
      </c>
      <c r="E7468" t="s">
        <v>8</v>
      </c>
      <c r="F7468">
        <f t="shared" ca="1" si="234"/>
        <v>0.96111111111111114</v>
      </c>
      <c r="G7468">
        <f t="shared" ca="1" si="235"/>
        <v>1</v>
      </c>
    </row>
    <row r="7469" spans="1:7">
      <c r="A7469">
        <v>7657</v>
      </c>
      <c r="B7469" t="s">
        <v>11</v>
      </c>
      <c r="C7469" t="s">
        <v>120</v>
      </c>
      <c r="D7469" s="9">
        <v>41495.586342592593</v>
      </c>
      <c r="E7469" t="s">
        <v>20</v>
      </c>
      <c r="F7469">
        <f t="shared" ca="1" si="234"/>
        <v>1.4722222222222223</v>
      </c>
      <c r="G7469">
        <f t="shared" ca="1" si="235"/>
        <v>0</v>
      </c>
    </row>
    <row r="7470" spans="1:7">
      <c r="A7470">
        <v>7672</v>
      </c>
      <c r="B7470" t="s">
        <v>20</v>
      </c>
      <c r="C7470" t="s">
        <v>120</v>
      </c>
      <c r="D7470" s="9">
        <v>41530.746516203704</v>
      </c>
      <c r="E7470" t="s">
        <v>27</v>
      </c>
      <c r="F7470">
        <f t="shared" ca="1" si="234"/>
        <v>1.3777777777777778</v>
      </c>
      <c r="G7470">
        <f t="shared" ca="1" si="235"/>
        <v>0</v>
      </c>
    </row>
    <row r="7471" spans="1:7">
      <c r="A7471">
        <v>7682</v>
      </c>
      <c r="B7471" t="s">
        <v>24</v>
      </c>
      <c r="C7471" t="s">
        <v>120</v>
      </c>
      <c r="D7471" s="9">
        <v>41568.407268518517</v>
      </c>
      <c r="E7471" t="s">
        <v>17</v>
      </c>
      <c r="F7471">
        <f t="shared" ca="1" si="234"/>
        <v>1.2722222222222221</v>
      </c>
      <c r="G7471">
        <f t="shared" ca="1" si="235"/>
        <v>0</v>
      </c>
    </row>
    <row r="7472" spans="1:7">
      <c r="A7472">
        <v>7692</v>
      </c>
      <c r="B7472" t="s">
        <v>11</v>
      </c>
      <c r="C7472" t="s">
        <v>120</v>
      </c>
      <c r="D7472" s="9">
        <v>41493.933877314812</v>
      </c>
      <c r="E7472" t="s">
        <v>27</v>
      </c>
      <c r="F7472">
        <f t="shared" ca="1" si="234"/>
        <v>1.4777777777777779</v>
      </c>
      <c r="G7472">
        <f t="shared" ca="1" si="235"/>
        <v>0</v>
      </c>
    </row>
    <row r="7473" spans="1:7">
      <c r="A7473">
        <v>7712</v>
      </c>
      <c r="B7473" t="s">
        <v>55</v>
      </c>
      <c r="C7473" t="s">
        <v>120</v>
      </c>
      <c r="D7473" s="9">
        <v>41537.632685185185</v>
      </c>
      <c r="E7473" t="s">
        <v>44</v>
      </c>
      <c r="F7473">
        <f t="shared" ca="1" si="234"/>
        <v>1.3583333333333334</v>
      </c>
      <c r="G7473">
        <f t="shared" ca="1" si="235"/>
        <v>0</v>
      </c>
    </row>
    <row r="7474" spans="1:7">
      <c r="A7474">
        <v>7748</v>
      </c>
      <c r="B7474" t="s">
        <v>27</v>
      </c>
      <c r="C7474" t="s">
        <v>120</v>
      </c>
      <c r="D7474" s="9">
        <v>41564.609895833331</v>
      </c>
      <c r="E7474" t="s">
        <v>11</v>
      </c>
      <c r="F7474">
        <f t="shared" ca="1" si="234"/>
        <v>1.2833333333333334</v>
      </c>
      <c r="G7474">
        <f t="shared" ca="1" si="235"/>
        <v>0</v>
      </c>
    </row>
    <row r="7475" spans="1:7">
      <c r="A7475">
        <v>7751</v>
      </c>
      <c r="B7475" t="s">
        <v>11</v>
      </c>
      <c r="C7475" t="s">
        <v>120</v>
      </c>
      <c r="D7475" s="9">
        <v>41502.565347222226</v>
      </c>
      <c r="E7475" t="s">
        <v>27</v>
      </c>
      <c r="F7475">
        <f t="shared" ca="1" si="234"/>
        <v>1.4527777777777777</v>
      </c>
      <c r="G7475">
        <f t="shared" ca="1" si="235"/>
        <v>0</v>
      </c>
    </row>
    <row r="7476" spans="1:7">
      <c r="A7476">
        <v>7762</v>
      </c>
      <c r="B7476" t="s">
        <v>18</v>
      </c>
      <c r="C7476" t="s">
        <v>120</v>
      </c>
      <c r="D7476" s="9">
        <v>41570.487002314818</v>
      </c>
      <c r="E7476" t="s">
        <v>21</v>
      </c>
      <c r="F7476">
        <f t="shared" ca="1" si="234"/>
        <v>1.2666666666666666</v>
      </c>
      <c r="G7476">
        <f t="shared" ca="1" si="235"/>
        <v>0</v>
      </c>
    </row>
    <row r="7477" spans="1:7">
      <c r="A7477">
        <v>7772</v>
      </c>
      <c r="B7477" t="s">
        <v>18</v>
      </c>
      <c r="C7477" t="s">
        <v>120</v>
      </c>
      <c r="D7477" s="9">
        <v>41570.469097222223</v>
      </c>
      <c r="E7477" t="s">
        <v>34</v>
      </c>
      <c r="F7477">
        <f t="shared" ca="1" si="234"/>
        <v>1.2666666666666666</v>
      </c>
      <c r="G7477">
        <f t="shared" ca="1" si="235"/>
        <v>0</v>
      </c>
    </row>
    <row r="7478" spans="1:7">
      <c r="A7478">
        <v>7782</v>
      </c>
      <c r="B7478" t="s">
        <v>11</v>
      </c>
      <c r="C7478" t="s">
        <v>120</v>
      </c>
      <c r="D7478" s="9">
        <v>41530.559849537036</v>
      </c>
      <c r="E7478" t="s">
        <v>8</v>
      </c>
      <c r="F7478">
        <f t="shared" ca="1" si="234"/>
        <v>1.3777777777777778</v>
      </c>
      <c r="G7478">
        <f t="shared" ca="1" si="235"/>
        <v>0</v>
      </c>
    </row>
    <row r="7479" spans="1:7">
      <c r="A7479">
        <v>7810</v>
      </c>
      <c r="B7479" t="s">
        <v>20</v>
      </c>
      <c r="C7479" t="s">
        <v>120</v>
      </c>
      <c r="D7479" s="9">
        <v>41570.473958333336</v>
      </c>
      <c r="E7479" t="s">
        <v>24</v>
      </c>
      <c r="F7479">
        <f t="shared" ca="1" si="234"/>
        <v>1.2666666666666666</v>
      </c>
      <c r="G7479">
        <f t="shared" ca="1" si="235"/>
        <v>0</v>
      </c>
    </row>
    <row r="7480" spans="1:7">
      <c r="A7480">
        <v>7814</v>
      </c>
      <c r="B7480" t="s">
        <v>18</v>
      </c>
      <c r="C7480" t="s">
        <v>120</v>
      </c>
      <c r="D7480" s="9">
        <v>41516.66978009259</v>
      </c>
      <c r="E7480" t="s">
        <v>34</v>
      </c>
      <c r="F7480">
        <f t="shared" ca="1" si="234"/>
        <v>1.413888888888889</v>
      </c>
      <c r="G7480">
        <f t="shared" ca="1" si="235"/>
        <v>0</v>
      </c>
    </row>
    <row r="7481" spans="1:7">
      <c r="A7481">
        <v>7816</v>
      </c>
      <c r="B7481" t="s">
        <v>21</v>
      </c>
      <c r="C7481" t="s">
        <v>120</v>
      </c>
      <c r="D7481" s="9">
        <v>41570.476469907408</v>
      </c>
      <c r="E7481" t="s">
        <v>14</v>
      </c>
      <c r="F7481">
        <f t="shared" ca="1" si="234"/>
        <v>1.2666666666666666</v>
      </c>
      <c r="G7481">
        <f t="shared" ca="1" si="235"/>
        <v>0</v>
      </c>
    </row>
    <row r="7482" spans="1:7">
      <c r="A7482">
        <v>7838</v>
      </c>
      <c r="B7482" t="s">
        <v>14</v>
      </c>
      <c r="C7482" t="s">
        <v>118</v>
      </c>
      <c r="D7482" s="9">
        <v>41684.634363425925</v>
      </c>
      <c r="E7482" t="s">
        <v>37</v>
      </c>
      <c r="F7482">
        <f t="shared" ca="1" si="234"/>
        <v>0.95833333333333337</v>
      </c>
      <c r="G7482">
        <f t="shared" ca="1" si="235"/>
        <v>1</v>
      </c>
    </row>
    <row r="7483" spans="1:7">
      <c r="A7483">
        <v>7874</v>
      </c>
      <c r="B7483" t="s">
        <v>18</v>
      </c>
      <c r="C7483" t="s">
        <v>120</v>
      </c>
      <c r="D7483" s="9">
        <v>41535.594814814816</v>
      </c>
      <c r="E7483" t="s">
        <v>44</v>
      </c>
      <c r="F7483">
        <f t="shared" ca="1" si="234"/>
        <v>1.3638888888888889</v>
      </c>
      <c r="G7483">
        <f t="shared" ca="1" si="235"/>
        <v>0</v>
      </c>
    </row>
    <row r="7484" spans="1:7">
      <c r="A7484">
        <v>7879</v>
      </c>
      <c r="B7484" t="s">
        <v>11</v>
      </c>
      <c r="C7484" t="s">
        <v>120</v>
      </c>
      <c r="D7484" s="9">
        <v>41530.565578703703</v>
      </c>
      <c r="E7484" t="s">
        <v>8</v>
      </c>
      <c r="F7484">
        <f t="shared" ca="1" si="234"/>
        <v>1.3777777777777778</v>
      </c>
      <c r="G7484">
        <f t="shared" ca="1" si="235"/>
        <v>0</v>
      </c>
    </row>
    <row r="7485" spans="1:7">
      <c r="A7485">
        <v>7886</v>
      </c>
      <c r="B7485" t="s">
        <v>17</v>
      </c>
      <c r="C7485" t="s">
        <v>120</v>
      </c>
      <c r="D7485" s="9">
        <v>41565.685011574074</v>
      </c>
      <c r="E7485" t="s">
        <v>112</v>
      </c>
      <c r="F7485">
        <f t="shared" ca="1" si="234"/>
        <v>1.2805555555555554</v>
      </c>
      <c r="G7485">
        <f t="shared" ca="1" si="235"/>
        <v>0</v>
      </c>
    </row>
    <row r="7486" spans="1:7">
      <c r="A7486">
        <v>7907</v>
      </c>
      <c r="B7486" t="s">
        <v>45</v>
      </c>
      <c r="C7486" t="s">
        <v>120</v>
      </c>
      <c r="D7486" s="9">
        <v>41530.834108796298</v>
      </c>
      <c r="E7486" t="s">
        <v>111</v>
      </c>
      <c r="F7486">
        <f t="shared" ca="1" si="234"/>
        <v>1.3777777777777778</v>
      </c>
      <c r="G7486">
        <f t="shared" ca="1" si="235"/>
        <v>0</v>
      </c>
    </row>
    <row r="7487" spans="1:7">
      <c r="A7487">
        <v>7932</v>
      </c>
      <c r="B7487" t="s">
        <v>27</v>
      </c>
      <c r="C7487" t="s">
        <v>119</v>
      </c>
      <c r="D7487" s="9">
        <v>41593.580729166664</v>
      </c>
      <c r="E7487" t="s">
        <v>19</v>
      </c>
      <c r="F7487">
        <f t="shared" ca="1" si="234"/>
        <v>1.2055555555555555</v>
      </c>
      <c r="G7487">
        <f t="shared" ca="1" si="235"/>
        <v>0</v>
      </c>
    </row>
    <row r="7488" spans="1:7">
      <c r="A7488">
        <v>7946</v>
      </c>
      <c r="B7488" t="s">
        <v>45</v>
      </c>
      <c r="C7488" t="s">
        <v>120</v>
      </c>
      <c r="D7488" s="9">
        <v>41537.60974537037</v>
      </c>
      <c r="E7488" t="s">
        <v>111</v>
      </c>
      <c r="F7488">
        <f t="shared" ca="1" si="234"/>
        <v>1.3583333333333334</v>
      </c>
      <c r="G7488">
        <f t="shared" ca="1" si="235"/>
        <v>0</v>
      </c>
    </row>
    <row r="7489" spans="1:7">
      <c r="A7489">
        <v>7984</v>
      </c>
      <c r="B7489" t="s">
        <v>14</v>
      </c>
      <c r="C7489" t="s">
        <v>120</v>
      </c>
      <c r="D7489" s="9">
        <v>41541.61519675926</v>
      </c>
      <c r="E7489" t="s">
        <v>11</v>
      </c>
      <c r="F7489">
        <f t="shared" ca="1" si="234"/>
        <v>1.3472222222222223</v>
      </c>
      <c r="G7489">
        <f t="shared" ca="1" si="235"/>
        <v>0</v>
      </c>
    </row>
    <row r="7490" spans="1:7">
      <c r="A7490">
        <v>8005</v>
      </c>
      <c r="B7490" t="s">
        <v>11</v>
      </c>
      <c r="C7490" t="s">
        <v>120</v>
      </c>
      <c r="D7490" s="9">
        <v>41541.464490740742</v>
      </c>
      <c r="E7490" t="s">
        <v>8</v>
      </c>
      <c r="F7490">
        <f t="shared" ca="1" si="234"/>
        <v>1.3472222222222223</v>
      </c>
      <c r="G7490">
        <f t="shared" ca="1" si="235"/>
        <v>0</v>
      </c>
    </row>
    <row r="7491" spans="1:7">
      <c r="A7491">
        <v>8033</v>
      </c>
      <c r="B7491" t="s">
        <v>11</v>
      </c>
      <c r="C7491" t="s">
        <v>120</v>
      </c>
      <c r="D7491" s="9">
        <v>41582.754664351851</v>
      </c>
      <c r="E7491" t="s">
        <v>21</v>
      </c>
      <c r="F7491">
        <f t="shared" ca="1" si="234"/>
        <v>1.2361111111111112</v>
      </c>
      <c r="G7491">
        <f t="shared" ca="1" si="235"/>
        <v>0</v>
      </c>
    </row>
    <row r="7492" spans="1:7">
      <c r="A7492">
        <v>8078</v>
      </c>
      <c r="B7492" t="s">
        <v>11</v>
      </c>
      <c r="C7492" t="s">
        <v>119</v>
      </c>
      <c r="D7492" s="9">
        <v>41593.62872685185</v>
      </c>
      <c r="E7492" t="s">
        <v>21</v>
      </c>
      <c r="F7492">
        <f t="shared" ca="1" si="234"/>
        <v>1.2055555555555555</v>
      </c>
      <c r="G7492">
        <f t="shared" ca="1" si="235"/>
        <v>0</v>
      </c>
    </row>
    <row r="7493" spans="1:7">
      <c r="A7493">
        <v>8087</v>
      </c>
      <c r="B7493" t="s">
        <v>17</v>
      </c>
      <c r="C7493" t="s">
        <v>120</v>
      </c>
      <c r="D7493" s="9">
        <v>41571.724791666667</v>
      </c>
      <c r="E7493" t="s">
        <v>112</v>
      </c>
      <c r="F7493">
        <f t="shared" ca="1" si="234"/>
        <v>1.2638888888888888</v>
      </c>
      <c r="G7493">
        <f t="shared" ca="1" si="235"/>
        <v>0</v>
      </c>
    </row>
    <row r="7494" spans="1:7">
      <c r="A7494">
        <v>8106</v>
      </c>
      <c r="B7494" t="s">
        <v>11</v>
      </c>
      <c r="C7494" t="s">
        <v>120</v>
      </c>
      <c r="D7494" s="9">
        <v>41558.583368055559</v>
      </c>
      <c r="E7494" t="s">
        <v>27</v>
      </c>
      <c r="F7494">
        <f t="shared" ca="1" si="234"/>
        <v>1.3</v>
      </c>
      <c r="G7494">
        <f t="shared" ca="1" si="235"/>
        <v>0</v>
      </c>
    </row>
    <row r="7495" spans="1:7">
      <c r="A7495">
        <v>8107</v>
      </c>
      <c r="B7495" t="s">
        <v>11</v>
      </c>
      <c r="C7495" t="s">
        <v>120</v>
      </c>
      <c r="D7495" s="9">
        <v>41558.566064814811</v>
      </c>
      <c r="E7495" t="s">
        <v>27</v>
      </c>
      <c r="F7495">
        <f t="shared" ref="F7495:F7558" ca="1" si="236">YEARFRAC(TODAY(),$D7495)</f>
        <v>1.3</v>
      </c>
      <c r="G7495">
        <f t="shared" ref="G7495:G7558" ca="1" si="237">IF($F7495&lt;1,1,0)</f>
        <v>0</v>
      </c>
    </row>
    <row r="7496" spans="1:7">
      <c r="A7496">
        <v>8116</v>
      </c>
      <c r="B7496" t="s">
        <v>14</v>
      </c>
      <c r="C7496" t="s">
        <v>119</v>
      </c>
      <c r="D7496" s="9">
        <v>41666.562337962961</v>
      </c>
      <c r="F7496">
        <f t="shared" ca="1" si="236"/>
        <v>1.0055555555555555</v>
      </c>
      <c r="G7496">
        <f t="shared" ca="1" si="237"/>
        <v>0</v>
      </c>
    </row>
    <row r="7497" spans="1:7">
      <c r="A7497">
        <v>8163</v>
      </c>
      <c r="B7497" t="s">
        <v>18</v>
      </c>
      <c r="C7497" t="s">
        <v>119</v>
      </c>
      <c r="D7497" s="9">
        <v>41586.63653935185</v>
      </c>
      <c r="E7497" t="s">
        <v>24</v>
      </c>
      <c r="F7497">
        <f t="shared" ca="1" si="236"/>
        <v>1.2250000000000001</v>
      </c>
      <c r="G7497">
        <f t="shared" ca="1" si="237"/>
        <v>0</v>
      </c>
    </row>
    <row r="7498" spans="1:7">
      <c r="A7498">
        <v>8167</v>
      </c>
      <c r="B7498" t="s">
        <v>11</v>
      </c>
      <c r="C7498" t="s">
        <v>120</v>
      </c>
      <c r="D7498" s="9">
        <v>41570.677164351851</v>
      </c>
      <c r="E7498" t="s">
        <v>20</v>
      </c>
      <c r="F7498">
        <f t="shared" ca="1" si="236"/>
        <v>1.2666666666666666</v>
      </c>
      <c r="G7498">
        <f t="shared" ca="1" si="237"/>
        <v>0</v>
      </c>
    </row>
    <row r="7499" spans="1:7">
      <c r="A7499">
        <v>8201</v>
      </c>
      <c r="B7499" t="s">
        <v>17</v>
      </c>
      <c r="C7499" t="s">
        <v>119</v>
      </c>
      <c r="D7499" s="9">
        <v>41666.562407407408</v>
      </c>
      <c r="E7499" t="s">
        <v>112</v>
      </c>
      <c r="F7499">
        <f t="shared" ca="1" si="236"/>
        <v>1.0055555555555555</v>
      </c>
      <c r="G7499">
        <f t="shared" ca="1" si="237"/>
        <v>0</v>
      </c>
    </row>
    <row r="7500" spans="1:7">
      <c r="A7500">
        <v>8204</v>
      </c>
      <c r="B7500" t="s">
        <v>17</v>
      </c>
      <c r="C7500" t="s">
        <v>119</v>
      </c>
      <c r="D7500" s="9">
        <v>41586.563564814816</v>
      </c>
      <c r="E7500" t="s">
        <v>18</v>
      </c>
      <c r="F7500">
        <f t="shared" ca="1" si="236"/>
        <v>1.2250000000000001</v>
      </c>
      <c r="G7500">
        <f t="shared" ca="1" si="237"/>
        <v>0</v>
      </c>
    </row>
    <row r="7501" spans="1:7">
      <c r="A7501">
        <v>8209</v>
      </c>
      <c r="B7501" t="s">
        <v>17</v>
      </c>
      <c r="C7501" t="s">
        <v>120</v>
      </c>
      <c r="D7501" s="9">
        <v>41576.44730324074</v>
      </c>
      <c r="E7501" t="s">
        <v>18</v>
      </c>
      <c r="F7501">
        <f t="shared" ca="1" si="236"/>
        <v>1.25</v>
      </c>
      <c r="G7501">
        <f t="shared" ca="1" si="237"/>
        <v>0</v>
      </c>
    </row>
    <row r="7502" spans="1:7">
      <c r="A7502">
        <v>8234</v>
      </c>
      <c r="B7502" t="s">
        <v>18</v>
      </c>
      <c r="C7502" t="s">
        <v>120</v>
      </c>
      <c r="D7502" s="9">
        <v>41578.586469907408</v>
      </c>
      <c r="E7502" t="s">
        <v>11</v>
      </c>
      <c r="F7502">
        <f t="shared" ca="1" si="236"/>
        <v>1.2472222222222222</v>
      </c>
      <c r="G7502">
        <f t="shared" ca="1" si="237"/>
        <v>0</v>
      </c>
    </row>
    <row r="7503" spans="1:7">
      <c r="A7503">
        <v>8239</v>
      </c>
      <c r="B7503" t="s">
        <v>11</v>
      </c>
      <c r="C7503" t="s">
        <v>119</v>
      </c>
      <c r="D7503" s="9">
        <v>41606.33966435185</v>
      </c>
      <c r="E7503" t="s">
        <v>8</v>
      </c>
      <c r="F7503">
        <f t="shared" ca="1" si="236"/>
        <v>1.1694444444444445</v>
      </c>
      <c r="G7503">
        <f t="shared" ca="1" si="237"/>
        <v>0</v>
      </c>
    </row>
    <row r="7504" spans="1:7">
      <c r="A7504">
        <v>8272</v>
      </c>
      <c r="B7504" t="s">
        <v>44</v>
      </c>
      <c r="C7504" t="s">
        <v>119</v>
      </c>
      <c r="D7504" s="9">
        <v>41600.669456018521</v>
      </c>
      <c r="E7504" t="s">
        <v>30</v>
      </c>
      <c r="F7504">
        <f t="shared" ca="1" si="236"/>
        <v>1.1861111111111111</v>
      </c>
      <c r="G7504">
        <f t="shared" ca="1" si="237"/>
        <v>0</v>
      </c>
    </row>
    <row r="7505" spans="1:7">
      <c r="A7505">
        <v>8278</v>
      </c>
      <c r="B7505" t="s">
        <v>14</v>
      </c>
      <c r="C7505" t="s">
        <v>118</v>
      </c>
      <c r="D7505" s="9">
        <v>41683.847268518519</v>
      </c>
      <c r="E7505" t="s">
        <v>37</v>
      </c>
      <c r="F7505">
        <f t="shared" ca="1" si="236"/>
        <v>0.96111111111111114</v>
      </c>
      <c r="G7505">
        <f t="shared" ca="1" si="237"/>
        <v>1</v>
      </c>
    </row>
    <row r="7506" spans="1:7">
      <c r="A7506">
        <v>8281</v>
      </c>
      <c r="B7506" t="s">
        <v>14</v>
      </c>
      <c r="C7506" t="s">
        <v>118</v>
      </c>
      <c r="D7506" s="9">
        <v>41702.465613425928</v>
      </c>
      <c r="E7506" t="s">
        <v>37</v>
      </c>
      <c r="F7506">
        <f t="shared" ca="1" si="236"/>
        <v>0.90277777777777779</v>
      </c>
      <c r="G7506">
        <f t="shared" ca="1" si="237"/>
        <v>1</v>
      </c>
    </row>
    <row r="7507" spans="1:7">
      <c r="A7507">
        <v>8283</v>
      </c>
      <c r="B7507" t="s">
        <v>14</v>
      </c>
      <c r="C7507" t="s">
        <v>118</v>
      </c>
      <c r="D7507" s="9">
        <v>41691.505648148152</v>
      </c>
      <c r="E7507" t="s">
        <v>17</v>
      </c>
      <c r="F7507">
        <f t="shared" ca="1" si="236"/>
        <v>0.93888888888888888</v>
      </c>
      <c r="G7507">
        <f t="shared" ca="1" si="237"/>
        <v>1</v>
      </c>
    </row>
    <row r="7508" spans="1:7">
      <c r="A7508">
        <v>8284</v>
      </c>
      <c r="B7508" t="s">
        <v>14</v>
      </c>
      <c r="C7508" t="s">
        <v>118</v>
      </c>
      <c r="D7508" s="9">
        <v>41759.603182870371</v>
      </c>
      <c r="E7508" t="s">
        <v>17</v>
      </c>
      <c r="F7508">
        <f t="shared" ca="1" si="236"/>
        <v>0.74722222222222223</v>
      </c>
      <c r="G7508">
        <f t="shared" ca="1" si="237"/>
        <v>1</v>
      </c>
    </row>
    <row r="7509" spans="1:7">
      <c r="A7509">
        <v>8289</v>
      </c>
      <c r="B7509" t="s">
        <v>11</v>
      </c>
      <c r="C7509" t="s">
        <v>120</v>
      </c>
      <c r="D7509" s="9">
        <v>41576.851875</v>
      </c>
      <c r="F7509">
        <f t="shared" ca="1" si="236"/>
        <v>1.25</v>
      </c>
      <c r="G7509">
        <f t="shared" ca="1" si="237"/>
        <v>0</v>
      </c>
    </row>
    <row r="7510" spans="1:7">
      <c r="A7510">
        <v>8290</v>
      </c>
      <c r="B7510" t="s">
        <v>11</v>
      </c>
      <c r="C7510" t="s">
        <v>120</v>
      </c>
      <c r="D7510" s="9">
        <v>41577.874131944445</v>
      </c>
      <c r="F7510">
        <f t="shared" ca="1" si="236"/>
        <v>1.2472222222222222</v>
      </c>
      <c r="G7510">
        <f t="shared" ca="1" si="237"/>
        <v>0</v>
      </c>
    </row>
    <row r="7511" spans="1:7">
      <c r="A7511">
        <v>8295</v>
      </c>
      <c r="B7511" t="s">
        <v>14</v>
      </c>
      <c r="C7511" t="s">
        <v>119</v>
      </c>
      <c r="D7511" s="9">
        <v>41596.447500000002</v>
      </c>
      <c r="E7511" t="s">
        <v>112</v>
      </c>
      <c r="F7511">
        <f t="shared" ca="1" si="236"/>
        <v>1.1972222222222222</v>
      </c>
      <c r="G7511">
        <f t="shared" ca="1" si="237"/>
        <v>0</v>
      </c>
    </row>
    <row r="7512" spans="1:7">
      <c r="A7512">
        <v>8316</v>
      </c>
      <c r="B7512" t="s">
        <v>215</v>
      </c>
      <c r="C7512" t="s">
        <v>209</v>
      </c>
      <c r="D7512" s="9">
        <v>41871.645335648151</v>
      </c>
      <c r="E7512" t="s">
        <v>36</v>
      </c>
      <c r="F7512">
        <f t="shared" ca="1" si="236"/>
        <v>0.44166666666666665</v>
      </c>
      <c r="G7512">
        <f t="shared" ca="1" si="237"/>
        <v>1</v>
      </c>
    </row>
    <row r="7513" spans="1:7">
      <c r="A7513">
        <v>8321</v>
      </c>
      <c r="B7513" t="s">
        <v>17</v>
      </c>
      <c r="C7513" t="s">
        <v>119</v>
      </c>
      <c r="D7513" s="9">
        <v>41666.562349537038</v>
      </c>
      <c r="E7513" t="s">
        <v>8</v>
      </c>
      <c r="F7513">
        <f t="shared" ca="1" si="236"/>
        <v>1.0055555555555555</v>
      </c>
      <c r="G7513">
        <f t="shared" ca="1" si="237"/>
        <v>0</v>
      </c>
    </row>
    <row r="7514" spans="1:7">
      <c r="A7514">
        <v>8322</v>
      </c>
      <c r="B7514" t="s">
        <v>17</v>
      </c>
      <c r="C7514" t="s">
        <v>119</v>
      </c>
      <c r="D7514" s="9">
        <v>41666.562361111108</v>
      </c>
      <c r="E7514" t="s">
        <v>11</v>
      </c>
      <c r="F7514">
        <f t="shared" ca="1" si="236"/>
        <v>1.0055555555555555</v>
      </c>
      <c r="G7514">
        <f t="shared" ca="1" si="237"/>
        <v>0</v>
      </c>
    </row>
    <row r="7515" spans="1:7">
      <c r="A7515">
        <v>8344</v>
      </c>
      <c r="B7515" t="s">
        <v>14</v>
      </c>
      <c r="C7515" t="s">
        <v>119</v>
      </c>
      <c r="D7515" s="9">
        <v>41610.73609953704</v>
      </c>
      <c r="E7515" t="s">
        <v>17</v>
      </c>
      <c r="F7515">
        <f t="shared" ca="1" si="236"/>
        <v>1.1583333333333334</v>
      </c>
      <c r="G7515">
        <f t="shared" ca="1" si="237"/>
        <v>0</v>
      </c>
    </row>
    <row r="7516" spans="1:7">
      <c r="A7516">
        <v>8373</v>
      </c>
      <c r="B7516" t="s">
        <v>43</v>
      </c>
      <c r="C7516" t="s">
        <v>119</v>
      </c>
      <c r="D7516" s="9">
        <v>41675.02983796296</v>
      </c>
      <c r="E7516" t="s">
        <v>8</v>
      </c>
      <c r="F7516">
        <f t="shared" ca="1" si="236"/>
        <v>0.98333333333333328</v>
      </c>
      <c r="G7516">
        <f t="shared" ca="1" si="237"/>
        <v>1</v>
      </c>
    </row>
    <row r="7517" spans="1:7">
      <c r="A7517">
        <v>8380</v>
      </c>
      <c r="B7517" t="s">
        <v>17</v>
      </c>
      <c r="C7517" t="s">
        <v>119</v>
      </c>
      <c r="D7517" s="9">
        <v>41596.379965277774</v>
      </c>
      <c r="E7517" t="s">
        <v>19</v>
      </c>
      <c r="F7517">
        <f t="shared" ca="1" si="236"/>
        <v>1.1972222222222222</v>
      </c>
      <c r="G7517">
        <f t="shared" ca="1" si="237"/>
        <v>0</v>
      </c>
    </row>
    <row r="7518" spans="1:7">
      <c r="A7518">
        <v>8383</v>
      </c>
      <c r="B7518" t="s">
        <v>27</v>
      </c>
      <c r="C7518" t="s">
        <v>119</v>
      </c>
      <c r="D7518" s="9">
        <v>41586.708692129629</v>
      </c>
      <c r="E7518" t="s">
        <v>11</v>
      </c>
      <c r="F7518">
        <f t="shared" ca="1" si="236"/>
        <v>1.2250000000000001</v>
      </c>
      <c r="G7518">
        <f t="shared" ca="1" si="237"/>
        <v>0</v>
      </c>
    </row>
    <row r="7519" spans="1:7">
      <c r="A7519">
        <v>8399</v>
      </c>
      <c r="B7519" t="s">
        <v>38</v>
      </c>
      <c r="C7519" t="s">
        <v>119</v>
      </c>
      <c r="D7519" s="9">
        <v>41585.827951388892</v>
      </c>
      <c r="E7519" t="s">
        <v>20</v>
      </c>
      <c r="F7519">
        <f t="shared" ca="1" si="236"/>
        <v>1.2277777777777779</v>
      </c>
      <c r="G7519">
        <f t="shared" ca="1" si="237"/>
        <v>0</v>
      </c>
    </row>
    <row r="7520" spans="1:7">
      <c r="A7520">
        <v>8408</v>
      </c>
      <c r="B7520" t="s">
        <v>8</v>
      </c>
      <c r="C7520" t="s">
        <v>119</v>
      </c>
      <c r="D7520" s="9">
        <v>41596.608576388891</v>
      </c>
      <c r="E7520" t="s">
        <v>27</v>
      </c>
      <c r="F7520">
        <f t="shared" ca="1" si="236"/>
        <v>1.1972222222222222</v>
      </c>
      <c r="G7520">
        <f t="shared" ca="1" si="237"/>
        <v>0</v>
      </c>
    </row>
    <row r="7521" spans="1:7">
      <c r="A7521">
        <v>8421</v>
      </c>
      <c r="B7521" t="s">
        <v>18</v>
      </c>
      <c r="C7521" t="s">
        <v>119</v>
      </c>
      <c r="D7521" s="9">
        <v>41593.648101851853</v>
      </c>
      <c r="E7521" t="s">
        <v>17</v>
      </c>
      <c r="F7521">
        <f t="shared" ca="1" si="236"/>
        <v>1.2055555555555555</v>
      </c>
      <c r="G7521">
        <f t="shared" ca="1" si="237"/>
        <v>0</v>
      </c>
    </row>
    <row r="7522" spans="1:7">
      <c r="A7522">
        <v>8429</v>
      </c>
      <c r="B7522" t="s">
        <v>17</v>
      </c>
      <c r="C7522" t="s">
        <v>119</v>
      </c>
      <c r="D7522" s="9">
        <v>41593.641423611109</v>
      </c>
      <c r="E7522" t="s">
        <v>14</v>
      </c>
      <c r="F7522">
        <f t="shared" ca="1" si="236"/>
        <v>1.2055555555555555</v>
      </c>
      <c r="G7522">
        <f t="shared" ca="1" si="237"/>
        <v>0</v>
      </c>
    </row>
    <row r="7523" spans="1:7">
      <c r="A7523">
        <v>8430</v>
      </c>
      <c r="B7523" t="s">
        <v>27</v>
      </c>
      <c r="C7523" t="s">
        <v>119</v>
      </c>
      <c r="D7523" s="9">
        <v>41590.675057870372</v>
      </c>
      <c r="E7523" t="s">
        <v>17</v>
      </c>
      <c r="F7523">
        <f t="shared" ca="1" si="236"/>
        <v>1.2138888888888888</v>
      </c>
      <c r="G7523">
        <f t="shared" ca="1" si="237"/>
        <v>0</v>
      </c>
    </row>
    <row r="7524" spans="1:7">
      <c r="A7524">
        <v>8459</v>
      </c>
      <c r="B7524" t="s">
        <v>14</v>
      </c>
      <c r="C7524" t="s">
        <v>119</v>
      </c>
      <c r="D7524" s="9">
        <v>41678.52207175926</v>
      </c>
      <c r="E7524" t="s">
        <v>17</v>
      </c>
      <c r="F7524">
        <f t="shared" ca="1" si="236"/>
        <v>0.97499999999999998</v>
      </c>
      <c r="G7524">
        <f t="shared" ca="1" si="237"/>
        <v>1</v>
      </c>
    </row>
    <row r="7525" spans="1:7">
      <c r="A7525">
        <v>8467</v>
      </c>
      <c r="B7525" t="s">
        <v>17</v>
      </c>
      <c r="C7525" t="s">
        <v>119</v>
      </c>
      <c r="D7525" s="9">
        <v>41673.503981481481</v>
      </c>
      <c r="E7525" t="s">
        <v>19</v>
      </c>
      <c r="F7525">
        <f t="shared" ca="1" si="236"/>
        <v>0.98888888888888893</v>
      </c>
      <c r="G7525">
        <f t="shared" ca="1" si="237"/>
        <v>1</v>
      </c>
    </row>
    <row r="7526" spans="1:7">
      <c r="A7526">
        <v>8477</v>
      </c>
      <c r="B7526" t="s">
        <v>34</v>
      </c>
      <c r="C7526" t="s">
        <v>119</v>
      </c>
      <c r="D7526" s="9">
        <v>41599.757951388892</v>
      </c>
      <c r="E7526" t="s">
        <v>20</v>
      </c>
      <c r="F7526">
        <f t="shared" ca="1" si="236"/>
        <v>1.1888888888888889</v>
      </c>
      <c r="G7526">
        <f t="shared" ca="1" si="237"/>
        <v>0</v>
      </c>
    </row>
    <row r="7527" spans="1:7">
      <c r="A7527">
        <v>8504</v>
      </c>
      <c r="B7527" t="s">
        <v>17</v>
      </c>
      <c r="C7527" t="s">
        <v>119</v>
      </c>
      <c r="D7527" s="9">
        <v>41607.591493055559</v>
      </c>
      <c r="E7527" t="s">
        <v>14</v>
      </c>
      <c r="F7527">
        <f t="shared" ca="1" si="236"/>
        <v>1.1666666666666667</v>
      </c>
      <c r="G7527">
        <f t="shared" ca="1" si="237"/>
        <v>0</v>
      </c>
    </row>
    <row r="7528" spans="1:7">
      <c r="A7528">
        <v>8508</v>
      </c>
      <c r="B7528" t="s">
        <v>43</v>
      </c>
      <c r="C7528" t="s">
        <v>119</v>
      </c>
      <c r="D7528" s="9">
        <v>41620.604432870372</v>
      </c>
      <c r="E7528" t="s">
        <v>34</v>
      </c>
      <c r="F7528">
        <f t="shared" ca="1" si="236"/>
        <v>1.1305555555555555</v>
      </c>
      <c r="G7528">
        <f t="shared" ca="1" si="237"/>
        <v>0</v>
      </c>
    </row>
    <row r="7529" spans="1:7">
      <c r="A7529">
        <v>8519</v>
      </c>
      <c r="B7529" t="s">
        <v>29</v>
      </c>
      <c r="C7529" t="s">
        <v>119</v>
      </c>
      <c r="D7529" s="9">
        <v>41605.8746875</v>
      </c>
      <c r="E7529" t="s">
        <v>11</v>
      </c>
      <c r="F7529">
        <f t="shared" ca="1" si="236"/>
        <v>1.1722222222222223</v>
      </c>
      <c r="G7529">
        <f t="shared" ca="1" si="237"/>
        <v>0</v>
      </c>
    </row>
    <row r="7530" spans="1:7">
      <c r="A7530">
        <v>8525</v>
      </c>
      <c r="B7530" t="s">
        <v>8</v>
      </c>
      <c r="C7530" t="s">
        <v>119</v>
      </c>
      <c r="D7530" s="9">
        <v>41607.602037037039</v>
      </c>
      <c r="E7530" t="s">
        <v>14</v>
      </c>
      <c r="F7530">
        <f t="shared" ca="1" si="236"/>
        <v>1.1666666666666667</v>
      </c>
      <c r="G7530">
        <f t="shared" ca="1" si="237"/>
        <v>0</v>
      </c>
    </row>
    <row r="7531" spans="1:7">
      <c r="A7531">
        <v>8543</v>
      </c>
      <c r="B7531" t="s">
        <v>211</v>
      </c>
      <c r="C7531" t="s">
        <v>209</v>
      </c>
      <c r="D7531" s="9">
        <v>41845.661817129629</v>
      </c>
      <c r="E7531" t="s">
        <v>37</v>
      </c>
      <c r="F7531">
        <f t="shared" ca="1" si="236"/>
        <v>0.51111111111111107</v>
      </c>
      <c r="G7531">
        <f t="shared" ca="1" si="237"/>
        <v>1</v>
      </c>
    </row>
    <row r="7532" spans="1:7">
      <c r="A7532">
        <v>8627</v>
      </c>
      <c r="B7532" t="s">
        <v>11</v>
      </c>
      <c r="C7532" t="s">
        <v>119</v>
      </c>
      <c r="D7532" s="9">
        <v>41624.935671296298</v>
      </c>
      <c r="E7532" t="s">
        <v>36</v>
      </c>
      <c r="F7532">
        <f t="shared" ca="1" si="236"/>
        <v>1.1194444444444445</v>
      </c>
      <c r="G7532">
        <f t="shared" ca="1" si="237"/>
        <v>0</v>
      </c>
    </row>
    <row r="7533" spans="1:7">
      <c r="A7533">
        <v>8638</v>
      </c>
      <c r="B7533" t="s">
        <v>11</v>
      </c>
      <c r="C7533" t="s">
        <v>119</v>
      </c>
      <c r="D7533" s="9">
        <v>41634.88753472222</v>
      </c>
      <c r="E7533" t="s">
        <v>43</v>
      </c>
      <c r="F7533">
        <f t="shared" ca="1" si="236"/>
        <v>1.0916666666666666</v>
      </c>
      <c r="G7533">
        <f t="shared" ca="1" si="237"/>
        <v>0</v>
      </c>
    </row>
    <row r="7534" spans="1:7">
      <c r="A7534">
        <v>8658</v>
      </c>
      <c r="B7534" t="s">
        <v>43</v>
      </c>
      <c r="C7534" t="s">
        <v>119</v>
      </c>
      <c r="D7534" s="9">
        <v>41675.030057870368</v>
      </c>
      <c r="E7534" t="s">
        <v>36</v>
      </c>
      <c r="F7534">
        <f t="shared" ca="1" si="236"/>
        <v>0.98333333333333328</v>
      </c>
      <c r="G7534">
        <f t="shared" ca="1" si="237"/>
        <v>1</v>
      </c>
    </row>
    <row r="7535" spans="1:7">
      <c r="A7535">
        <v>8659</v>
      </c>
      <c r="B7535" t="s">
        <v>36</v>
      </c>
      <c r="C7535" t="s">
        <v>119</v>
      </c>
      <c r="D7535" s="9">
        <v>41639.904629629629</v>
      </c>
      <c r="E7535" t="s">
        <v>43</v>
      </c>
      <c r="F7535">
        <f t="shared" ca="1" si="236"/>
        <v>1.0805555555555555</v>
      </c>
      <c r="G7535">
        <f t="shared" ca="1" si="237"/>
        <v>0</v>
      </c>
    </row>
    <row r="7536" spans="1:7">
      <c r="A7536">
        <v>8660</v>
      </c>
      <c r="B7536" t="s">
        <v>43</v>
      </c>
      <c r="C7536" t="s">
        <v>119</v>
      </c>
      <c r="D7536" s="9">
        <v>41639.883888888886</v>
      </c>
      <c r="E7536" t="s">
        <v>36</v>
      </c>
      <c r="F7536">
        <f t="shared" ca="1" si="236"/>
        <v>1.0805555555555555</v>
      </c>
      <c r="G7536">
        <f t="shared" ca="1" si="237"/>
        <v>0</v>
      </c>
    </row>
    <row r="7537" spans="1:7">
      <c r="A7537">
        <v>8661</v>
      </c>
      <c r="B7537" t="s">
        <v>43</v>
      </c>
      <c r="C7537" t="s">
        <v>119</v>
      </c>
      <c r="D7537" s="9">
        <v>41639.909155092595</v>
      </c>
      <c r="E7537" t="s">
        <v>36</v>
      </c>
      <c r="F7537">
        <f t="shared" ca="1" si="236"/>
        <v>1.0805555555555555</v>
      </c>
      <c r="G7537">
        <f t="shared" ca="1" si="237"/>
        <v>0</v>
      </c>
    </row>
    <row r="7538" spans="1:7">
      <c r="A7538">
        <v>8681</v>
      </c>
      <c r="B7538" t="s">
        <v>36</v>
      </c>
      <c r="C7538" t="s">
        <v>119</v>
      </c>
      <c r="D7538" s="9">
        <v>41652.630162037036</v>
      </c>
      <c r="E7538" t="s">
        <v>27</v>
      </c>
      <c r="F7538">
        <f t="shared" ca="1" si="236"/>
        <v>1.0444444444444445</v>
      </c>
      <c r="G7538">
        <f t="shared" ca="1" si="237"/>
        <v>0</v>
      </c>
    </row>
    <row r="7539" spans="1:7">
      <c r="A7539">
        <v>8683</v>
      </c>
      <c r="B7539" t="s">
        <v>19</v>
      </c>
      <c r="C7539" t="s">
        <v>119</v>
      </c>
      <c r="D7539" s="9">
        <v>41647.594490740739</v>
      </c>
      <c r="E7539" t="s">
        <v>27</v>
      </c>
      <c r="F7539">
        <f t="shared" ca="1" si="236"/>
        <v>1.0583333333333333</v>
      </c>
      <c r="G7539">
        <f t="shared" ca="1" si="237"/>
        <v>0</v>
      </c>
    </row>
    <row r="7540" spans="1:7">
      <c r="A7540">
        <v>8688</v>
      </c>
      <c r="B7540" t="s">
        <v>36</v>
      </c>
      <c r="C7540" t="s">
        <v>119</v>
      </c>
      <c r="D7540" s="9">
        <v>41649.780092592591</v>
      </c>
      <c r="E7540" t="s">
        <v>32</v>
      </c>
      <c r="F7540">
        <f t="shared" ca="1" si="236"/>
        <v>1.0527777777777778</v>
      </c>
      <c r="G7540">
        <f t="shared" ca="1" si="237"/>
        <v>0</v>
      </c>
    </row>
    <row r="7541" spans="1:7">
      <c r="A7541">
        <v>8695</v>
      </c>
      <c r="B7541" t="s">
        <v>11</v>
      </c>
      <c r="C7541" t="s">
        <v>119</v>
      </c>
      <c r="D7541" s="9">
        <v>41652.696226851855</v>
      </c>
      <c r="E7541" t="s">
        <v>36</v>
      </c>
      <c r="F7541">
        <f t="shared" ca="1" si="236"/>
        <v>1.0444444444444445</v>
      </c>
      <c r="G7541">
        <f t="shared" ca="1" si="237"/>
        <v>0</v>
      </c>
    </row>
    <row r="7542" spans="1:7">
      <c r="A7542">
        <v>8699</v>
      </c>
      <c r="B7542" t="s">
        <v>18</v>
      </c>
      <c r="C7542" t="s">
        <v>119</v>
      </c>
      <c r="D7542" s="9">
        <v>41656.660439814812</v>
      </c>
      <c r="E7542" t="s">
        <v>14</v>
      </c>
      <c r="F7542">
        <f t="shared" ca="1" si="236"/>
        <v>1.0333333333333334</v>
      </c>
      <c r="G7542">
        <f t="shared" ca="1" si="237"/>
        <v>0</v>
      </c>
    </row>
    <row r="7543" spans="1:7">
      <c r="A7543">
        <v>8720</v>
      </c>
      <c r="B7543" t="s">
        <v>17</v>
      </c>
      <c r="C7543" t="s">
        <v>119</v>
      </c>
      <c r="D7543" s="9">
        <v>41659.468252314815</v>
      </c>
      <c r="E7543" t="s">
        <v>30</v>
      </c>
      <c r="F7543">
        <f t="shared" ca="1" si="236"/>
        <v>1.0249999999999999</v>
      </c>
      <c r="G7543">
        <f t="shared" ca="1" si="237"/>
        <v>0</v>
      </c>
    </row>
    <row r="7544" spans="1:7">
      <c r="A7544">
        <v>8728</v>
      </c>
      <c r="B7544" t="s">
        <v>17</v>
      </c>
      <c r="C7544" t="s">
        <v>118</v>
      </c>
      <c r="D7544" s="9">
        <v>41813.461793981478</v>
      </c>
      <c r="E7544" t="s">
        <v>8</v>
      </c>
      <c r="F7544">
        <f t="shared" ca="1" si="236"/>
        <v>0.6</v>
      </c>
      <c r="G7544">
        <f t="shared" ca="1" si="237"/>
        <v>1</v>
      </c>
    </row>
    <row r="7545" spans="1:7">
      <c r="A7545">
        <v>8732</v>
      </c>
      <c r="B7545" t="s">
        <v>19</v>
      </c>
      <c r="C7545" t="s">
        <v>119</v>
      </c>
      <c r="D7545" s="9">
        <v>41660.620219907411</v>
      </c>
      <c r="E7545" t="s">
        <v>36</v>
      </c>
      <c r="F7545">
        <f t="shared" ca="1" si="236"/>
        <v>1.0222222222222221</v>
      </c>
      <c r="G7545">
        <f t="shared" ca="1" si="237"/>
        <v>0</v>
      </c>
    </row>
    <row r="7546" spans="1:7">
      <c r="A7546">
        <v>8752</v>
      </c>
      <c r="B7546" t="s">
        <v>19</v>
      </c>
      <c r="C7546" t="s">
        <v>119</v>
      </c>
      <c r="D7546" s="9">
        <v>41669.572592592594</v>
      </c>
      <c r="E7546" t="s">
        <v>17</v>
      </c>
      <c r="F7546">
        <f t="shared" ca="1" si="236"/>
        <v>0.99722222222222223</v>
      </c>
      <c r="G7546">
        <f t="shared" ca="1" si="237"/>
        <v>1</v>
      </c>
    </row>
    <row r="7547" spans="1:7">
      <c r="A7547">
        <v>8754</v>
      </c>
      <c r="B7547" t="s">
        <v>17</v>
      </c>
      <c r="C7547" t="s">
        <v>119</v>
      </c>
      <c r="D7547" s="9">
        <v>41670.590821759259</v>
      </c>
      <c r="E7547" t="s">
        <v>112</v>
      </c>
      <c r="F7547">
        <f t="shared" ca="1" si="236"/>
        <v>0.99722222222222223</v>
      </c>
      <c r="G7547">
        <f t="shared" ca="1" si="237"/>
        <v>1</v>
      </c>
    </row>
    <row r="7548" spans="1:7">
      <c r="A7548">
        <v>8755</v>
      </c>
      <c r="B7548" t="s">
        <v>19</v>
      </c>
      <c r="C7548" t="s">
        <v>119</v>
      </c>
      <c r="D7548" s="9">
        <v>41668.527372685188</v>
      </c>
      <c r="E7548" t="s">
        <v>17</v>
      </c>
      <c r="F7548">
        <f t="shared" ca="1" si="236"/>
        <v>1</v>
      </c>
      <c r="G7548">
        <f t="shared" ca="1" si="237"/>
        <v>0</v>
      </c>
    </row>
    <row r="7549" spans="1:7">
      <c r="A7549">
        <v>8763</v>
      </c>
      <c r="B7549" t="s">
        <v>29</v>
      </c>
      <c r="C7549" t="s">
        <v>119</v>
      </c>
      <c r="D7549" s="9">
        <v>41669.381273148145</v>
      </c>
      <c r="E7549" t="s">
        <v>19</v>
      </c>
      <c r="F7549">
        <f t="shared" ca="1" si="236"/>
        <v>0.99722222222222223</v>
      </c>
      <c r="G7549">
        <f t="shared" ca="1" si="237"/>
        <v>1</v>
      </c>
    </row>
    <row r="7550" spans="1:7">
      <c r="A7550">
        <v>8769</v>
      </c>
      <c r="B7550" t="s">
        <v>44</v>
      </c>
      <c r="C7550" t="s">
        <v>119</v>
      </c>
      <c r="D7550" s="9">
        <v>41670.606747685182</v>
      </c>
      <c r="E7550" t="s">
        <v>17</v>
      </c>
      <c r="F7550">
        <f t="shared" ca="1" si="236"/>
        <v>0.99722222222222223</v>
      </c>
      <c r="G7550">
        <f t="shared" ca="1" si="237"/>
        <v>1</v>
      </c>
    </row>
    <row r="7551" spans="1:7">
      <c r="A7551">
        <v>8777</v>
      </c>
      <c r="B7551" t="s">
        <v>14</v>
      </c>
      <c r="C7551" t="s">
        <v>118</v>
      </c>
      <c r="D7551" s="9">
        <v>41691.666712962964</v>
      </c>
      <c r="E7551" t="s">
        <v>18</v>
      </c>
      <c r="F7551">
        <f t="shared" ca="1" si="236"/>
        <v>0.93888888888888888</v>
      </c>
      <c r="G7551">
        <f t="shared" ca="1" si="237"/>
        <v>1</v>
      </c>
    </row>
    <row r="7552" spans="1:7">
      <c r="A7552">
        <v>8779</v>
      </c>
      <c r="B7552" t="s">
        <v>36</v>
      </c>
      <c r="C7552" t="s">
        <v>119</v>
      </c>
      <c r="D7552" s="9">
        <v>41669.591064814813</v>
      </c>
      <c r="E7552" t="s">
        <v>17</v>
      </c>
      <c r="F7552">
        <f t="shared" ca="1" si="236"/>
        <v>0.99722222222222223</v>
      </c>
      <c r="G7552">
        <f t="shared" ca="1" si="237"/>
        <v>1</v>
      </c>
    </row>
    <row r="7553" spans="1:7">
      <c r="A7553">
        <v>8786</v>
      </c>
      <c r="B7553" t="s">
        <v>18</v>
      </c>
      <c r="C7553" t="s">
        <v>119</v>
      </c>
      <c r="D7553" s="9">
        <v>41670.479826388888</v>
      </c>
      <c r="E7553" t="s">
        <v>17</v>
      </c>
      <c r="F7553">
        <f t="shared" ca="1" si="236"/>
        <v>0.99722222222222223</v>
      </c>
      <c r="G7553">
        <f t="shared" ca="1" si="237"/>
        <v>1</v>
      </c>
    </row>
    <row r="7554" spans="1:7">
      <c r="A7554">
        <v>8793</v>
      </c>
      <c r="B7554" t="s">
        <v>14</v>
      </c>
      <c r="C7554" t="s">
        <v>119</v>
      </c>
      <c r="D7554" s="9">
        <v>41670.621516203704</v>
      </c>
      <c r="E7554" t="s">
        <v>24</v>
      </c>
      <c r="F7554">
        <f t="shared" ca="1" si="236"/>
        <v>0.99722222222222223</v>
      </c>
      <c r="G7554">
        <f t="shared" ca="1" si="237"/>
        <v>1</v>
      </c>
    </row>
    <row r="7555" spans="1:7">
      <c r="A7555">
        <v>8808</v>
      </c>
      <c r="B7555" t="s">
        <v>14</v>
      </c>
      <c r="C7555" t="s">
        <v>118</v>
      </c>
      <c r="D7555" s="9">
        <v>41694.694930555554</v>
      </c>
      <c r="E7555" t="s">
        <v>17</v>
      </c>
      <c r="F7555">
        <f t="shared" ca="1" si="236"/>
        <v>0.93055555555555558</v>
      </c>
      <c r="G7555">
        <f t="shared" ca="1" si="237"/>
        <v>1</v>
      </c>
    </row>
    <row r="7556" spans="1:7">
      <c r="A7556">
        <v>8819</v>
      </c>
      <c r="B7556" t="s">
        <v>14</v>
      </c>
      <c r="C7556" t="s">
        <v>118</v>
      </c>
      <c r="D7556" s="9">
        <v>41694.44935185185</v>
      </c>
      <c r="E7556" t="s">
        <v>18</v>
      </c>
      <c r="F7556">
        <f t="shared" ca="1" si="236"/>
        <v>0.93055555555555558</v>
      </c>
      <c r="G7556">
        <f t="shared" ca="1" si="237"/>
        <v>1</v>
      </c>
    </row>
    <row r="7557" spans="1:7">
      <c r="A7557">
        <v>8820</v>
      </c>
      <c r="B7557" t="s">
        <v>14</v>
      </c>
      <c r="C7557" t="s">
        <v>118</v>
      </c>
      <c r="D7557" s="9">
        <v>41695.619189814817</v>
      </c>
      <c r="E7557" t="s">
        <v>17</v>
      </c>
      <c r="F7557">
        <f t="shared" ca="1" si="236"/>
        <v>0.92777777777777781</v>
      </c>
      <c r="G7557">
        <f t="shared" ca="1" si="237"/>
        <v>1</v>
      </c>
    </row>
    <row r="7558" spans="1:7">
      <c r="A7558">
        <v>8823</v>
      </c>
      <c r="B7558" t="s">
        <v>17</v>
      </c>
      <c r="C7558" t="s">
        <v>118</v>
      </c>
      <c r="D7558" s="9">
        <v>41691.629756944443</v>
      </c>
      <c r="E7558" t="s">
        <v>37</v>
      </c>
      <c r="F7558">
        <f t="shared" ca="1" si="236"/>
        <v>0.93888888888888888</v>
      </c>
      <c r="G7558">
        <f t="shared" ca="1" si="237"/>
        <v>1</v>
      </c>
    </row>
    <row r="7559" spans="1:7">
      <c r="A7559">
        <v>8824</v>
      </c>
      <c r="B7559" t="s">
        <v>14</v>
      </c>
      <c r="C7559" t="s">
        <v>118</v>
      </c>
      <c r="D7559" s="9">
        <v>41687.573298611111</v>
      </c>
      <c r="E7559" t="s">
        <v>23</v>
      </c>
      <c r="F7559">
        <f t="shared" ref="F7559:F7622" ca="1" si="238">YEARFRAC(TODAY(),$D7559)</f>
        <v>0.95</v>
      </c>
      <c r="G7559">
        <f t="shared" ref="G7559:G7622" ca="1" si="239">IF($F7559&lt;1,1,0)</f>
        <v>1</v>
      </c>
    </row>
    <row r="7560" spans="1:7">
      <c r="A7560">
        <v>8827</v>
      </c>
      <c r="B7560" t="s">
        <v>14</v>
      </c>
      <c r="C7560" t="s">
        <v>118</v>
      </c>
      <c r="D7560" s="9">
        <v>41684.670231481483</v>
      </c>
      <c r="E7560" t="s">
        <v>34</v>
      </c>
      <c r="F7560">
        <f t="shared" ca="1" si="238"/>
        <v>0.95833333333333337</v>
      </c>
      <c r="G7560">
        <f t="shared" ca="1" si="239"/>
        <v>1</v>
      </c>
    </row>
    <row r="7561" spans="1:7">
      <c r="A7561">
        <v>8830</v>
      </c>
      <c r="B7561" t="s">
        <v>14</v>
      </c>
      <c r="C7561" t="s">
        <v>118</v>
      </c>
      <c r="D7561" s="9">
        <v>41710.646840277775</v>
      </c>
      <c r="E7561" t="s">
        <v>17</v>
      </c>
      <c r="F7561">
        <f t="shared" ca="1" si="238"/>
        <v>0.88055555555555554</v>
      </c>
      <c r="G7561">
        <f t="shared" ca="1" si="239"/>
        <v>1</v>
      </c>
    </row>
    <row r="7562" spans="1:7">
      <c r="A7562">
        <v>8838</v>
      </c>
      <c r="B7562" t="s">
        <v>14</v>
      </c>
      <c r="C7562" t="s">
        <v>118</v>
      </c>
      <c r="D7562" s="9">
        <v>41698.63071759259</v>
      </c>
      <c r="E7562" t="s">
        <v>17</v>
      </c>
      <c r="F7562">
        <f t="shared" ca="1" si="238"/>
        <v>0.91388888888888886</v>
      </c>
      <c r="G7562">
        <f t="shared" ca="1" si="239"/>
        <v>1</v>
      </c>
    </row>
    <row r="7563" spans="1:7">
      <c r="A7563">
        <v>8864</v>
      </c>
      <c r="B7563" t="s">
        <v>14</v>
      </c>
      <c r="C7563" t="s">
        <v>119</v>
      </c>
      <c r="D7563" s="9">
        <v>41676.598321759258</v>
      </c>
      <c r="E7563" t="s">
        <v>37</v>
      </c>
      <c r="F7563">
        <f t="shared" ca="1" si="238"/>
        <v>0.98055555555555551</v>
      </c>
      <c r="G7563">
        <f t="shared" ca="1" si="239"/>
        <v>1</v>
      </c>
    </row>
    <row r="7564" spans="1:7">
      <c r="A7564">
        <v>8868</v>
      </c>
      <c r="B7564" t="s">
        <v>17</v>
      </c>
      <c r="C7564" t="s">
        <v>119</v>
      </c>
      <c r="D7564" s="9">
        <v>41674.705810185187</v>
      </c>
      <c r="E7564" t="s">
        <v>18</v>
      </c>
      <c r="F7564">
        <f t="shared" ca="1" si="238"/>
        <v>0.98611111111111116</v>
      </c>
      <c r="G7564">
        <f t="shared" ca="1" si="239"/>
        <v>1</v>
      </c>
    </row>
    <row r="7565" spans="1:7">
      <c r="A7565">
        <v>8889</v>
      </c>
      <c r="B7565" t="s">
        <v>18</v>
      </c>
      <c r="C7565" t="s">
        <v>119</v>
      </c>
      <c r="D7565" s="9">
        <v>41675.616655092592</v>
      </c>
      <c r="E7565" t="s">
        <v>17</v>
      </c>
      <c r="F7565">
        <f t="shared" ca="1" si="238"/>
        <v>0.98333333333333328</v>
      </c>
      <c r="G7565">
        <f t="shared" ca="1" si="239"/>
        <v>1</v>
      </c>
    </row>
    <row r="7566" spans="1:7">
      <c r="A7566">
        <v>8898</v>
      </c>
      <c r="B7566" t="s">
        <v>17</v>
      </c>
      <c r="C7566" t="s">
        <v>118</v>
      </c>
      <c r="D7566" s="9">
        <v>41691.593993055554</v>
      </c>
      <c r="E7566" t="s">
        <v>8</v>
      </c>
      <c r="F7566">
        <f t="shared" ca="1" si="238"/>
        <v>0.93888888888888888</v>
      </c>
      <c r="G7566">
        <f t="shared" ca="1" si="239"/>
        <v>1</v>
      </c>
    </row>
    <row r="7567" spans="1:7">
      <c r="A7567">
        <v>8995</v>
      </c>
      <c r="B7567" t="s">
        <v>24</v>
      </c>
      <c r="C7567" t="s">
        <v>118</v>
      </c>
      <c r="D7567" s="9">
        <v>41683.79283564815</v>
      </c>
      <c r="E7567" t="s">
        <v>37</v>
      </c>
      <c r="F7567">
        <f t="shared" ca="1" si="238"/>
        <v>0.96111111111111114</v>
      </c>
      <c r="G7567">
        <f t="shared" ca="1" si="239"/>
        <v>1</v>
      </c>
    </row>
    <row r="7568" spans="1:7">
      <c r="A7568">
        <v>9002</v>
      </c>
      <c r="B7568" t="s">
        <v>45</v>
      </c>
      <c r="C7568" t="s">
        <v>118</v>
      </c>
      <c r="D7568" s="9">
        <v>41698.638865740744</v>
      </c>
      <c r="E7568" t="s">
        <v>17</v>
      </c>
      <c r="F7568">
        <f t="shared" ca="1" si="238"/>
        <v>0.91388888888888886</v>
      </c>
      <c r="G7568">
        <f t="shared" ca="1" si="239"/>
        <v>1</v>
      </c>
    </row>
    <row r="7569" spans="1:7">
      <c r="A7569">
        <v>9029</v>
      </c>
      <c r="B7569" t="s">
        <v>37</v>
      </c>
      <c r="C7569" t="s">
        <v>118</v>
      </c>
      <c r="D7569" s="9">
        <v>41810.32916666667</v>
      </c>
      <c r="F7569">
        <f t="shared" ca="1" si="238"/>
        <v>0.60833333333333328</v>
      </c>
      <c r="G7569">
        <f t="shared" ca="1" si="239"/>
        <v>1</v>
      </c>
    </row>
    <row r="7570" spans="1:7">
      <c r="A7570">
        <v>9049</v>
      </c>
      <c r="B7570" t="s">
        <v>45</v>
      </c>
      <c r="C7570" t="s">
        <v>118</v>
      </c>
      <c r="D7570" s="9">
        <v>41709.644930555558</v>
      </c>
      <c r="E7570" t="s">
        <v>11</v>
      </c>
      <c r="F7570">
        <f t="shared" ca="1" si="238"/>
        <v>0.8833333333333333</v>
      </c>
      <c r="G7570">
        <f t="shared" ca="1" si="239"/>
        <v>1</v>
      </c>
    </row>
    <row r="7571" spans="1:7">
      <c r="A7571">
        <v>9071</v>
      </c>
      <c r="B7571" t="s">
        <v>14</v>
      </c>
      <c r="C7571" t="s">
        <v>209</v>
      </c>
      <c r="D7571" s="9">
        <v>41852.588136574072</v>
      </c>
      <c r="E7571" t="s">
        <v>214</v>
      </c>
      <c r="F7571">
        <f t="shared" ca="1" si="238"/>
        <v>0.49444444444444446</v>
      </c>
      <c r="G7571">
        <f t="shared" ca="1" si="239"/>
        <v>1</v>
      </c>
    </row>
    <row r="7572" spans="1:7">
      <c r="A7572">
        <v>9087</v>
      </c>
      <c r="B7572" t="s">
        <v>11</v>
      </c>
      <c r="C7572" t="s">
        <v>118</v>
      </c>
      <c r="D7572" s="9">
        <v>41711.633460648147</v>
      </c>
      <c r="E7572" t="s">
        <v>27</v>
      </c>
      <c r="F7572">
        <f t="shared" ca="1" si="238"/>
        <v>0.87777777777777777</v>
      </c>
      <c r="G7572">
        <f t="shared" ca="1" si="239"/>
        <v>1</v>
      </c>
    </row>
    <row r="7573" spans="1:7">
      <c r="A7573">
        <v>9090</v>
      </c>
      <c r="B7573" t="s">
        <v>18</v>
      </c>
      <c r="C7573" t="s">
        <v>118</v>
      </c>
      <c r="D7573" s="9">
        <v>41717.792013888888</v>
      </c>
      <c r="E7573" t="s">
        <v>11</v>
      </c>
      <c r="F7573">
        <f t="shared" ca="1" si="238"/>
        <v>0.86111111111111116</v>
      </c>
      <c r="G7573">
        <f t="shared" ca="1" si="239"/>
        <v>1</v>
      </c>
    </row>
    <row r="7574" spans="1:7">
      <c r="A7574">
        <v>9106</v>
      </c>
      <c r="B7574" t="s">
        <v>36</v>
      </c>
      <c r="C7574" t="s">
        <v>118</v>
      </c>
      <c r="D7574" s="9">
        <v>41701.856064814812</v>
      </c>
      <c r="E7574" t="s">
        <v>20</v>
      </c>
      <c r="F7574">
        <f t="shared" ca="1" si="238"/>
        <v>0.90555555555555556</v>
      </c>
      <c r="G7574">
        <f t="shared" ca="1" si="239"/>
        <v>1</v>
      </c>
    </row>
    <row r="7575" spans="1:7">
      <c r="A7575">
        <v>9142</v>
      </c>
      <c r="B7575" t="s">
        <v>43</v>
      </c>
      <c r="C7575" t="s">
        <v>118</v>
      </c>
      <c r="D7575" s="9">
        <v>41705.720451388886</v>
      </c>
      <c r="E7575" t="s">
        <v>32</v>
      </c>
      <c r="F7575">
        <f t="shared" ca="1" si="238"/>
        <v>0.89444444444444449</v>
      </c>
      <c r="G7575">
        <f t="shared" ca="1" si="239"/>
        <v>1</v>
      </c>
    </row>
    <row r="7576" spans="1:7">
      <c r="A7576">
        <v>9212</v>
      </c>
      <c r="B7576" t="s">
        <v>21</v>
      </c>
      <c r="C7576" t="s">
        <v>118</v>
      </c>
      <c r="D7576" s="9">
        <v>41752.870173611111</v>
      </c>
      <c r="E7576" t="s">
        <v>32</v>
      </c>
      <c r="F7576">
        <f t="shared" ca="1" si="238"/>
        <v>0.76666666666666672</v>
      </c>
      <c r="G7576">
        <f t="shared" ca="1" si="239"/>
        <v>1</v>
      </c>
    </row>
    <row r="7577" spans="1:7">
      <c r="A7577">
        <v>9239</v>
      </c>
      <c r="B7577" t="s">
        <v>29</v>
      </c>
      <c r="C7577" t="s">
        <v>118</v>
      </c>
      <c r="D7577" s="9">
        <v>41739.417303240742</v>
      </c>
      <c r="E7577" t="s">
        <v>17</v>
      </c>
      <c r="F7577">
        <f t="shared" ca="1" si="238"/>
        <v>0.80277777777777781</v>
      </c>
      <c r="G7577">
        <f t="shared" ca="1" si="239"/>
        <v>1</v>
      </c>
    </row>
    <row r="7578" spans="1:7">
      <c r="A7578">
        <v>9243</v>
      </c>
      <c r="B7578" t="s">
        <v>21</v>
      </c>
      <c r="C7578" t="s">
        <v>118</v>
      </c>
      <c r="D7578" s="9">
        <v>41743.932430555556</v>
      </c>
      <c r="E7578" t="s">
        <v>11</v>
      </c>
      <c r="F7578">
        <f t="shared" ca="1" si="238"/>
        <v>0.79166666666666663</v>
      </c>
      <c r="G7578">
        <f t="shared" ca="1" si="239"/>
        <v>1</v>
      </c>
    </row>
    <row r="7579" spans="1:7">
      <c r="A7579">
        <v>9267</v>
      </c>
      <c r="B7579" t="s">
        <v>11</v>
      </c>
      <c r="C7579" t="s">
        <v>118</v>
      </c>
      <c r="D7579" s="9">
        <v>41751.589525462965</v>
      </c>
      <c r="E7579" t="s">
        <v>17</v>
      </c>
      <c r="F7579">
        <f t="shared" ca="1" si="238"/>
        <v>0.76944444444444449</v>
      </c>
      <c r="G7579">
        <f t="shared" ca="1" si="239"/>
        <v>1</v>
      </c>
    </row>
    <row r="7580" spans="1:7">
      <c r="A7580">
        <v>9311</v>
      </c>
      <c r="B7580" t="s">
        <v>11</v>
      </c>
      <c r="C7580" t="s">
        <v>118</v>
      </c>
      <c r="D7580" s="9">
        <v>41740.767268518517</v>
      </c>
      <c r="E7580" t="s">
        <v>111</v>
      </c>
      <c r="F7580">
        <f t="shared" ca="1" si="238"/>
        <v>0.8</v>
      </c>
      <c r="G7580">
        <f t="shared" ca="1" si="239"/>
        <v>1</v>
      </c>
    </row>
    <row r="7581" spans="1:7">
      <c r="A7581">
        <v>9339</v>
      </c>
      <c r="B7581" t="s">
        <v>211</v>
      </c>
      <c r="C7581" t="s">
        <v>209</v>
      </c>
      <c r="D7581" s="9">
        <v>41866.623206018521</v>
      </c>
      <c r="E7581" t="s">
        <v>14</v>
      </c>
      <c r="F7581">
        <f t="shared" ca="1" si="238"/>
        <v>0.45555555555555555</v>
      </c>
      <c r="G7581">
        <f t="shared" ca="1" si="239"/>
        <v>1</v>
      </c>
    </row>
    <row r="7582" spans="1:7">
      <c r="A7582">
        <v>9351</v>
      </c>
      <c r="B7582" t="s">
        <v>11</v>
      </c>
      <c r="C7582" t="s">
        <v>118</v>
      </c>
      <c r="D7582" s="9">
        <v>41750.912361111114</v>
      </c>
      <c r="E7582" t="s">
        <v>36</v>
      </c>
      <c r="F7582">
        <f t="shared" ca="1" si="238"/>
        <v>0.77222222222222225</v>
      </c>
      <c r="G7582">
        <f t="shared" ca="1" si="239"/>
        <v>1</v>
      </c>
    </row>
    <row r="7583" spans="1:7">
      <c r="A7583">
        <v>9382</v>
      </c>
      <c r="B7583" t="s">
        <v>44</v>
      </c>
      <c r="C7583" t="s">
        <v>118</v>
      </c>
      <c r="D7583" s="9">
        <v>41768.584664351853</v>
      </c>
      <c r="E7583" t="s">
        <v>112</v>
      </c>
      <c r="F7583">
        <f t="shared" ca="1" si="238"/>
        <v>0.72222222222222221</v>
      </c>
      <c r="G7583">
        <f t="shared" ca="1" si="239"/>
        <v>1</v>
      </c>
    </row>
    <row r="7584" spans="1:7">
      <c r="A7584">
        <v>9395</v>
      </c>
      <c r="B7584" t="s">
        <v>14</v>
      </c>
      <c r="C7584" t="s">
        <v>118</v>
      </c>
      <c r="D7584" s="9">
        <v>41775.581712962965</v>
      </c>
      <c r="E7584" t="s">
        <v>37</v>
      </c>
      <c r="F7584">
        <f t="shared" ca="1" si="238"/>
        <v>0.70277777777777772</v>
      </c>
      <c r="G7584">
        <f t="shared" ca="1" si="239"/>
        <v>1</v>
      </c>
    </row>
    <row r="7585" spans="1:7">
      <c r="A7585">
        <v>9398</v>
      </c>
      <c r="B7585" t="s">
        <v>11</v>
      </c>
      <c r="C7585" t="s">
        <v>118</v>
      </c>
      <c r="D7585" s="9">
        <v>41768.778090277781</v>
      </c>
      <c r="E7585" t="s">
        <v>27</v>
      </c>
      <c r="F7585">
        <f t="shared" ca="1" si="238"/>
        <v>0.72222222222222221</v>
      </c>
      <c r="G7585">
        <f t="shared" ca="1" si="239"/>
        <v>1</v>
      </c>
    </row>
    <row r="7586" spans="1:7">
      <c r="A7586">
        <v>9433</v>
      </c>
      <c r="B7586" t="s">
        <v>27</v>
      </c>
      <c r="C7586" t="s">
        <v>118</v>
      </c>
      <c r="D7586" s="9">
        <v>41768.633425925924</v>
      </c>
      <c r="E7586" t="s">
        <v>36</v>
      </c>
      <c r="F7586">
        <f t="shared" ca="1" si="238"/>
        <v>0.72222222222222221</v>
      </c>
      <c r="G7586">
        <f t="shared" ca="1" si="239"/>
        <v>1</v>
      </c>
    </row>
    <row r="7587" spans="1:7">
      <c r="A7587">
        <v>9459</v>
      </c>
      <c r="B7587" t="s">
        <v>21</v>
      </c>
      <c r="C7587" t="s">
        <v>118</v>
      </c>
      <c r="D7587" s="9">
        <v>41787.896377314813</v>
      </c>
      <c r="E7587" t="s">
        <v>20</v>
      </c>
      <c r="F7587">
        <f t="shared" ca="1" si="238"/>
        <v>0.6694444444444444</v>
      </c>
      <c r="G7587">
        <f t="shared" ca="1" si="239"/>
        <v>1</v>
      </c>
    </row>
    <row r="7588" spans="1:7">
      <c r="A7588">
        <v>9512</v>
      </c>
      <c r="B7588" t="s">
        <v>11</v>
      </c>
      <c r="C7588" t="s">
        <v>118</v>
      </c>
      <c r="D7588" s="9">
        <v>41781.344363425924</v>
      </c>
      <c r="E7588" t="s">
        <v>8</v>
      </c>
      <c r="F7588">
        <f t="shared" ca="1" si="238"/>
        <v>0.68611111111111112</v>
      </c>
      <c r="G7588">
        <f t="shared" ca="1" si="239"/>
        <v>1</v>
      </c>
    </row>
    <row r="7589" spans="1:7">
      <c r="A7589">
        <v>9515</v>
      </c>
      <c r="B7589" t="s">
        <v>215</v>
      </c>
      <c r="C7589" t="s">
        <v>209</v>
      </c>
      <c r="D7589" s="9">
        <v>41857.414456018516</v>
      </c>
      <c r="E7589" t="s">
        <v>214</v>
      </c>
      <c r="F7589">
        <f t="shared" ca="1" si="238"/>
        <v>0.48055555555555557</v>
      </c>
      <c r="G7589">
        <f t="shared" ca="1" si="239"/>
        <v>1</v>
      </c>
    </row>
    <row r="7590" spans="1:7">
      <c r="A7590">
        <v>9516</v>
      </c>
      <c r="B7590" t="s">
        <v>18</v>
      </c>
      <c r="C7590" t="s">
        <v>118</v>
      </c>
      <c r="D7590" s="9">
        <v>41787.327511574076</v>
      </c>
      <c r="E7590" t="s">
        <v>8</v>
      </c>
      <c r="F7590">
        <f t="shared" ca="1" si="238"/>
        <v>0.6694444444444444</v>
      </c>
      <c r="G7590">
        <f t="shared" ca="1" si="239"/>
        <v>1</v>
      </c>
    </row>
    <row r="7591" spans="1:7">
      <c r="A7591">
        <v>9545</v>
      </c>
      <c r="B7591" t="s">
        <v>11</v>
      </c>
      <c r="C7591" t="s">
        <v>118</v>
      </c>
      <c r="D7591" s="9">
        <v>41803.674502314818</v>
      </c>
      <c r="E7591" t="s">
        <v>69</v>
      </c>
      <c r="F7591">
        <f t="shared" ca="1" si="238"/>
        <v>0.62777777777777777</v>
      </c>
      <c r="G7591">
        <f t="shared" ca="1" si="239"/>
        <v>1</v>
      </c>
    </row>
    <row r="7592" spans="1:7">
      <c r="A7592">
        <v>9592</v>
      </c>
      <c r="B7592" t="s">
        <v>112</v>
      </c>
      <c r="C7592" t="s">
        <v>118</v>
      </c>
      <c r="D7592" s="9">
        <v>41807.596053240741</v>
      </c>
      <c r="E7592" t="s">
        <v>8</v>
      </c>
      <c r="F7592">
        <f t="shared" ca="1" si="238"/>
        <v>0.6166666666666667</v>
      </c>
      <c r="G7592">
        <f t="shared" ca="1" si="239"/>
        <v>1</v>
      </c>
    </row>
    <row r="7593" spans="1:7">
      <c r="A7593">
        <v>9619</v>
      </c>
      <c r="B7593" t="s">
        <v>8</v>
      </c>
      <c r="C7593" t="s">
        <v>209</v>
      </c>
      <c r="D7593" s="9">
        <v>41891.787175925929</v>
      </c>
      <c r="E7593" t="s">
        <v>20</v>
      </c>
      <c r="F7593">
        <f t="shared" ca="1" si="238"/>
        <v>0.3888888888888889</v>
      </c>
      <c r="G7593">
        <f t="shared" ca="1" si="239"/>
        <v>1</v>
      </c>
    </row>
    <row r="7594" spans="1:7">
      <c r="A7594">
        <v>9638</v>
      </c>
      <c r="B7594" t="s">
        <v>112</v>
      </c>
      <c r="C7594" t="s">
        <v>118</v>
      </c>
      <c r="D7594" s="9">
        <v>41803.685590277775</v>
      </c>
      <c r="E7594" t="s">
        <v>30</v>
      </c>
      <c r="F7594">
        <f t="shared" ca="1" si="238"/>
        <v>0.62777777777777777</v>
      </c>
      <c r="G7594">
        <f t="shared" ca="1" si="239"/>
        <v>1</v>
      </c>
    </row>
    <row r="7595" spans="1:7">
      <c r="A7595">
        <v>9672</v>
      </c>
      <c r="B7595" t="s">
        <v>14</v>
      </c>
      <c r="C7595" t="s">
        <v>209</v>
      </c>
      <c r="D7595" s="9">
        <v>41862.378449074073</v>
      </c>
      <c r="E7595" t="s">
        <v>8</v>
      </c>
      <c r="F7595">
        <f t="shared" ca="1" si="238"/>
        <v>0.46666666666666667</v>
      </c>
      <c r="G7595">
        <f t="shared" ca="1" si="239"/>
        <v>1</v>
      </c>
    </row>
    <row r="7596" spans="1:7">
      <c r="A7596">
        <v>9700</v>
      </c>
      <c r="B7596" t="s">
        <v>14</v>
      </c>
      <c r="C7596" t="s">
        <v>118</v>
      </c>
      <c r="D7596" s="9">
        <v>41810.646192129629</v>
      </c>
      <c r="E7596" t="s">
        <v>8</v>
      </c>
      <c r="F7596">
        <f t="shared" ca="1" si="238"/>
        <v>0.60833333333333328</v>
      </c>
      <c r="G7596">
        <f t="shared" ca="1" si="239"/>
        <v>1</v>
      </c>
    </row>
    <row r="7597" spans="1:7">
      <c r="A7597">
        <v>9702</v>
      </c>
      <c r="B7597" t="s">
        <v>14</v>
      </c>
      <c r="C7597" t="s">
        <v>118</v>
      </c>
      <c r="D7597" s="9">
        <v>41810.623819444445</v>
      </c>
      <c r="E7597" t="s">
        <v>8</v>
      </c>
      <c r="F7597">
        <f t="shared" ca="1" si="238"/>
        <v>0.60833333333333328</v>
      </c>
      <c r="G7597">
        <f t="shared" ca="1" si="239"/>
        <v>1</v>
      </c>
    </row>
    <row r="7598" spans="1:7">
      <c r="A7598">
        <v>9738</v>
      </c>
      <c r="B7598" t="s">
        <v>211</v>
      </c>
      <c r="C7598" t="s">
        <v>209</v>
      </c>
      <c r="D7598" s="9">
        <v>41894.593518518515</v>
      </c>
      <c r="E7598" t="s">
        <v>215</v>
      </c>
      <c r="F7598">
        <f t="shared" ca="1" si="238"/>
        <v>0.38055555555555554</v>
      </c>
      <c r="G7598">
        <f t="shared" ca="1" si="239"/>
        <v>1</v>
      </c>
    </row>
    <row r="7599" spans="1:7">
      <c r="A7599">
        <v>9759</v>
      </c>
      <c r="B7599" t="s">
        <v>14</v>
      </c>
      <c r="C7599" t="s">
        <v>209</v>
      </c>
      <c r="D7599" s="9">
        <v>41859.607372685183</v>
      </c>
      <c r="E7599" t="s">
        <v>211</v>
      </c>
      <c r="F7599">
        <f t="shared" ca="1" si="238"/>
        <v>0.47499999999999998</v>
      </c>
      <c r="G7599">
        <f t="shared" ca="1" si="239"/>
        <v>1</v>
      </c>
    </row>
    <row r="7600" spans="1:7">
      <c r="A7600">
        <v>9767</v>
      </c>
      <c r="B7600" t="s">
        <v>36</v>
      </c>
      <c r="C7600" t="s">
        <v>118</v>
      </c>
      <c r="D7600" s="9">
        <v>41817.574074074073</v>
      </c>
      <c r="E7600" t="s">
        <v>32</v>
      </c>
      <c r="F7600">
        <f t="shared" ca="1" si="238"/>
        <v>0.58888888888888891</v>
      </c>
      <c r="G7600">
        <f t="shared" ca="1" si="239"/>
        <v>1</v>
      </c>
    </row>
    <row r="7601" spans="1:7">
      <c r="A7601">
        <v>9801</v>
      </c>
      <c r="B7601" t="s">
        <v>43</v>
      </c>
      <c r="C7601" t="s">
        <v>118</v>
      </c>
      <c r="D7601" s="9">
        <v>41823.800416666665</v>
      </c>
      <c r="E7601" t="s">
        <v>20</v>
      </c>
      <c r="F7601">
        <f t="shared" ca="1" si="238"/>
        <v>0.57222222222222219</v>
      </c>
      <c r="G7601">
        <f t="shared" ca="1" si="239"/>
        <v>1</v>
      </c>
    </row>
    <row r="7602" spans="1:7">
      <c r="A7602">
        <v>9814</v>
      </c>
      <c r="B7602" t="s">
        <v>112</v>
      </c>
      <c r="C7602" t="s">
        <v>209</v>
      </c>
      <c r="D7602" s="9">
        <v>41947.686863425923</v>
      </c>
      <c r="E7602" t="s">
        <v>215</v>
      </c>
      <c r="F7602">
        <f t="shared" ca="1" si="238"/>
        <v>0.2361111111111111</v>
      </c>
      <c r="G7602">
        <f t="shared" ca="1" si="239"/>
        <v>1</v>
      </c>
    </row>
    <row r="7603" spans="1:7">
      <c r="A7603">
        <v>9830</v>
      </c>
      <c r="B7603" t="s">
        <v>14</v>
      </c>
      <c r="C7603" t="s">
        <v>118</v>
      </c>
      <c r="D7603" s="9">
        <v>41827.926493055558</v>
      </c>
      <c r="E7603" t="s">
        <v>27</v>
      </c>
      <c r="F7603">
        <f t="shared" ca="1" si="238"/>
        <v>0.56111111111111112</v>
      </c>
      <c r="G7603">
        <f t="shared" ca="1" si="239"/>
        <v>1</v>
      </c>
    </row>
    <row r="7604" spans="1:7">
      <c r="A7604">
        <v>9831</v>
      </c>
      <c r="B7604" t="s">
        <v>211</v>
      </c>
      <c r="C7604" t="s">
        <v>209</v>
      </c>
      <c r="D7604" s="9">
        <v>41894.604571759257</v>
      </c>
      <c r="E7604" t="s">
        <v>8</v>
      </c>
      <c r="F7604">
        <f t="shared" ca="1" si="238"/>
        <v>0.38055555555555554</v>
      </c>
      <c r="G7604">
        <f t="shared" ca="1" si="239"/>
        <v>1</v>
      </c>
    </row>
    <row r="7605" spans="1:7">
      <c r="A7605">
        <v>9833</v>
      </c>
      <c r="B7605" t="s">
        <v>213</v>
      </c>
      <c r="C7605" t="s">
        <v>209</v>
      </c>
      <c r="D7605" s="9">
        <v>41949.648668981485</v>
      </c>
      <c r="E7605" t="s">
        <v>217</v>
      </c>
      <c r="F7605">
        <f t="shared" ca="1" si="238"/>
        <v>0.23055555555555557</v>
      </c>
      <c r="G7605">
        <f t="shared" ca="1" si="239"/>
        <v>1</v>
      </c>
    </row>
    <row r="7606" spans="1:7">
      <c r="A7606">
        <v>9857</v>
      </c>
      <c r="B7606" t="s">
        <v>36</v>
      </c>
      <c r="C7606" t="s">
        <v>209</v>
      </c>
      <c r="D7606" s="9">
        <v>41834.891793981478</v>
      </c>
      <c r="E7606" t="s">
        <v>80</v>
      </c>
      <c r="F7606">
        <f t="shared" ca="1" si="238"/>
        <v>0.54166666666666663</v>
      </c>
      <c r="G7606">
        <f t="shared" ca="1" si="239"/>
        <v>1</v>
      </c>
    </row>
    <row r="7607" spans="1:7">
      <c r="A7607">
        <v>9973</v>
      </c>
      <c r="B7607" t="s">
        <v>14</v>
      </c>
      <c r="C7607" t="s">
        <v>209</v>
      </c>
      <c r="D7607" s="9">
        <v>41848.420034722221</v>
      </c>
      <c r="E7607" t="s">
        <v>214</v>
      </c>
      <c r="F7607">
        <f t="shared" ca="1" si="238"/>
        <v>0.50277777777777777</v>
      </c>
      <c r="G7607">
        <f t="shared" ca="1" si="239"/>
        <v>1</v>
      </c>
    </row>
    <row r="7608" spans="1:7">
      <c r="A7608">
        <v>10018</v>
      </c>
      <c r="B7608" t="s">
        <v>43</v>
      </c>
      <c r="C7608" t="s">
        <v>209</v>
      </c>
      <c r="D7608" s="9">
        <v>41852.583819444444</v>
      </c>
      <c r="E7608" t="s">
        <v>215</v>
      </c>
      <c r="F7608">
        <f t="shared" ca="1" si="238"/>
        <v>0.49444444444444446</v>
      </c>
      <c r="G7608">
        <f t="shared" ca="1" si="239"/>
        <v>1</v>
      </c>
    </row>
    <row r="7609" spans="1:7">
      <c r="A7609">
        <v>10021</v>
      </c>
      <c r="B7609" t="s">
        <v>215</v>
      </c>
      <c r="C7609" t="s">
        <v>209</v>
      </c>
      <c r="D7609" s="9">
        <v>41851.517777777779</v>
      </c>
      <c r="E7609" t="s">
        <v>44</v>
      </c>
      <c r="F7609">
        <f t="shared" ca="1" si="238"/>
        <v>0.49722222222222223</v>
      </c>
      <c r="G7609">
        <f t="shared" ca="1" si="239"/>
        <v>1</v>
      </c>
    </row>
    <row r="7610" spans="1:7">
      <c r="A7610">
        <v>10023</v>
      </c>
      <c r="B7610" t="s">
        <v>215</v>
      </c>
      <c r="C7610" t="s">
        <v>209</v>
      </c>
      <c r="D7610" s="9">
        <v>41862.375972222224</v>
      </c>
      <c r="E7610" t="s">
        <v>8</v>
      </c>
      <c r="F7610">
        <f t="shared" ca="1" si="238"/>
        <v>0.46666666666666667</v>
      </c>
      <c r="G7610">
        <f t="shared" ca="1" si="239"/>
        <v>1</v>
      </c>
    </row>
    <row r="7611" spans="1:7">
      <c r="A7611">
        <v>10080</v>
      </c>
      <c r="B7611" t="s">
        <v>43</v>
      </c>
      <c r="C7611" t="s">
        <v>209</v>
      </c>
      <c r="D7611" s="9">
        <v>41865.672523148147</v>
      </c>
      <c r="E7611" t="s">
        <v>32</v>
      </c>
      <c r="F7611">
        <f t="shared" ca="1" si="238"/>
        <v>0.45833333333333331</v>
      </c>
      <c r="G7611">
        <f t="shared" ca="1" si="239"/>
        <v>1</v>
      </c>
    </row>
    <row r="7612" spans="1:7">
      <c r="A7612">
        <v>10086</v>
      </c>
      <c r="B7612" t="s">
        <v>44</v>
      </c>
      <c r="C7612" t="s">
        <v>209</v>
      </c>
      <c r="D7612" s="9">
        <v>41866.582037037035</v>
      </c>
      <c r="E7612" t="s">
        <v>215</v>
      </c>
      <c r="F7612">
        <f t="shared" ca="1" si="238"/>
        <v>0.45555555555555555</v>
      </c>
      <c r="G7612">
        <f t="shared" ca="1" si="239"/>
        <v>1</v>
      </c>
    </row>
    <row r="7613" spans="1:7">
      <c r="A7613">
        <v>10089</v>
      </c>
      <c r="B7613" t="s">
        <v>215</v>
      </c>
      <c r="C7613" t="s">
        <v>209</v>
      </c>
      <c r="D7613" s="9">
        <v>41869.473622685182</v>
      </c>
      <c r="E7613" t="s">
        <v>44</v>
      </c>
      <c r="F7613">
        <f t="shared" ca="1" si="238"/>
        <v>0.44722222222222224</v>
      </c>
      <c r="G7613">
        <f t="shared" ca="1" si="239"/>
        <v>1</v>
      </c>
    </row>
    <row r="7614" spans="1:7">
      <c r="A7614">
        <v>10101</v>
      </c>
      <c r="B7614" t="s">
        <v>43</v>
      </c>
      <c r="C7614" t="s">
        <v>209</v>
      </c>
      <c r="D7614" s="9">
        <v>41865.669791666667</v>
      </c>
      <c r="E7614" t="s">
        <v>32</v>
      </c>
      <c r="F7614">
        <f t="shared" ca="1" si="238"/>
        <v>0.45833333333333331</v>
      </c>
      <c r="G7614">
        <f t="shared" ca="1" si="239"/>
        <v>1</v>
      </c>
    </row>
    <row r="7615" spans="1:7">
      <c r="A7615">
        <v>10128</v>
      </c>
      <c r="B7615" t="s">
        <v>215</v>
      </c>
      <c r="C7615" t="s">
        <v>209</v>
      </c>
      <c r="D7615" s="9">
        <v>41872.414803240739</v>
      </c>
      <c r="E7615" t="s">
        <v>19</v>
      </c>
      <c r="F7615">
        <f t="shared" ca="1" si="238"/>
        <v>0.43888888888888888</v>
      </c>
      <c r="G7615">
        <f t="shared" ca="1" si="239"/>
        <v>1</v>
      </c>
    </row>
    <row r="7616" spans="1:7">
      <c r="A7616">
        <v>10137</v>
      </c>
      <c r="B7616" t="s">
        <v>20</v>
      </c>
      <c r="C7616" t="s">
        <v>209</v>
      </c>
      <c r="D7616" s="9">
        <v>41872.694351851853</v>
      </c>
      <c r="F7616">
        <f t="shared" ca="1" si="238"/>
        <v>0.43888888888888888</v>
      </c>
      <c r="G7616">
        <f t="shared" ca="1" si="239"/>
        <v>1</v>
      </c>
    </row>
    <row r="7617" spans="1:7">
      <c r="A7617">
        <v>10141</v>
      </c>
      <c r="B7617" t="s">
        <v>211</v>
      </c>
      <c r="C7617" t="s">
        <v>209</v>
      </c>
      <c r="D7617" s="9">
        <v>41873.626562500001</v>
      </c>
      <c r="E7617" t="s">
        <v>215</v>
      </c>
      <c r="F7617">
        <f t="shared" ca="1" si="238"/>
        <v>0.43611111111111112</v>
      </c>
      <c r="G7617">
        <f t="shared" ca="1" si="239"/>
        <v>1</v>
      </c>
    </row>
    <row r="7618" spans="1:7">
      <c r="A7618">
        <v>10261</v>
      </c>
      <c r="B7618" t="s">
        <v>220</v>
      </c>
      <c r="C7618" t="s">
        <v>209</v>
      </c>
      <c r="D7618" s="9">
        <v>41955.390648148146</v>
      </c>
      <c r="E7618" t="s">
        <v>211</v>
      </c>
      <c r="F7618">
        <f t="shared" ca="1" si="238"/>
        <v>0.21388888888888888</v>
      </c>
      <c r="G7618">
        <f t="shared" ca="1" si="239"/>
        <v>1</v>
      </c>
    </row>
    <row r="7619" spans="1:7">
      <c r="A7619">
        <v>10288</v>
      </c>
      <c r="B7619" t="s">
        <v>44</v>
      </c>
      <c r="C7619" t="s">
        <v>209</v>
      </c>
      <c r="D7619" s="9">
        <v>41939.634479166663</v>
      </c>
      <c r="E7619" t="s">
        <v>215</v>
      </c>
      <c r="F7619">
        <f t="shared" ca="1" si="238"/>
        <v>0.25555555555555554</v>
      </c>
      <c r="G7619">
        <f t="shared" ca="1" si="239"/>
        <v>1</v>
      </c>
    </row>
    <row r="7620" spans="1:7">
      <c r="A7620">
        <v>10289</v>
      </c>
      <c r="B7620" t="s">
        <v>44</v>
      </c>
      <c r="C7620" t="s">
        <v>209</v>
      </c>
      <c r="D7620" s="9">
        <v>41918.629606481481</v>
      </c>
      <c r="E7620" t="s">
        <v>30</v>
      </c>
      <c r="F7620">
        <f t="shared" ca="1" si="238"/>
        <v>0.31388888888888888</v>
      </c>
      <c r="G7620">
        <f t="shared" ca="1" si="239"/>
        <v>1</v>
      </c>
    </row>
    <row r="7621" spans="1:7">
      <c r="A7621">
        <v>10295</v>
      </c>
      <c r="B7621" t="s">
        <v>215</v>
      </c>
      <c r="C7621" t="s">
        <v>209</v>
      </c>
      <c r="D7621" s="9">
        <v>41922.627962962964</v>
      </c>
      <c r="F7621">
        <f t="shared" ca="1" si="238"/>
        <v>0.30277777777777776</v>
      </c>
      <c r="G7621">
        <f t="shared" ca="1" si="239"/>
        <v>1</v>
      </c>
    </row>
    <row r="7622" spans="1:7">
      <c r="A7622">
        <v>10307</v>
      </c>
      <c r="B7622" t="s">
        <v>212</v>
      </c>
      <c r="C7622" t="s">
        <v>209</v>
      </c>
      <c r="D7622" s="9">
        <v>41935.694467592592</v>
      </c>
      <c r="E7622" t="s">
        <v>44</v>
      </c>
      <c r="F7622">
        <f t="shared" ca="1" si="238"/>
        <v>0.26666666666666666</v>
      </c>
      <c r="G7622">
        <f t="shared" ca="1" si="239"/>
        <v>1</v>
      </c>
    </row>
    <row r="7623" spans="1:7">
      <c r="A7623">
        <v>10312</v>
      </c>
      <c r="B7623" t="s">
        <v>212</v>
      </c>
      <c r="C7623" t="s">
        <v>209</v>
      </c>
      <c r="D7623" s="9">
        <v>41920.600787037038</v>
      </c>
      <c r="E7623" t="s">
        <v>214</v>
      </c>
      <c r="F7623">
        <f t="shared" ref="F7623:F7686" ca="1" si="240">YEARFRAC(TODAY(),$D7623)</f>
        <v>0.30833333333333335</v>
      </c>
      <c r="G7623">
        <f t="shared" ref="G7623:G7686" ca="1" si="241">IF($F7623&lt;1,1,0)</f>
        <v>1</v>
      </c>
    </row>
    <row r="7624" spans="1:7">
      <c r="A7624">
        <v>10318</v>
      </c>
      <c r="B7624" t="s">
        <v>212</v>
      </c>
      <c r="C7624" t="s">
        <v>209</v>
      </c>
      <c r="D7624" s="9">
        <v>41947.553969907407</v>
      </c>
      <c r="E7624" t="s">
        <v>219</v>
      </c>
      <c r="F7624">
        <f t="shared" ca="1" si="240"/>
        <v>0.2361111111111111</v>
      </c>
      <c r="G7624">
        <f t="shared" ca="1" si="241"/>
        <v>1</v>
      </c>
    </row>
    <row r="7625" spans="1:7">
      <c r="A7625">
        <v>10321</v>
      </c>
      <c r="B7625" t="s">
        <v>212</v>
      </c>
      <c r="C7625" t="s">
        <v>209</v>
      </c>
      <c r="D7625" s="9">
        <v>41920.592164351852</v>
      </c>
      <c r="E7625" t="s">
        <v>214</v>
      </c>
      <c r="F7625">
        <f t="shared" ca="1" si="240"/>
        <v>0.30833333333333335</v>
      </c>
      <c r="G7625">
        <f t="shared" ca="1" si="241"/>
        <v>1</v>
      </c>
    </row>
    <row r="7626" spans="1:7">
      <c r="A7626">
        <v>10335</v>
      </c>
      <c r="B7626" t="s">
        <v>213</v>
      </c>
      <c r="C7626" t="s">
        <v>209</v>
      </c>
      <c r="D7626" s="9">
        <v>41934.462650462963</v>
      </c>
      <c r="E7626" t="s">
        <v>44</v>
      </c>
      <c r="F7626">
        <f t="shared" ca="1" si="240"/>
        <v>0.26944444444444443</v>
      </c>
      <c r="G7626">
        <f t="shared" ca="1" si="241"/>
        <v>1</v>
      </c>
    </row>
    <row r="7627" spans="1:7">
      <c r="A7627">
        <v>10353</v>
      </c>
      <c r="B7627" t="s">
        <v>8</v>
      </c>
      <c r="C7627" t="s">
        <v>209</v>
      </c>
      <c r="D7627" s="9">
        <v>41925.792129629626</v>
      </c>
      <c r="E7627" t="s">
        <v>59</v>
      </c>
      <c r="F7627">
        <f t="shared" ca="1" si="240"/>
        <v>0.29444444444444445</v>
      </c>
      <c r="G7627">
        <f t="shared" ca="1" si="241"/>
        <v>1</v>
      </c>
    </row>
    <row r="7628" spans="1:7">
      <c r="A7628">
        <v>10363</v>
      </c>
      <c r="B7628" t="s">
        <v>217</v>
      </c>
      <c r="C7628" t="s">
        <v>209</v>
      </c>
      <c r="D7628" s="9">
        <v>41926.853078703702</v>
      </c>
      <c r="F7628">
        <f t="shared" ca="1" si="240"/>
        <v>0.29166666666666669</v>
      </c>
      <c r="G7628">
        <f t="shared" ca="1" si="241"/>
        <v>1</v>
      </c>
    </row>
    <row r="7629" spans="1:7">
      <c r="A7629">
        <v>10373</v>
      </c>
      <c r="B7629" t="s">
        <v>215</v>
      </c>
      <c r="C7629" t="s">
        <v>209</v>
      </c>
      <c r="D7629" s="9">
        <v>41939.674108796295</v>
      </c>
      <c r="E7629" t="s">
        <v>211</v>
      </c>
      <c r="F7629">
        <f t="shared" ca="1" si="240"/>
        <v>0.25555555555555554</v>
      </c>
      <c r="G7629">
        <f t="shared" ca="1" si="241"/>
        <v>1</v>
      </c>
    </row>
    <row r="7630" spans="1:7">
      <c r="A7630">
        <v>10378</v>
      </c>
      <c r="B7630" t="s">
        <v>215</v>
      </c>
      <c r="C7630" t="s">
        <v>209</v>
      </c>
      <c r="D7630" s="9">
        <v>41929.454687500001</v>
      </c>
      <c r="E7630" t="s">
        <v>211</v>
      </c>
      <c r="F7630">
        <f t="shared" ca="1" si="240"/>
        <v>0.28333333333333333</v>
      </c>
      <c r="G7630">
        <f t="shared" ca="1" si="241"/>
        <v>1</v>
      </c>
    </row>
    <row r="7631" spans="1:7">
      <c r="A7631">
        <v>10397</v>
      </c>
      <c r="B7631" t="s">
        <v>214</v>
      </c>
      <c r="C7631" t="s">
        <v>209</v>
      </c>
      <c r="D7631" s="9">
        <v>41936.431192129632</v>
      </c>
      <c r="E7631" t="s">
        <v>213</v>
      </c>
      <c r="F7631">
        <f t="shared" ca="1" si="240"/>
        <v>0.2638888888888889</v>
      </c>
      <c r="G7631">
        <f t="shared" ca="1" si="241"/>
        <v>1</v>
      </c>
    </row>
    <row r="7632" spans="1:7">
      <c r="A7632">
        <v>10398</v>
      </c>
      <c r="B7632" t="s">
        <v>215</v>
      </c>
      <c r="C7632" t="s">
        <v>209</v>
      </c>
      <c r="D7632" s="9">
        <v>41934.652499999997</v>
      </c>
      <c r="E7632" t="s">
        <v>19</v>
      </c>
      <c r="F7632">
        <f t="shared" ca="1" si="240"/>
        <v>0.26944444444444443</v>
      </c>
      <c r="G7632">
        <f t="shared" ca="1" si="241"/>
        <v>1</v>
      </c>
    </row>
    <row r="7633" spans="1:7">
      <c r="A7633">
        <v>10402</v>
      </c>
      <c r="B7633" t="s">
        <v>212</v>
      </c>
      <c r="C7633" t="s">
        <v>209</v>
      </c>
      <c r="D7633" s="9">
        <v>41946.654432870368</v>
      </c>
      <c r="E7633" t="s">
        <v>44</v>
      </c>
      <c r="F7633">
        <f t="shared" ca="1" si="240"/>
        <v>0.2388888888888889</v>
      </c>
      <c r="G7633">
        <f t="shared" ca="1" si="241"/>
        <v>1</v>
      </c>
    </row>
    <row r="7634" spans="1:7">
      <c r="A7634">
        <v>10407</v>
      </c>
      <c r="B7634" t="s">
        <v>212</v>
      </c>
      <c r="C7634" t="s">
        <v>209</v>
      </c>
      <c r="D7634" s="9">
        <v>41935.712627314817</v>
      </c>
      <c r="E7634" t="s">
        <v>44</v>
      </c>
      <c r="F7634">
        <f t="shared" ca="1" si="240"/>
        <v>0.26666666666666666</v>
      </c>
      <c r="G7634">
        <f t="shared" ca="1" si="241"/>
        <v>1</v>
      </c>
    </row>
    <row r="7635" spans="1:7">
      <c r="A7635">
        <v>10415</v>
      </c>
      <c r="B7635" t="s">
        <v>212</v>
      </c>
      <c r="C7635" t="s">
        <v>209</v>
      </c>
      <c r="D7635" s="9">
        <v>41946.656493055554</v>
      </c>
      <c r="E7635" t="s">
        <v>44</v>
      </c>
      <c r="F7635">
        <f t="shared" ca="1" si="240"/>
        <v>0.2388888888888889</v>
      </c>
      <c r="G7635">
        <f t="shared" ca="1" si="241"/>
        <v>1</v>
      </c>
    </row>
    <row r="7636" spans="1:7">
      <c r="A7636">
        <v>10416</v>
      </c>
      <c r="B7636" t="s">
        <v>212</v>
      </c>
      <c r="C7636" t="s">
        <v>209</v>
      </c>
      <c r="D7636" s="9">
        <v>41935.707303240742</v>
      </c>
      <c r="E7636" t="s">
        <v>44</v>
      </c>
      <c r="F7636">
        <f t="shared" ca="1" si="240"/>
        <v>0.26666666666666666</v>
      </c>
      <c r="G7636">
        <f t="shared" ca="1" si="241"/>
        <v>1</v>
      </c>
    </row>
    <row r="7637" spans="1:7">
      <c r="A7637">
        <v>10424</v>
      </c>
      <c r="B7637" t="s">
        <v>212</v>
      </c>
      <c r="C7637" t="s">
        <v>209</v>
      </c>
      <c r="D7637" s="9">
        <v>41946.661851851852</v>
      </c>
      <c r="E7637" t="s">
        <v>44</v>
      </c>
      <c r="F7637">
        <f t="shared" ca="1" si="240"/>
        <v>0.2388888888888889</v>
      </c>
      <c r="G7637">
        <f t="shared" ca="1" si="241"/>
        <v>1</v>
      </c>
    </row>
    <row r="7638" spans="1:7">
      <c r="A7638">
        <v>10439</v>
      </c>
      <c r="B7638" t="s">
        <v>80</v>
      </c>
      <c r="C7638" t="s">
        <v>163</v>
      </c>
      <c r="D7638" s="9">
        <v>41940.844525462962</v>
      </c>
      <c r="F7638">
        <f t="shared" ca="1" si="240"/>
        <v>0.25277777777777777</v>
      </c>
      <c r="G7638">
        <f t="shared" ca="1" si="241"/>
        <v>1</v>
      </c>
    </row>
    <row r="7639" spans="1:7">
      <c r="A7639">
        <v>10440</v>
      </c>
      <c r="B7639" t="s">
        <v>215</v>
      </c>
      <c r="C7639" t="s">
        <v>209</v>
      </c>
      <c r="D7639" s="9">
        <v>41947.601585648146</v>
      </c>
      <c r="F7639">
        <f t="shared" ca="1" si="240"/>
        <v>0.2361111111111111</v>
      </c>
      <c r="G7639">
        <f t="shared" ca="1" si="241"/>
        <v>1</v>
      </c>
    </row>
    <row r="7640" spans="1:7">
      <c r="A7640">
        <v>10442</v>
      </c>
      <c r="B7640" t="s">
        <v>220</v>
      </c>
      <c r="C7640" t="s">
        <v>209</v>
      </c>
      <c r="D7640" s="9">
        <v>41954.513807870368</v>
      </c>
      <c r="E7640" t="s">
        <v>211</v>
      </c>
      <c r="F7640">
        <f t="shared" ca="1" si="240"/>
        <v>0.21666666666666667</v>
      </c>
      <c r="G7640">
        <f t="shared" ca="1" si="241"/>
        <v>1</v>
      </c>
    </row>
    <row r="7641" spans="1:7">
      <c r="A7641">
        <v>10457</v>
      </c>
      <c r="B7641" t="s">
        <v>215</v>
      </c>
      <c r="C7641" t="s">
        <v>209</v>
      </c>
      <c r="D7641" s="9">
        <v>41943.584293981483</v>
      </c>
      <c r="E7641" t="s">
        <v>211</v>
      </c>
      <c r="F7641">
        <f t="shared" ca="1" si="240"/>
        <v>0.24722222222222223</v>
      </c>
      <c r="G7641">
        <f t="shared" ca="1" si="241"/>
        <v>1</v>
      </c>
    </row>
    <row r="7642" spans="1:7">
      <c r="A7642">
        <v>10467</v>
      </c>
      <c r="B7642" t="s">
        <v>215</v>
      </c>
      <c r="C7642" t="s">
        <v>209</v>
      </c>
      <c r="D7642" s="9">
        <v>41943.632175925923</v>
      </c>
      <c r="E7642" t="s">
        <v>220</v>
      </c>
      <c r="F7642">
        <f t="shared" ca="1" si="240"/>
        <v>0.24722222222222223</v>
      </c>
      <c r="G7642">
        <f t="shared" ca="1" si="241"/>
        <v>1</v>
      </c>
    </row>
    <row r="7643" spans="1:7">
      <c r="A7643">
        <v>10495</v>
      </c>
      <c r="B7643" t="s">
        <v>215</v>
      </c>
      <c r="C7643" t="s">
        <v>209</v>
      </c>
      <c r="D7643" s="9">
        <v>41954.685740740744</v>
      </c>
      <c r="E7643" t="s">
        <v>211</v>
      </c>
      <c r="F7643">
        <f t="shared" ca="1" si="240"/>
        <v>0.21666666666666667</v>
      </c>
      <c r="G7643">
        <f t="shared" ca="1" si="241"/>
        <v>1</v>
      </c>
    </row>
    <row r="7644" spans="1:7">
      <c r="A7644">
        <v>10525</v>
      </c>
      <c r="B7644" t="s">
        <v>215</v>
      </c>
      <c r="C7644" t="s">
        <v>209</v>
      </c>
      <c r="D7644" s="9">
        <v>41954.691030092596</v>
      </c>
      <c r="E7644" t="s">
        <v>211</v>
      </c>
      <c r="F7644">
        <f t="shared" ca="1" si="240"/>
        <v>0.21666666666666667</v>
      </c>
      <c r="G7644">
        <f t="shared" ca="1" si="241"/>
        <v>1</v>
      </c>
    </row>
    <row r="7645" spans="1:7">
      <c r="A7645">
        <v>10529</v>
      </c>
      <c r="B7645" t="s">
        <v>19</v>
      </c>
      <c r="C7645" t="s">
        <v>209</v>
      </c>
      <c r="D7645" s="9">
        <v>41954.407314814816</v>
      </c>
      <c r="F7645">
        <f t="shared" ca="1" si="240"/>
        <v>0.21666666666666667</v>
      </c>
      <c r="G7645">
        <f t="shared" ca="1" si="241"/>
        <v>1</v>
      </c>
    </row>
    <row r="7646" spans="1:7">
      <c r="A7646">
        <v>10536</v>
      </c>
      <c r="B7646" t="s">
        <v>215</v>
      </c>
      <c r="C7646" t="s">
        <v>209</v>
      </c>
      <c r="D7646" s="9">
        <v>41955.712314814817</v>
      </c>
      <c r="E7646" t="s">
        <v>211</v>
      </c>
      <c r="F7646">
        <f t="shared" ca="1" si="240"/>
        <v>0.21388888888888888</v>
      </c>
      <c r="G7646">
        <f t="shared" ca="1" si="241"/>
        <v>1</v>
      </c>
    </row>
    <row r="7647" spans="1:7">
      <c r="A7647">
        <v>10548</v>
      </c>
      <c r="B7647" t="s">
        <v>215</v>
      </c>
      <c r="C7647" t="s">
        <v>209</v>
      </c>
      <c r="D7647" s="9">
        <v>41956.516539351855</v>
      </c>
      <c r="E7647" t="s">
        <v>211</v>
      </c>
      <c r="F7647">
        <f t="shared" ca="1" si="240"/>
        <v>0.21111111111111111</v>
      </c>
      <c r="G7647">
        <f t="shared" ca="1" si="241"/>
        <v>1</v>
      </c>
    </row>
    <row r="7648" spans="1:7">
      <c r="A7648">
        <v>13</v>
      </c>
      <c r="B7648" t="s">
        <v>112</v>
      </c>
      <c r="D7648" s="9">
        <v>41477.652800925927</v>
      </c>
      <c r="E7648" t="s">
        <v>111</v>
      </c>
      <c r="F7648">
        <f t="shared" ca="1" si="240"/>
        <v>1.5194444444444444</v>
      </c>
      <c r="G7648">
        <f t="shared" ca="1" si="241"/>
        <v>0</v>
      </c>
    </row>
    <row r="7649" spans="1:7">
      <c r="A7649">
        <v>73</v>
      </c>
      <c r="B7649" t="s">
        <v>11</v>
      </c>
      <c r="C7649" t="s">
        <v>141</v>
      </c>
      <c r="D7649" s="9">
        <v>39456.371099537035</v>
      </c>
      <c r="F7649">
        <f t="shared" ca="1" si="240"/>
        <v>7.0555555555555554</v>
      </c>
      <c r="G7649">
        <f t="shared" ca="1" si="241"/>
        <v>0</v>
      </c>
    </row>
    <row r="7650" spans="1:7">
      <c r="A7650">
        <v>100</v>
      </c>
      <c r="B7650" t="s">
        <v>112</v>
      </c>
      <c r="C7650" t="s">
        <v>133</v>
      </c>
      <c r="D7650" s="9">
        <v>40588.682002314818</v>
      </c>
      <c r="E7650" t="s">
        <v>38</v>
      </c>
      <c r="F7650">
        <f t="shared" ca="1" si="240"/>
        <v>3.9583333333333335</v>
      </c>
      <c r="G7650">
        <f t="shared" ca="1" si="241"/>
        <v>0</v>
      </c>
    </row>
    <row r="7651" spans="1:7">
      <c r="A7651">
        <v>143</v>
      </c>
      <c r="B7651" t="s">
        <v>99</v>
      </c>
      <c r="C7651" t="s">
        <v>140</v>
      </c>
      <c r="D7651" s="9">
        <v>40527.770312499997</v>
      </c>
      <c r="E7651" t="s">
        <v>11</v>
      </c>
      <c r="F7651">
        <f t="shared" ca="1" si="240"/>
        <v>4.1222222222222218</v>
      </c>
      <c r="G7651">
        <f t="shared" ca="1" si="241"/>
        <v>0</v>
      </c>
    </row>
    <row r="7652" spans="1:7">
      <c r="A7652">
        <v>380</v>
      </c>
      <c r="B7652" t="s">
        <v>112</v>
      </c>
      <c r="C7652" t="s">
        <v>139</v>
      </c>
      <c r="D7652" s="9">
        <v>40218.443923611114</v>
      </c>
      <c r="F7652">
        <f t="shared" ca="1" si="240"/>
        <v>4.9722222222222223</v>
      </c>
      <c r="G7652">
        <f t="shared" ca="1" si="241"/>
        <v>0</v>
      </c>
    </row>
    <row r="7653" spans="1:7">
      <c r="A7653">
        <v>641</v>
      </c>
      <c r="B7653" t="s">
        <v>34</v>
      </c>
      <c r="C7653" t="s">
        <v>138</v>
      </c>
      <c r="D7653" s="9">
        <v>39980.572245370371</v>
      </c>
      <c r="F7653">
        <f t="shared" ca="1" si="240"/>
        <v>5.6194444444444445</v>
      </c>
      <c r="G7653">
        <f t="shared" ca="1" si="241"/>
        <v>0</v>
      </c>
    </row>
    <row r="7654" spans="1:7">
      <c r="A7654">
        <v>872</v>
      </c>
      <c r="B7654" t="s">
        <v>11</v>
      </c>
      <c r="C7654" t="s">
        <v>137</v>
      </c>
      <c r="D7654" s="9">
        <v>40338.682129629633</v>
      </c>
      <c r="F7654">
        <f t="shared" ca="1" si="240"/>
        <v>4.6388888888888893</v>
      </c>
      <c r="G7654">
        <f t="shared" ca="1" si="241"/>
        <v>0</v>
      </c>
    </row>
    <row r="7655" spans="1:7">
      <c r="A7655">
        <v>874</v>
      </c>
      <c r="B7655" t="s">
        <v>34</v>
      </c>
      <c r="C7655" t="s">
        <v>136</v>
      </c>
      <c r="D7655" s="9">
        <v>40416.387523148151</v>
      </c>
      <c r="E7655" t="s">
        <v>44</v>
      </c>
      <c r="F7655">
        <f t="shared" ca="1" si="240"/>
        <v>4.4249999999999998</v>
      </c>
      <c r="G7655">
        <f t="shared" ca="1" si="241"/>
        <v>0</v>
      </c>
    </row>
    <row r="7656" spans="1:7">
      <c r="A7656">
        <v>1036</v>
      </c>
      <c r="B7656" t="s">
        <v>8</v>
      </c>
      <c r="C7656" t="s">
        <v>135</v>
      </c>
      <c r="D7656" s="9">
        <v>40275.411041666666</v>
      </c>
      <c r="F7656">
        <f t="shared" ca="1" si="240"/>
        <v>4.8111111111111109</v>
      </c>
      <c r="G7656">
        <f t="shared" ca="1" si="241"/>
        <v>0</v>
      </c>
    </row>
    <row r="7657" spans="1:7">
      <c r="A7657">
        <v>1104</v>
      </c>
      <c r="B7657" t="s">
        <v>38</v>
      </c>
      <c r="C7657" t="s">
        <v>135</v>
      </c>
      <c r="D7657" s="9">
        <v>40274.617245370369</v>
      </c>
      <c r="F7657">
        <f t="shared" ca="1" si="240"/>
        <v>4.8138888888888891</v>
      </c>
      <c r="G7657">
        <f t="shared" ca="1" si="241"/>
        <v>0</v>
      </c>
    </row>
    <row r="7658" spans="1:7">
      <c r="A7658">
        <v>1555</v>
      </c>
      <c r="B7658" t="s">
        <v>11</v>
      </c>
      <c r="C7658" t="s">
        <v>127</v>
      </c>
      <c r="D7658" s="9">
        <v>41029.467280092591</v>
      </c>
      <c r="E7658" t="s">
        <v>8</v>
      </c>
      <c r="F7658">
        <f t="shared" ca="1" si="240"/>
        <v>2.7472222222222222</v>
      </c>
      <c r="G7658">
        <f t="shared" ca="1" si="241"/>
        <v>0</v>
      </c>
    </row>
    <row r="7659" spans="1:7">
      <c r="A7659">
        <v>1606</v>
      </c>
      <c r="B7659" t="s">
        <v>20</v>
      </c>
      <c r="C7659" t="s">
        <v>134</v>
      </c>
      <c r="D7659" s="9">
        <v>40484.727314814816</v>
      </c>
      <c r="E7659" t="s">
        <v>99</v>
      </c>
      <c r="F7659">
        <f t="shared" ca="1" si="240"/>
        <v>4.2416666666666663</v>
      </c>
      <c r="G7659">
        <f t="shared" ca="1" si="241"/>
        <v>0</v>
      </c>
    </row>
    <row r="7660" spans="1:7">
      <c r="A7660">
        <v>2045</v>
      </c>
      <c r="B7660" t="s">
        <v>77</v>
      </c>
      <c r="C7660" t="s">
        <v>133</v>
      </c>
      <c r="D7660" s="9">
        <v>40589.450787037036</v>
      </c>
      <c r="E7660" t="s">
        <v>131</v>
      </c>
      <c r="F7660">
        <f t="shared" ca="1" si="240"/>
        <v>3.9555555555555557</v>
      </c>
      <c r="G7660">
        <f t="shared" ca="1" si="241"/>
        <v>0</v>
      </c>
    </row>
    <row r="7661" spans="1:7">
      <c r="A7661">
        <v>2071</v>
      </c>
      <c r="B7661" t="s">
        <v>34</v>
      </c>
      <c r="C7661" t="s">
        <v>129</v>
      </c>
      <c r="D7661" s="9">
        <v>40805.568171296298</v>
      </c>
      <c r="E7661" t="s">
        <v>32</v>
      </c>
      <c r="F7661">
        <f t="shared" ca="1" si="240"/>
        <v>3.3611111111111112</v>
      </c>
      <c r="G7661">
        <f t="shared" ca="1" si="241"/>
        <v>0</v>
      </c>
    </row>
    <row r="7662" spans="1:7">
      <c r="A7662">
        <v>2235</v>
      </c>
      <c r="B7662" t="s">
        <v>32</v>
      </c>
      <c r="C7662" t="s">
        <v>133</v>
      </c>
      <c r="D7662" s="9">
        <v>40590.661400462966</v>
      </c>
      <c r="E7662" t="s">
        <v>131</v>
      </c>
      <c r="F7662">
        <f t="shared" ca="1" si="240"/>
        <v>3.9527777777777779</v>
      </c>
      <c r="G7662">
        <f t="shared" ca="1" si="241"/>
        <v>0</v>
      </c>
    </row>
    <row r="7663" spans="1:7">
      <c r="A7663">
        <v>2243</v>
      </c>
      <c r="B7663" t="s">
        <v>131</v>
      </c>
      <c r="C7663" t="s">
        <v>133</v>
      </c>
      <c r="D7663" s="9">
        <v>40591.570347222223</v>
      </c>
      <c r="E7663" t="s">
        <v>19</v>
      </c>
      <c r="F7663">
        <f t="shared" ca="1" si="240"/>
        <v>3.95</v>
      </c>
      <c r="G7663">
        <f t="shared" ca="1" si="241"/>
        <v>0</v>
      </c>
    </row>
    <row r="7664" spans="1:7">
      <c r="A7664">
        <v>2247</v>
      </c>
      <c r="B7664" t="s">
        <v>99</v>
      </c>
      <c r="C7664" t="s">
        <v>133</v>
      </c>
      <c r="D7664" s="9">
        <v>40591.566562499997</v>
      </c>
      <c r="E7664" t="s">
        <v>32</v>
      </c>
      <c r="F7664">
        <f t="shared" ca="1" si="240"/>
        <v>3.95</v>
      </c>
      <c r="G7664">
        <f t="shared" ca="1" si="241"/>
        <v>0</v>
      </c>
    </row>
    <row r="7665" spans="1:7">
      <c r="A7665">
        <v>2258</v>
      </c>
      <c r="B7665" t="s">
        <v>8</v>
      </c>
      <c r="C7665" t="s">
        <v>132</v>
      </c>
      <c r="D7665" s="9">
        <v>40660.454907407409</v>
      </c>
      <c r="E7665" t="s">
        <v>131</v>
      </c>
      <c r="F7665">
        <f t="shared" ca="1" si="240"/>
        <v>3.7555555555555555</v>
      </c>
      <c r="G7665">
        <f t="shared" ca="1" si="241"/>
        <v>0</v>
      </c>
    </row>
    <row r="7666" spans="1:7">
      <c r="A7666">
        <v>2293</v>
      </c>
      <c r="B7666" t="s">
        <v>131</v>
      </c>
      <c r="C7666" t="s">
        <v>133</v>
      </c>
      <c r="D7666" s="9">
        <v>40590.500856481478</v>
      </c>
      <c r="E7666" t="s">
        <v>102</v>
      </c>
      <c r="F7666">
        <f t="shared" ca="1" si="240"/>
        <v>3.9527777777777779</v>
      </c>
      <c r="G7666">
        <f t="shared" ca="1" si="241"/>
        <v>0</v>
      </c>
    </row>
    <row r="7667" spans="1:7">
      <c r="A7667">
        <v>2319</v>
      </c>
      <c r="B7667" t="s">
        <v>111</v>
      </c>
      <c r="C7667" t="s">
        <v>133</v>
      </c>
      <c r="D7667" s="9">
        <v>40589.824189814812</v>
      </c>
      <c r="E7667" t="s">
        <v>99</v>
      </c>
      <c r="F7667">
        <f t="shared" ca="1" si="240"/>
        <v>3.9555555555555557</v>
      </c>
      <c r="G7667">
        <f t="shared" ca="1" si="241"/>
        <v>0</v>
      </c>
    </row>
    <row r="7668" spans="1:7">
      <c r="A7668">
        <v>2349</v>
      </c>
      <c r="B7668" t="s">
        <v>8</v>
      </c>
      <c r="C7668" t="s">
        <v>132</v>
      </c>
      <c r="D7668" s="9">
        <v>40660.706597222219</v>
      </c>
      <c r="E7668" t="s">
        <v>131</v>
      </c>
      <c r="F7668">
        <f t="shared" ca="1" si="240"/>
        <v>3.7555555555555555</v>
      </c>
      <c r="G7668">
        <f t="shared" ca="1" si="241"/>
        <v>0</v>
      </c>
    </row>
    <row r="7669" spans="1:7">
      <c r="A7669">
        <v>2387</v>
      </c>
      <c r="B7669" t="s">
        <v>99</v>
      </c>
      <c r="C7669" t="s">
        <v>133</v>
      </c>
      <c r="D7669" s="9">
        <v>40590.779733796298</v>
      </c>
      <c r="E7669" t="s">
        <v>36</v>
      </c>
      <c r="F7669">
        <f t="shared" ca="1" si="240"/>
        <v>3.9527777777777779</v>
      </c>
      <c r="G7669">
        <f t="shared" ca="1" si="241"/>
        <v>0</v>
      </c>
    </row>
    <row r="7670" spans="1:7">
      <c r="A7670">
        <v>2426</v>
      </c>
      <c r="B7670" t="s">
        <v>99</v>
      </c>
      <c r="C7670" t="s">
        <v>130</v>
      </c>
      <c r="D7670" s="9">
        <v>40723.818402777775</v>
      </c>
      <c r="E7670" t="s">
        <v>8</v>
      </c>
      <c r="F7670">
        <f t="shared" ca="1" si="240"/>
        <v>3.5833333333333335</v>
      </c>
      <c r="G7670">
        <f t="shared" ca="1" si="241"/>
        <v>0</v>
      </c>
    </row>
    <row r="7671" spans="1:7">
      <c r="A7671">
        <v>2449</v>
      </c>
      <c r="B7671" t="s">
        <v>99</v>
      </c>
      <c r="C7671" t="s">
        <v>133</v>
      </c>
      <c r="D7671" s="9">
        <v>40591.790983796294</v>
      </c>
      <c r="E7671" t="s">
        <v>131</v>
      </c>
      <c r="F7671">
        <f t="shared" ca="1" si="240"/>
        <v>3.95</v>
      </c>
      <c r="G7671">
        <f t="shared" ca="1" si="241"/>
        <v>0</v>
      </c>
    </row>
    <row r="7672" spans="1:7">
      <c r="A7672">
        <v>2451</v>
      </c>
      <c r="B7672" t="s">
        <v>11</v>
      </c>
      <c r="C7672" t="s">
        <v>132</v>
      </c>
      <c r="D7672" s="9">
        <v>40666.757708333331</v>
      </c>
      <c r="E7672" t="s">
        <v>38</v>
      </c>
      <c r="F7672">
        <f t="shared" ca="1" si="240"/>
        <v>3.7388888888888889</v>
      </c>
      <c r="G7672">
        <f t="shared" ca="1" si="241"/>
        <v>0</v>
      </c>
    </row>
    <row r="7673" spans="1:7">
      <c r="A7673">
        <v>2501</v>
      </c>
      <c r="B7673" t="s">
        <v>38</v>
      </c>
      <c r="C7673" t="s">
        <v>132</v>
      </c>
      <c r="D7673" s="9">
        <v>40668.352696759262</v>
      </c>
      <c r="E7673" t="s">
        <v>131</v>
      </c>
      <c r="F7673">
        <f t="shared" ca="1" si="240"/>
        <v>3.7333333333333334</v>
      </c>
      <c r="G7673">
        <f t="shared" ca="1" si="241"/>
        <v>0</v>
      </c>
    </row>
    <row r="7674" spans="1:7">
      <c r="A7674">
        <v>2522</v>
      </c>
      <c r="B7674" t="s">
        <v>8</v>
      </c>
      <c r="C7674" t="s">
        <v>120</v>
      </c>
      <c r="D7674" s="9">
        <v>41558.586967592593</v>
      </c>
      <c r="E7674" t="s">
        <v>20</v>
      </c>
      <c r="F7674">
        <f t="shared" ca="1" si="240"/>
        <v>1.3</v>
      </c>
      <c r="G7674">
        <f t="shared" ca="1" si="241"/>
        <v>0</v>
      </c>
    </row>
    <row r="7675" spans="1:7">
      <c r="A7675">
        <v>2610</v>
      </c>
      <c r="B7675" t="s">
        <v>11</v>
      </c>
      <c r="C7675" t="s">
        <v>132</v>
      </c>
      <c r="D7675" s="9">
        <v>40667.718958333331</v>
      </c>
      <c r="E7675" t="s">
        <v>19</v>
      </c>
      <c r="F7675">
        <f t="shared" ca="1" si="240"/>
        <v>3.7361111111111112</v>
      </c>
      <c r="G7675">
        <f t="shared" ca="1" si="241"/>
        <v>0</v>
      </c>
    </row>
    <row r="7676" spans="1:7">
      <c r="A7676">
        <v>2629</v>
      </c>
      <c r="B7676" t="s">
        <v>20</v>
      </c>
      <c r="C7676" t="s">
        <v>132</v>
      </c>
      <c r="D7676" s="9">
        <v>40662.798321759263</v>
      </c>
      <c r="E7676" t="s">
        <v>99</v>
      </c>
      <c r="F7676">
        <f t="shared" ca="1" si="240"/>
        <v>3.75</v>
      </c>
      <c r="G7676">
        <f t="shared" ca="1" si="241"/>
        <v>0</v>
      </c>
    </row>
    <row r="7677" spans="1:7">
      <c r="A7677">
        <v>2676</v>
      </c>
      <c r="B7677" t="s">
        <v>32</v>
      </c>
      <c r="C7677" t="s">
        <v>132</v>
      </c>
      <c r="D7677" s="9">
        <v>40660.462592592594</v>
      </c>
      <c r="E7677" t="s">
        <v>131</v>
      </c>
      <c r="F7677">
        <f t="shared" ca="1" si="240"/>
        <v>3.7555555555555555</v>
      </c>
      <c r="G7677">
        <f t="shared" ca="1" si="241"/>
        <v>0</v>
      </c>
    </row>
    <row r="7678" spans="1:7">
      <c r="A7678">
        <v>2715</v>
      </c>
      <c r="B7678" t="s">
        <v>20</v>
      </c>
      <c r="C7678" t="s">
        <v>132</v>
      </c>
      <c r="D7678" s="9">
        <v>40660.686122685183</v>
      </c>
      <c r="E7678" t="s">
        <v>131</v>
      </c>
      <c r="F7678">
        <f t="shared" ca="1" si="240"/>
        <v>3.7555555555555555</v>
      </c>
      <c r="G7678">
        <f t="shared" ca="1" si="241"/>
        <v>0</v>
      </c>
    </row>
    <row r="7679" spans="1:7">
      <c r="A7679">
        <v>2735</v>
      </c>
      <c r="B7679" t="s">
        <v>131</v>
      </c>
      <c r="C7679" t="s">
        <v>132</v>
      </c>
      <c r="D7679" s="9">
        <v>40661.108749999999</v>
      </c>
      <c r="E7679" t="s">
        <v>38</v>
      </c>
      <c r="F7679">
        <f t="shared" ca="1" si="240"/>
        <v>3.7527777777777778</v>
      </c>
      <c r="G7679">
        <f t="shared" ca="1" si="241"/>
        <v>0</v>
      </c>
    </row>
    <row r="7680" spans="1:7">
      <c r="A7680">
        <v>2892</v>
      </c>
      <c r="C7680" t="s">
        <v>130</v>
      </c>
      <c r="D7680" s="9">
        <v>40721.83489583333</v>
      </c>
      <c r="E7680" t="s">
        <v>27</v>
      </c>
      <c r="F7680">
        <f t="shared" ca="1" si="240"/>
        <v>3.588888888888889</v>
      </c>
      <c r="G7680">
        <f t="shared" ca="1" si="241"/>
        <v>0</v>
      </c>
    </row>
    <row r="7681" spans="1:7">
      <c r="A7681">
        <v>2923</v>
      </c>
      <c r="B7681" t="s">
        <v>8</v>
      </c>
      <c r="C7681" t="s">
        <v>132</v>
      </c>
      <c r="D7681" s="9">
        <v>40669.380648148152</v>
      </c>
      <c r="E7681" t="s">
        <v>131</v>
      </c>
      <c r="F7681">
        <f t="shared" ca="1" si="240"/>
        <v>3.7305555555555556</v>
      </c>
      <c r="G7681">
        <f t="shared" ca="1" si="241"/>
        <v>0</v>
      </c>
    </row>
    <row r="7682" spans="1:7">
      <c r="A7682">
        <v>2936</v>
      </c>
      <c r="B7682" t="s">
        <v>112</v>
      </c>
      <c r="C7682" t="s">
        <v>130</v>
      </c>
      <c r="D7682" s="9">
        <v>40721.193229166667</v>
      </c>
      <c r="E7682" t="s">
        <v>38</v>
      </c>
      <c r="F7682">
        <f t="shared" ca="1" si="240"/>
        <v>3.588888888888889</v>
      </c>
      <c r="G7682">
        <f t="shared" ca="1" si="241"/>
        <v>0</v>
      </c>
    </row>
    <row r="7683" spans="1:7">
      <c r="A7683">
        <v>2942</v>
      </c>
      <c r="B7683" t="s">
        <v>8</v>
      </c>
      <c r="C7683" t="s">
        <v>130</v>
      </c>
      <c r="D7683" s="9">
        <v>40721.190312500003</v>
      </c>
      <c r="E7683" t="s">
        <v>38</v>
      </c>
      <c r="F7683">
        <f t="shared" ca="1" si="240"/>
        <v>3.588888888888889</v>
      </c>
      <c r="G7683">
        <f t="shared" ca="1" si="241"/>
        <v>0</v>
      </c>
    </row>
    <row r="7684" spans="1:7">
      <c r="A7684">
        <v>3085</v>
      </c>
      <c r="B7684" t="s">
        <v>112</v>
      </c>
      <c r="C7684" t="s">
        <v>130</v>
      </c>
      <c r="D7684" s="9">
        <v>40721.819444444445</v>
      </c>
      <c r="E7684" t="s">
        <v>27</v>
      </c>
      <c r="F7684">
        <f t="shared" ca="1" si="240"/>
        <v>3.588888888888889</v>
      </c>
      <c r="G7684">
        <f t="shared" ca="1" si="241"/>
        <v>0</v>
      </c>
    </row>
    <row r="7685" spans="1:7">
      <c r="A7685">
        <v>3107</v>
      </c>
      <c r="B7685" t="s">
        <v>111</v>
      </c>
      <c r="C7685" t="s">
        <v>130</v>
      </c>
      <c r="D7685" s="9">
        <v>40721.685497685183</v>
      </c>
      <c r="E7685" t="s">
        <v>38</v>
      </c>
      <c r="F7685">
        <f t="shared" ca="1" si="240"/>
        <v>3.588888888888889</v>
      </c>
      <c r="G7685">
        <f t="shared" ca="1" si="241"/>
        <v>0</v>
      </c>
    </row>
    <row r="7686" spans="1:7">
      <c r="A7686">
        <v>3132</v>
      </c>
      <c r="B7686" t="s">
        <v>112</v>
      </c>
      <c r="C7686" t="s">
        <v>130</v>
      </c>
      <c r="D7686" s="9">
        <v>40721.718043981484</v>
      </c>
      <c r="E7686" t="s">
        <v>38</v>
      </c>
      <c r="F7686">
        <f t="shared" ca="1" si="240"/>
        <v>3.588888888888889</v>
      </c>
      <c r="G7686">
        <f t="shared" ca="1" si="241"/>
        <v>0</v>
      </c>
    </row>
    <row r="7687" spans="1:7">
      <c r="A7687">
        <v>3159</v>
      </c>
      <c r="B7687" t="s">
        <v>112</v>
      </c>
      <c r="C7687" t="s">
        <v>130</v>
      </c>
      <c r="D7687" s="9">
        <v>40721.680173611108</v>
      </c>
      <c r="E7687" t="s">
        <v>38</v>
      </c>
      <c r="F7687">
        <f t="shared" ref="F7687:F7750" ca="1" si="242">YEARFRAC(TODAY(),$D7687)</f>
        <v>3.588888888888889</v>
      </c>
      <c r="G7687">
        <f t="shared" ref="G7687:G7750" ca="1" si="243">IF($F7687&lt;1,1,0)</f>
        <v>0</v>
      </c>
    </row>
    <row r="7688" spans="1:7">
      <c r="A7688">
        <v>3256</v>
      </c>
      <c r="B7688" t="s">
        <v>99</v>
      </c>
      <c r="C7688" t="s">
        <v>128</v>
      </c>
      <c r="D7688" s="9">
        <v>40917.689155092594</v>
      </c>
      <c r="E7688" t="s">
        <v>21</v>
      </c>
      <c r="F7688">
        <f t="shared" ca="1" si="242"/>
        <v>3.0555555555555554</v>
      </c>
      <c r="G7688">
        <f t="shared" ca="1" si="243"/>
        <v>0</v>
      </c>
    </row>
    <row r="7689" spans="1:7">
      <c r="A7689">
        <v>3502</v>
      </c>
      <c r="B7689" t="s">
        <v>20</v>
      </c>
      <c r="C7689" t="s">
        <v>122</v>
      </c>
      <c r="D7689" s="9">
        <v>41334.55673611111</v>
      </c>
      <c r="E7689" t="s">
        <v>32</v>
      </c>
      <c r="F7689">
        <f t="shared" ca="1" si="242"/>
        <v>1.9111111111111112</v>
      </c>
      <c r="G7689">
        <f t="shared" ca="1" si="243"/>
        <v>0</v>
      </c>
    </row>
    <row r="7690" spans="1:7">
      <c r="A7690">
        <v>3550</v>
      </c>
      <c r="B7690" t="s">
        <v>11</v>
      </c>
      <c r="C7690" t="s">
        <v>129</v>
      </c>
      <c r="D7690" s="9">
        <v>40805.618055555555</v>
      </c>
      <c r="E7690" t="s">
        <v>8</v>
      </c>
      <c r="F7690">
        <f t="shared" ca="1" si="242"/>
        <v>3.3611111111111112</v>
      </c>
      <c r="G7690">
        <f t="shared" ca="1" si="243"/>
        <v>0</v>
      </c>
    </row>
    <row r="7691" spans="1:7">
      <c r="A7691">
        <v>3559</v>
      </c>
      <c r="B7691" t="s">
        <v>99</v>
      </c>
      <c r="C7691" t="s">
        <v>129</v>
      </c>
      <c r="D7691" s="9">
        <v>40805.561979166669</v>
      </c>
      <c r="E7691" t="s">
        <v>32</v>
      </c>
      <c r="F7691">
        <f t="shared" ca="1" si="242"/>
        <v>3.3611111111111112</v>
      </c>
      <c r="G7691">
        <f t="shared" ca="1" si="243"/>
        <v>0</v>
      </c>
    </row>
    <row r="7692" spans="1:7">
      <c r="A7692">
        <v>3573</v>
      </c>
      <c r="B7692" t="s">
        <v>99</v>
      </c>
      <c r="C7692" t="s">
        <v>129</v>
      </c>
      <c r="D7692" s="9">
        <v>40805.710555555554</v>
      </c>
      <c r="E7692" t="s">
        <v>8</v>
      </c>
      <c r="F7692">
        <f t="shared" ca="1" si="242"/>
        <v>3.3611111111111112</v>
      </c>
      <c r="G7692">
        <f t="shared" ca="1" si="243"/>
        <v>0</v>
      </c>
    </row>
    <row r="7693" spans="1:7">
      <c r="A7693">
        <v>3600</v>
      </c>
      <c r="B7693" t="s">
        <v>11</v>
      </c>
      <c r="C7693" t="s">
        <v>129</v>
      </c>
      <c r="D7693" s="9">
        <v>40805.616782407407</v>
      </c>
      <c r="E7693" t="s">
        <v>8</v>
      </c>
      <c r="F7693">
        <f t="shared" ca="1" si="242"/>
        <v>3.3611111111111112</v>
      </c>
      <c r="G7693">
        <f t="shared" ca="1" si="243"/>
        <v>0</v>
      </c>
    </row>
    <row r="7694" spans="1:7">
      <c r="A7694">
        <v>3744</v>
      </c>
      <c r="B7694" t="s">
        <v>11</v>
      </c>
      <c r="C7694" t="s">
        <v>128</v>
      </c>
      <c r="D7694" s="9">
        <v>40918.466238425928</v>
      </c>
      <c r="E7694" t="s">
        <v>112</v>
      </c>
      <c r="F7694">
        <f t="shared" ca="1" si="242"/>
        <v>3.0527777777777776</v>
      </c>
      <c r="G7694">
        <f t="shared" ca="1" si="243"/>
        <v>0</v>
      </c>
    </row>
    <row r="7695" spans="1:7">
      <c r="A7695">
        <v>3754</v>
      </c>
      <c r="B7695" t="s">
        <v>11</v>
      </c>
      <c r="C7695" t="s">
        <v>125</v>
      </c>
      <c r="D7695" s="9">
        <v>41211.645127314812</v>
      </c>
      <c r="E7695" t="s">
        <v>20</v>
      </c>
      <c r="F7695">
        <f t="shared" ca="1" si="242"/>
        <v>2.25</v>
      </c>
      <c r="G7695">
        <f t="shared" ca="1" si="243"/>
        <v>0</v>
      </c>
    </row>
    <row r="7696" spans="1:7">
      <c r="A7696">
        <v>3768</v>
      </c>
      <c r="B7696" t="s">
        <v>99</v>
      </c>
      <c r="C7696" t="s">
        <v>129</v>
      </c>
      <c r="D7696" s="9">
        <v>40806.800439814811</v>
      </c>
      <c r="E7696" t="s">
        <v>27</v>
      </c>
      <c r="F7696">
        <f t="shared" ca="1" si="242"/>
        <v>3.3583333333333334</v>
      </c>
      <c r="G7696">
        <f t="shared" ca="1" si="243"/>
        <v>0</v>
      </c>
    </row>
    <row r="7697" spans="1:7">
      <c r="A7697">
        <v>3771</v>
      </c>
      <c r="B7697" t="s">
        <v>99</v>
      </c>
      <c r="C7697" t="s">
        <v>128</v>
      </c>
      <c r="D7697" s="9">
        <v>40918.760682870372</v>
      </c>
      <c r="E7697" t="s">
        <v>32</v>
      </c>
      <c r="F7697">
        <f t="shared" ca="1" si="242"/>
        <v>3.0527777777777776</v>
      </c>
      <c r="G7697">
        <f t="shared" ca="1" si="243"/>
        <v>0</v>
      </c>
    </row>
    <row r="7698" spans="1:7">
      <c r="A7698">
        <v>3777</v>
      </c>
      <c r="B7698" t="s">
        <v>23</v>
      </c>
      <c r="C7698" t="s">
        <v>129</v>
      </c>
      <c r="D7698" s="9">
        <v>40807.834907407407</v>
      </c>
      <c r="E7698" t="s">
        <v>11</v>
      </c>
      <c r="F7698">
        <f t="shared" ca="1" si="242"/>
        <v>3.3555555555555556</v>
      </c>
      <c r="G7698">
        <f t="shared" ca="1" si="243"/>
        <v>0</v>
      </c>
    </row>
    <row r="7699" spans="1:7">
      <c r="A7699">
        <v>3887</v>
      </c>
      <c r="B7699" t="s">
        <v>20</v>
      </c>
      <c r="C7699" t="s">
        <v>128</v>
      </c>
      <c r="D7699" s="9">
        <v>40918.748819444445</v>
      </c>
      <c r="E7699" t="s">
        <v>32</v>
      </c>
      <c r="F7699">
        <f t="shared" ca="1" si="242"/>
        <v>3.0527777777777776</v>
      </c>
      <c r="G7699">
        <f t="shared" ca="1" si="243"/>
        <v>0</v>
      </c>
    </row>
    <row r="7700" spans="1:7">
      <c r="A7700">
        <v>4027</v>
      </c>
      <c r="B7700" t="s">
        <v>99</v>
      </c>
      <c r="C7700" t="s">
        <v>128</v>
      </c>
      <c r="D7700" s="9">
        <v>40919.639097222222</v>
      </c>
      <c r="E7700" t="s">
        <v>21</v>
      </c>
      <c r="F7700">
        <f t="shared" ca="1" si="242"/>
        <v>3.05</v>
      </c>
      <c r="G7700">
        <f t="shared" ca="1" si="243"/>
        <v>0</v>
      </c>
    </row>
    <row r="7701" spans="1:7">
      <c r="A7701">
        <v>4115</v>
      </c>
      <c r="B7701" t="s">
        <v>99</v>
      </c>
      <c r="C7701" t="s">
        <v>128</v>
      </c>
      <c r="D7701" s="9">
        <v>40917.94971064815</v>
      </c>
      <c r="E7701" t="s">
        <v>27</v>
      </c>
      <c r="F7701">
        <f t="shared" ca="1" si="242"/>
        <v>3.0555555555555554</v>
      </c>
      <c r="G7701">
        <f t="shared" ca="1" si="243"/>
        <v>0</v>
      </c>
    </row>
    <row r="7702" spans="1:7">
      <c r="A7702">
        <v>4184</v>
      </c>
      <c r="B7702" t="s">
        <v>99</v>
      </c>
      <c r="C7702" t="s">
        <v>128</v>
      </c>
      <c r="D7702" s="9">
        <v>40960.751296296294</v>
      </c>
      <c r="E7702" t="s">
        <v>32</v>
      </c>
      <c r="F7702">
        <f t="shared" ca="1" si="242"/>
        <v>2.9388888888888891</v>
      </c>
      <c r="G7702">
        <f t="shared" ca="1" si="243"/>
        <v>0</v>
      </c>
    </row>
    <row r="7703" spans="1:7">
      <c r="A7703">
        <v>4279</v>
      </c>
      <c r="B7703" t="s">
        <v>36</v>
      </c>
      <c r="C7703" t="s">
        <v>128</v>
      </c>
      <c r="D7703" s="9">
        <v>40920.407199074078</v>
      </c>
      <c r="E7703" t="s">
        <v>37</v>
      </c>
      <c r="F7703">
        <f t="shared" ca="1" si="242"/>
        <v>3.0472222222222221</v>
      </c>
      <c r="G7703">
        <f t="shared" ca="1" si="243"/>
        <v>0</v>
      </c>
    </row>
    <row r="7704" spans="1:7">
      <c r="A7704">
        <v>4380</v>
      </c>
      <c r="B7704" t="s">
        <v>99</v>
      </c>
      <c r="C7704" t="s">
        <v>128</v>
      </c>
      <c r="D7704" s="9">
        <v>40918.675254629627</v>
      </c>
      <c r="E7704" t="s">
        <v>27</v>
      </c>
      <c r="F7704">
        <f t="shared" ca="1" si="242"/>
        <v>3.0527777777777776</v>
      </c>
      <c r="G7704">
        <f t="shared" ca="1" si="243"/>
        <v>0</v>
      </c>
    </row>
    <row r="7705" spans="1:7">
      <c r="A7705">
        <v>4396</v>
      </c>
      <c r="B7705" t="s">
        <v>99</v>
      </c>
      <c r="C7705" t="s">
        <v>128</v>
      </c>
      <c r="D7705" s="9">
        <v>40919.74359953704</v>
      </c>
      <c r="E7705" t="s">
        <v>43</v>
      </c>
      <c r="F7705">
        <f t="shared" ca="1" si="242"/>
        <v>3.05</v>
      </c>
      <c r="G7705">
        <f t="shared" ca="1" si="243"/>
        <v>0</v>
      </c>
    </row>
    <row r="7706" spans="1:7">
      <c r="A7706">
        <v>4404</v>
      </c>
      <c r="B7706" t="s">
        <v>99</v>
      </c>
      <c r="C7706" t="s">
        <v>128</v>
      </c>
      <c r="D7706" s="9">
        <v>40918.447465277779</v>
      </c>
      <c r="E7706" t="s">
        <v>19</v>
      </c>
      <c r="F7706">
        <f t="shared" ca="1" si="242"/>
        <v>3.0527777777777776</v>
      </c>
      <c r="G7706">
        <f t="shared" ca="1" si="243"/>
        <v>0</v>
      </c>
    </row>
    <row r="7707" spans="1:7">
      <c r="A7707">
        <v>4676</v>
      </c>
      <c r="B7707" t="s">
        <v>99</v>
      </c>
      <c r="C7707" t="s">
        <v>127</v>
      </c>
      <c r="D7707" s="9">
        <v>41030.934363425928</v>
      </c>
      <c r="E7707" t="s">
        <v>36</v>
      </c>
      <c r="F7707">
        <f t="shared" ca="1" si="242"/>
        <v>2.7444444444444445</v>
      </c>
      <c r="G7707">
        <f t="shared" ca="1" si="243"/>
        <v>0</v>
      </c>
    </row>
    <row r="7708" spans="1:7">
      <c r="A7708">
        <v>4765</v>
      </c>
      <c r="B7708" t="s">
        <v>11</v>
      </c>
      <c r="C7708" t="s">
        <v>127</v>
      </c>
      <c r="D7708" s="9">
        <v>41029.694479166668</v>
      </c>
      <c r="E7708" t="s">
        <v>43</v>
      </c>
      <c r="F7708">
        <f t="shared" ca="1" si="242"/>
        <v>2.7472222222222222</v>
      </c>
      <c r="G7708">
        <f t="shared" ca="1" si="243"/>
        <v>0</v>
      </c>
    </row>
    <row r="7709" spans="1:7">
      <c r="A7709">
        <v>4779</v>
      </c>
      <c r="B7709" t="s">
        <v>11</v>
      </c>
      <c r="C7709" t="s">
        <v>127</v>
      </c>
      <c r="D7709" s="9">
        <v>41029.464525462965</v>
      </c>
      <c r="E7709" t="s">
        <v>8</v>
      </c>
      <c r="F7709">
        <f t="shared" ca="1" si="242"/>
        <v>2.7472222222222222</v>
      </c>
      <c r="G7709">
        <f t="shared" ca="1" si="243"/>
        <v>0</v>
      </c>
    </row>
    <row r="7710" spans="1:7">
      <c r="A7710">
        <v>4840</v>
      </c>
      <c r="B7710" t="s">
        <v>23</v>
      </c>
      <c r="C7710" t="s">
        <v>127</v>
      </c>
      <c r="D7710" s="9">
        <v>41029.903148148151</v>
      </c>
      <c r="E7710" t="s">
        <v>43</v>
      </c>
      <c r="F7710">
        <f t="shared" ca="1" si="242"/>
        <v>2.7472222222222222</v>
      </c>
      <c r="G7710">
        <f t="shared" ca="1" si="243"/>
        <v>0</v>
      </c>
    </row>
    <row r="7711" spans="1:7">
      <c r="A7711">
        <v>4851</v>
      </c>
      <c r="B7711" t="s">
        <v>99</v>
      </c>
      <c r="C7711" t="s">
        <v>127</v>
      </c>
      <c r="D7711" s="9">
        <v>41029.708043981482</v>
      </c>
      <c r="E7711" t="s">
        <v>43</v>
      </c>
      <c r="F7711">
        <f t="shared" ca="1" si="242"/>
        <v>2.7472222222222222</v>
      </c>
      <c r="G7711">
        <f t="shared" ca="1" si="243"/>
        <v>0</v>
      </c>
    </row>
    <row r="7712" spans="1:7">
      <c r="A7712">
        <v>4883</v>
      </c>
      <c r="B7712" t="s">
        <v>38</v>
      </c>
      <c r="C7712" t="s">
        <v>127</v>
      </c>
      <c r="D7712" s="9">
        <v>41029.462881944448</v>
      </c>
      <c r="E7712" t="s">
        <v>8</v>
      </c>
      <c r="F7712">
        <f t="shared" ca="1" si="242"/>
        <v>2.7472222222222222</v>
      </c>
      <c r="G7712">
        <f t="shared" ca="1" si="243"/>
        <v>0</v>
      </c>
    </row>
    <row r="7713" spans="1:7">
      <c r="A7713">
        <v>4948</v>
      </c>
      <c r="B7713" t="s">
        <v>99</v>
      </c>
      <c r="C7713" t="s">
        <v>127</v>
      </c>
      <c r="D7713" s="9">
        <v>41029.848993055559</v>
      </c>
      <c r="E7713" t="s">
        <v>27</v>
      </c>
      <c r="F7713">
        <f t="shared" ca="1" si="242"/>
        <v>2.7472222222222222</v>
      </c>
      <c r="G7713">
        <f t="shared" ca="1" si="243"/>
        <v>0</v>
      </c>
    </row>
    <row r="7714" spans="1:7">
      <c r="A7714">
        <v>4961</v>
      </c>
      <c r="B7714" t="s">
        <v>11</v>
      </c>
      <c r="C7714" t="s">
        <v>127</v>
      </c>
      <c r="D7714" s="9">
        <v>41029.718252314815</v>
      </c>
      <c r="E7714" t="s">
        <v>38</v>
      </c>
      <c r="F7714">
        <f t="shared" ca="1" si="242"/>
        <v>2.7472222222222222</v>
      </c>
      <c r="G7714">
        <f t="shared" ca="1" si="243"/>
        <v>0</v>
      </c>
    </row>
    <row r="7715" spans="1:7">
      <c r="A7715">
        <v>4983</v>
      </c>
      <c r="B7715" t="s">
        <v>20</v>
      </c>
      <c r="C7715" t="s">
        <v>127</v>
      </c>
      <c r="D7715" s="9">
        <v>41029.823067129626</v>
      </c>
      <c r="E7715" t="s">
        <v>32</v>
      </c>
      <c r="F7715">
        <f t="shared" ca="1" si="242"/>
        <v>2.7472222222222222</v>
      </c>
      <c r="G7715">
        <f t="shared" ca="1" si="243"/>
        <v>0</v>
      </c>
    </row>
    <row r="7716" spans="1:7">
      <c r="A7716">
        <v>5009</v>
      </c>
      <c r="B7716" t="s">
        <v>99</v>
      </c>
      <c r="C7716" t="s">
        <v>127</v>
      </c>
      <c r="D7716" s="9">
        <v>41029.843449074076</v>
      </c>
      <c r="E7716" t="s">
        <v>43</v>
      </c>
      <c r="F7716">
        <f t="shared" ca="1" si="242"/>
        <v>2.7472222222222222</v>
      </c>
      <c r="G7716">
        <f t="shared" ca="1" si="243"/>
        <v>0</v>
      </c>
    </row>
    <row r="7717" spans="1:7">
      <c r="A7717">
        <v>5027</v>
      </c>
      <c r="B7717" t="s">
        <v>20</v>
      </c>
      <c r="C7717" t="s">
        <v>127</v>
      </c>
      <c r="D7717" s="9">
        <v>41029.813634259262</v>
      </c>
      <c r="E7717" t="s">
        <v>32</v>
      </c>
      <c r="F7717">
        <f t="shared" ca="1" si="242"/>
        <v>2.7472222222222222</v>
      </c>
      <c r="G7717">
        <f t="shared" ca="1" si="243"/>
        <v>0</v>
      </c>
    </row>
    <row r="7718" spans="1:7">
      <c r="A7718">
        <v>5067</v>
      </c>
      <c r="B7718" t="s">
        <v>99</v>
      </c>
      <c r="C7718" t="s">
        <v>127</v>
      </c>
      <c r="D7718" s="9">
        <v>41029.710312499999</v>
      </c>
      <c r="E7718" t="s">
        <v>43</v>
      </c>
      <c r="F7718">
        <f t="shared" ca="1" si="242"/>
        <v>2.7472222222222222</v>
      </c>
      <c r="G7718">
        <f t="shared" ca="1" si="243"/>
        <v>0</v>
      </c>
    </row>
    <row r="7719" spans="1:7">
      <c r="A7719">
        <v>5128</v>
      </c>
      <c r="B7719" t="s">
        <v>99</v>
      </c>
      <c r="C7719" t="s">
        <v>127</v>
      </c>
      <c r="D7719" s="9">
        <v>41029.701145833336</v>
      </c>
      <c r="E7719" t="s">
        <v>43</v>
      </c>
      <c r="F7719">
        <f t="shared" ca="1" si="242"/>
        <v>2.7472222222222222</v>
      </c>
      <c r="G7719">
        <f t="shared" ca="1" si="243"/>
        <v>0</v>
      </c>
    </row>
    <row r="7720" spans="1:7">
      <c r="A7720">
        <v>5144</v>
      </c>
      <c r="B7720" t="s">
        <v>99</v>
      </c>
      <c r="C7720" t="s">
        <v>127</v>
      </c>
      <c r="D7720" s="9">
        <v>41031.687939814816</v>
      </c>
      <c r="E7720" t="s">
        <v>20</v>
      </c>
      <c r="F7720">
        <f t="shared" ca="1" si="242"/>
        <v>2.7416666666666667</v>
      </c>
      <c r="G7720">
        <f t="shared" ca="1" si="243"/>
        <v>0</v>
      </c>
    </row>
    <row r="7721" spans="1:7">
      <c r="A7721">
        <v>5150</v>
      </c>
      <c r="B7721" t="s">
        <v>99</v>
      </c>
      <c r="C7721" t="s">
        <v>127</v>
      </c>
      <c r="D7721" s="9">
        <v>41031.621261574073</v>
      </c>
      <c r="E7721" t="s">
        <v>38</v>
      </c>
      <c r="F7721">
        <f t="shared" ca="1" si="242"/>
        <v>2.7416666666666667</v>
      </c>
      <c r="G7721">
        <f t="shared" ca="1" si="243"/>
        <v>0</v>
      </c>
    </row>
    <row r="7722" spans="1:7">
      <c r="A7722">
        <v>5152</v>
      </c>
      <c r="B7722" t="s">
        <v>23</v>
      </c>
      <c r="C7722" t="s">
        <v>127</v>
      </c>
      <c r="D7722" s="9">
        <v>41031.686388888891</v>
      </c>
      <c r="E7722" t="s">
        <v>20</v>
      </c>
      <c r="F7722">
        <f t="shared" ca="1" si="242"/>
        <v>2.7416666666666667</v>
      </c>
      <c r="G7722">
        <f t="shared" ca="1" si="243"/>
        <v>0</v>
      </c>
    </row>
    <row r="7723" spans="1:7">
      <c r="A7723">
        <v>5178</v>
      </c>
      <c r="B7723" t="s">
        <v>20</v>
      </c>
      <c r="C7723" t="s">
        <v>127</v>
      </c>
      <c r="D7723" s="9">
        <v>41033.703275462962</v>
      </c>
      <c r="E7723" t="s">
        <v>38</v>
      </c>
      <c r="F7723">
        <f t="shared" ca="1" si="242"/>
        <v>2.7361111111111112</v>
      </c>
      <c r="G7723">
        <f t="shared" ca="1" si="243"/>
        <v>0</v>
      </c>
    </row>
    <row r="7724" spans="1:7">
      <c r="A7724">
        <v>5269</v>
      </c>
      <c r="B7724" t="s">
        <v>36</v>
      </c>
      <c r="C7724" t="s">
        <v>126</v>
      </c>
      <c r="D7724" s="9">
        <v>41215.622511574074</v>
      </c>
      <c r="F7724">
        <f t="shared" ca="1" si="242"/>
        <v>2.2416666666666667</v>
      </c>
      <c r="G7724">
        <f t="shared" ca="1" si="243"/>
        <v>0</v>
      </c>
    </row>
    <row r="7725" spans="1:7">
      <c r="A7725">
        <v>5281</v>
      </c>
      <c r="B7725" t="s">
        <v>36</v>
      </c>
      <c r="C7725" t="s">
        <v>126</v>
      </c>
      <c r="D7725" s="9">
        <v>41215.622511574074</v>
      </c>
      <c r="F7725">
        <f t="shared" ca="1" si="242"/>
        <v>2.2416666666666667</v>
      </c>
      <c r="G7725">
        <f t="shared" ca="1" si="243"/>
        <v>0</v>
      </c>
    </row>
    <row r="7726" spans="1:7">
      <c r="A7726">
        <v>5282</v>
      </c>
      <c r="B7726" t="s">
        <v>36</v>
      </c>
      <c r="C7726" t="s">
        <v>126</v>
      </c>
      <c r="D7726" s="9">
        <v>41215.622511574074</v>
      </c>
      <c r="F7726">
        <f t="shared" ca="1" si="242"/>
        <v>2.2416666666666667</v>
      </c>
      <c r="G7726">
        <f t="shared" ca="1" si="243"/>
        <v>0</v>
      </c>
    </row>
    <row r="7727" spans="1:7">
      <c r="A7727">
        <v>5305</v>
      </c>
      <c r="B7727" t="s">
        <v>36</v>
      </c>
      <c r="C7727" t="s">
        <v>126</v>
      </c>
      <c r="D7727" s="9">
        <v>41127.654016203705</v>
      </c>
      <c r="E7727" t="s">
        <v>43</v>
      </c>
      <c r="F7727">
        <f t="shared" ca="1" si="242"/>
        <v>2.4805555555555556</v>
      </c>
      <c r="G7727">
        <f t="shared" ca="1" si="243"/>
        <v>0</v>
      </c>
    </row>
    <row r="7728" spans="1:7">
      <c r="A7728">
        <v>5325</v>
      </c>
      <c r="B7728" t="s">
        <v>20</v>
      </c>
      <c r="C7728" t="s">
        <v>125</v>
      </c>
      <c r="D7728" s="9">
        <v>41215.697118055556</v>
      </c>
      <c r="E7728" t="s">
        <v>36</v>
      </c>
      <c r="F7728">
        <f t="shared" ca="1" si="242"/>
        <v>2.2416666666666667</v>
      </c>
      <c r="G7728">
        <f t="shared" ca="1" si="243"/>
        <v>0</v>
      </c>
    </row>
    <row r="7729" spans="1:7">
      <c r="A7729">
        <v>5416</v>
      </c>
      <c r="B7729" t="s">
        <v>43</v>
      </c>
      <c r="C7729" t="s">
        <v>126</v>
      </c>
      <c r="D7729" s="9">
        <v>41127.673298611109</v>
      </c>
      <c r="E7729" t="s">
        <v>8</v>
      </c>
      <c r="F7729">
        <f t="shared" ca="1" si="242"/>
        <v>2.4805555555555556</v>
      </c>
      <c r="G7729">
        <f t="shared" ca="1" si="243"/>
        <v>0</v>
      </c>
    </row>
    <row r="7730" spans="1:7">
      <c r="A7730">
        <v>5423</v>
      </c>
      <c r="B7730" t="s">
        <v>23</v>
      </c>
      <c r="C7730" t="s">
        <v>126</v>
      </c>
      <c r="D7730" s="9">
        <v>41127.653275462966</v>
      </c>
      <c r="E7730" t="s">
        <v>43</v>
      </c>
      <c r="F7730">
        <f t="shared" ca="1" si="242"/>
        <v>2.4805555555555556</v>
      </c>
      <c r="G7730">
        <f t="shared" ca="1" si="243"/>
        <v>0</v>
      </c>
    </row>
    <row r="7731" spans="1:7">
      <c r="A7731">
        <v>5597</v>
      </c>
      <c r="B7731" t="s">
        <v>43</v>
      </c>
      <c r="C7731" t="s">
        <v>119</v>
      </c>
      <c r="D7731" s="9">
        <v>41675.03019675926</v>
      </c>
      <c r="E7731" t="s">
        <v>11</v>
      </c>
      <c r="F7731">
        <f t="shared" ca="1" si="242"/>
        <v>0.98333333333333328</v>
      </c>
      <c r="G7731">
        <f t="shared" ca="1" si="243"/>
        <v>1</v>
      </c>
    </row>
    <row r="7732" spans="1:7">
      <c r="A7732">
        <v>5742</v>
      </c>
      <c r="B7732" t="s">
        <v>112</v>
      </c>
      <c r="C7732" t="s">
        <v>125</v>
      </c>
      <c r="D7732" s="9">
        <v>41249.882569444446</v>
      </c>
      <c r="E7732" t="s">
        <v>30</v>
      </c>
      <c r="F7732">
        <f t="shared" ca="1" si="242"/>
        <v>2.1472222222222221</v>
      </c>
      <c r="G7732">
        <f t="shared" ca="1" si="243"/>
        <v>0</v>
      </c>
    </row>
    <row r="7733" spans="1:7">
      <c r="A7733">
        <v>5850</v>
      </c>
      <c r="B7733" t="s">
        <v>11</v>
      </c>
      <c r="C7733" t="s">
        <v>125</v>
      </c>
      <c r="D7733" s="9">
        <v>41215.695983796293</v>
      </c>
      <c r="E7733" t="s">
        <v>21</v>
      </c>
      <c r="F7733">
        <f t="shared" ca="1" si="242"/>
        <v>2.2416666666666667</v>
      </c>
      <c r="G7733">
        <f t="shared" ca="1" si="243"/>
        <v>0</v>
      </c>
    </row>
    <row r="7734" spans="1:7">
      <c r="A7734">
        <v>5878</v>
      </c>
      <c r="B7734" t="s">
        <v>23</v>
      </c>
      <c r="C7734" t="s">
        <v>125</v>
      </c>
      <c r="D7734" s="9">
        <v>41249.882581018515</v>
      </c>
      <c r="E7734" t="s">
        <v>36</v>
      </c>
      <c r="F7734">
        <f t="shared" ca="1" si="242"/>
        <v>2.1472222222222221</v>
      </c>
      <c r="G7734">
        <f t="shared" ca="1" si="243"/>
        <v>0</v>
      </c>
    </row>
    <row r="7735" spans="1:7">
      <c r="A7735">
        <v>5879</v>
      </c>
      <c r="B7735" t="s">
        <v>8</v>
      </c>
      <c r="C7735" t="s">
        <v>123</v>
      </c>
      <c r="D7735" s="9">
        <v>41304.701678240737</v>
      </c>
      <c r="E7735" t="s">
        <v>11</v>
      </c>
      <c r="F7735">
        <f t="shared" ca="1" si="242"/>
        <v>1.9972222222222222</v>
      </c>
      <c r="G7735">
        <f t="shared" ca="1" si="243"/>
        <v>0</v>
      </c>
    </row>
    <row r="7736" spans="1:7">
      <c r="A7736">
        <v>5917</v>
      </c>
      <c r="B7736" t="s">
        <v>36</v>
      </c>
      <c r="C7736" t="s">
        <v>123</v>
      </c>
      <c r="D7736" s="9">
        <v>41302.579212962963</v>
      </c>
      <c r="E7736" t="s">
        <v>8</v>
      </c>
      <c r="F7736">
        <f t="shared" ca="1" si="242"/>
        <v>2.0027777777777778</v>
      </c>
      <c r="G7736">
        <f t="shared" ca="1" si="243"/>
        <v>0</v>
      </c>
    </row>
    <row r="7737" spans="1:7">
      <c r="A7737">
        <v>5940</v>
      </c>
      <c r="B7737" t="s">
        <v>43</v>
      </c>
      <c r="C7737" t="s">
        <v>125</v>
      </c>
      <c r="D7737" s="9">
        <v>41215.697465277779</v>
      </c>
      <c r="E7737" t="s">
        <v>21</v>
      </c>
      <c r="F7737">
        <f t="shared" ca="1" si="242"/>
        <v>2.2416666666666667</v>
      </c>
      <c r="G7737">
        <f t="shared" ca="1" si="243"/>
        <v>0</v>
      </c>
    </row>
    <row r="7738" spans="1:7">
      <c r="A7738">
        <v>5981</v>
      </c>
      <c r="B7738" t="s">
        <v>43</v>
      </c>
      <c r="C7738" t="s">
        <v>125</v>
      </c>
      <c r="D7738" s="9">
        <v>41215.697997685187</v>
      </c>
      <c r="E7738" t="s">
        <v>21</v>
      </c>
      <c r="F7738">
        <f t="shared" ca="1" si="242"/>
        <v>2.2416666666666667</v>
      </c>
      <c r="G7738">
        <f t="shared" ca="1" si="243"/>
        <v>0</v>
      </c>
    </row>
    <row r="7739" spans="1:7">
      <c r="A7739">
        <v>5996</v>
      </c>
      <c r="B7739" t="s">
        <v>23</v>
      </c>
      <c r="C7739" t="s">
        <v>125</v>
      </c>
      <c r="D7739" s="9">
        <v>41215.698263888888</v>
      </c>
      <c r="E7739" t="s">
        <v>49</v>
      </c>
      <c r="F7739">
        <f t="shared" ca="1" si="242"/>
        <v>2.2416666666666667</v>
      </c>
      <c r="G7739">
        <f t="shared" ca="1" si="243"/>
        <v>0</v>
      </c>
    </row>
    <row r="7740" spans="1:7">
      <c r="A7740">
        <v>5999</v>
      </c>
      <c r="B7740" t="s">
        <v>24</v>
      </c>
      <c r="C7740" t="s">
        <v>125</v>
      </c>
      <c r="D7740" s="9">
        <v>41215.698217592595</v>
      </c>
      <c r="E7740" t="s">
        <v>20</v>
      </c>
      <c r="F7740">
        <f t="shared" ca="1" si="242"/>
        <v>2.2416666666666667</v>
      </c>
      <c r="G7740">
        <f t="shared" ca="1" si="243"/>
        <v>0</v>
      </c>
    </row>
    <row r="7741" spans="1:7">
      <c r="A7741">
        <v>6086</v>
      </c>
      <c r="B7741" t="s">
        <v>124</v>
      </c>
      <c r="C7741" t="s">
        <v>123</v>
      </c>
      <c r="D7741" s="9">
        <v>41411.772777777776</v>
      </c>
      <c r="E7741" t="s">
        <v>112</v>
      </c>
      <c r="F7741">
        <f t="shared" ca="1" si="242"/>
        <v>1.7</v>
      </c>
      <c r="G7741">
        <f t="shared" ca="1" si="243"/>
        <v>0</v>
      </c>
    </row>
    <row r="7742" spans="1:7">
      <c r="A7742">
        <v>6094</v>
      </c>
      <c r="B7742" t="s">
        <v>27</v>
      </c>
      <c r="C7742" t="s">
        <v>123</v>
      </c>
      <c r="D7742" s="9">
        <v>41302.615069444444</v>
      </c>
      <c r="E7742" t="s">
        <v>20</v>
      </c>
      <c r="F7742">
        <f t="shared" ca="1" si="242"/>
        <v>2.0027777777777778</v>
      </c>
      <c r="G7742">
        <f t="shared" ca="1" si="243"/>
        <v>0</v>
      </c>
    </row>
    <row r="7743" spans="1:7">
      <c r="A7743">
        <v>6226</v>
      </c>
      <c r="B7743" t="s">
        <v>24</v>
      </c>
      <c r="C7743" t="s">
        <v>121</v>
      </c>
      <c r="D7743" s="9">
        <v>41480.519479166665</v>
      </c>
      <c r="E7743" t="s">
        <v>8</v>
      </c>
      <c r="F7743">
        <f t="shared" ca="1" si="242"/>
        <v>1.5111111111111111</v>
      </c>
      <c r="G7743">
        <f t="shared" ca="1" si="243"/>
        <v>0</v>
      </c>
    </row>
    <row r="7744" spans="1:7">
      <c r="A7744">
        <v>6358</v>
      </c>
      <c r="B7744" t="s">
        <v>43</v>
      </c>
      <c r="C7744" t="s">
        <v>123</v>
      </c>
      <c r="D7744" s="9">
        <v>41302.674687500003</v>
      </c>
      <c r="E7744" t="s">
        <v>27</v>
      </c>
      <c r="F7744">
        <f t="shared" ca="1" si="242"/>
        <v>2.0027777777777778</v>
      </c>
      <c r="G7744">
        <f t="shared" ca="1" si="243"/>
        <v>0</v>
      </c>
    </row>
    <row r="7745" spans="1:7">
      <c r="A7745">
        <v>6360</v>
      </c>
      <c r="B7745" t="s">
        <v>43</v>
      </c>
      <c r="C7745" t="s">
        <v>123</v>
      </c>
      <c r="D7745" s="9">
        <v>41302.674837962964</v>
      </c>
      <c r="E7745" t="s">
        <v>27</v>
      </c>
      <c r="F7745">
        <f t="shared" ca="1" si="242"/>
        <v>2.0027777777777778</v>
      </c>
      <c r="G7745">
        <f t="shared" ca="1" si="243"/>
        <v>0</v>
      </c>
    </row>
    <row r="7746" spans="1:7">
      <c r="A7746">
        <v>6367</v>
      </c>
      <c r="B7746" t="s">
        <v>43</v>
      </c>
      <c r="C7746" t="s">
        <v>123</v>
      </c>
      <c r="D7746" s="9">
        <v>41302.643622685187</v>
      </c>
      <c r="E7746" t="s">
        <v>21</v>
      </c>
      <c r="F7746">
        <f t="shared" ca="1" si="242"/>
        <v>2.0027777777777778</v>
      </c>
      <c r="G7746">
        <f t="shared" ca="1" si="243"/>
        <v>0</v>
      </c>
    </row>
    <row r="7747" spans="1:7">
      <c r="A7747">
        <v>6369</v>
      </c>
      <c r="B7747" t="s">
        <v>11</v>
      </c>
      <c r="C7747" t="s">
        <v>123</v>
      </c>
      <c r="D7747" s="9">
        <v>41304.857118055559</v>
      </c>
      <c r="E7747" t="s">
        <v>20</v>
      </c>
      <c r="F7747">
        <f t="shared" ca="1" si="242"/>
        <v>1.9972222222222222</v>
      </c>
      <c r="G7747">
        <f t="shared" ca="1" si="243"/>
        <v>0</v>
      </c>
    </row>
    <row r="7748" spans="1:7">
      <c r="A7748">
        <v>6433</v>
      </c>
      <c r="B7748" t="s">
        <v>23</v>
      </c>
      <c r="C7748" t="s">
        <v>123</v>
      </c>
      <c r="D7748" s="9">
        <v>41302.721180555556</v>
      </c>
      <c r="E7748" t="s">
        <v>43</v>
      </c>
      <c r="F7748">
        <f t="shared" ca="1" si="242"/>
        <v>2.0027777777777778</v>
      </c>
      <c r="G7748">
        <f t="shared" ca="1" si="243"/>
        <v>0</v>
      </c>
    </row>
    <row r="7749" spans="1:7">
      <c r="A7749">
        <v>6571</v>
      </c>
      <c r="B7749" t="s">
        <v>21</v>
      </c>
      <c r="C7749" t="s">
        <v>122</v>
      </c>
      <c r="D7749" s="9">
        <v>41334.673148148147</v>
      </c>
      <c r="E7749" t="s">
        <v>36</v>
      </c>
      <c r="F7749">
        <f t="shared" ca="1" si="242"/>
        <v>1.9111111111111112</v>
      </c>
      <c r="G7749">
        <f t="shared" ca="1" si="243"/>
        <v>0</v>
      </c>
    </row>
    <row r="7750" spans="1:7">
      <c r="A7750">
        <v>6593</v>
      </c>
      <c r="B7750" t="s">
        <v>43</v>
      </c>
      <c r="C7750" t="s">
        <v>122</v>
      </c>
      <c r="D7750" s="9">
        <v>41334.486168981479</v>
      </c>
      <c r="E7750" t="s">
        <v>30</v>
      </c>
      <c r="F7750">
        <f t="shared" ca="1" si="242"/>
        <v>1.9111111111111112</v>
      </c>
      <c r="G7750">
        <f t="shared" ca="1" si="243"/>
        <v>0</v>
      </c>
    </row>
    <row r="7751" spans="1:7">
      <c r="A7751">
        <v>6597</v>
      </c>
      <c r="B7751" t="s">
        <v>43</v>
      </c>
      <c r="C7751" t="s">
        <v>122</v>
      </c>
      <c r="D7751" s="9">
        <v>41334.455277777779</v>
      </c>
      <c r="E7751" t="s">
        <v>8</v>
      </c>
      <c r="F7751">
        <f t="shared" ref="F7751:F7814" ca="1" si="244">YEARFRAC(TODAY(),$D7751)</f>
        <v>1.9111111111111112</v>
      </c>
      <c r="G7751">
        <f t="shared" ref="G7751:G7814" ca="1" si="245">IF($F7751&lt;1,1,0)</f>
        <v>0</v>
      </c>
    </row>
    <row r="7752" spans="1:7">
      <c r="A7752">
        <v>6674</v>
      </c>
      <c r="B7752" t="s">
        <v>23</v>
      </c>
      <c r="C7752" t="s">
        <v>122</v>
      </c>
      <c r="D7752" s="9">
        <v>41369.533067129632</v>
      </c>
      <c r="E7752" t="s">
        <v>24</v>
      </c>
      <c r="F7752">
        <f t="shared" ca="1" si="244"/>
        <v>1.8166666666666667</v>
      </c>
      <c r="G7752">
        <f t="shared" ca="1" si="245"/>
        <v>0</v>
      </c>
    </row>
    <row r="7753" spans="1:7">
      <c r="A7753">
        <v>6688</v>
      </c>
      <c r="B7753" t="s">
        <v>54</v>
      </c>
      <c r="C7753" t="s">
        <v>122</v>
      </c>
      <c r="D7753" s="9">
        <v>41360.759791666664</v>
      </c>
      <c r="E7753" t="s">
        <v>23</v>
      </c>
      <c r="F7753">
        <f t="shared" ca="1" si="244"/>
        <v>1.8388888888888888</v>
      </c>
      <c r="G7753">
        <f t="shared" ca="1" si="245"/>
        <v>0</v>
      </c>
    </row>
    <row r="7754" spans="1:7">
      <c r="A7754">
        <v>6712</v>
      </c>
      <c r="B7754" t="s">
        <v>51</v>
      </c>
      <c r="C7754" t="s">
        <v>122</v>
      </c>
      <c r="D7754" s="9">
        <v>41369.533460648148</v>
      </c>
      <c r="E7754" t="s">
        <v>23</v>
      </c>
      <c r="F7754">
        <f t="shared" ca="1" si="244"/>
        <v>1.8166666666666667</v>
      </c>
      <c r="G7754">
        <f t="shared" ca="1" si="245"/>
        <v>0</v>
      </c>
    </row>
    <row r="7755" spans="1:7">
      <c r="A7755">
        <v>6731</v>
      </c>
      <c r="B7755" t="s">
        <v>21</v>
      </c>
      <c r="C7755" t="s">
        <v>122</v>
      </c>
      <c r="D7755" s="9">
        <v>41383.670185185183</v>
      </c>
      <c r="E7755" t="s">
        <v>11</v>
      </c>
      <c r="F7755">
        <f t="shared" ca="1" si="244"/>
        <v>1.7777777777777777</v>
      </c>
      <c r="G7755">
        <f t="shared" ca="1" si="245"/>
        <v>0</v>
      </c>
    </row>
    <row r="7756" spans="1:7">
      <c r="A7756">
        <v>6804</v>
      </c>
      <c r="B7756" t="s">
        <v>11</v>
      </c>
      <c r="C7756" t="s">
        <v>122</v>
      </c>
      <c r="D7756" s="9">
        <v>41410.944513888891</v>
      </c>
      <c r="E7756" t="s">
        <v>112</v>
      </c>
      <c r="F7756">
        <f t="shared" ca="1" si="244"/>
        <v>1.7027777777777777</v>
      </c>
      <c r="G7756">
        <f t="shared" ca="1" si="245"/>
        <v>0</v>
      </c>
    </row>
    <row r="7757" spans="1:7">
      <c r="A7757">
        <v>6819</v>
      </c>
      <c r="B7757" t="s">
        <v>36</v>
      </c>
      <c r="C7757" t="s">
        <v>122</v>
      </c>
      <c r="D7757" s="9">
        <v>41410.942962962959</v>
      </c>
      <c r="E7757" t="s">
        <v>43</v>
      </c>
      <c r="F7757">
        <f t="shared" ca="1" si="244"/>
        <v>1.7027777777777777</v>
      </c>
      <c r="G7757">
        <f t="shared" ca="1" si="245"/>
        <v>0</v>
      </c>
    </row>
    <row r="7758" spans="1:7">
      <c r="A7758">
        <v>7045</v>
      </c>
      <c r="B7758" t="s">
        <v>112</v>
      </c>
      <c r="C7758" t="s">
        <v>121</v>
      </c>
      <c r="D7758" s="9">
        <v>41443.55976851852</v>
      </c>
      <c r="E7758" t="s">
        <v>27</v>
      </c>
      <c r="F7758">
        <f t="shared" ca="1" si="244"/>
        <v>1.6138888888888889</v>
      </c>
      <c r="G7758">
        <f t="shared" ca="1" si="245"/>
        <v>0</v>
      </c>
    </row>
    <row r="7759" spans="1:7">
      <c r="A7759">
        <v>7062</v>
      </c>
      <c r="B7759" t="s">
        <v>112</v>
      </c>
      <c r="C7759" t="s">
        <v>121</v>
      </c>
      <c r="D7759" s="9">
        <v>41480.519606481481</v>
      </c>
      <c r="E7759" t="s">
        <v>27</v>
      </c>
      <c r="F7759">
        <f t="shared" ca="1" si="244"/>
        <v>1.5111111111111111</v>
      </c>
      <c r="G7759">
        <f t="shared" ca="1" si="245"/>
        <v>0</v>
      </c>
    </row>
    <row r="7760" spans="1:7">
      <c r="A7760">
        <v>7119</v>
      </c>
      <c r="B7760" t="s">
        <v>43</v>
      </c>
      <c r="C7760" t="s">
        <v>121</v>
      </c>
      <c r="D7760" s="9">
        <v>41480.519780092596</v>
      </c>
      <c r="E7760" t="s">
        <v>51</v>
      </c>
      <c r="F7760">
        <f t="shared" ca="1" si="244"/>
        <v>1.5111111111111111</v>
      </c>
      <c r="G7760">
        <f t="shared" ca="1" si="245"/>
        <v>0</v>
      </c>
    </row>
    <row r="7761" spans="1:7">
      <c r="A7761">
        <v>7138</v>
      </c>
      <c r="B7761" t="s">
        <v>36</v>
      </c>
      <c r="C7761" t="s">
        <v>121</v>
      </c>
      <c r="D7761" s="9">
        <v>41428.573136574072</v>
      </c>
      <c r="E7761" t="s">
        <v>8</v>
      </c>
      <c r="F7761">
        <f t="shared" ca="1" si="244"/>
        <v>1.6555555555555554</v>
      </c>
      <c r="G7761">
        <f t="shared" ca="1" si="245"/>
        <v>0</v>
      </c>
    </row>
    <row r="7762" spans="1:7">
      <c r="A7762">
        <v>7243</v>
      </c>
      <c r="B7762" t="s">
        <v>11</v>
      </c>
      <c r="C7762" t="s">
        <v>120</v>
      </c>
      <c r="D7762" s="9">
        <v>41516.690601851849</v>
      </c>
      <c r="E7762" t="s">
        <v>38</v>
      </c>
      <c r="F7762">
        <f t="shared" ca="1" si="244"/>
        <v>1.413888888888889</v>
      </c>
      <c r="G7762">
        <f t="shared" ca="1" si="245"/>
        <v>0</v>
      </c>
    </row>
    <row r="7763" spans="1:7">
      <c r="A7763">
        <v>7284</v>
      </c>
      <c r="B7763" t="s">
        <v>38</v>
      </c>
      <c r="C7763" t="s">
        <v>118</v>
      </c>
      <c r="D7763" s="9">
        <v>41745.808587962965</v>
      </c>
      <c r="E7763" t="s">
        <v>27</v>
      </c>
      <c r="F7763">
        <f t="shared" ca="1" si="244"/>
        <v>0.78611111111111109</v>
      </c>
      <c r="G7763">
        <f t="shared" ca="1" si="245"/>
        <v>1</v>
      </c>
    </row>
    <row r="7764" spans="1:7">
      <c r="A7764">
        <v>7385</v>
      </c>
      <c r="B7764" t="s">
        <v>20</v>
      </c>
      <c r="C7764" t="s">
        <v>121</v>
      </c>
      <c r="D7764" s="9">
        <v>41481.704247685186</v>
      </c>
      <c r="E7764" t="s">
        <v>36</v>
      </c>
      <c r="F7764">
        <f t="shared" ca="1" si="244"/>
        <v>1.5083333333333333</v>
      </c>
      <c r="G7764">
        <f t="shared" ca="1" si="245"/>
        <v>0</v>
      </c>
    </row>
    <row r="7765" spans="1:7">
      <c r="A7765">
        <v>7450</v>
      </c>
      <c r="B7765" t="s">
        <v>24</v>
      </c>
      <c r="C7765" t="s">
        <v>121</v>
      </c>
      <c r="D7765" s="9">
        <v>41480.519942129627</v>
      </c>
      <c r="E7765" t="s">
        <v>11</v>
      </c>
      <c r="F7765">
        <f t="shared" ca="1" si="244"/>
        <v>1.5111111111111111</v>
      </c>
      <c r="G7765">
        <f t="shared" ca="1" si="245"/>
        <v>0</v>
      </c>
    </row>
    <row r="7766" spans="1:7">
      <c r="A7766">
        <v>7494</v>
      </c>
      <c r="B7766" t="s">
        <v>11</v>
      </c>
      <c r="C7766" t="s">
        <v>120</v>
      </c>
      <c r="D7766" s="9">
        <v>41522.616597222222</v>
      </c>
      <c r="E7766" t="s">
        <v>27</v>
      </c>
      <c r="F7766">
        <f t="shared" ca="1" si="244"/>
        <v>1.4</v>
      </c>
      <c r="G7766">
        <f t="shared" ca="1" si="245"/>
        <v>0</v>
      </c>
    </row>
    <row r="7767" spans="1:7">
      <c r="A7767">
        <v>7537</v>
      </c>
      <c r="B7767" t="s">
        <v>11</v>
      </c>
      <c r="C7767" t="s">
        <v>120</v>
      </c>
      <c r="D7767" s="9">
        <v>41488.604467592595</v>
      </c>
      <c r="E7767" t="s">
        <v>14</v>
      </c>
      <c r="F7767">
        <f t="shared" ca="1" si="244"/>
        <v>1.4916666666666667</v>
      </c>
      <c r="G7767">
        <f t="shared" ca="1" si="245"/>
        <v>0</v>
      </c>
    </row>
    <row r="7768" spans="1:7">
      <c r="A7768">
        <v>7556</v>
      </c>
      <c r="B7768" t="s">
        <v>18</v>
      </c>
      <c r="C7768" t="s">
        <v>120</v>
      </c>
      <c r="D7768" s="9">
        <v>41523.655624999999</v>
      </c>
      <c r="E7768" t="s">
        <v>30</v>
      </c>
      <c r="F7768">
        <f t="shared" ca="1" si="244"/>
        <v>1.3972222222222221</v>
      </c>
      <c r="G7768">
        <f t="shared" ca="1" si="245"/>
        <v>0</v>
      </c>
    </row>
    <row r="7769" spans="1:7">
      <c r="A7769">
        <v>7560</v>
      </c>
      <c r="B7769" t="s">
        <v>18</v>
      </c>
      <c r="C7769" t="s">
        <v>120</v>
      </c>
      <c r="D7769" s="9">
        <v>41493.498888888891</v>
      </c>
      <c r="E7769" t="s">
        <v>8</v>
      </c>
      <c r="F7769">
        <f t="shared" ca="1" si="244"/>
        <v>1.4777777777777779</v>
      </c>
      <c r="G7769">
        <f t="shared" ca="1" si="245"/>
        <v>0</v>
      </c>
    </row>
    <row r="7770" spans="1:7">
      <c r="A7770">
        <v>7566</v>
      </c>
      <c r="B7770" t="s">
        <v>36</v>
      </c>
      <c r="C7770" t="s">
        <v>120</v>
      </c>
      <c r="D7770" s="9">
        <v>41579.635949074072</v>
      </c>
      <c r="F7770">
        <f t="shared" ca="1" si="244"/>
        <v>1.2444444444444445</v>
      </c>
      <c r="G7770">
        <f t="shared" ca="1" si="245"/>
        <v>0</v>
      </c>
    </row>
    <row r="7771" spans="1:7">
      <c r="A7771">
        <v>7593</v>
      </c>
      <c r="B7771" t="s">
        <v>24</v>
      </c>
      <c r="C7771" t="s">
        <v>120</v>
      </c>
      <c r="D7771" s="9">
        <v>41495.503067129626</v>
      </c>
      <c r="E7771" t="s">
        <v>17</v>
      </c>
      <c r="F7771">
        <f t="shared" ca="1" si="244"/>
        <v>1.4722222222222223</v>
      </c>
      <c r="G7771">
        <f t="shared" ca="1" si="245"/>
        <v>0</v>
      </c>
    </row>
    <row r="7772" spans="1:7">
      <c r="A7772">
        <v>7594</v>
      </c>
      <c r="B7772" t="s">
        <v>24</v>
      </c>
      <c r="C7772" t="s">
        <v>120</v>
      </c>
      <c r="D7772" s="9">
        <v>41495.608923611115</v>
      </c>
      <c r="E7772" t="s">
        <v>17</v>
      </c>
      <c r="F7772">
        <f t="shared" ca="1" si="244"/>
        <v>1.4722222222222223</v>
      </c>
      <c r="G7772">
        <f t="shared" ca="1" si="245"/>
        <v>0</v>
      </c>
    </row>
    <row r="7773" spans="1:7">
      <c r="A7773">
        <v>7687</v>
      </c>
      <c r="B7773" t="s">
        <v>20</v>
      </c>
      <c r="C7773" t="s">
        <v>120</v>
      </c>
      <c r="D7773" s="9">
        <v>41493.643194444441</v>
      </c>
      <c r="E7773" t="s">
        <v>21</v>
      </c>
      <c r="F7773">
        <f t="shared" ca="1" si="244"/>
        <v>1.4777777777777779</v>
      </c>
      <c r="G7773">
        <f t="shared" ca="1" si="245"/>
        <v>0</v>
      </c>
    </row>
    <row r="7774" spans="1:7">
      <c r="A7774">
        <v>7784</v>
      </c>
      <c r="B7774" t="s">
        <v>20</v>
      </c>
      <c r="C7774" t="s">
        <v>120</v>
      </c>
      <c r="D7774" s="9">
        <v>41516.663553240738</v>
      </c>
      <c r="E7774" t="s">
        <v>27</v>
      </c>
      <c r="F7774">
        <f t="shared" ca="1" si="244"/>
        <v>1.413888888888889</v>
      </c>
      <c r="G7774">
        <f t="shared" ca="1" si="245"/>
        <v>0</v>
      </c>
    </row>
    <row r="7775" spans="1:7">
      <c r="A7775">
        <v>7811</v>
      </c>
      <c r="B7775" t="s">
        <v>20</v>
      </c>
      <c r="C7775" t="s">
        <v>120</v>
      </c>
      <c r="D7775" s="9">
        <v>41570.466886574075</v>
      </c>
      <c r="E7775" t="s">
        <v>111</v>
      </c>
      <c r="F7775">
        <f t="shared" ca="1" si="244"/>
        <v>1.2666666666666666</v>
      </c>
      <c r="G7775">
        <f t="shared" ca="1" si="245"/>
        <v>0</v>
      </c>
    </row>
    <row r="7776" spans="1:7">
      <c r="A7776">
        <v>7815</v>
      </c>
      <c r="B7776" t="s">
        <v>24</v>
      </c>
      <c r="C7776" t="s">
        <v>120</v>
      </c>
      <c r="D7776" s="9">
        <v>41514.888981481483</v>
      </c>
      <c r="E7776" t="s">
        <v>20</v>
      </c>
      <c r="F7776">
        <f t="shared" ca="1" si="244"/>
        <v>1.4194444444444445</v>
      </c>
      <c r="G7776">
        <f t="shared" ca="1" si="245"/>
        <v>0</v>
      </c>
    </row>
    <row r="7777" spans="1:7">
      <c r="A7777">
        <v>7854</v>
      </c>
      <c r="B7777" t="s">
        <v>11</v>
      </c>
      <c r="C7777" t="s">
        <v>120</v>
      </c>
      <c r="D7777" s="9">
        <v>41522.660833333335</v>
      </c>
      <c r="E7777" t="s">
        <v>27</v>
      </c>
      <c r="F7777">
        <f t="shared" ca="1" si="244"/>
        <v>1.4</v>
      </c>
      <c r="G7777">
        <f t="shared" ca="1" si="245"/>
        <v>0</v>
      </c>
    </row>
    <row r="7778" spans="1:7">
      <c r="A7778">
        <v>7923</v>
      </c>
      <c r="B7778" t="s">
        <v>36</v>
      </c>
      <c r="C7778" t="s">
        <v>120</v>
      </c>
      <c r="D7778" s="9">
        <v>41551.640474537038</v>
      </c>
      <c r="E7778" t="s">
        <v>27</v>
      </c>
      <c r="F7778">
        <f t="shared" ca="1" si="244"/>
        <v>1.3194444444444444</v>
      </c>
      <c r="G7778">
        <f t="shared" ca="1" si="245"/>
        <v>0</v>
      </c>
    </row>
    <row r="7779" spans="1:7">
      <c r="A7779">
        <v>8011</v>
      </c>
      <c r="B7779" t="s">
        <v>11</v>
      </c>
      <c r="C7779" t="s">
        <v>120</v>
      </c>
      <c r="D7779" s="9">
        <v>41544.652222222219</v>
      </c>
      <c r="E7779" t="s">
        <v>8</v>
      </c>
      <c r="F7779">
        <f t="shared" ca="1" si="244"/>
        <v>1.3388888888888888</v>
      </c>
      <c r="G7779">
        <f t="shared" ca="1" si="245"/>
        <v>0</v>
      </c>
    </row>
    <row r="7780" spans="1:7">
      <c r="A7780">
        <v>8014</v>
      </c>
      <c r="B7780" t="s">
        <v>11</v>
      </c>
      <c r="C7780" t="s">
        <v>120</v>
      </c>
      <c r="D7780" s="9">
        <v>41543.82540509259</v>
      </c>
      <c r="E7780" t="s">
        <v>20</v>
      </c>
      <c r="F7780">
        <f t="shared" ca="1" si="244"/>
        <v>1.3416666666666666</v>
      </c>
      <c r="G7780">
        <f t="shared" ca="1" si="245"/>
        <v>0</v>
      </c>
    </row>
    <row r="7781" spans="1:7">
      <c r="A7781">
        <v>8068</v>
      </c>
      <c r="B7781" t="s">
        <v>24</v>
      </c>
      <c r="C7781" t="s">
        <v>120</v>
      </c>
      <c r="D7781" s="9">
        <v>41570.487164351849</v>
      </c>
      <c r="E7781" t="s">
        <v>11</v>
      </c>
      <c r="F7781">
        <f t="shared" ca="1" si="244"/>
        <v>1.2666666666666666</v>
      </c>
      <c r="G7781">
        <f t="shared" ca="1" si="245"/>
        <v>0</v>
      </c>
    </row>
    <row r="7782" spans="1:7">
      <c r="A7782">
        <v>8069</v>
      </c>
      <c r="B7782" t="s">
        <v>20</v>
      </c>
      <c r="C7782" t="s">
        <v>120</v>
      </c>
      <c r="D7782" s="9">
        <v>41551.448148148149</v>
      </c>
      <c r="E7782" t="s">
        <v>17</v>
      </c>
      <c r="F7782">
        <f t="shared" ca="1" si="244"/>
        <v>1.3194444444444444</v>
      </c>
      <c r="G7782">
        <f t="shared" ca="1" si="245"/>
        <v>0</v>
      </c>
    </row>
    <row r="7783" spans="1:7">
      <c r="A7783">
        <v>8142</v>
      </c>
      <c r="B7783" t="s">
        <v>11</v>
      </c>
      <c r="C7783" t="s">
        <v>120</v>
      </c>
      <c r="D7783" s="9">
        <v>41565.689826388887</v>
      </c>
      <c r="E7783" t="s">
        <v>112</v>
      </c>
      <c r="F7783">
        <f t="shared" ca="1" si="244"/>
        <v>1.2805555555555554</v>
      </c>
      <c r="G7783">
        <f t="shared" ca="1" si="245"/>
        <v>0</v>
      </c>
    </row>
    <row r="7784" spans="1:7">
      <c r="A7784">
        <v>8150</v>
      </c>
      <c r="B7784" t="s">
        <v>11</v>
      </c>
      <c r="C7784" t="s">
        <v>120</v>
      </c>
      <c r="D7784" s="9">
        <v>41572.631423611114</v>
      </c>
      <c r="E7784" t="s">
        <v>27</v>
      </c>
      <c r="F7784">
        <f t="shared" ca="1" si="244"/>
        <v>1.2611111111111111</v>
      </c>
      <c r="G7784">
        <f t="shared" ca="1" si="245"/>
        <v>0</v>
      </c>
    </row>
    <row r="7785" spans="1:7">
      <c r="A7785">
        <v>8196</v>
      </c>
      <c r="B7785" t="s">
        <v>23</v>
      </c>
      <c r="C7785" t="s">
        <v>120</v>
      </c>
      <c r="D7785" s="9">
        <v>41575.393622685187</v>
      </c>
      <c r="E7785" t="s">
        <v>14</v>
      </c>
      <c r="F7785">
        <f t="shared" ca="1" si="244"/>
        <v>1.2527777777777778</v>
      </c>
      <c r="G7785">
        <f t="shared" ca="1" si="245"/>
        <v>0</v>
      </c>
    </row>
    <row r="7786" spans="1:7">
      <c r="A7786">
        <v>8199</v>
      </c>
      <c r="B7786" t="s">
        <v>17</v>
      </c>
      <c r="C7786" t="s">
        <v>119</v>
      </c>
      <c r="D7786" s="9">
        <v>41586.548275462963</v>
      </c>
      <c r="E7786" t="s">
        <v>18</v>
      </c>
      <c r="F7786">
        <f t="shared" ca="1" si="244"/>
        <v>1.2250000000000001</v>
      </c>
      <c r="G7786">
        <f t="shared" ca="1" si="245"/>
        <v>0</v>
      </c>
    </row>
    <row r="7787" spans="1:7">
      <c r="A7787">
        <v>8202</v>
      </c>
      <c r="B7787" t="s">
        <v>17</v>
      </c>
      <c r="C7787" t="s">
        <v>120</v>
      </c>
      <c r="D7787" s="9">
        <v>41576.451655092591</v>
      </c>
      <c r="E7787" t="s">
        <v>37</v>
      </c>
      <c r="F7787">
        <f t="shared" ca="1" si="244"/>
        <v>1.25</v>
      </c>
      <c r="G7787">
        <f t="shared" ca="1" si="245"/>
        <v>0</v>
      </c>
    </row>
    <row r="7788" spans="1:7">
      <c r="A7788">
        <v>8277</v>
      </c>
      <c r="B7788" t="s">
        <v>17</v>
      </c>
      <c r="C7788" t="s">
        <v>120</v>
      </c>
      <c r="D7788" s="9">
        <v>41576.689722222225</v>
      </c>
      <c r="E7788" t="s">
        <v>112</v>
      </c>
      <c r="F7788">
        <f t="shared" ca="1" si="244"/>
        <v>1.25</v>
      </c>
      <c r="G7788">
        <f t="shared" ca="1" si="245"/>
        <v>0</v>
      </c>
    </row>
    <row r="7789" spans="1:7">
      <c r="A7789">
        <v>8306</v>
      </c>
      <c r="B7789" t="s">
        <v>11</v>
      </c>
      <c r="C7789" t="s">
        <v>120</v>
      </c>
      <c r="D7789" s="9">
        <v>41577.889525462961</v>
      </c>
      <c r="E7789" t="s">
        <v>36</v>
      </c>
      <c r="F7789">
        <f t="shared" ca="1" si="244"/>
        <v>1.2472222222222222</v>
      </c>
      <c r="G7789">
        <f t="shared" ca="1" si="245"/>
        <v>0</v>
      </c>
    </row>
    <row r="7790" spans="1:7">
      <c r="A7790">
        <v>8311</v>
      </c>
      <c r="B7790" t="s">
        <v>14</v>
      </c>
      <c r="C7790" t="s">
        <v>119</v>
      </c>
      <c r="D7790" s="9">
        <v>41593.60087962963</v>
      </c>
      <c r="E7790" t="s">
        <v>17</v>
      </c>
      <c r="F7790">
        <f t="shared" ca="1" si="244"/>
        <v>1.2055555555555555</v>
      </c>
      <c r="G7790">
        <f t="shared" ca="1" si="245"/>
        <v>0</v>
      </c>
    </row>
    <row r="7791" spans="1:7">
      <c r="A7791">
        <v>8345</v>
      </c>
      <c r="B7791" t="s">
        <v>14</v>
      </c>
      <c r="C7791" t="s">
        <v>119</v>
      </c>
      <c r="D7791" s="9">
        <v>41586.743368055555</v>
      </c>
      <c r="E7791" t="s">
        <v>27</v>
      </c>
      <c r="F7791">
        <f t="shared" ca="1" si="244"/>
        <v>1.2250000000000001</v>
      </c>
      <c r="G7791">
        <f t="shared" ca="1" si="245"/>
        <v>0</v>
      </c>
    </row>
    <row r="7792" spans="1:7">
      <c r="A7792">
        <v>8348</v>
      </c>
      <c r="B7792" t="s">
        <v>18</v>
      </c>
      <c r="C7792" t="s">
        <v>119</v>
      </c>
      <c r="D7792" s="9">
        <v>41586.662604166668</v>
      </c>
      <c r="E7792" t="s">
        <v>14</v>
      </c>
      <c r="F7792">
        <f t="shared" ca="1" si="244"/>
        <v>1.2250000000000001</v>
      </c>
      <c r="G7792">
        <f t="shared" ca="1" si="245"/>
        <v>0</v>
      </c>
    </row>
    <row r="7793" spans="1:7">
      <c r="A7793">
        <v>8439</v>
      </c>
      <c r="B7793" t="s">
        <v>14</v>
      </c>
      <c r="C7793" t="s">
        <v>119</v>
      </c>
      <c r="D7793" s="9">
        <v>41596.547268518516</v>
      </c>
      <c r="E7793" t="s">
        <v>37</v>
      </c>
      <c r="F7793">
        <f t="shared" ca="1" si="244"/>
        <v>1.1972222222222222</v>
      </c>
      <c r="G7793">
        <f t="shared" ca="1" si="245"/>
        <v>0</v>
      </c>
    </row>
    <row r="7794" spans="1:7">
      <c r="A7794">
        <v>8446</v>
      </c>
      <c r="B7794" t="s">
        <v>17</v>
      </c>
      <c r="C7794" t="s">
        <v>119</v>
      </c>
      <c r="D7794" s="9">
        <v>41593.581666666665</v>
      </c>
      <c r="E7794" t="s">
        <v>8</v>
      </c>
      <c r="F7794">
        <f t="shared" ca="1" si="244"/>
        <v>1.2055555555555555</v>
      </c>
      <c r="G7794">
        <f t="shared" ca="1" si="245"/>
        <v>0</v>
      </c>
    </row>
    <row r="7795" spans="1:7">
      <c r="A7795">
        <v>8454</v>
      </c>
      <c r="B7795" t="s">
        <v>211</v>
      </c>
      <c r="C7795" t="s">
        <v>209</v>
      </c>
      <c r="D7795" s="9">
        <v>41835.587175925924</v>
      </c>
      <c r="F7795">
        <f t="shared" ca="1" si="244"/>
        <v>0.53888888888888886</v>
      </c>
      <c r="G7795">
        <f t="shared" ca="1" si="245"/>
        <v>1</v>
      </c>
    </row>
    <row r="7796" spans="1:7">
      <c r="A7796">
        <v>8463</v>
      </c>
      <c r="B7796" t="s">
        <v>11</v>
      </c>
      <c r="C7796" t="s">
        <v>119</v>
      </c>
      <c r="D7796" s="9">
        <v>41666.562430555554</v>
      </c>
      <c r="E7796" t="s">
        <v>8</v>
      </c>
      <c r="F7796">
        <f t="shared" ca="1" si="244"/>
        <v>1.0055555555555555</v>
      </c>
      <c r="G7796">
        <f t="shared" ca="1" si="245"/>
        <v>0</v>
      </c>
    </row>
    <row r="7797" spans="1:7">
      <c r="A7797">
        <v>8469</v>
      </c>
      <c r="B7797" t="s">
        <v>37</v>
      </c>
      <c r="C7797" t="s">
        <v>119</v>
      </c>
      <c r="D7797" s="9">
        <v>41626.897499999999</v>
      </c>
      <c r="E7797" t="s">
        <v>11</v>
      </c>
      <c r="F7797">
        <f t="shared" ca="1" si="244"/>
        <v>1.1138888888888889</v>
      </c>
      <c r="G7797">
        <f t="shared" ca="1" si="245"/>
        <v>0</v>
      </c>
    </row>
    <row r="7798" spans="1:7">
      <c r="A7798">
        <v>8479</v>
      </c>
      <c r="B7798" t="s">
        <v>11</v>
      </c>
      <c r="C7798" t="s">
        <v>119</v>
      </c>
      <c r="D7798" s="9">
        <v>41600.82135416667</v>
      </c>
      <c r="E7798" t="s">
        <v>27</v>
      </c>
      <c r="F7798">
        <f t="shared" ca="1" si="244"/>
        <v>1.1861111111111111</v>
      </c>
      <c r="G7798">
        <f t="shared" ca="1" si="245"/>
        <v>0</v>
      </c>
    </row>
    <row r="7799" spans="1:7">
      <c r="A7799">
        <v>8544</v>
      </c>
      <c r="B7799" t="s">
        <v>20</v>
      </c>
      <c r="C7799" t="s">
        <v>119</v>
      </c>
      <c r="D7799" s="9">
        <v>41613.657268518517</v>
      </c>
      <c r="E7799" t="s">
        <v>27</v>
      </c>
      <c r="F7799">
        <f t="shared" ca="1" si="244"/>
        <v>1.1499999999999999</v>
      </c>
      <c r="G7799">
        <f t="shared" ca="1" si="245"/>
        <v>0</v>
      </c>
    </row>
    <row r="7800" spans="1:7">
      <c r="A7800">
        <v>8573</v>
      </c>
      <c r="B7800" t="s">
        <v>11</v>
      </c>
      <c r="C7800" t="s">
        <v>119</v>
      </c>
      <c r="D7800" s="9">
        <v>41618.82230324074</v>
      </c>
      <c r="E7800" t="s">
        <v>27</v>
      </c>
      <c r="F7800">
        <f t="shared" ca="1" si="244"/>
        <v>1.1361111111111111</v>
      </c>
      <c r="G7800">
        <f t="shared" ca="1" si="245"/>
        <v>0</v>
      </c>
    </row>
    <row r="7801" spans="1:7">
      <c r="A7801">
        <v>8574</v>
      </c>
      <c r="B7801" t="s">
        <v>11</v>
      </c>
      <c r="C7801" t="s">
        <v>119</v>
      </c>
      <c r="D7801" s="9">
        <v>41617.668217592596</v>
      </c>
      <c r="E7801" t="s">
        <v>20</v>
      </c>
      <c r="F7801">
        <f t="shared" ca="1" si="244"/>
        <v>1.1388888888888888</v>
      </c>
      <c r="G7801">
        <f t="shared" ca="1" si="245"/>
        <v>0</v>
      </c>
    </row>
    <row r="7802" spans="1:7">
      <c r="A7802">
        <v>8591</v>
      </c>
      <c r="B7802" t="s">
        <v>19</v>
      </c>
      <c r="C7802" t="s">
        <v>119</v>
      </c>
      <c r="D7802" s="9">
        <v>41619.85696759259</v>
      </c>
      <c r="E7802" t="s">
        <v>11</v>
      </c>
      <c r="F7802">
        <f t="shared" ca="1" si="244"/>
        <v>1.1333333333333333</v>
      </c>
      <c r="G7802">
        <f t="shared" ca="1" si="245"/>
        <v>0</v>
      </c>
    </row>
    <row r="7803" spans="1:7">
      <c r="A7803">
        <v>8612</v>
      </c>
      <c r="B7803" t="s">
        <v>11</v>
      </c>
      <c r="C7803" t="s">
        <v>119</v>
      </c>
      <c r="D7803" s="9">
        <v>41670.591435185182</v>
      </c>
      <c r="E7803" t="s">
        <v>21</v>
      </c>
      <c r="F7803">
        <f t="shared" ca="1" si="244"/>
        <v>0.99722222222222223</v>
      </c>
      <c r="G7803">
        <f t="shared" ca="1" si="245"/>
        <v>1</v>
      </c>
    </row>
    <row r="7804" spans="1:7">
      <c r="A7804">
        <v>8621</v>
      </c>
      <c r="B7804" t="s">
        <v>43</v>
      </c>
      <c r="C7804" t="s">
        <v>119</v>
      </c>
      <c r="D7804" s="9">
        <v>41670.591527777775</v>
      </c>
      <c r="E7804" t="s">
        <v>27</v>
      </c>
      <c r="F7804">
        <f t="shared" ca="1" si="244"/>
        <v>0.99722222222222223</v>
      </c>
      <c r="G7804">
        <f t="shared" ca="1" si="245"/>
        <v>1</v>
      </c>
    </row>
    <row r="7805" spans="1:7">
      <c r="A7805">
        <v>8629</v>
      </c>
      <c r="B7805" t="s">
        <v>211</v>
      </c>
      <c r="C7805" t="s">
        <v>209</v>
      </c>
      <c r="D7805" s="9">
        <v>41873.706238425926</v>
      </c>
      <c r="E7805" t="s">
        <v>34</v>
      </c>
      <c r="F7805">
        <f t="shared" ca="1" si="244"/>
        <v>0.43611111111111112</v>
      </c>
      <c r="G7805">
        <f t="shared" ca="1" si="245"/>
        <v>1</v>
      </c>
    </row>
    <row r="7806" spans="1:7">
      <c r="A7806">
        <v>8654</v>
      </c>
      <c r="B7806" t="s">
        <v>32</v>
      </c>
      <c r="C7806" t="s">
        <v>119</v>
      </c>
      <c r="D7806" s="9">
        <v>41647.800462962965</v>
      </c>
      <c r="E7806" t="s">
        <v>36</v>
      </c>
      <c r="F7806">
        <f t="shared" ca="1" si="244"/>
        <v>1.0583333333333333</v>
      </c>
      <c r="G7806">
        <f t="shared" ca="1" si="245"/>
        <v>0</v>
      </c>
    </row>
    <row r="7807" spans="1:7">
      <c r="A7807">
        <v>8657</v>
      </c>
      <c r="B7807" t="s">
        <v>43</v>
      </c>
      <c r="C7807" t="s">
        <v>119</v>
      </c>
      <c r="D7807" s="9">
        <v>41675.030335648145</v>
      </c>
      <c r="E7807" t="s">
        <v>36</v>
      </c>
      <c r="F7807">
        <f t="shared" ca="1" si="244"/>
        <v>0.98333333333333328</v>
      </c>
      <c r="G7807">
        <f t="shared" ca="1" si="245"/>
        <v>1</v>
      </c>
    </row>
    <row r="7808" spans="1:7">
      <c r="A7808">
        <v>8729</v>
      </c>
      <c r="B7808" t="s">
        <v>17</v>
      </c>
      <c r="C7808" t="s">
        <v>119</v>
      </c>
      <c r="D7808" s="9">
        <v>41661.582812499997</v>
      </c>
      <c r="E7808" t="s">
        <v>18</v>
      </c>
      <c r="F7808">
        <f t="shared" ca="1" si="244"/>
        <v>1.0194444444444444</v>
      </c>
      <c r="G7808">
        <f t="shared" ca="1" si="245"/>
        <v>0</v>
      </c>
    </row>
    <row r="7809" spans="1:7">
      <c r="A7809">
        <v>8790</v>
      </c>
      <c r="B7809" t="s">
        <v>14</v>
      </c>
      <c r="C7809" t="s">
        <v>119</v>
      </c>
      <c r="D7809" s="9">
        <v>41670.652870370373</v>
      </c>
      <c r="E7809" t="s">
        <v>34</v>
      </c>
      <c r="F7809">
        <f t="shared" ca="1" si="244"/>
        <v>0.99722222222222223</v>
      </c>
      <c r="G7809">
        <f t="shared" ca="1" si="245"/>
        <v>1</v>
      </c>
    </row>
    <row r="7810" spans="1:7">
      <c r="A7810">
        <v>8795</v>
      </c>
      <c r="B7810" t="s">
        <v>20</v>
      </c>
      <c r="C7810" t="s">
        <v>118</v>
      </c>
      <c r="D7810" s="9">
        <v>41680.930891203701</v>
      </c>
      <c r="E7810" t="s">
        <v>36</v>
      </c>
      <c r="F7810">
        <f t="shared" ca="1" si="244"/>
        <v>0.96944444444444444</v>
      </c>
      <c r="G7810">
        <f t="shared" ca="1" si="245"/>
        <v>1</v>
      </c>
    </row>
    <row r="7811" spans="1:7">
      <c r="A7811">
        <v>8817</v>
      </c>
      <c r="B7811" t="s">
        <v>14</v>
      </c>
      <c r="C7811" t="s">
        <v>118</v>
      </c>
      <c r="D7811" s="9">
        <v>41682.630277777775</v>
      </c>
      <c r="E7811" t="s">
        <v>17</v>
      </c>
      <c r="F7811">
        <f t="shared" ca="1" si="244"/>
        <v>0.96388888888888891</v>
      </c>
      <c r="G7811">
        <f t="shared" ca="1" si="245"/>
        <v>1</v>
      </c>
    </row>
    <row r="7812" spans="1:7">
      <c r="A7812">
        <v>8849</v>
      </c>
      <c r="B7812" t="s">
        <v>18</v>
      </c>
      <c r="C7812" t="s">
        <v>118</v>
      </c>
      <c r="D7812" s="9">
        <v>41708.403773148151</v>
      </c>
      <c r="E7812" t="s">
        <v>29</v>
      </c>
      <c r="F7812">
        <f t="shared" ca="1" si="244"/>
        <v>0.88611111111111107</v>
      </c>
      <c r="G7812">
        <f t="shared" ca="1" si="245"/>
        <v>1</v>
      </c>
    </row>
    <row r="7813" spans="1:7">
      <c r="A7813">
        <v>8885</v>
      </c>
      <c r="B7813" t="s">
        <v>17</v>
      </c>
      <c r="C7813" t="s">
        <v>119</v>
      </c>
      <c r="D7813" s="9">
        <v>41683.817824074074</v>
      </c>
      <c r="E7813" t="s">
        <v>14</v>
      </c>
      <c r="F7813">
        <f t="shared" ca="1" si="244"/>
        <v>0.96111111111111114</v>
      </c>
      <c r="G7813">
        <f t="shared" ca="1" si="245"/>
        <v>1</v>
      </c>
    </row>
    <row r="7814" spans="1:7">
      <c r="A7814">
        <v>8903</v>
      </c>
      <c r="B7814" t="s">
        <v>43</v>
      </c>
      <c r="C7814" t="s">
        <v>118</v>
      </c>
      <c r="D7814" s="9">
        <v>41681.637106481481</v>
      </c>
      <c r="E7814" t="s">
        <v>36</v>
      </c>
      <c r="F7814">
        <f t="shared" ca="1" si="244"/>
        <v>0.96666666666666667</v>
      </c>
      <c r="G7814">
        <f t="shared" ca="1" si="245"/>
        <v>1</v>
      </c>
    </row>
    <row r="7815" spans="1:7">
      <c r="A7815">
        <v>8904</v>
      </c>
      <c r="B7815" t="s">
        <v>11</v>
      </c>
      <c r="C7815" t="s">
        <v>119</v>
      </c>
      <c r="D7815" s="9">
        <v>41677.072604166664</v>
      </c>
      <c r="F7815">
        <f t="shared" ref="F7815:F7858" ca="1" si="246">YEARFRAC(TODAY(),$D7815)</f>
        <v>0.97777777777777775</v>
      </c>
      <c r="G7815">
        <f t="shared" ref="G7815:G7858" ca="1" si="247">IF($F7815&lt;1,1,0)</f>
        <v>1</v>
      </c>
    </row>
    <row r="7816" spans="1:7">
      <c r="A7816">
        <v>8991</v>
      </c>
      <c r="B7816" t="s">
        <v>43</v>
      </c>
      <c r="C7816" t="s">
        <v>118</v>
      </c>
      <c r="D7816" s="9">
        <v>41701.777071759258</v>
      </c>
      <c r="E7816" t="s">
        <v>36</v>
      </c>
      <c r="F7816">
        <f t="shared" ca="1" si="246"/>
        <v>0.90555555555555556</v>
      </c>
      <c r="G7816">
        <f t="shared" ca="1" si="247"/>
        <v>1</v>
      </c>
    </row>
    <row r="7817" spans="1:7">
      <c r="A7817">
        <v>9073</v>
      </c>
      <c r="B7817" t="s">
        <v>11</v>
      </c>
      <c r="C7817" t="s">
        <v>118</v>
      </c>
      <c r="D7817" s="9">
        <v>41703.637372685182</v>
      </c>
      <c r="E7817" t="s">
        <v>27</v>
      </c>
      <c r="F7817">
        <f t="shared" ca="1" si="246"/>
        <v>0.9</v>
      </c>
      <c r="G7817">
        <f t="shared" ca="1" si="247"/>
        <v>1</v>
      </c>
    </row>
    <row r="7818" spans="1:7">
      <c r="A7818">
        <v>9085</v>
      </c>
      <c r="B7818" t="s">
        <v>37</v>
      </c>
      <c r="C7818" t="s">
        <v>118</v>
      </c>
      <c r="D7818" s="9">
        <v>41698.603703703702</v>
      </c>
      <c r="E7818" t="s">
        <v>112</v>
      </c>
      <c r="F7818">
        <f t="shared" ca="1" si="246"/>
        <v>0.91388888888888886</v>
      </c>
      <c r="G7818">
        <f t="shared" ca="1" si="247"/>
        <v>1</v>
      </c>
    </row>
    <row r="7819" spans="1:7">
      <c r="A7819">
        <v>9122</v>
      </c>
      <c r="B7819" t="s">
        <v>36</v>
      </c>
      <c r="C7819" t="s">
        <v>118</v>
      </c>
      <c r="D7819" s="9">
        <v>41768.625150462962</v>
      </c>
      <c r="E7819" t="s">
        <v>27</v>
      </c>
      <c r="F7819">
        <f t="shared" ca="1" si="246"/>
        <v>0.72222222222222221</v>
      </c>
      <c r="G7819">
        <f t="shared" ca="1" si="247"/>
        <v>1</v>
      </c>
    </row>
    <row r="7820" spans="1:7">
      <c r="A7820">
        <v>9134</v>
      </c>
      <c r="B7820" t="s">
        <v>43</v>
      </c>
      <c r="C7820" t="s">
        <v>118</v>
      </c>
      <c r="D7820" s="9">
        <v>41709.570254629631</v>
      </c>
      <c r="E7820" t="s">
        <v>32</v>
      </c>
      <c r="F7820">
        <f t="shared" ca="1" si="246"/>
        <v>0.8833333333333333</v>
      </c>
      <c r="G7820">
        <f t="shared" ca="1" si="247"/>
        <v>1</v>
      </c>
    </row>
    <row r="7821" spans="1:7">
      <c r="A7821">
        <v>9152</v>
      </c>
      <c r="B7821" t="s">
        <v>29</v>
      </c>
      <c r="C7821" t="s">
        <v>118</v>
      </c>
      <c r="D7821" s="9">
        <v>41709.651597222219</v>
      </c>
      <c r="E7821" t="s">
        <v>32</v>
      </c>
      <c r="F7821">
        <f t="shared" ca="1" si="246"/>
        <v>0.8833333333333333</v>
      </c>
      <c r="G7821">
        <f t="shared" ca="1" si="247"/>
        <v>1</v>
      </c>
    </row>
    <row r="7822" spans="1:7">
      <c r="A7822">
        <v>9201</v>
      </c>
      <c r="B7822" t="s">
        <v>23</v>
      </c>
      <c r="C7822" t="s">
        <v>118</v>
      </c>
      <c r="D7822" s="9">
        <v>41726.662245370368</v>
      </c>
      <c r="E7822" t="s">
        <v>14</v>
      </c>
      <c r="F7822">
        <f t="shared" ca="1" si="246"/>
        <v>0.83611111111111114</v>
      </c>
      <c r="G7822">
        <f t="shared" ca="1" si="247"/>
        <v>1</v>
      </c>
    </row>
    <row r="7823" spans="1:7">
      <c r="A7823">
        <v>9220</v>
      </c>
      <c r="B7823" t="s">
        <v>36</v>
      </c>
      <c r="C7823" t="s">
        <v>118</v>
      </c>
      <c r="D7823" s="9">
        <v>41724.615763888891</v>
      </c>
      <c r="E7823" t="s">
        <v>20</v>
      </c>
      <c r="F7823">
        <f t="shared" ca="1" si="246"/>
        <v>0.84166666666666667</v>
      </c>
      <c r="G7823">
        <f t="shared" ca="1" si="247"/>
        <v>1</v>
      </c>
    </row>
    <row r="7824" spans="1:7">
      <c r="A7824">
        <v>9256</v>
      </c>
      <c r="B7824" t="s">
        <v>23</v>
      </c>
      <c r="C7824" t="s">
        <v>118</v>
      </c>
      <c r="D7824" s="9">
        <v>41754.475706018522</v>
      </c>
      <c r="E7824" t="s">
        <v>17</v>
      </c>
      <c r="F7824">
        <f t="shared" ca="1" si="246"/>
        <v>0.76111111111111107</v>
      </c>
      <c r="G7824">
        <f t="shared" ca="1" si="247"/>
        <v>1</v>
      </c>
    </row>
    <row r="7825" spans="1:7">
      <c r="A7825">
        <v>9330</v>
      </c>
      <c r="B7825" t="s">
        <v>11</v>
      </c>
      <c r="C7825" t="s">
        <v>118</v>
      </c>
      <c r="D7825" s="9">
        <v>41745.770312499997</v>
      </c>
      <c r="F7825">
        <f t="shared" ca="1" si="246"/>
        <v>0.78611111111111109</v>
      </c>
      <c r="G7825">
        <f t="shared" ca="1" si="247"/>
        <v>1</v>
      </c>
    </row>
    <row r="7826" spans="1:7">
      <c r="A7826">
        <v>9341</v>
      </c>
      <c r="B7826" t="s">
        <v>11</v>
      </c>
      <c r="C7826" t="s">
        <v>118</v>
      </c>
      <c r="D7826" s="9">
        <v>41750.658067129632</v>
      </c>
      <c r="E7826" t="s">
        <v>20</v>
      </c>
      <c r="F7826">
        <f t="shared" ca="1" si="246"/>
        <v>0.77222222222222225</v>
      </c>
      <c r="G7826">
        <f t="shared" ca="1" si="247"/>
        <v>1</v>
      </c>
    </row>
    <row r="7827" spans="1:7">
      <c r="A7827">
        <v>9355</v>
      </c>
      <c r="B7827" t="s">
        <v>21</v>
      </c>
      <c r="C7827" t="s">
        <v>118</v>
      </c>
      <c r="D7827" s="9">
        <v>41761.681250000001</v>
      </c>
      <c r="E7827" t="s">
        <v>23</v>
      </c>
      <c r="F7827">
        <f t="shared" ca="1" si="246"/>
        <v>0.7416666666666667</v>
      </c>
      <c r="G7827">
        <f t="shared" ca="1" si="247"/>
        <v>1</v>
      </c>
    </row>
    <row r="7828" spans="1:7">
      <c r="A7828">
        <v>9386</v>
      </c>
      <c r="B7828" t="s">
        <v>11</v>
      </c>
      <c r="C7828" t="s">
        <v>118</v>
      </c>
      <c r="D7828" s="9">
        <v>41757.774351851855</v>
      </c>
      <c r="E7828" t="s">
        <v>27</v>
      </c>
      <c r="F7828">
        <f t="shared" ca="1" si="246"/>
        <v>0.75277777777777777</v>
      </c>
      <c r="G7828">
        <f t="shared" ca="1" si="247"/>
        <v>1</v>
      </c>
    </row>
    <row r="7829" spans="1:7">
      <c r="A7829">
        <v>9396</v>
      </c>
      <c r="B7829" t="s">
        <v>23</v>
      </c>
      <c r="C7829" t="s">
        <v>118</v>
      </c>
      <c r="D7829" s="9">
        <v>41761.618703703702</v>
      </c>
      <c r="E7829" t="s">
        <v>14</v>
      </c>
      <c r="F7829">
        <f t="shared" ca="1" si="246"/>
        <v>0.7416666666666667</v>
      </c>
      <c r="G7829">
        <f t="shared" ca="1" si="247"/>
        <v>1</v>
      </c>
    </row>
    <row r="7830" spans="1:7">
      <c r="A7830">
        <v>9441</v>
      </c>
      <c r="B7830" t="s">
        <v>20</v>
      </c>
      <c r="C7830" t="s">
        <v>118</v>
      </c>
      <c r="D7830" s="9">
        <v>41772.797893518517</v>
      </c>
      <c r="E7830" t="s">
        <v>32</v>
      </c>
      <c r="F7830">
        <f t="shared" ca="1" si="246"/>
        <v>0.71111111111111114</v>
      </c>
      <c r="G7830">
        <f t="shared" ca="1" si="247"/>
        <v>1</v>
      </c>
    </row>
    <row r="7831" spans="1:7">
      <c r="A7831">
        <v>9442</v>
      </c>
      <c r="B7831" t="s">
        <v>11</v>
      </c>
      <c r="C7831" t="s">
        <v>118</v>
      </c>
      <c r="D7831" s="9">
        <v>41779.873206018521</v>
      </c>
      <c r="E7831" t="s">
        <v>20</v>
      </c>
      <c r="F7831">
        <f t="shared" ca="1" si="246"/>
        <v>0.69166666666666665</v>
      </c>
      <c r="G7831">
        <f t="shared" ca="1" si="247"/>
        <v>1</v>
      </c>
    </row>
    <row r="7832" spans="1:7">
      <c r="A7832">
        <v>9454</v>
      </c>
      <c r="B7832" t="s">
        <v>32</v>
      </c>
      <c r="C7832" t="s">
        <v>118</v>
      </c>
      <c r="D7832" s="9">
        <v>41774.795312499999</v>
      </c>
      <c r="E7832" t="s">
        <v>27</v>
      </c>
      <c r="F7832">
        <f t="shared" ca="1" si="246"/>
        <v>0.7055555555555556</v>
      </c>
      <c r="G7832">
        <f t="shared" ca="1" si="247"/>
        <v>1</v>
      </c>
    </row>
    <row r="7833" spans="1:7">
      <c r="A7833">
        <v>9498</v>
      </c>
      <c r="B7833" t="s">
        <v>36</v>
      </c>
      <c r="C7833" t="s">
        <v>118</v>
      </c>
      <c r="D7833" s="9">
        <v>41779.695972222224</v>
      </c>
      <c r="E7833" t="s">
        <v>32</v>
      </c>
      <c r="F7833">
        <f t="shared" ca="1" si="246"/>
        <v>0.69166666666666665</v>
      </c>
      <c r="G7833">
        <f t="shared" ca="1" si="247"/>
        <v>1</v>
      </c>
    </row>
    <row r="7834" spans="1:7">
      <c r="A7834">
        <v>9528</v>
      </c>
      <c r="B7834" t="s">
        <v>11</v>
      </c>
      <c r="C7834" t="s">
        <v>118</v>
      </c>
      <c r="D7834" s="9">
        <v>41782.845902777779</v>
      </c>
      <c r="E7834" t="s">
        <v>111</v>
      </c>
      <c r="F7834">
        <f t="shared" ca="1" si="246"/>
        <v>0.68333333333333335</v>
      </c>
      <c r="G7834">
        <f t="shared" ca="1" si="247"/>
        <v>1</v>
      </c>
    </row>
    <row r="7835" spans="1:7">
      <c r="A7835">
        <v>9669</v>
      </c>
      <c r="B7835" t="s">
        <v>36</v>
      </c>
      <c r="C7835" t="s">
        <v>118</v>
      </c>
      <c r="D7835" s="9">
        <v>41809.625243055554</v>
      </c>
      <c r="E7835" t="s">
        <v>27</v>
      </c>
      <c r="F7835">
        <f t="shared" ca="1" si="246"/>
        <v>0.61111111111111116</v>
      </c>
      <c r="G7835">
        <f t="shared" ca="1" si="247"/>
        <v>1</v>
      </c>
    </row>
    <row r="7836" spans="1:7">
      <c r="A7836">
        <v>9713</v>
      </c>
      <c r="B7836" t="s">
        <v>50</v>
      </c>
      <c r="C7836" t="s">
        <v>209</v>
      </c>
      <c r="D7836" s="9">
        <v>41845.637199074074</v>
      </c>
      <c r="E7836" t="s">
        <v>215</v>
      </c>
      <c r="F7836">
        <f t="shared" ca="1" si="246"/>
        <v>0.51111111111111107</v>
      </c>
      <c r="G7836">
        <f t="shared" ca="1" si="247"/>
        <v>1</v>
      </c>
    </row>
    <row r="7837" spans="1:7">
      <c r="A7837">
        <v>9730</v>
      </c>
      <c r="B7837" t="s">
        <v>36</v>
      </c>
      <c r="C7837" t="s">
        <v>209</v>
      </c>
      <c r="D7837" s="9">
        <v>41837.793796296297</v>
      </c>
      <c r="E7837" t="s">
        <v>80</v>
      </c>
      <c r="F7837">
        <f t="shared" ca="1" si="246"/>
        <v>0.53333333333333333</v>
      </c>
      <c r="G7837">
        <f t="shared" ca="1" si="247"/>
        <v>1</v>
      </c>
    </row>
    <row r="7838" spans="1:7">
      <c r="A7838">
        <v>9822</v>
      </c>
      <c r="B7838" t="s">
        <v>14</v>
      </c>
      <c r="C7838" t="s">
        <v>209</v>
      </c>
      <c r="D7838" s="9">
        <v>41852.588738425926</v>
      </c>
      <c r="E7838" t="s">
        <v>8</v>
      </c>
      <c r="F7838">
        <f t="shared" ca="1" si="246"/>
        <v>0.49444444444444446</v>
      </c>
      <c r="G7838">
        <f t="shared" ca="1" si="247"/>
        <v>1</v>
      </c>
    </row>
    <row r="7839" spans="1:7">
      <c r="A7839">
        <v>9838</v>
      </c>
      <c r="B7839" t="s">
        <v>36</v>
      </c>
      <c r="C7839" t="s">
        <v>118</v>
      </c>
      <c r="D7839" s="9">
        <v>41828.596539351849</v>
      </c>
      <c r="E7839" t="s">
        <v>21</v>
      </c>
      <c r="F7839">
        <f t="shared" ca="1" si="246"/>
        <v>0.55833333333333335</v>
      </c>
      <c r="G7839">
        <f t="shared" ca="1" si="247"/>
        <v>1</v>
      </c>
    </row>
    <row r="7840" spans="1:7">
      <c r="A7840">
        <v>9858</v>
      </c>
      <c r="B7840" t="s">
        <v>43</v>
      </c>
      <c r="C7840" t="s">
        <v>209</v>
      </c>
      <c r="D7840" s="9">
        <v>41852.635752314818</v>
      </c>
      <c r="E7840" t="s">
        <v>21</v>
      </c>
      <c r="F7840">
        <f t="shared" ca="1" si="246"/>
        <v>0.49444444444444446</v>
      </c>
      <c r="G7840">
        <f t="shared" ca="1" si="247"/>
        <v>1</v>
      </c>
    </row>
    <row r="7841" spans="1:7">
      <c r="A7841">
        <v>9882</v>
      </c>
      <c r="B7841" t="s">
        <v>111</v>
      </c>
      <c r="C7841" t="s">
        <v>209</v>
      </c>
      <c r="D7841" s="9">
        <v>41838.843541666669</v>
      </c>
      <c r="E7841" t="s">
        <v>36</v>
      </c>
      <c r="F7841">
        <f t="shared" ca="1" si="246"/>
        <v>0.53055555555555556</v>
      </c>
      <c r="G7841">
        <f t="shared" ca="1" si="247"/>
        <v>1</v>
      </c>
    </row>
    <row r="7842" spans="1:7">
      <c r="A7842">
        <v>9886</v>
      </c>
      <c r="B7842" t="s">
        <v>43</v>
      </c>
      <c r="C7842" t="s">
        <v>209</v>
      </c>
      <c r="D7842" s="9">
        <v>41845.53466435185</v>
      </c>
      <c r="E7842" t="s">
        <v>112</v>
      </c>
      <c r="F7842">
        <f t="shared" ca="1" si="246"/>
        <v>0.51111111111111107</v>
      </c>
      <c r="G7842">
        <f t="shared" ca="1" si="247"/>
        <v>1</v>
      </c>
    </row>
    <row r="7843" spans="1:7">
      <c r="A7843">
        <v>9889</v>
      </c>
      <c r="B7843" t="s">
        <v>215</v>
      </c>
      <c r="C7843" t="s">
        <v>209</v>
      </c>
      <c r="D7843" s="9">
        <v>41845.705462962964</v>
      </c>
      <c r="E7843" t="s">
        <v>112</v>
      </c>
      <c r="F7843">
        <f t="shared" ca="1" si="246"/>
        <v>0.51111111111111107</v>
      </c>
      <c r="G7843">
        <f t="shared" ca="1" si="247"/>
        <v>1</v>
      </c>
    </row>
    <row r="7844" spans="1:7">
      <c r="A7844">
        <v>9948</v>
      </c>
      <c r="B7844" t="s">
        <v>23</v>
      </c>
      <c r="C7844" t="s">
        <v>209</v>
      </c>
      <c r="D7844" s="9">
        <v>41852.589537037034</v>
      </c>
      <c r="E7844" t="s">
        <v>8</v>
      </c>
      <c r="F7844">
        <f t="shared" ca="1" si="246"/>
        <v>0.49444444444444446</v>
      </c>
      <c r="G7844">
        <f t="shared" ca="1" si="247"/>
        <v>1</v>
      </c>
    </row>
    <row r="7845" spans="1:7">
      <c r="A7845">
        <v>9963</v>
      </c>
      <c r="B7845" t="s">
        <v>36</v>
      </c>
      <c r="C7845" t="s">
        <v>209</v>
      </c>
      <c r="D7845" s="9">
        <v>41841.670787037037</v>
      </c>
      <c r="E7845" t="s">
        <v>20</v>
      </c>
      <c r="F7845">
        <f t="shared" ca="1" si="246"/>
        <v>0.52222222222222225</v>
      </c>
      <c r="G7845">
        <f t="shared" ca="1" si="247"/>
        <v>1</v>
      </c>
    </row>
    <row r="7846" spans="1:7">
      <c r="A7846">
        <v>9974</v>
      </c>
      <c r="B7846" t="s">
        <v>37</v>
      </c>
      <c r="C7846" t="s">
        <v>209</v>
      </c>
      <c r="D7846" s="9">
        <v>41845.586168981485</v>
      </c>
      <c r="E7846" t="s">
        <v>215</v>
      </c>
      <c r="F7846">
        <f t="shared" ca="1" si="246"/>
        <v>0.51111111111111107</v>
      </c>
      <c r="G7846">
        <f t="shared" ca="1" si="247"/>
        <v>1</v>
      </c>
    </row>
    <row r="7847" spans="1:7">
      <c r="A7847">
        <v>10073</v>
      </c>
      <c r="B7847" t="s">
        <v>215</v>
      </c>
      <c r="C7847" t="s">
        <v>209</v>
      </c>
      <c r="D7847" s="9">
        <v>41859.646631944444</v>
      </c>
      <c r="E7847" t="s">
        <v>8</v>
      </c>
      <c r="F7847">
        <f t="shared" ca="1" si="246"/>
        <v>0.47499999999999998</v>
      </c>
      <c r="G7847">
        <f t="shared" ca="1" si="247"/>
        <v>1</v>
      </c>
    </row>
    <row r="7848" spans="1:7">
      <c r="A7848">
        <v>10105</v>
      </c>
      <c r="B7848" t="s">
        <v>43</v>
      </c>
      <c r="C7848" t="s">
        <v>209</v>
      </c>
      <c r="D7848" s="9">
        <v>41865.663043981483</v>
      </c>
      <c r="E7848" t="s">
        <v>8</v>
      </c>
      <c r="F7848">
        <f t="shared" ca="1" si="246"/>
        <v>0.45833333333333331</v>
      </c>
      <c r="G7848">
        <f t="shared" ca="1" si="247"/>
        <v>1</v>
      </c>
    </row>
    <row r="7849" spans="1:7">
      <c r="A7849">
        <v>10142</v>
      </c>
      <c r="B7849" t="s">
        <v>215</v>
      </c>
      <c r="C7849" t="s">
        <v>209</v>
      </c>
      <c r="D7849" s="9">
        <v>41872.428136574075</v>
      </c>
      <c r="E7849" t="s">
        <v>19</v>
      </c>
      <c r="F7849">
        <f t="shared" ca="1" si="246"/>
        <v>0.43888888888888888</v>
      </c>
      <c r="G7849">
        <f t="shared" ca="1" si="247"/>
        <v>1</v>
      </c>
    </row>
    <row r="7850" spans="1:7">
      <c r="A7850">
        <v>10158</v>
      </c>
      <c r="B7850" t="s">
        <v>211</v>
      </c>
      <c r="C7850" t="s">
        <v>209</v>
      </c>
      <c r="D7850" s="9">
        <v>41891.663958333331</v>
      </c>
      <c r="E7850" t="s">
        <v>20</v>
      </c>
      <c r="F7850">
        <f t="shared" ca="1" si="246"/>
        <v>0.3888888888888889</v>
      </c>
      <c r="G7850">
        <f t="shared" ca="1" si="247"/>
        <v>1</v>
      </c>
    </row>
    <row r="7851" spans="1:7">
      <c r="A7851">
        <v>10401</v>
      </c>
      <c r="B7851" t="s">
        <v>212</v>
      </c>
      <c r="C7851" t="s">
        <v>209</v>
      </c>
      <c r="D7851" s="9">
        <v>41946.66909722222</v>
      </c>
      <c r="E7851" t="s">
        <v>44</v>
      </c>
      <c r="F7851">
        <f t="shared" ca="1" si="246"/>
        <v>0.2388888888888889</v>
      </c>
      <c r="G7851">
        <f t="shared" ca="1" si="247"/>
        <v>1</v>
      </c>
    </row>
    <row r="7852" spans="1:7">
      <c r="A7852">
        <v>10403</v>
      </c>
      <c r="B7852" t="s">
        <v>212</v>
      </c>
      <c r="C7852" t="s">
        <v>209</v>
      </c>
      <c r="D7852" s="9">
        <v>41946.662997685184</v>
      </c>
      <c r="E7852" t="s">
        <v>44</v>
      </c>
      <c r="F7852">
        <f t="shared" ca="1" si="246"/>
        <v>0.2388888888888889</v>
      </c>
      <c r="G7852">
        <f t="shared" ca="1" si="247"/>
        <v>1</v>
      </c>
    </row>
    <row r="7853" spans="1:7">
      <c r="A7853">
        <v>10417</v>
      </c>
      <c r="B7853" t="s">
        <v>212</v>
      </c>
      <c r="C7853" t="s">
        <v>209</v>
      </c>
      <c r="D7853" s="9">
        <v>41935.708877314813</v>
      </c>
      <c r="E7853" t="s">
        <v>44</v>
      </c>
      <c r="F7853">
        <f t="shared" ca="1" si="246"/>
        <v>0.26666666666666666</v>
      </c>
      <c r="G7853">
        <f t="shared" ca="1" si="247"/>
        <v>1</v>
      </c>
    </row>
    <row r="7854" spans="1:7">
      <c r="A7854">
        <v>10452</v>
      </c>
      <c r="B7854" t="s">
        <v>212</v>
      </c>
      <c r="C7854" t="s">
        <v>209</v>
      </c>
      <c r="D7854" s="9">
        <v>41948.672997685186</v>
      </c>
      <c r="E7854" t="s">
        <v>44</v>
      </c>
      <c r="F7854">
        <f t="shared" ca="1" si="246"/>
        <v>0.23333333333333334</v>
      </c>
      <c r="G7854">
        <f t="shared" ca="1" si="247"/>
        <v>1</v>
      </c>
    </row>
    <row r="7855" spans="1:7">
      <c r="A7855">
        <v>10469</v>
      </c>
      <c r="B7855" t="s">
        <v>80</v>
      </c>
      <c r="C7855" t="s">
        <v>209</v>
      </c>
      <c r="D7855" s="9">
        <v>41948.884375000001</v>
      </c>
      <c r="F7855">
        <f t="shared" ca="1" si="246"/>
        <v>0.23333333333333334</v>
      </c>
      <c r="G7855">
        <f t="shared" ca="1" si="247"/>
        <v>1</v>
      </c>
    </row>
    <row r="7856" spans="1:7">
      <c r="A7856">
        <v>10483</v>
      </c>
      <c r="B7856" t="s">
        <v>215</v>
      </c>
      <c r="C7856" t="s">
        <v>209</v>
      </c>
      <c r="D7856" s="9">
        <v>41948.639756944445</v>
      </c>
      <c r="E7856" t="s">
        <v>20</v>
      </c>
      <c r="F7856">
        <f t="shared" ca="1" si="246"/>
        <v>0.23333333333333334</v>
      </c>
      <c r="G7856">
        <f t="shared" ca="1" si="247"/>
        <v>1</v>
      </c>
    </row>
    <row r="7857" spans="1:7">
      <c r="A7857">
        <v>10488</v>
      </c>
      <c r="B7857" t="s">
        <v>215</v>
      </c>
      <c r="C7857" t="s">
        <v>209</v>
      </c>
      <c r="D7857" s="9">
        <v>41950.583668981482</v>
      </c>
      <c r="E7857" t="s">
        <v>219</v>
      </c>
      <c r="F7857">
        <f t="shared" ca="1" si="246"/>
        <v>0.22777777777777777</v>
      </c>
      <c r="G7857">
        <f t="shared" ca="1" si="247"/>
        <v>1</v>
      </c>
    </row>
    <row r="7858" spans="1:7">
      <c r="A7858">
        <v>10517</v>
      </c>
      <c r="B7858" t="s">
        <v>20</v>
      </c>
      <c r="C7858" t="s">
        <v>209</v>
      </c>
      <c r="D7858" s="9">
        <v>41950.679201388892</v>
      </c>
      <c r="E7858" t="s">
        <v>80</v>
      </c>
      <c r="F7858">
        <f t="shared" ca="1" si="246"/>
        <v>0.22777777777777777</v>
      </c>
      <c r="G7858">
        <f t="shared" ca="1" si="247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78"/>
  <sheetViews>
    <sheetView topLeftCell="A4" workbookViewId="0">
      <selection activeCell="A69" sqref="A69"/>
    </sheetView>
  </sheetViews>
  <sheetFormatPr defaultRowHeight="15"/>
  <cols>
    <col min="1" max="1" width="20" customWidth="1"/>
    <col min="8" max="9" width="22" customWidth="1"/>
  </cols>
  <sheetData>
    <row r="1" spans="1:11" ht="39.75" thickBot="1">
      <c r="A1" s="1" t="s">
        <v>113</v>
      </c>
      <c r="B1" s="2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0</v>
      </c>
      <c r="J1" s="4" t="s">
        <v>71</v>
      </c>
      <c r="K1" s="4" t="s">
        <v>108</v>
      </c>
    </row>
    <row r="2" spans="1:11" s="3" customFormat="1">
      <c r="A2" t="s">
        <v>8</v>
      </c>
      <c r="B2">
        <v>0</v>
      </c>
      <c r="C2">
        <v>903</v>
      </c>
      <c r="D2">
        <v>4182</v>
      </c>
      <c r="E2">
        <v>0</v>
      </c>
      <c r="F2" t="s">
        <v>9</v>
      </c>
      <c r="G2" t="s">
        <v>96</v>
      </c>
      <c r="H2" t="s">
        <v>223</v>
      </c>
      <c r="I2" s="3" t="str">
        <f>VLOOKUP(Commits!$A2,People!$A$2:$C10000,2,FALSE)</f>
        <v>Martyn Gigg</v>
      </c>
      <c r="J2" s="3" t="str">
        <f>VLOOKUP(Commits!$A2,People!$A$2:$C10000,3,FALSE)</f>
        <v>ISIS</v>
      </c>
      <c r="K2" s="3" t="str">
        <f>VLOOKUP(Commits!$A2,People!$A$2:$D10000,4,FALSE)</f>
        <v>Tessella</v>
      </c>
    </row>
    <row r="3" spans="1:11" s="3" customFormat="1">
      <c r="A3" t="s">
        <v>11</v>
      </c>
      <c r="B3">
        <v>0</v>
      </c>
      <c r="C3">
        <v>349</v>
      </c>
      <c r="D3">
        <v>3100</v>
      </c>
      <c r="E3">
        <v>0</v>
      </c>
      <c r="F3" t="s">
        <v>9</v>
      </c>
      <c r="G3" t="s">
        <v>78</v>
      </c>
      <c r="H3" t="s">
        <v>224</v>
      </c>
      <c r="I3" s="3" t="str">
        <f>VLOOKUP(Commits!$A3,People!$A$2:$C10001,2,FALSE)</f>
        <v>Russell Taylor</v>
      </c>
      <c r="J3" s="3" t="str">
        <f>VLOOKUP(Commits!$A3,People!$A$2:$C10001,3,FALSE)</f>
        <v>SNS</v>
      </c>
      <c r="K3" s="3" t="str">
        <f>VLOOKUP(Commits!$A3,People!$A$2:$D10001,4,FALSE)</f>
        <v>Tessella</v>
      </c>
    </row>
    <row r="4" spans="1:11" s="3" customFormat="1">
      <c r="A4" t="s">
        <v>99</v>
      </c>
      <c r="B4">
        <v>0</v>
      </c>
      <c r="C4">
        <v>0</v>
      </c>
      <c r="D4">
        <v>2892</v>
      </c>
      <c r="E4">
        <v>0</v>
      </c>
      <c r="F4" t="s">
        <v>9</v>
      </c>
      <c r="G4" t="s">
        <v>94</v>
      </c>
      <c r="H4" t="s">
        <v>31</v>
      </c>
      <c r="I4" s="3" t="str">
        <f>VLOOKUP(Commits!$A4,People!$A$2:$C10002,2,FALSE)</f>
        <v>Janik Zikovsky</v>
      </c>
      <c r="J4" s="3" t="str">
        <f>VLOOKUP(Commits!$A4,People!$A$2:$C10002,3,FALSE)</f>
        <v>SNS</v>
      </c>
      <c r="K4" s="3">
        <f>VLOOKUP(Commits!$A4,People!$A$2:$D10002,4,FALSE)</f>
        <v>0</v>
      </c>
    </row>
    <row r="5" spans="1:11" s="3" customFormat="1">
      <c r="A5" t="s">
        <v>19</v>
      </c>
      <c r="B5">
        <v>0</v>
      </c>
      <c r="C5">
        <v>613</v>
      </c>
      <c r="D5">
        <v>2433</v>
      </c>
      <c r="E5">
        <v>0</v>
      </c>
      <c r="F5" t="s">
        <v>9</v>
      </c>
      <c r="G5" t="s">
        <v>94</v>
      </c>
      <c r="H5" t="s">
        <v>13</v>
      </c>
      <c r="I5" s="3" t="str">
        <f>VLOOKUP(Commits!$A5,People!$A$2:$C10003,2,FALSE)</f>
        <v>Owen Arnold</v>
      </c>
      <c r="J5" s="3" t="str">
        <f>VLOOKUP(Commits!$A5,People!$A$2:$C10003,3,FALSE)</f>
        <v>ISIS</v>
      </c>
      <c r="K5" s="3" t="str">
        <f>VLOOKUP(Commits!$A5,People!$A$2:$D10003,4,FALSE)</f>
        <v>Tessella</v>
      </c>
    </row>
    <row r="6" spans="1:11" s="3" customFormat="1">
      <c r="A6" t="s">
        <v>23</v>
      </c>
      <c r="B6">
        <v>0</v>
      </c>
      <c r="C6">
        <v>466</v>
      </c>
      <c r="D6">
        <v>1991</v>
      </c>
      <c r="E6">
        <v>0</v>
      </c>
      <c r="F6" t="s">
        <v>9</v>
      </c>
      <c r="G6" t="s">
        <v>94</v>
      </c>
      <c r="H6" t="s">
        <v>225</v>
      </c>
      <c r="I6" s="3" t="str">
        <f>VLOOKUP(Commits!$A6,People!$A$2:$C10004,2,FALSE)</f>
        <v>Alex Buts</v>
      </c>
      <c r="J6" s="3" t="str">
        <f>VLOOKUP(Commits!$A6,People!$A$2:$C10004,3,FALSE)</f>
        <v>ISIS</v>
      </c>
      <c r="K6" s="3">
        <f>VLOOKUP(Commits!$A6,People!$A$2:$D10004,4,FALSE)</f>
        <v>0</v>
      </c>
    </row>
    <row r="7" spans="1:11" s="3" customFormat="1">
      <c r="A7" t="s">
        <v>20</v>
      </c>
      <c r="B7">
        <v>0</v>
      </c>
      <c r="C7">
        <v>425</v>
      </c>
      <c r="D7">
        <v>1973</v>
      </c>
      <c r="E7">
        <v>0</v>
      </c>
      <c r="F7" t="s">
        <v>9</v>
      </c>
      <c r="G7" t="s">
        <v>94</v>
      </c>
      <c r="H7" t="s">
        <v>13</v>
      </c>
      <c r="I7" s="3" t="str">
        <f>VLOOKUP(Commits!$A7,People!$A$2:$C10005,2,FALSE)</f>
        <v>Peter Peterson</v>
      </c>
      <c r="J7" s="3" t="str">
        <f>VLOOKUP(Commits!$A7,People!$A$2:$C10005,3,FALSE)</f>
        <v>SNS</v>
      </c>
      <c r="K7" s="3">
        <f>VLOOKUP(Commits!$A7,People!$A$2:$D10005,4,FALSE)</f>
        <v>0</v>
      </c>
    </row>
    <row r="8" spans="1:11" s="3" customFormat="1">
      <c r="A8" t="s">
        <v>34</v>
      </c>
      <c r="B8">
        <v>0</v>
      </c>
      <c r="C8">
        <v>321</v>
      </c>
      <c r="D8">
        <v>1744</v>
      </c>
      <c r="E8">
        <v>0</v>
      </c>
      <c r="F8" t="s">
        <v>9</v>
      </c>
      <c r="G8" t="s">
        <v>12</v>
      </c>
      <c r="H8" t="s">
        <v>226</v>
      </c>
      <c r="I8" s="3" t="str">
        <f>VLOOKUP(Commits!$A8,People!$A$2:$C10006,2,FALSE)</f>
        <v>Roman Tolchenov</v>
      </c>
      <c r="J8" s="3" t="str">
        <f>VLOOKUP(Commits!$A8,People!$A$2:$C10006,3,FALSE)</f>
        <v>ISIS</v>
      </c>
      <c r="K8" s="3" t="str">
        <f>VLOOKUP(Commits!$A8,People!$A$2:$D10006,4,FALSE)</f>
        <v>Tessella</v>
      </c>
    </row>
    <row r="9" spans="1:11" s="3" customFormat="1">
      <c r="A9" t="s">
        <v>27</v>
      </c>
      <c r="B9">
        <v>0</v>
      </c>
      <c r="C9">
        <v>191</v>
      </c>
      <c r="D9">
        <v>1634</v>
      </c>
      <c r="E9">
        <v>0</v>
      </c>
      <c r="F9" t="s">
        <v>9</v>
      </c>
      <c r="G9" t="s">
        <v>94</v>
      </c>
      <c r="H9" t="s">
        <v>26</v>
      </c>
      <c r="I9" s="3" t="str">
        <f>VLOOKUP(Commits!$A9,People!$A$2:$C10007,2,FALSE)</f>
        <v>Michael Reuter</v>
      </c>
      <c r="J9" s="3" t="str">
        <f>VLOOKUP(Commits!$A9,People!$A$2:$C10007,3,FALSE)</f>
        <v>SNS</v>
      </c>
      <c r="K9" s="3">
        <f>VLOOKUP(Commits!$A9,People!$A$2:$D10007,4,FALSE)</f>
        <v>0</v>
      </c>
    </row>
    <row r="10" spans="1:11" s="3" customFormat="1">
      <c r="A10" t="s">
        <v>42</v>
      </c>
      <c r="B10">
        <v>0</v>
      </c>
      <c r="C10">
        <v>81</v>
      </c>
      <c r="D10">
        <v>1568</v>
      </c>
      <c r="E10">
        <v>0</v>
      </c>
      <c r="F10" t="s">
        <v>35</v>
      </c>
      <c r="G10" t="s">
        <v>94</v>
      </c>
      <c r="H10" t="s">
        <v>225</v>
      </c>
      <c r="I10" s="3" t="str">
        <f>VLOOKUP(Commits!$A10,People!$A$2:$C10008,2,FALSE)</f>
        <v>Mathieu Doucet</v>
      </c>
      <c r="J10" s="3" t="str">
        <f>VLOOKUP(Commits!$A10,People!$A$2:$C10008,3,FALSE)</f>
        <v>SNS</v>
      </c>
      <c r="K10" s="3">
        <f>VLOOKUP(Commits!$A10,People!$A$2:$D10008,4,FALSE)</f>
        <v>0</v>
      </c>
    </row>
    <row r="11" spans="1:11" s="3" customFormat="1">
      <c r="A11" t="s">
        <v>21</v>
      </c>
      <c r="B11">
        <v>0</v>
      </c>
      <c r="C11">
        <v>424</v>
      </c>
      <c r="D11">
        <v>1349</v>
      </c>
      <c r="E11">
        <v>0</v>
      </c>
      <c r="F11" t="s">
        <v>9</v>
      </c>
      <c r="G11" t="s">
        <v>33</v>
      </c>
      <c r="H11" t="s">
        <v>227</v>
      </c>
      <c r="I11" s="3" t="str">
        <f>VLOOKUP(Commits!$A11,People!$A$2:$C10009,2,FALSE)</f>
        <v>Wenduo Zhou</v>
      </c>
      <c r="J11" s="3" t="str">
        <f>VLOOKUP(Commits!$A11,People!$A$2:$C10009,3,FALSE)</f>
        <v>SNS</v>
      </c>
      <c r="K11" s="3">
        <f>VLOOKUP(Commits!$A11,People!$A$2:$D10009,4,FALSE)</f>
        <v>0</v>
      </c>
    </row>
    <row r="12" spans="1:11" s="3" customFormat="1">
      <c r="A12" t="s">
        <v>32</v>
      </c>
      <c r="B12">
        <v>0</v>
      </c>
      <c r="C12">
        <v>248</v>
      </c>
      <c r="D12">
        <v>1211</v>
      </c>
      <c r="E12">
        <v>0</v>
      </c>
      <c r="F12" t="s">
        <v>9</v>
      </c>
      <c r="G12" t="s">
        <v>94</v>
      </c>
      <c r="H12" t="s">
        <v>26</v>
      </c>
      <c r="I12" s="3" t="str">
        <f>VLOOKUP(Commits!$A12,People!$A$2:$C10010,2,FALSE)</f>
        <v>Vickie Lynch</v>
      </c>
      <c r="J12" s="3" t="str">
        <f>VLOOKUP(Commits!$A12,People!$A$2:$C10010,3,FALSE)</f>
        <v>SNS</v>
      </c>
      <c r="K12" s="3">
        <f>VLOOKUP(Commits!$A12,People!$A$2:$D10010,4,FALSE)</f>
        <v>0</v>
      </c>
    </row>
    <row r="13" spans="1:11" s="3" customFormat="1">
      <c r="A13" t="s">
        <v>14</v>
      </c>
      <c r="B13">
        <v>0</v>
      </c>
      <c r="C13">
        <v>655</v>
      </c>
      <c r="D13">
        <v>1068</v>
      </c>
      <c r="E13">
        <v>0</v>
      </c>
      <c r="F13" t="s">
        <v>9</v>
      </c>
      <c r="G13" t="s">
        <v>25</v>
      </c>
      <c r="H13" t="s">
        <v>48</v>
      </c>
      <c r="I13" s="3" t="str">
        <f>VLOOKUP(Commits!$A13,People!$A$2:$C10011,2,FALSE)</f>
        <v>Samuel Jackson</v>
      </c>
      <c r="J13" s="3" t="str">
        <f>VLOOKUP(Commits!$A13,People!$A$2:$C10011,3,FALSE)</f>
        <v>ISIS</v>
      </c>
      <c r="K13" s="3">
        <f>VLOOKUP(Commits!$A13,People!$A$2:$D10011,4,FALSE)</f>
        <v>0</v>
      </c>
    </row>
    <row r="14" spans="1:11" s="3" customFormat="1">
      <c r="A14" t="s">
        <v>38</v>
      </c>
      <c r="B14">
        <v>0</v>
      </c>
      <c r="C14">
        <v>98</v>
      </c>
      <c r="D14">
        <v>1046</v>
      </c>
      <c r="E14">
        <v>0</v>
      </c>
      <c r="F14" t="s">
        <v>9</v>
      </c>
      <c r="G14" t="s">
        <v>94</v>
      </c>
      <c r="H14" t="s">
        <v>227</v>
      </c>
      <c r="I14" s="3" t="str">
        <f>VLOOKUP(Commits!$A14,People!$A$2:$C10012,2,FALSE)</f>
        <v>Stuart Campbell</v>
      </c>
      <c r="J14" s="3" t="str">
        <f>VLOOKUP(Commits!$A14,People!$A$2:$C10012,3,FALSE)</f>
        <v>SNS</v>
      </c>
      <c r="K14" s="3">
        <f>VLOOKUP(Commits!$A14,People!$A$2:$D10012,4,FALSE)</f>
        <v>0</v>
      </c>
    </row>
    <row r="15" spans="1:11" s="3" customFormat="1">
      <c r="A15" t="s">
        <v>41</v>
      </c>
      <c r="B15">
        <v>0</v>
      </c>
      <c r="C15">
        <v>288</v>
      </c>
      <c r="D15">
        <v>1046</v>
      </c>
      <c r="E15">
        <v>0</v>
      </c>
      <c r="F15" t="s">
        <v>9</v>
      </c>
      <c r="G15" t="s">
        <v>78</v>
      </c>
      <c r="H15" t="s">
        <v>223</v>
      </c>
      <c r="I15" s="3" t="str">
        <f>VLOOKUP(Commits!$A15,People!$A$2:$C10013,2,FALSE)</f>
        <v>Nick Draper</v>
      </c>
      <c r="J15" s="3" t="str">
        <f>VLOOKUP(Commits!$A15,People!$A$2:$C10013,3,FALSE)</f>
        <v>ISIS</v>
      </c>
      <c r="K15" s="3" t="str">
        <f>VLOOKUP(Commits!$A15,People!$A$2:$D10013,4,FALSE)</f>
        <v>Tessella</v>
      </c>
    </row>
    <row r="16" spans="1:11" s="3" customFormat="1">
      <c r="A16" t="s">
        <v>44</v>
      </c>
      <c r="B16">
        <v>0</v>
      </c>
      <c r="C16">
        <v>194</v>
      </c>
      <c r="D16">
        <v>1007</v>
      </c>
      <c r="E16">
        <v>0</v>
      </c>
      <c r="F16" t="s">
        <v>9</v>
      </c>
      <c r="G16" t="s">
        <v>78</v>
      </c>
      <c r="H16" t="s">
        <v>228</v>
      </c>
      <c r="I16" s="3" t="str">
        <f>VLOOKUP(Commits!$A16,People!$A$2:$C10014,2,FALSE)</f>
        <v>Anders Markvardsen</v>
      </c>
      <c r="J16" s="3" t="str">
        <f>VLOOKUP(Commits!$A16,People!$A$2:$C10014,3,FALSE)</f>
        <v>ISIS</v>
      </c>
      <c r="K16" s="3">
        <f>VLOOKUP(Commits!$A16,People!$A$2:$D10014,4,FALSE)</f>
        <v>0</v>
      </c>
    </row>
    <row r="17" spans="1:11" s="3" customFormat="1">
      <c r="A17" t="s">
        <v>18</v>
      </c>
      <c r="B17">
        <v>0</v>
      </c>
      <c r="C17">
        <v>515</v>
      </c>
      <c r="D17">
        <v>762</v>
      </c>
      <c r="E17">
        <v>0</v>
      </c>
      <c r="F17" t="s">
        <v>9</v>
      </c>
      <c r="G17" t="s">
        <v>25</v>
      </c>
      <c r="H17" t="s">
        <v>224</v>
      </c>
      <c r="I17" s="3" t="str">
        <f>VLOOKUP(Commits!$A17,People!$A$2:$C10015,2,FALSE)</f>
        <v>Arturs Bekasovs</v>
      </c>
      <c r="J17" s="3" t="str">
        <f>VLOOKUP(Commits!$A17,People!$A$2:$C10015,3,FALSE)</f>
        <v>ISIS</v>
      </c>
      <c r="K17" s="3">
        <f>VLOOKUP(Commits!$A17,People!$A$2:$D10015,4,FALSE)</f>
        <v>0</v>
      </c>
    </row>
    <row r="18" spans="1:11" s="3" customFormat="1">
      <c r="A18" t="s">
        <v>17</v>
      </c>
      <c r="B18">
        <v>0</v>
      </c>
      <c r="C18">
        <v>468</v>
      </c>
      <c r="D18">
        <v>759</v>
      </c>
      <c r="E18">
        <v>0</v>
      </c>
      <c r="F18" t="s">
        <v>9</v>
      </c>
      <c r="G18" t="s">
        <v>25</v>
      </c>
      <c r="H18" t="s">
        <v>224</v>
      </c>
      <c r="I18" s="3" t="str">
        <f>VLOOKUP(Commits!$A18,People!$A$2:$C10016,2,FALSE)</f>
        <v>Jay Rainey</v>
      </c>
      <c r="J18" s="3" t="str">
        <f>VLOOKUP(Commits!$A18,People!$A$2:$C10016,3,FALSE)</f>
        <v>ISIS</v>
      </c>
      <c r="K18" s="3">
        <f>VLOOKUP(Commits!$A18,People!$A$2:$D10016,4,FALSE)</f>
        <v>0</v>
      </c>
    </row>
    <row r="19" spans="1:11" s="3" customFormat="1">
      <c r="A19" t="s">
        <v>30</v>
      </c>
      <c r="B19">
        <v>0</v>
      </c>
      <c r="C19">
        <v>220</v>
      </c>
      <c r="D19">
        <v>689</v>
      </c>
      <c r="E19">
        <v>0</v>
      </c>
      <c r="F19" t="s">
        <v>9</v>
      </c>
      <c r="G19" t="s">
        <v>22</v>
      </c>
      <c r="H19" t="s">
        <v>26</v>
      </c>
      <c r="I19" s="3" t="str">
        <f>VLOOKUP(Commits!$A19,People!$A$2:$C10017,2,FALSE)</f>
        <v>Karl Palmen</v>
      </c>
      <c r="J19" s="3" t="str">
        <f>VLOOKUP(Commits!$A19,People!$A$2:$C10017,3,FALSE)</f>
        <v>ISIS</v>
      </c>
      <c r="K19" s="3">
        <f>VLOOKUP(Commits!$A19,People!$A$2:$D10017,4,FALSE)</f>
        <v>0</v>
      </c>
    </row>
    <row r="20" spans="1:11" s="3" customFormat="1">
      <c r="A20" t="s">
        <v>24</v>
      </c>
      <c r="B20">
        <v>0</v>
      </c>
      <c r="C20">
        <v>114</v>
      </c>
      <c r="D20">
        <v>664</v>
      </c>
      <c r="E20">
        <v>0</v>
      </c>
      <c r="F20" t="s">
        <v>9</v>
      </c>
      <c r="G20" t="s">
        <v>46</v>
      </c>
      <c r="H20" t="s">
        <v>62</v>
      </c>
      <c r="I20" s="3" t="str">
        <f>VLOOKUP(Commits!$A20,People!$A$2:$C10018,2,FALSE)</f>
        <v>Gesner Passos</v>
      </c>
      <c r="J20" s="3" t="str">
        <f>VLOOKUP(Commits!$A20,People!$A$2:$C10018,3,FALSE)</f>
        <v>ISIS</v>
      </c>
      <c r="K20" s="3">
        <f>VLOOKUP(Commits!$A20,People!$A$2:$D10018,4,FALSE)</f>
        <v>0</v>
      </c>
    </row>
    <row r="21" spans="1:11">
      <c r="A21" t="s">
        <v>36</v>
      </c>
      <c r="B21">
        <v>0</v>
      </c>
      <c r="C21">
        <v>213</v>
      </c>
      <c r="D21">
        <v>544</v>
      </c>
      <c r="E21">
        <v>0</v>
      </c>
      <c r="F21" t="s">
        <v>9</v>
      </c>
      <c r="G21" t="s">
        <v>92</v>
      </c>
      <c r="H21" t="s">
        <v>13</v>
      </c>
      <c r="I21" s="3" t="str">
        <f>VLOOKUP(Commits!$A21,People!$A$2:$C10019,2,FALSE)</f>
        <v>Andrei Savici</v>
      </c>
      <c r="J21" s="3" t="str">
        <f>VLOOKUP(Commits!$A21,People!$A$2:$C10019,3,FALSE)</f>
        <v>SNS</v>
      </c>
      <c r="K21" s="3">
        <f>VLOOKUP(Commits!$A21,People!$A$2:$D10019,4,FALSE)</f>
        <v>0</v>
      </c>
    </row>
    <row r="22" spans="1:11">
      <c r="A22" t="s">
        <v>37</v>
      </c>
      <c r="B22">
        <v>0</v>
      </c>
      <c r="C22">
        <v>192</v>
      </c>
      <c r="D22">
        <v>526</v>
      </c>
      <c r="E22">
        <v>0</v>
      </c>
      <c r="F22" t="s">
        <v>9</v>
      </c>
      <c r="G22" t="s">
        <v>22</v>
      </c>
      <c r="H22" t="s">
        <v>229</v>
      </c>
      <c r="I22" s="3" t="str">
        <f>VLOOKUP(Commits!$A22,People!$A$2:$C10020,2,FALSE)</f>
        <v>Peter Parker</v>
      </c>
      <c r="J22" s="3" t="str">
        <f>VLOOKUP(Commits!$A22,People!$A$2:$C10020,3,FALSE)</f>
        <v>ISIS</v>
      </c>
      <c r="K22" s="3">
        <f>VLOOKUP(Commits!$A22,People!$A$2:$D10020,4,FALSE)</f>
        <v>0</v>
      </c>
    </row>
    <row r="23" spans="1:11">
      <c r="A23" t="s">
        <v>211</v>
      </c>
      <c r="B23">
        <v>0</v>
      </c>
      <c r="C23">
        <v>516</v>
      </c>
      <c r="D23">
        <v>516</v>
      </c>
      <c r="E23">
        <v>0</v>
      </c>
      <c r="F23" t="s">
        <v>9</v>
      </c>
      <c r="G23" t="s">
        <v>229</v>
      </c>
      <c r="H23" t="s">
        <v>13</v>
      </c>
      <c r="I23" s="3" t="str">
        <f>VLOOKUP(Commits!$A23,People!$A$2:$C10021,2,FALSE)</f>
        <v>Dan Nixon</v>
      </c>
      <c r="J23" s="3" t="str">
        <f>VLOOKUP(Commits!$A23,People!$A$2:$C10021,3,FALSE)</f>
        <v>ISIS</v>
      </c>
      <c r="K23" s="3">
        <f>VLOOKUP(Commits!$A23,People!$A$2:$D10021,4,FALSE)</f>
        <v>0</v>
      </c>
    </row>
    <row r="24" spans="1:11">
      <c r="A24" t="s">
        <v>101</v>
      </c>
      <c r="B24">
        <v>0</v>
      </c>
      <c r="C24">
        <v>0</v>
      </c>
      <c r="D24">
        <v>480</v>
      </c>
      <c r="E24">
        <v>0</v>
      </c>
      <c r="F24" t="s">
        <v>9</v>
      </c>
      <c r="G24" t="s">
        <v>10</v>
      </c>
      <c r="H24" t="s">
        <v>33</v>
      </c>
      <c r="I24" s="3" t="str">
        <f>VLOOKUP(Commits!$A24,People!$A$2:$C10022,2,FALSE)</f>
        <v>Steve Williams</v>
      </c>
      <c r="J24" s="3" t="str">
        <f>VLOOKUP(Commits!$A24,People!$A$2:$C10022,3,FALSE)</f>
        <v>ISIS</v>
      </c>
      <c r="K24" s="3">
        <f>VLOOKUP(Commits!$A24,People!$A$2:$D10022,4,FALSE)</f>
        <v>0</v>
      </c>
    </row>
    <row r="25" spans="1:11">
      <c r="A25" t="s">
        <v>215</v>
      </c>
      <c r="B25">
        <v>0</v>
      </c>
      <c r="C25">
        <v>437</v>
      </c>
      <c r="D25">
        <v>437</v>
      </c>
      <c r="E25">
        <v>0</v>
      </c>
      <c r="F25" t="s">
        <v>9</v>
      </c>
      <c r="G25" t="s">
        <v>229</v>
      </c>
      <c r="H25" t="s">
        <v>28</v>
      </c>
      <c r="I25" s="3" t="str">
        <f>VLOOKUP(Commits!$A25,People!$A$2:$C10023,2,FALSE)</f>
        <v>Harry Jeffery</v>
      </c>
      <c r="J25" s="3" t="str">
        <f>VLOOKUP(Commits!$A25,People!$A$2:$C10023,3,FALSE)</f>
        <v>ISIS</v>
      </c>
      <c r="K25" s="3">
        <f>VLOOKUP(Commits!$A25,People!$A$2:$D10023,4,FALSE)</f>
        <v>0</v>
      </c>
    </row>
    <row r="26" spans="1:11">
      <c r="A26" t="s">
        <v>29</v>
      </c>
      <c r="B26">
        <v>0</v>
      </c>
      <c r="C26">
        <v>269</v>
      </c>
      <c r="D26">
        <v>389</v>
      </c>
      <c r="E26">
        <v>0</v>
      </c>
      <c r="F26" t="s">
        <v>9</v>
      </c>
      <c r="G26" t="s">
        <v>25</v>
      </c>
      <c r="H26" t="s">
        <v>224</v>
      </c>
      <c r="I26" s="3" t="str">
        <f>VLOOKUP(Commits!$A26,People!$A$2:$C10024,2,FALSE)</f>
        <v>Keith Brown</v>
      </c>
      <c r="J26" s="3" t="str">
        <f>VLOOKUP(Commits!$A26,People!$A$2:$C10024,3,FALSE)</f>
        <v>ISIS</v>
      </c>
      <c r="K26" s="3">
        <f>VLOOKUP(Commits!$A26,People!$A$2:$D10024,4,FALSE)</f>
        <v>0</v>
      </c>
    </row>
    <row r="27" spans="1:11">
      <c r="A27" t="s">
        <v>206</v>
      </c>
      <c r="B27">
        <v>0</v>
      </c>
      <c r="C27">
        <v>0</v>
      </c>
      <c r="D27">
        <v>382</v>
      </c>
      <c r="E27">
        <v>0</v>
      </c>
      <c r="F27" t="s">
        <v>9</v>
      </c>
      <c r="G27" t="s">
        <v>94</v>
      </c>
      <c r="H27" t="s">
        <v>33</v>
      </c>
      <c r="I27" s="3" t="str">
        <f>VLOOKUP(Commits!$A27,People!$A$2:$C10025,2,FALSE)</f>
        <v>Michael Whitty</v>
      </c>
      <c r="J27" s="3" t="str">
        <f>VLOOKUP(Commits!$A27,People!$A$2:$C10025,3,FALSE)</f>
        <v>ISIS</v>
      </c>
      <c r="K27" s="3">
        <f>VLOOKUP(Commits!$A27,People!$A$2:$D10025,4,FALSE)</f>
        <v>0</v>
      </c>
    </row>
    <row r="28" spans="1:11">
      <c r="A28" t="s">
        <v>43</v>
      </c>
      <c r="B28">
        <v>0</v>
      </c>
      <c r="C28">
        <v>122</v>
      </c>
      <c r="D28">
        <v>351</v>
      </c>
      <c r="E28">
        <v>0</v>
      </c>
      <c r="F28" t="s">
        <v>9</v>
      </c>
      <c r="G28" t="s">
        <v>22</v>
      </c>
      <c r="H28" t="s">
        <v>230</v>
      </c>
      <c r="I28" s="3" t="str">
        <f>VLOOKUP(Commits!$A28,People!$A$2:$C10026,2,FALSE)</f>
        <v>Jose Borreguero</v>
      </c>
      <c r="J28" s="3" t="str">
        <f>VLOOKUP(Commits!$A28,People!$A$2:$C10026,3,FALSE)</f>
        <v>SNS</v>
      </c>
      <c r="K28" s="3">
        <f>VLOOKUP(Commits!$A28,People!$A$2:$D10026,4,FALSE)</f>
        <v>0</v>
      </c>
    </row>
    <row r="29" spans="1:11">
      <c r="A29" t="s">
        <v>93</v>
      </c>
      <c r="B29">
        <v>0</v>
      </c>
      <c r="C29">
        <v>0</v>
      </c>
      <c r="D29">
        <v>346</v>
      </c>
      <c r="E29">
        <v>0</v>
      </c>
      <c r="F29" t="s">
        <v>9</v>
      </c>
      <c r="G29" t="s">
        <v>78</v>
      </c>
      <c r="H29" t="s">
        <v>97</v>
      </c>
      <c r="I29" s="3" t="str">
        <f>VLOOKUP(Commits!$A29,People!$A$2:$C10027,2,FALSE)</f>
        <v>Matt Clarke</v>
      </c>
      <c r="J29" s="3" t="str">
        <f>VLOOKUP(Commits!$A29,People!$A$2:$C10027,3,FALSE)</f>
        <v>ISIS</v>
      </c>
      <c r="K29" s="3">
        <f>VLOOKUP(Commits!$A29,People!$A$2:$D10027,4,FALSE)</f>
        <v>0</v>
      </c>
    </row>
    <row r="30" spans="1:11">
      <c r="A30" t="s">
        <v>52</v>
      </c>
      <c r="B30">
        <v>0</v>
      </c>
      <c r="C30">
        <v>4</v>
      </c>
      <c r="D30">
        <v>314</v>
      </c>
      <c r="E30">
        <v>0</v>
      </c>
      <c r="F30" t="s">
        <v>35</v>
      </c>
      <c r="G30" t="s">
        <v>94</v>
      </c>
      <c r="H30" t="s">
        <v>204</v>
      </c>
      <c r="I30" s="3" t="str">
        <f>VLOOKUP(Commits!$A30,People!$A$2:$C10028,2,FALSE)</f>
        <v>Jean Bilheux</v>
      </c>
      <c r="J30" s="3" t="str">
        <f>VLOOKUP(Commits!$A30,People!$A$2:$C10028,3,FALSE)</f>
        <v>SNS</v>
      </c>
      <c r="K30" s="3">
        <f>VLOOKUP(Commits!$A30,People!$A$2:$D10028,4,FALSE)</f>
        <v>0</v>
      </c>
    </row>
    <row r="31" spans="1:11">
      <c r="A31" t="s">
        <v>69</v>
      </c>
      <c r="B31">
        <v>0</v>
      </c>
      <c r="C31">
        <v>253</v>
      </c>
      <c r="D31">
        <v>253</v>
      </c>
      <c r="E31">
        <v>0</v>
      </c>
      <c r="F31" t="s">
        <v>9</v>
      </c>
      <c r="G31" t="s">
        <v>15</v>
      </c>
      <c r="H31" t="s">
        <v>226</v>
      </c>
      <c r="I31" s="3" t="str">
        <f>VLOOKUP(Commits!$A31,People!$A$2:$C10029,2,FALSE)</f>
        <v>Michael Wedel</v>
      </c>
      <c r="J31" s="3" t="str">
        <f>VLOOKUP(Commits!$A31,People!$A$2:$C10029,3,FALSE)</f>
        <v>PSI</v>
      </c>
      <c r="K31" s="3">
        <f>VLOOKUP(Commits!$A31,People!$A$2:$D10029,4,FALSE)</f>
        <v>0</v>
      </c>
    </row>
    <row r="32" spans="1:11">
      <c r="A32" t="s">
        <v>49</v>
      </c>
      <c r="B32">
        <v>0</v>
      </c>
      <c r="C32">
        <v>0</v>
      </c>
      <c r="D32">
        <v>245</v>
      </c>
      <c r="E32">
        <v>0</v>
      </c>
      <c r="F32" t="s">
        <v>9</v>
      </c>
      <c r="G32" t="s">
        <v>94</v>
      </c>
      <c r="H32" t="s">
        <v>25</v>
      </c>
      <c r="I32" s="3" t="str">
        <f>VLOOKUP(Commits!$A32,People!$A$2:$C10030,2,FALSE)</f>
        <v>Dennis Mikkelson</v>
      </c>
      <c r="J32" s="3" t="str">
        <f>VLOOKUP(Commits!$A32,People!$A$2:$C10030,3,FALSE)</f>
        <v>SNS</v>
      </c>
      <c r="K32" s="3">
        <f>VLOOKUP(Commits!$A32,People!$A$2:$D10030,4,FALSE)</f>
        <v>0</v>
      </c>
    </row>
    <row r="33" spans="1:11">
      <c r="A33" t="s">
        <v>102</v>
      </c>
      <c r="B33">
        <v>0</v>
      </c>
      <c r="C33">
        <v>0</v>
      </c>
      <c r="D33">
        <v>234</v>
      </c>
      <c r="E33">
        <v>0</v>
      </c>
      <c r="F33" t="s">
        <v>9</v>
      </c>
      <c r="G33" t="s">
        <v>10</v>
      </c>
      <c r="H33" t="s">
        <v>33</v>
      </c>
      <c r="I33" s="3" t="str">
        <f>VLOOKUP(Commits!$A33,People!$A$2:$C10031,2,FALSE)</f>
        <v>Sofia Antony</v>
      </c>
      <c r="J33" s="3" t="str">
        <f>VLOOKUP(Commits!$A33,People!$A$2:$C10031,3,FALSE)</f>
        <v>ISIS</v>
      </c>
      <c r="K33" s="3">
        <f>VLOOKUP(Commits!$A33,People!$A$2:$D10031,4,FALSE)</f>
        <v>0</v>
      </c>
    </row>
    <row r="34" spans="1:11">
      <c r="A34" t="s">
        <v>45</v>
      </c>
      <c r="B34">
        <v>0</v>
      </c>
      <c r="C34">
        <v>27</v>
      </c>
      <c r="D34">
        <v>225</v>
      </c>
      <c r="E34">
        <v>0</v>
      </c>
      <c r="F34" t="s">
        <v>9</v>
      </c>
      <c r="G34" t="s">
        <v>31</v>
      </c>
      <c r="H34" t="s">
        <v>229</v>
      </c>
      <c r="I34" s="3" t="str">
        <f>VLOOKUP(Commits!$A34,People!$A$2:$C10032,2,FALSE)</f>
        <v>Ross Miller</v>
      </c>
      <c r="J34" s="3" t="str">
        <f>VLOOKUP(Commits!$A34,People!$A$2:$C10032,3,FALSE)</f>
        <v>SNS</v>
      </c>
      <c r="K34" s="3">
        <f>VLOOKUP(Commits!$A34,People!$A$2:$D10032,4,FALSE)</f>
        <v>0</v>
      </c>
    </row>
    <row r="35" spans="1:11">
      <c r="A35" t="s">
        <v>207</v>
      </c>
      <c r="B35">
        <v>0</v>
      </c>
      <c r="C35">
        <v>0</v>
      </c>
      <c r="D35">
        <v>222</v>
      </c>
      <c r="E35">
        <v>0</v>
      </c>
      <c r="F35" t="s">
        <v>9</v>
      </c>
      <c r="G35" t="s">
        <v>33</v>
      </c>
      <c r="H35" t="s">
        <v>31</v>
      </c>
      <c r="I35" s="3" t="str">
        <f>VLOOKUP(Commits!$A35,People!$A$2:$C10033,2,FALSE)</f>
        <v>Robert Whitley</v>
      </c>
      <c r="J35" s="3" t="str">
        <f>VLOOKUP(Commits!$A35,People!$A$2:$C10033,3,FALSE)</f>
        <v>ISIS</v>
      </c>
      <c r="K35" s="3">
        <f>VLOOKUP(Commits!$A35,People!$A$2:$D10033,4,FALSE)</f>
        <v>0</v>
      </c>
    </row>
    <row r="36" spans="1:11">
      <c r="A36" t="s">
        <v>54</v>
      </c>
      <c r="B36">
        <v>0</v>
      </c>
      <c r="C36">
        <v>0</v>
      </c>
      <c r="D36">
        <v>208</v>
      </c>
      <c r="E36">
        <v>0</v>
      </c>
      <c r="F36" t="s">
        <v>9</v>
      </c>
      <c r="G36" t="s">
        <v>33</v>
      </c>
      <c r="H36" t="s">
        <v>25</v>
      </c>
      <c r="I36" s="3" t="str">
        <f>VLOOKUP(Commits!$A36,People!$A$2:$C10034,2,FALSE)</f>
        <v>Ruth Mikkelson</v>
      </c>
      <c r="J36" s="3" t="str">
        <f>VLOOKUP(Commits!$A36,People!$A$2:$C10034,3,FALSE)</f>
        <v>SNS</v>
      </c>
      <c r="K36" s="3">
        <f>VLOOKUP(Commits!$A36,People!$A$2:$D10034,4,FALSE)</f>
        <v>0</v>
      </c>
    </row>
    <row r="37" spans="1:11">
      <c r="A37" t="s">
        <v>91</v>
      </c>
      <c r="B37">
        <v>0</v>
      </c>
      <c r="C37">
        <v>0</v>
      </c>
      <c r="D37">
        <v>150</v>
      </c>
      <c r="E37">
        <v>0</v>
      </c>
      <c r="F37" t="s">
        <v>9</v>
      </c>
      <c r="G37" t="s">
        <v>78</v>
      </c>
      <c r="H37" t="s">
        <v>94</v>
      </c>
      <c r="I37" s="3" t="str">
        <f>VLOOKUP(Commits!$A37,People!$A$2:$C10035,2,FALSE)</f>
        <v>Laurent Chapon</v>
      </c>
      <c r="J37" s="3" t="str">
        <f>VLOOKUP(Commits!$A37,People!$A$2:$C10035,3,FALSE)</f>
        <v>ISIS</v>
      </c>
      <c r="K37" s="3">
        <f>VLOOKUP(Commits!$A37,People!$A$2:$D10035,4,FALSE)</f>
        <v>0</v>
      </c>
    </row>
    <row r="38" spans="1:11">
      <c r="A38" t="s">
        <v>77</v>
      </c>
      <c r="B38">
        <v>0</v>
      </c>
      <c r="C38">
        <v>0</v>
      </c>
      <c r="D38">
        <v>140</v>
      </c>
      <c r="E38">
        <v>0</v>
      </c>
      <c r="F38" t="s">
        <v>9</v>
      </c>
      <c r="G38" t="s">
        <v>231</v>
      </c>
      <c r="H38" t="s">
        <v>66</v>
      </c>
      <c r="I38" s="3" t="str">
        <f>VLOOKUP(Commits!$A38,People!$A$2:$C10036,2,FALSE)</f>
        <v>Freddie Akeroyd</v>
      </c>
      <c r="J38" s="3" t="str">
        <f>VLOOKUP(Commits!$A38,People!$A$2:$C10036,3,FALSE)</f>
        <v>ISIS</v>
      </c>
      <c r="K38" s="3">
        <f>VLOOKUP(Commits!$A38,People!$A$2:$D10036,4,FALSE)</f>
        <v>0</v>
      </c>
    </row>
    <row r="39" spans="1:11">
      <c r="A39" t="s">
        <v>50</v>
      </c>
      <c r="B39">
        <v>0</v>
      </c>
      <c r="C39">
        <v>49</v>
      </c>
      <c r="D39">
        <v>104</v>
      </c>
      <c r="E39">
        <v>0</v>
      </c>
      <c r="F39" t="s">
        <v>9</v>
      </c>
      <c r="G39" t="s">
        <v>86</v>
      </c>
      <c r="H39" t="s">
        <v>15</v>
      </c>
      <c r="I39" s="3" t="str">
        <f>VLOOKUP(Commits!$A39,People!$A$2:$C10037,2,FALSE)</f>
        <v>Ricardo Leal</v>
      </c>
      <c r="J39" s="3" t="str">
        <f>VLOOKUP(Commits!$A39,People!$A$2:$C10037,3,FALSE)</f>
        <v>ILL</v>
      </c>
      <c r="K39" s="3">
        <f>VLOOKUP(Commits!$A39,People!$A$2:$D10037,4,FALSE)</f>
        <v>0</v>
      </c>
    </row>
    <row r="40" spans="1:11">
      <c r="A40" t="s">
        <v>47</v>
      </c>
      <c r="B40">
        <v>0</v>
      </c>
      <c r="C40">
        <v>102</v>
      </c>
      <c r="D40">
        <v>102</v>
      </c>
      <c r="E40">
        <v>0</v>
      </c>
      <c r="F40" t="s">
        <v>9</v>
      </c>
      <c r="G40" t="s">
        <v>15</v>
      </c>
      <c r="H40" t="s">
        <v>57</v>
      </c>
      <c r="I40" s="3" t="str">
        <f>VLOOKUP(Commits!$A40,People!$A$2:$C10038,2,FALSE)</f>
        <v>Michael Wedel</v>
      </c>
      <c r="J40" s="3" t="str">
        <f>VLOOKUP(Commits!$A40,People!$A$2:$C10038,3,FALSE)</f>
        <v>PSI</v>
      </c>
      <c r="K40" s="3">
        <f>VLOOKUP(Commits!$A40,People!$A$2:$D10038,4,FALSE)</f>
        <v>0</v>
      </c>
    </row>
    <row r="41" spans="1:11">
      <c r="A41" t="s">
        <v>51</v>
      </c>
      <c r="B41">
        <v>0</v>
      </c>
      <c r="C41">
        <v>0</v>
      </c>
      <c r="D41">
        <v>95</v>
      </c>
      <c r="E41">
        <v>0</v>
      </c>
      <c r="F41" t="s">
        <v>9</v>
      </c>
      <c r="G41" t="s">
        <v>46</v>
      </c>
      <c r="H41" t="s">
        <v>25</v>
      </c>
      <c r="I41" s="3" t="str">
        <f>VLOOKUP(Commits!$A41,People!$A$2:$C10039,2,FALSE)</f>
        <v>Dereck Kachere</v>
      </c>
      <c r="J41" s="3" t="str">
        <f>VLOOKUP(Commits!$A41,People!$A$2:$C10039,3,FALSE)</f>
        <v>ISIS</v>
      </c>
      <c r="K41" s="3">
        <f>VLOOKUP(Commits!$A41,People!$A$2:$D10039,4,FALSE)</f>
        <v>0</v>
      </c>
    </row>
    <row r="42" spans="1:11">
      <c r="A42" t="s">
        <v>95</v>
      </c>
      <c r="B42">
        <v>0</v>
      </c>
      <c r="C42">
        <v>0</v>
      </c>
      <c r="D42">
        <v>93</v>
      </c>
      <c r="E42">
        <v>0</v>
      </c>
      <c r="F42" t="s">
        <v>9</v>
      </c>
      <c r="G42" t="s">
        <v>12</v>
      </c>
      <c r="H42" t="s">
        <v>10</v>
      </c>
      <c r="I42" s="3" t="str">
        <f>VLOOKUP(Commits!$A42,People!$A$2:$C10040,2,FALSE)</f>
        <v>Sri Nagella</v>
      </c>
      <c r="J42" s="3" t="str">
        <f>VLOOKUP(Commits!$A42,People!$A$2:$C10040,3,FALSE)</f>
        <v>ISIS</v>
      </c>
      <c r="K42" s="3">
        <f>VLOOKUP(Commits!$A42,People!$A$2:$D10040,4,FALSE)</f>
        <v>0</v>
      </c>
    </row>
    <row r="43" spans="1:11">
      <c r="A43" t="s">
        <v>68</v>
      </c>
      <c r="B43">
        <v>0</v>
      </c>
      <c r="C43">
        <v>89</v>
      </c>
      <c r="D43">
        <v>89</v>
      </c>
      <c r="E43">
        <v>0</v>
      </c>
      <c r="F43" t="s">
        <v>9</v>
      </c>
      <c r="G43" t="s">
        <v>53</v>
      </c>
      <c r="H43" t="s">
        <v>48</v>
      </c>
      <c r="I43" s="3" t="str">
        <f>VLOOKUP(Commits!$A43,People!$A$2:$C10041,2,FALSE)</f>
        <v>Ricardo Leal</v>
      </c>
      <c r="J43" s="3" t="str">
        <f>VLOOKUP(Commits!$A43,People!$A$2:$C10041,3,FALSE)</f>
        <v>ILL</v>
      </c>
      <c r="K43" s="3">
        <f>VLOOKUP(Commits!$A43,People!$A$2:$D10041,4,FALSE)</f>
        <v>0</v>
      </c>
    </row>
    <row r="44" spans="1:11">
      <c r="A44" t="s">
        <v>104</v>
      </c>
      <c r="B44">
        <v>0</v>
      </c>
      <c r="C44">
        <v>0</v>
      </c>
      <c r="D44">
        <v>86</v>
      </c>
      <c r="E44">
        <v>0</v>
      </c>
      <c r="F44" t="s">
        <v>9</v>
      </c>
      <c r="G44" t="s">
        <v>12</v>
      </c>
      <c r="H44" t="s">
        <v>31</v>
      </c>
      <c r="I44" s="3" t="str">
        <f>VLOOKUP(Commits!$A44,People!$A$2:$C10042,2,FALSE)</f>
        <v>Ronald Fowler</v>
      </c>
      <c r="J44" s="3" t="str">
        <f>VLOOKUP(Commits!$A44,People!$A$2:$C10042,3,FALSE)</f>
        <v>ISIS</v>
      </c>
      <c r="K44" s="3">
        <f>VLOOKUP(Commits!$A44,People!$A$2:$D10042,4,FALSE)</f>
        <v>0</v>
      </c>
    </row>
    <row r="45" spans="1:11">
      <c r="A45" t="s">
        <v>64</v>
      </c>
      <c r="B45">
        <v>0</v>
      </c>
      <c r="C45">
        <v>3</v>
      </c>
      <c r="D45">
        <v>81</v>
      </c>
      <c r="E45">
        <v>0</v>
      </c>
      <c r="F45" t="s">
        <v>35</v>
      </c>
      <c r="G45" t="s">
        <v>22</v>
      </c>
      <c r="H45" t="s">
        <v>15</v>
      </c>
      <c r="I45" s="3" t="str">
        <f>VLOOKUP(Commits!$A45,People!$A$2:$C10043,2,FALSE)</f>
        <v>Shelly Ren</v>
      </c>
      <c r="J45" s="3" t="str">
        <f>VLOOKUP(Commits!$A45,People!$A$2:$C10043,3,FALSE)</f>
        <v>SNS</v>
      </c>
      <c r="K45" s="3">
        <f>VLOOKUP(Commits!$A45,People!$A$2:$D10043,4,FALSE)</f>
        <v>0</v>
      </c>
    </row>
    <row r="46" spans="1:11">
      <c r="A46" t="s">
        <v>98</v>
      </c>
      <c r="B46">
        <v>0</v>
      </c>
      <c r="C46">
        <v>0</v>
      </c>
      <c r="D46">
        <v>75</v>
      </c>
      <c r="E46">
        <v>0</v>
      </c>
      <c r="F46" t="s">
        <v>9</v>
      </c>
      <c r="G46" t="s">
        <v>78</v>
      </c>
      <c r="H46" t="s">
        <v>12</v>
      </c>
      <c r="I46" s="3" t="str">
        <f>VLOOKUP(Commits!$A46,People!$A$2:$C10044,2,FALSE)</f>
        <v>Dickon Champion</v>
      </c>
      <c r="J46" s="3" t="str">
        <f>VLOOKUP(Commits!$A46,People!$A$2:$C10044,3,FALSE)</f>
        <v>ISIS</v>
      </c>
      <c r="K46" s="3">
        <f>VLOOKUP(Commits!$A46,People!$A$2:$D10044,4,FALSE)</f>
        <v>0</v>
      </c>
    </row>
    <row r="47" spans="1:11">
      <c r="A47" t="s">
        <v>90</v>
      </c>
      <c r="B47">
        <v>0</v>
      </c>
      <c r="C47">
        <v>0</v>
      </c>
      <c r="D47">
        <v>66</v>
      </c>
      <c r="E47">
        <v>0</v>
      </c>
      <c r="F47" t="s">
        <v>9</v>
      </c>
      <c r="G47" t="s">
        <v>78</v>
      </c>
      <c r="H47" t="s">
        <v>12</v>
      </c>
      <c r="I47" s="3" t="str">
        <f>VLOOKUP(Commits!$A47,People!$A$2:$C10045,2,FALSE)</f>
        <v>Stuart Ansell</v>
      </c>
      <c r="J47" s="3" t="str">
        <f>VLOOKUP(Commits!$A47,People!$A$2:$C10045,3,FALSE)</f>
        <v>ISIS</v>
      </c>
      <c r="K47" s="3">
        <f>VLOOKUP(Commits!$A47,People!$A$2:$D10045,4,FALSE)</f>
        <v>0</v>
      </c>
    </row>
    <row r="48" spans="1:11">
      <c r="A48" t="s">
        <v>232</v>
      </c>
      <c r="B48">
        <v>0</v>
      </c>
      <c r="C48">
        <v>48</v>
      </c>
      <c r="D48">
        <v>48</v>
      </c>
      <c r="E48">
        <v>0</v>
      </c>
      <c r="F48" t="s">
        <v>9</v>
      </c>
      <c r="G48" t="s">
        <v>26</v>
      </c>
      <c r="H48" t="s">
        <v>233</v>
      </c>
      <c r="I48" s="3" t="str">
        <f>VLOOKUP(Commits!$A48,People!$A$2:$C10046,2,FALSE)</f>
        <v>Federico Montesino P...</v>
      </c>
      <c r="J48" s="3" t="str">
        <f>VLOOKUP(Commits!$A48,People!$A$2:$C10046,3,FALSE)</f>
        <v>ISIS</v>
      </c>
      <c r="K48" s="3">
        <f>VLOOKUP(Commits!$A48,People!$A$2:$D10046,4,FALSE)</f>
        <v>0</v>
      </c>
    </row>
    <row r="49" spans="1:11">
      <c r="A49" t="s">
        <v>217</v>
      </c>
      <c r="B49">
        <v>0</v>
      </c>
      <c r="C49">
        <v>45</v>
      </c>
      <c r="D49">
        <v>45</v>
      </c>
      <c r="E49">
        <v>0</v>
      </c>
      <c r="F49" t="s">
        <v>9</v>
      </c>
      <c r="G49" t="s">
        <v>205</v>
      </c>
      <c r="H49" t="s">
        <v>223</v>
      </c>
      <c r="I49" s="3" t="str">
        <f>VLOOKUP(Commits!$A49,People!$A$2:$C10047,2,FALSE)</f>
        <v>Steven Hahn</v>
      </c>
      <c r="J49" s="3" t="str">
        <f>VLOOKUP(Commits!$A49,People!$A$2:$C10047,3,FALSE)</f>
        <v>SNS</v>
      </c>
      <c r="K49" s="3">
        <f>VLOOKUP(Commits!$A49,People!$A$2:$D10047,4,FALSE)</f>
        <v>0</v>
      </c>
    </row>
    <row r="50" spans="1:11">
      <c r="A50" t="s">
        <v>214</v>
      </c>
      <c r="B50">
        <v>0</v>
      </c>
      <c r="C50">
        <v>44</v>
      </c>
      <c r="D50">
        <v>44</v>
      </c>
      <c r="E50">
        <v>0</v>
      </c>
      <c r="F50" t="s">
        <v>9</v>
      </c>
      <c r="G50" t="s">
        <v>229</v>
      </c>
      <c r="H50" t="s">
        <v>16</v>
      </c>
      <c r="I50" s="3" t="str">
        <f>VLOOKUP(Commits!$A50,People!$A$2:$C10048,2,FALSE)</f>
        <v>John Hill</v>
      </c>
      <c r="J50" s="3" t="str">
        <f>VLOOKUP(Commits!$A50,People!$A$2:$C10048,3,FALSE)</f>
        <v>ISIS</v>
      </c>
      <c r="K50" s="3">
        <f>VLOOKUP(Commits!$A50,People!$A$2:$D10048,4,FALSE)</f>
        <v>0</v>
      </c>
    </row>
    <row r="51" spans="1:11">
      <c r="A51" t="s">
        <v>80</v>
      </c>
      <c r="B51">
        <v>0</v>
      </c>
      <c r="C51">
        <v>34</v>
      </c>
      <c r="D51">
        <v>34</v>
      </c>
      <c r="E51">
        <v>0</v>
      </c>
      <c r="F51" t="s">
        <v>9</v>
      </c>
      <c r="G51" t="s">
        <v>57</v>
      </c>
      <c r="H51" t="s">
        <v>226</v>
      </c>
      <c r="I51" s="3" t="str">
        <f>VLOOKUP(Commits!$A51,People!$A$2:$C10049,2,FALSE)</f>
        <v>Ross Whitfield</v>
      </c>
      <c r="J51" s="3" t="str">
        <f>VLOOKUP(Commits!$A51,People!$A$2:$C10049,3,FALSE)</f>
        <v>SNS</v>
      </c>
      <c r="K51" s="3">
        <f>VLOOKUP(Commits!$A51,People!$A$2:$D10049,4,FALSE)</f>
        <v>0</v>
      </c>
    </row>
    <row r="52" spans="1:11">
      <c r="A52" t="s">
        <v>79</v>
      </c>
      <c r="B52">
        <v>0</v>
      </c>
      <c r="C52">
        <v>0</v>
      </c>
      <c r="D52">
        <v>30</v>
      </c>
      <c r="E52">
        <v>0</v>
      </c>
      <c r="F52" t="s">
        <v>9</v>
      </c>
      <c r="G52" t="s">
        <v>22</v>
      </c>
      <c r="H52" t="s">
        <v>25</v>
      </c>
      <c r="I52" s="3" t="str">
        <f>VLOOKUP(Commits!$A52,People!$A$2:$C10050,2,FALSE)</f>
        <v>Mathieu Doucet</v>
      </c>
      <c r="J52" s="3" t="str">
        <f>VLOOKUP(Commits!$A52,People!$A$2:$C10050,3,FALSE)</f>
        <v>SNS</v>
      </c>
      <c r="K52" s="3">
        <f>VLOOKUP(Commits!$A52,People!$A$2:$D10050,4,FALSE)</f>
        <v>0</v>
      </c>
    </row>
    <row r="53" spans="1:11">
      <c r="A53" t="s">
        <v>220</v>
      </c>
      <c r="B53">
        <v>0</v>
      </c>
      <c r="C53">
        <v>28</v>
      </c>
      <c r="D53">
        <v>28</v>
      </c>
      <c r="E53">
        <v>0</v>
      </c>
      <c r="F53" t="s">
        <v>9</v>
      </c>
      <c r="G53" t="s">
        <v>26</v>
      </c>
      <c r="H53" t="s">
        <v>228</v>
      </c>
      <c r="I53" s="3" t="str">
        <f>VLOOKUP(Commits!$A53,People!$A$2:$C10051,2,FALSE)</f>
        <v>Raquel Alvarez Banos</v>
      </c>
      <c r="J53" s="3" t="str">
        <f>VLOOKUP(Commits!$A53,People!$A$2:$C10051,3,FALSE)</f>
        <v>ISIS</v>
      </c>
      <c r="K53" s="3">
        <f>VLOOKUP(Commits!$A53,People!$A$2:$D10051,4,FALSE)</f>
        <v>0</v>
      </c>
    </row>
    <row r="54" spans="1:11">
      <c r="A54" t="s">
        <v>208</v>
      </c>
      <c r="B54">
        <v>0</v>
      </c>
      <c r="C54">
        <v>24</v>
      </c>
      <c r="D54">
        <v>24</v>
      </c>
      <c r="E54">
        <v>0</v>
      </c>
      <c r="F54" t="s">
        <v>9</v>
      </c>
      <c r="G54" t="s">
        <v>53</v>
      </c>
      <c r="H54" t="s">
        <v>234</v>
      </c>
      <c r="I54" s="3" t="str">
        <f>VLOOKUP(Commits!$A54,People!$A$2:$C10052,2,FALSE)</f>
        <v>Yannick Raoul</v>
      </c>
      <c r="J54" s="3" t="str">
        <f>VLOOKUP(Commits!$A54,People!$A$2:$C10052,3,FALSE)</f>
        <v>ILL</v>
      </c>
      <c r="K54" s="3">
        <f>VLOOKUP(Commits!$A54,People!$A$2:$D10052,4,FALSE)</f>
        <v>0</v>
      </c>
    </row>
    <row r="55" spans="1:11">
      <c r="A55" t="s">
        <v>55</v>
      </c>
      <c r="B55">
        <v>0</v>
      </c>
      <c r="C55">
        <v>0</v>
      </c>
      <c r="D55">
        <v>18</v>
      </c>
      <c r="E55">
        <v>0</v>
      </c>
      <c r="F55" t="s">
        <v>56</v>
      </c>
      <c r="G55" t="s">
        <v>25</v>
      </c>
      <c r="H55" t="s">
        <v>66</v>
      </c>
      <c r="I55" s="3" t="str">
        <f>VLOOKUP(Commits!$A55,People!$A$2:$C10053,2,FALSE)</f>
        <v>Mike Thomas</v>
      </c>
      <c r="J55" s="3" t="str">
        <f>VLOOKUP(Commits!$A55,People!$A$2:$C10053,3,FALSE)</f>
        <v>ISIS</v>
      </c>
      <c r="K55" s="3">
        <f>VLOOKUP(Commits!$A55,People!$A$2:$D10053,4,FALSE)</f>
        <v>0</v>
      </c>
    </row>
    <row r="56" spans="1:11">
      <c r="A56" t="s">
        <v>219</v>
      </c>
      <c r="B56">
        <v>0</v>
      </c>
      <c r="C56">
        <v>14</v>
      </c>
      <c r="D56">
        <v>14</v>
      </c>
      <c r="E56">
        <v>0</v>
      </c>
      <c r="F56" t="s">
        <v>9</v>
      </c>
      <c r="G56" t="s">
        <v>26</v>
      </c>
      <c r="H56" t="s">
        <v>16</v>
      </c>
      <c r="I56" s="3" t="str">
        <f>VLOOKUP(Commits!$A56,People!$A$2:$C10054,2,FALSE)</f>
        <v>Lottie Greenwood</v>
      </c>
      <c r="J56" s="3" t="str">
        <f>VLOOKUP(Commits!$A56,People!$A$2:$C10054,3,FALSE)</f>
        <v>ISIS</v>
      </c>
      <c r="K56" s="3">
        <f>VLOOKUP(Commits!$A56,People!$A$2:$D10054,4,FALSE)</f>
        <v>0</v>
      </c>
    </row>
    <row r="57" spans="1:11">
      <c r="A57" t="s">
        <v>61</v>
      </c>
      <c r="B57">
        <v>0</v>
      </c>
      <c r="C57">
        <v>0</v>
      </c>
      <c r="D57">
        <v>13</v>
      </c>
      <c r="E57">
        <v>0</v>
      </c>
      <c r="F57" t="s">
        <v>9</v>
      </c>
      <c r="G57" t="s">
        <v>25</v>
      </c>
      <c r="H57" t="s">
        <v>66</v>
      </c>
      <c r="I57" s="3" t="str">
        <f>VLOOKUP(Commits!$A57,People!$A$2:$C10055,2,FALSE)</f>
        <v>Mark Koennecke</v>
      </c>
      <c r="J57" s="3" t="str">
        <f>VLOOKUP(Commits!$A57,People!$A$2:$C10055,3,FALSE)</f>
        <v>PSI</v>
      </c>
      <c r="K57" s="3">
        <f>VLOOKUP(Commits!$A57,People!$A$2:$D10055,4,FALSE)</f>
        <v>0</v>
      </c>
    </row>
    <row r="58" spans="1:11">
      <c r="A58" t="s">
        <v>89</v>
      </c>
      <c r="B58">
        <v>0</v>
      </c>
      <c r="C58">
        <v>0</v>
      </c>
      <c r="D58">
        <v>7</v>
      </c>
      <c r="E58">
        <v>0</v>
      </c>
      <c r="F58" t="s">
        <v>9</v>
      </c>
      <c r="G58" t="s">
        <v>46</v>
      </c>
      <c r="H58" t="s">
        <v>46</v>
      </c>
      <c r="I58" s="3" t="str">
        <f>VLOOKUP(Commits!$A58,People!$A$2:$C10056,2,FALSE)</f>
        <v>Marie Yao</v>
      </c>
      <c r="J58" s="3" t="str">
        <f>VLOOKUP(Commits!$A58,People!$A$2:$C10056,3,FALSE)</f>
        <v>SNS</v>
      </c>
      <c r="K58" s="3">
        <f>VLOOKUP(Commits!$A58,People!$A$2:$D10056,4,FALSE)</f>
        <v>0</v>
      </c>
    </row>
    <row r="59" spans="1:11">
      <c r="A59" t="s">
        <v>221</v>
      </c>
      <c r="B59">
        <v>0</v>
      </c>
      <c r="C59">
        <v>7</v>
      </c>
      <c r="D59">
        <v>7</v>
      </c>
      <c r="E59">
        <v>0</v>
      </c>
      <c r="F59" t="s">
        <v>9</v>
      </c>
      <c r="G59" t="s">
        <v>26</v>
      </c>
      <c r="H59" t="s">
        <v>26</v>
      </c>
      <c r="I59" s="3" t="str">
        <f>VLOOKUP(Commits!$A59,People!$A$2:$C10057,2,FALSE)</f>
        <v>Ian Bush</v>
      </c>
      <c r="J59" s="3" t="str">
        <f>VLOOKUP(Commits!$A59,People!$A$2:$C10057,3,FALSE)</f>
        <v>ISIS</v>
      </c>
      <c r="K59" s="3" t="str">
        <f>VLOOKUP(Commits!$A59,People!$A$2:$D10057,4,FALSE)</f>
        <v>Tessella</v>
      </c>
    </row>
    <row r="60" spans="1:11">
      <c r="A60" t="s">
        <v>105</v>
      </c>
      <c r="B60">
        <v>0</v>
      </c>
      <c r="C60">
        <v>0</v>
      </c>
      <c r="D60">
        <v>7</v>
      </c>
      <c r="E60">
        <v>0</v>
      </c>
      <c r="F60" t="s">
        <v>9</v>
      </c>
      <c r="G60" t="s">
        <v>12</v>
      </c>
      <c r="H60" t="s">
        <v>12</v>
      </c>
      <c r="I60" s="3" t="str">
        <f>VLOOKUP(Commits!$A60,People!$A$2:$C10058,2,FALSE)</f>
        <v>Lakshmi Sastry</v>
      </c>
      <c r="J60" s="3" t="str">
        <f>VLOOKUP(Commits!$A60,People!$A$2:$C10058,3,FALSE)</f>
        <v>ISIS</v>
      </c>
      <c r="K60" s="3">
        <f>VLOOKUP(Commits!$A60,People!$A$2:$D10058,4,FALSE)</f>
        <v>0</v>
      </c>
    </row>
    <row r="61" spans="1:11">
      <c r="A61" t="s">
        <v>65</v>
      </c>
      <c r="B61">
        <v>0</v>
      </c>
      <c r="C61">
        <v>0</v>
      </c>
      <c r="D61">
        <v>6</v>
      </c>
      <c r="E61">
        <v>0</v>
      </c>
      <c r="F61" t="s">
        <v>9</v>
      </c>
      <c r="G61" t="s">
        <v>86</v>
      </c>
      <c r="H61" t="s">
        <v>25</v>
      </c>
      <c r="I61" s="3" t="str">
        <f>VLOOKUP(Commits!$A61,People!$A$2:$C10059,2,FALSE)</f>
        <v>T Nielsen</v>
      </c>
      <c r="J61" s="3" t="str">
        <f>VLOOKUP(Commits!$A61,People!$A$2:$C10059,3,FALSE)</f>
        <v>ESS</v>
      </c>
      <c r="K61" s="3">
        <f>VLOOKUP(Commits!$A61,People!$A$2:$D10059,4,FALSE)</f>
        <v>0</v>
      </c>
    </row>
    <row r="62" spans="1:11">
      <c r="A62" t="s">
        <v>63</v>
      </c>
      <c r="B62">
        <v>0</v>
      </c>
      <c r="C62">
        <v>0</v>
      </c>
      <c r="D62">
        <v>5</v>
      </c>
      <c r="E62">
        <v>0</v>
      </c>
      <c r="F62" t="s">
        <v>35</v>
      </c>
      <c r="G62" t="s">
        <v>25</v>
      </c>
      <c r="H62" t="s">
        <v>25</v>
      </c>
      <c r="I62" s="3" t="str">
        <f>VLOOKUP(Commits!$A62,People!$A$2:$C10060,2,FALSE)</f>
        <v>Christophe Le Bourlot</v>
      </c>
      <c r="J62" s="3" t="str">
        <f>VLOOKUP(Commits!$A62,People!$A$2:$C10060,3,FALSE)</f>
        <v>?</v>
      </c>
      <c r="K62" s="3">
        <f>VLOOKUP(Commits!$A62,People!$A$2:$D10060,4,FALSE)</f>
        <v>0</v>
      </c>
    </row>
    <row r="63" spans="1:11">
      <c r="A63" t="s">
        <v>235</v>
      </c>
      <c r="B63">
        <v>0</v>
      </c>
      <c r="C63">
        <v>4</v>
      </c>
      <c r="D63">
        <v>4</v>
      </c>
      <c r="E63">
        <v>0</v>
      </c>
      <c r="F63" t="s">
        <v>9</v>
      </c>
      <c r="G63" t="s">
        <v>48</v>
      </c>
      <c r="H63" t="s">
        <v>48</v>
      </c>
      <c r="I63" s="3" t="str">
        <f>VLOOKUP(Commits!$A63,People!$A$2:$C10061,2,FALSE)</f>
        <v>David Mannicke</v>
      </c>
      <c r="J63" s="3" t="str">
        <f>VLOOKUP(Commits!$A63,People!$A$2:$C10061,3,FALSE)</f>
        <v>ANSTO</v>
      </c>
      <c r="K63" s="3">
        <f>VLOOKUP(Commits!$A63,People!$A$2:$D10061,4,FALSE)</f>
        <v>0</v>
      </c>
    </row>
    <row r="64" spans="1:11">
      <c r="A64" t="s">
        <v>67</v>
      </c>
      <c r="B64">
        <v>0</v>
      </c>
      <c r="C64">
        <v>0</v>
      </c>
      <c r="D64">
        <v>3</v>
      </c>
      <c r="E64">
        <v>0</v>
      </c>
      <c r="F64" t="s">
        <v>35</v>
      </c>
      <c r="G64" t="s">
        <v>66</v>
      </c>
      <c r="H64" t="s">
        <v>66</v>
      </c>
      <c r="I64" s="3" t="str">
        <f>VLOOKUP(Commits!$A64,People!$A$2:$C10062,2,FALSE)</f>
        <v>Jean Bilheux</v>
      </c>
      <c r="J64" s="3" t="str">
        <f>VLOOKUP(Commits!$A64,People!$A$2:$C10062,3,FALSE)</f>
        <v>SNS</v>
      </c>
      <c r="K64" s="3">
        <f>VLOOKUP(Commits!$A64,People!$A$2:$D10062,4,FALSE)</f>
        <v>0</v>
      </c>
    </row>
    <row r="65" spans="1:11">
      <c r="A65" t="s">
        <v>88</v>
      </c>
      <c r="B65">
        <v>0</v>
      </c>
      <c r="C65">
        <v>0</v>
      </c>
      <c r="D65">
        <v>3</v>
      </c>
      <c r="E65">
        <v>0</v>
      </c>
      <c r="F65" t="s">
        <v>35</v>
      </c>
      <c r="G65" t="s">
        <v>31</v>
      </c>
      <c r="H65" t="s">
        <v>46</v>
      </c>
      <c r="I65" s="3" t="str">
        <f>VLOOKUP(Commits!$A65,People!$A$2:$C10063,2,FALSE)</f>
        <v>Mathieu Doucet</v>
      </c>
      <c r="J65" s="3" t="str">
        <f>VLOOKUP(Commits!$A65,People!$A$2:$C10063,3,FALSE)</f>
        <v>SNS</v>
      </c>
      <c r="K65" s="3">
        <f>VLOOKUP(Commits!$A65,People!$A$2:$D10063,4,FALSE)</f>
        <v>0</v>
      </c>
    </row>
    <row r="66" spans="1:11">
      <c r="A66" t="s">
        <v>100</v>
      </c>
      <c r="B66">
        <v>0</v>
      </c>
      <c r="C66">
        <v>0</v>
      </c>
      <c r="D66">
        <v>2</v>
      </c>
      <c r="E66">
        <v>0</v>
      </c>
      <c r="F66" t="s">
        <v>60</v>
      </c>
      <c r="G66" t="s">
        <v>31</v>
      </c>
      <c r="H66" t="s">
        <v>31</v>
      </c>
      <c r="I66" s="3" t="str">
        <f>VLOOKUP(Commits!$A66,People!$A$2:$C10064,2,FALSE)</f>
        <v>Owen Arnold</v>
      </c>
      <c r="J66" s="3" t="str">
        <f>VLOOKUP(Commits!$A66,People!$A$2:$C10064,3,FALSE)</f>
        <v>ISIS</v>
      </c>
      <c r="K66" s="3" t="str">
        <f>VLOOKUP(Commits!$A66,People!$A$2:$D10064,4,FALSE)</f>
        <v>Tessella</v>
      </c>
    </row>
    <row r="67" spans="1:11">
      <c r="A67" t="s">
        <v>236</v>
      </c>
      <c r="B67">
        <v>0</v>
      </c>
      <c r="C67">
        <v>2</v>
      </c>
      <c r="D67">
        <v>2</v>
      </c>
      <c r="E67">
        <v>0</v>
      </c>
      <c r="F67">
        <v>0</v>
      </c>
      <c r="G67" t="s">
        <v>224</v>
      </c>
      <c r="H67" t="s">
        <v>224</v>
      </c>
      <c r="I67" s="3" t="str">
        <f>VLOOKUP(Commits!$A67,People!$A$2:$C10065,2,FALSE)</f>
        <v>Nick Draper</v>
      </c>
      <c r="J67" s="3" t="str">
        <f>VLOOKUP(Commits!$A67,People!$A$2:$C10065,3,FALSE)</f>
        <v>ISIS</v>
      </c>
      <c r="K67" s="3" t="str">
        <f>VLOOKUP(Commits!$A67,People!$A$2:$D10065,4,FALSE)</f>
        <v>Tessella</v>
      </c>
    </row>
    <row r="68" spans="1:11">
      <c r="A68" t="s">
        <v>76</v>
      </c>
      <c r="B68">
        <v>0</v>
      </c>
      <c r="C68">
        <v>0</v>
      </c>
      <c r="D68">
        <v>2</v>
      </c>
      <c r="E68">
        <v>0</v>
      </c>
      <c r="F68" t="s">
        <v>9</v>
      </c>
      <c r="G68" t="s">
        <v>22</v>
      </c>
      <c r="H68" t="s">
        <v>25</v>
      </c>
      <c r="I68" s="3" t="str">
        <f>VLOOKUP(Commits!$A68,People!$A$2:$C10066,2,FALSE)</f>
        <v>unknown</v>
      </c>
      <c r="J68" s="3" t="str">
        <f>VLOOKUP(Commits!$A68,People!$A$2:$C10066,3,FALSE)</f>
        <v>?</v>
      </c>
      <c r="K68" s="3">
        <f>VLOOKUP(Commits!$A68,People!$A$2:$D10066,4,FALSE)</f>
        <v>0</v>
      </c>
    </row>
    <row r="69" spans="1:11">
      <c r="A69" t="s">
        <v>237</v>
      </c>
      <c r="B69">
        <v>0</v>
      </c>
      <c r="C69">
        <v>2</v>
      </c>
      <c r="D69">
        <v>2</v>
      </c>
      <c r="E69">
        <v>0</v>
      </c>
      <c r="F69" t="s">
        <v>9</v>
      </c>
      <c r="G69" t="s">
        <v>229</v>
      </c>
      <c r="H69" t="s">
        <v>229</v>
      </c>
      <c r="I69" s="3" t="str">
        <f>VLOOKUP(Commits!$A69,People!$A$2:$C10067,2,FALSE)</f>
        <v>Diego Monserrat</v>
      </c>
      <c r="J69" s="3" t="str">
        <f>VLOOKUP(Commits!$A69,People!$A$2:$C10067,3,FALSE)</f>
        <v>Polytechnic University of Catalonia</v>
      </c>
      <c r="K69" s="3">
        <f>VLOOKUP(Commits!$A69,People!$A$2:$D10067,4,FALSE)</f>
        <v>0</v>
      </c>
    </row>
    <row r="70" spans="1:11">
      <c r="A70" t="s">
        <v>238</v>
      </c>
      <c r="B70">
        <v>0</v>
      </c>
      <c r="C70">
        <v>2</v>
      </c>
      <c r="D70">
        <v>2</v>
      </c>
      <c r="E70">
        <v>0</v>
      </c>
      <c r="F70" t="s">
        <v>9</v>
      </c>
      <c r="G70" t="s">
        <v>16</v>
      </c>
      <c r="H70" t="s">
        <v>16</v>
      </c>
      <c r="I70" s="3" t="str">
        <f>VLOOKUP(Commits!$A70,People!$A$2:$C10068,2,FALSE)</f>
        <v>Federico Montesino P...</v>
      </c>
      <c r="J70" s="3" t="str">
        <f>VLOOKUP(Commits!$A70,People!$A$2:$C10068,3,FALSE)</f>
        <v>ISIS</v>
      </c>
      <c r="K70" s="3">
        <f>VLOOKUP(Commits!$A70,People!$A$2:$D10068,4,FALSE)</f>
        <v>0</v>
      </c>
    </row>
    <row r="71" spans="1:11">
      <c r="A71" t="s">
        <v>239</v>
      </c>
      <c r="B71">
        <v>0</v>
      </c>
      <c r="C71">
        <v>1</v>
      </c>
      <c r="D71">
        <v>1</v>
      </c>
      <c r="E71">
        <v>0</v>
      </c>
      <c r="F71" t="s">
        <v>9</v>
      </c>
      <c r="G71" t="s">
        <v>229</v>
      </c>
      <c r="H71" t="s">
        <v>229</v>
      </c>
      <c r="I71" s="3" t="str">
        <f>VLOOKUP(Commits!$A71,People!$A$2:$C10069,2,FALSE)</f>
        <v>Diego Monserrat</v>
      </c>
      <c r="J71" s="3" t="str">
        <f>VLOOKUP(Commits!$A71,People!$A$2:$C10069,3,FALSE)</f>
        <v>Polytechnic University of Catalonia</v>
      </c>
      <c r="K71" s="3">
        <f>VLOOKUP(Commits!$A71,People!$A$2:$D10069,4,FALSE)</f>
        <v>0</v>
      </c>
    </row>
    <row r="72" spans="1:11">
      <c r="A72" t="s">
        <v>103</v>
      </c>
      <c r="B72">
        <v>0</v>
      </c>
      <c r="C72">
        <v>0</v>
      </c>
      <c r="D72">
        <v>1</v>
      </c>
      <c r="E72">
        <v>0</v>
      </c>
      <c r="F72" t="s">
        <v>56</v>
      </c>
      <c r="G72" t="s">
        <v>33</v>
      </c>
      <c r="H72" t="s">
        <v>33</v>
      </c>
      <c r="I72" s="3" t="str">
        <f>VLOOKUP(Commits!$A72,People!$A$2:$C10070,2,FALSE)</f>
        <v>Pascal Manuel</v>
      </c>
      <c r="J72" s="3" t="str">
        <f>VLOOKUP(Commits!$A72,People!$A$2:$C10070,3,FALSE)</f>
        <v>ISIS</v>
      </c>
      <c r="K72" s="3">
        <f>VLOOKUP(Commits!$A72,People!$A$2:$D10070,4,FALSE)</f>
        <v>0</v>
      </c>
    </row>
    <row r="73" spans="1:11">
      <c r="A73" t="s">
        <v>82</v>
      </c>
      <c r="B73">
        <v>0</v>
      </c>
      <c r="C73">
        <v>0</v>
      </c>
      <c r="D73">
        <v>1</v>
      </c>
      <c r="E73">
        <v>0</v>
      </c>
      <c r="F73" t="s">
        <v>9</v>
      </c>
      <c r="G73" t="s">
        <v>25</v>
      </c>
      <c r="H73" t="s">
        <v>25</v>
      </c>
      <c r="I73" s="3" t="str">
        <f>VLOOKUP(Commits!$A73,People!$A$2:$C10071,2,FALSE)</f>
        <v>Ross Miller</v>
      </c>
      <c r="J73" s="3" t="str">
        <f>VLOOKUP(Commits!$A73,People!$A$2:$C10071,3,FALSE)</f>
        <v>SNS</v>
      </c>
      <c r="K73" s="3">
        <f>VLOOKUP(Commits!$A73,People!$A$2:$D10071,4,FALSE)</f>
        <v>0</v>
      </c>
    </row>
    <row r="74" spans="1:11">
      <c r="A74" t="s">
        <v>83</v>
      </c>
      <c r="B74">
        <v>0</v>
      </c>
      <c r="C74">
        <v>0</v>
      </c>
      <c r="D74">
        <v>1</v>
      </c>
      <c r="E74">
        <v>0</v>
      </c>
      <c r="F74">
        <v>0</v>
      </c>
      <c r="G74" t="s">
        <v>33</v>
      </c>
      <c r="H74" t="s">
        <v>33</v>
      </c>
      <c r="I74" s="3" t="str">
        <f>VLOOKUP(Commits!$A74,People!$A$2:$C10072,2,FALSE)</f>
        <v>Robert Dalgliesh</v>
      </c>
      <c r="J74" s="3" t="str">
        <f>VLOOKUP(Commits!$A74,People!$A$2:$C10072,3,FALSE)</f>
        <v>ISIS</v>
      </c>
      <c r="K74" s="3">
        <f>VLOOKUP(Commits!$A74,People!$A$2:$D10072,4,FALSE)</f>
        <v>0</v>
      </c>
    </row>
    <row r="75" spans="1:11">
      <c r="A75" t="s">
        <v>81</v>
      </c>
      <c r="B75">
        <v>0</v>
      </c>
      <c r="C75">
        <v>1</v>
      </c>
      <c r="D75">
        <v>1</v>
      </c>
      <c r="E75">
        <v>0</v>
      </c>
      <c r="F75" t="s">
        <v>60</v>
      </c>
      <c r="G75" t="s">
        <v>57</v>
      </c>
      <c r="H75" t="s">
        <v>57</v>
      </c>
      <c r="I75" s="3" t="str">
        <f>VLOOKUP(Commits!$A75,People!$A$2:$C10073,2,FALSE)</f>
        <v>Stuart Campbell</v>
      </c>
      <c r="J75" s="3" t="str">
        <f>VLOOKUP(Commits!$A75,People!$A$2:$C10073,3,FALSE)</f>
        <v>SNS</v>
      </c>
      <c r="K75" s="3">
        <f>VLOOKUP(Commits!$A75,People!$A$2:$D10073,4,FALSE)</f>
        <v>0</v>
      </c>
    </row>
    <row r="76" spans="1:11">
      <c r="A76" t="s">
        <v>240</v>
      </c>
      <c r="B76">
        <v>0</v>
      </c>
      <c r="C76">
        <v>1</v>
      </c>
      <c r="D76">
        <v>1</v>
      </c>
      <c r="E76">
        <v>0</v>
      </c>
      <c r="F76" t="s">
        <v>9</v>
      </c>
      <c r="G76" t="s">
        <v>226</v>
      </c>
      <c r="H76" t="s">
        <v>226</v>
      </c>
      <c r="I76" s="3" t="str">
        <f>VLOOKUP(Commits!$A76,People!$A$2:$C10074,2,FALSE)</f>
        <v>abuts</v>
      </c>
      <c r="J76" s="3" t="str">
        <f>VLOOKUP(Commits!$A76,People!$A$2:$C10074,3,FALSE)</f>
        <v>ISIS</v>
      </c>
      <c r="K76" s="3">
        <f>VLOOKUP(Commits!$A76,People!$A$2:$D10074,4,FALSE)</f>
        <v>0</v>
      </c>
    </row>
    <row r="77" spans="1:11">
      <c r="A77" t="s">
        <v>87</v>
      </c>
      <c r="B77">
        <v>0</v>
      </c>
      <c r="C77">
        <v>0</v>
      </c>
      <c r="D77">
        <v>1</v>
      </c>
      <c r="E77">
        <v>0</v>
      </c>
      <c r="F77" t="s">
        <v>35</v>
      </c>
      <c r="G77" t="s">
        <v>31</v>
      </c>
      <c r="H77" t="s">
        <v>31</v>
      </c>
      <c r="I77" s="3" t="str">
        <f>VLOOKUP(Commits!$A77,People!$A$2:$C10075,2,FALSE)</f>
        <v>Mathieu Doucet</v>
      </c>
      <c r="J77" s="3" t="str">
        <f>VLOOKUP(Commits!$A77,People!$A$2:$C10075,3,FALSE)</f>
        <v>SNS</v>
      </c>
      <c r="K77" s="3">
        <f>VLOOKUP(Commits!$A77,People!$A$2:$D10075,4,FALSE)</f>
        <v>0</v>
      </c>
    </row>
    <row r="78" spans="1:11">
      <c r="A78" t="s">
        <v>241</v>
      </c>
      <c r="B78">
        <v>0</v>
      </c>
      <c r="C78">
        <v>1</v>
      </c>
      <c r="D78">
        <v>1</v>
      </c>
      <c r="E78">
        <v>0</v>
      </c>
      <c r="F78" t="s">
        <v>60</v>
      </c>
      <c r="G78" t="s">
        <v>224</v>
      </c>
      <c r="H78" t="s">
        <v>224</v>
      </c>
      <c r="I78" s="3" t="str">
        <f>VLOOKUP(Commits!$A78,People!$A$2:$C10076,2,FALSE)</f>
        <v>Joachim Wuttke</v>
      </c>
      <c r="J78" s="3" t="str">
        <f>VLOOKUP(Commits!$A78,People!$A$2:$C10076,3,FALSE)</f>
        <v>Juelich</v>
      </c>
      <c r="K78" s="3">
        <f>VLOOKUP(Commits!$A78,People!$A$2:$D10076,4,FALSE)</f>
        <v>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1"/>
  <sheetViews>
    <sheetView topLeftCell="A71" workbookViewId="0">
      <selection activeCell="B91" sqref="B91:C91"/>
    </sheetView>
  </sheetViews>
  <sheetFormatPr defaultRowHeight="15"/>
  <cols>
    <col min="1" max="1" width="35.5703125" customWidth="1"/>
    <col min="2" max="2" width="18.42578125" customWidth="1"/>
    <col min="3" max="3" width="9.140625" style="5"/>
  </cols>
  <sheetData>
    <row r="1" spans="1:4">
      <c r="A1" s="11" t="s">
        <v>0</v>
      </c>
      <c r="B1" s="11" t="s">
        <v>110</v>
      </c>
      <c r="C1" s="13" t="s">
        <v>71</v>
      </c>
      <c r="D1" s="11" t="s">
        <v>108</v>
      </c>
    </row>
    <row r="2" spans="1:4">
      <c r="A2" t="s">
        <v>8</v>
      </c>
      <c r="B2" t="str">
        <f>A2</f>
        <v>Martyn Gigg</v>
      </c>
      <c r="C2" s="5" t="s">
        <v>39</v>
      </c>
      <c r="D2" t="s">
        <v>109</v>
      </c>
    </row>
    <row r="3" spans="1:4">
      <c r="A3" t="s">
        <v>11</v>
      </c>
      <c r="B3" t="str">
        <f t="shared" ref="B3:B65" si="0">A3</f>
        <v>Russell Taylor</v>
      </c>
      <c r="C3" s="5" t="s">
        <v>40</v>
      </c>
      <c r="D3" t="s">
        <v>109</v>
      </c>
    </row>
    <row r="4" spans="1:4">
      <c r="A4" t="s">
        <v>14</v>
      </c>
      <c r="B4" t="str">
        <f t="shared" si="0"/>
        <v>Samuel Jackson</v>
      </c>
      <c r="C4" s="5" t="s">
        <v>39</v>
      </c>
    </row>
    <row r="5" spans="1:4">
      <c r="A5" t="s">
        <v>17</v>
      </c>
      <c r="B5" t="str">
        <f t="shared" si="0"/>
        <v>Jay Rainey</v>
      </c>
      <c r="C5" s="5" t="s">
        <v>39</v>
      </c>
    </row>
    <row r="6" spans="1:4">
      <c r="A6" t="s">
        <v>18</v>
      </c>
      <c r="B6" t="str">
        <f t="shared" si="0"/>
        <v>Arturs Bekasovs</v>
      </c>
      <c r="C6" s="5" t="s">
        <v>39</v>
      </c>
    </row>
    <row r="7" spans="1:4">
      <c r="A7" t="s">
        <v>19</v>
      </c>
      <c r="B7" t="str">
        <f t="shared" si="0"/>
        <v>Owen Arnold</v>
      </c>
      <c r="C7" s="5" t="s">
        <v>39</v>
      </c>
      <c r="D7" t="s">
        <v>109</v>
      </c>
    </row>
    <row r="8" spans="1:4">
      <c r="A8" t="s">
        <v>20</v>
      </c>
      <c r="B8" t="str">
        <f t="shared" si="0"/>
        <v>Peter Peterson</v>
      </c>
      <c r="C8" s="5" t="s">
        <v>40</v>
      </c>
    </row>
    <row r="9" spans="1:4">
      <c r="A9" t="s">
        <v>21</v>
      </c>
      <c r="B9" t="str">
        <f t="shared" si="0"/>
        <v>Wenduo Zhou</v>
      </c>
      <c r="C9" s="5" t="s">
        <v>40</v>
      </c>
    </row>
    <row r="10" spans="1:4">
      <c r="A10" t="s">
        <v>23</v>
      </c>
      <c r="B10" t="str">
        <f t="shared" si="0"/>
        <v>Alex Buts</v>
      </c>
      <c r="C10" s="5" t="s">
        <v>39</v>
      </c>
    </row>
    <row r="11" spans="1:4">
      <c r="A11" t="s">
        <v>24</v>
      </c>
      <c r="B11" t="str">
        <f t="shared" si="0"/>
        <v>Gesner Passos</v>
      </c>
      <c r="C11" s="5" t="s">
        <v>39</v>
      </c>
    </row>
    <row r="12" spans="1:4">
      <c r="A12" t="s">
        <v>27</v>
      </c>
      <c r="B12" t="str">
        <f t="shared" si="0"/>
        <v>Michael Reuter</v>
      </c>
      <c r="C12" s="5" t="s">
        <v>40</v>
      </c>
    </row>
    <row r="13" spans="1:4">
      <c r="A13" t="s">
        <v>29</v>
      </c>
      <c r="B13" t="str">
        <f t="shared" si="0"/>
        <v>Keith Brown</v>
      </c>
      <c r="C13" s="5" t="s">
        <v>39</v>
      </c>
    </row>
    <row r="14" spans="1:4">
      <c r="A14" t="s">
        <v>30</v>
      </c>
      <c r="B14" t="str">
        <f t="shared" si="0"/>
        <v>Karl Palmen</v>
      </c>
      <c r="C14" s="5" t="s">
        <v>39</v>
      </c>
    </row>
    <row r="15" spans="1:4">
      <c r="A15" t="s">
        <v>32</v>
      </c>
      <c r="B15" t="str">
        <f t="shared" si="0"/>
        <v>Vickie Lynch</v>
      </c>
      <c r="C15" s="5" t="s">
        <v>40</v>
      </c>
    </row>
    <row r="16" spans="1:4">
      <c r="A16" t="s">
        <v>34</v>
      </c>
      <c r="B16" t="str">
        <f t="shared" si="0"/>
        <v>Roman Tolchenov</v>
      </c>
      <c r="C16" s="5" t="s">
        <v>39</v>
      </c>
      <c r="D16" t="s">
        <v>109</v>
      </c>
    </row>
    <row r="17" spans="1:4">
      <c r="A17" t="s">
        <v>41</v>
      </c>
      <c r="B17" t="s">
        <v>112</v>
      </c>
      <c r="C17" s="5" t="s">
        <v>39</v>
      </c>
      <c r="D17" t="s">
        <v>109</v>
      </c>
    </row>
    <row r="18" spans="1:4">
      <c r="A18" t="s">
        <v>42</v>
      </c>
      <c r="B18" t="s">
        <v>111</v>
      </c>
      <c r="C18" s="5" t="s">
        <v>40</v>
      </c>
    </row>
    <row r="19" spans="1:4">
      <c r="A19" t="s">
        <v>36</v>
      </c>
      <c r="B19" t="str">
        <f t="shared" si="0"/>
        <v>Andrei Savici</v>
      </c>
      <c r="C19" s="5" t="s">
        <v>40</v>
      </c>
    </row>
    <row r="20" spans="1:4">
      <c r="A20" t="s">
        <v>37</v>
      </c>
      <c r="B20" t="str">
        <f t="shared" si="0"/>
        <v>Peter Parker</v>
      </c>
      <c r="C20" s="5" t="s">
        <v>39</v>
      </c>
    </row>
    <row r="21" spans="1:4">
      <c r="A21" t="s">
        <v>38</v>
      </c>
      <c r="B21" t="str">
        <f t="shared" si="0"/>
        <v>Stuart Campbell</v>
      </c>
      <c r="C21" s="5" t="s">
        <v>40</v>
      </c>
    </row>
    <row r="22" spans="1:4">
      <c r="A22" t="s">
        <v>43</v>
      </c>
      <c r="B22" t="str">
        <f t="shared" si="0"/>
        <v>Jose Borreguero</v>
      </c>
      <c r="C22" s="5" t="s">
        <v>40</v>
      </c>
    </row>
    <row r="23" spans="1:4">
      <c r="A23" t="s">
        <v>44</v>
      </c>
      <c r="B23" t="str">
        <f t="shared" si="0"/>
        <v>Anders Markvardsen</v>
      </c>
      <c r="C23" s="5" t="s">
        <v>39</v>
      </c>
    </row>
    <row r="24" spans="1:4">
      <c r="A24" t="s">
        <v>45</v>
      </c>
      <c r="B24" t="str">
        <f t="shared" si="0"/>
        <v>Ross Miller</v>
      </c>
      <c r="C24" s="5" t="s">
        <v>40</v>
      </c>
    </row>
    <row r="25" spans="1:4">
      <c r="A25" t="s">
        <v>47</v>
      </c>
      <c r="B25" t="s">
        <v>69</v>
      </c>
      <c r="C25" s="5" t="s">
        <v>72</v>
      </c>
    </row>
    <row r="26" spans="1:4">
      <c r="A26" t="s">
        <v>49</v>
      </c>
      <c r="B26" t="str">
        <f t="shared" si="0"/>
        <v>Dennis Mikkelson</v>
      </c>
      <c r="C26" s="5" t="s">
        <v>40</v>
      </c>
    </row>
    <row r="27" spans="1:4">
      <c r="A27" t="s">
        <v>50</v>
      </c>
      <c r="B27" t="s">
        <v>50</v>
      </c>
      <c r="C27" s="5" t="s">
        <v>73</v>
      </c>
    </row>
    <row r="28" spans="1:4">
      <c r="A28" t="s">
        <v>51</v>
      </c>
      <c r="B28" t="str">
        <f t="shared" si="0"/>
        <v>Dereck Kachere</v>
      </c>
      <c r="C28" s="5" t="s">
        <v>39</v>
      </c>
    </row>
    <row r="29" spans="1:4">
      <c r="A29" t="s">
        <v>52</v>
      </c>
      <c r="B29" t="str">
        <f t="shared" si="0"/>
        <v>Jean Bilheux</v>
      </c>
      <c r="C29" s="5" t="s">
        <v>40</v>
      </c>
    </row>
    <row r="30" spans="1:4">
      <c r="A30" t="s">
        <v>54</v>
      </c>
      <c r="B30" t="str">
        <f t="shared" si="0"/>
        <v>Ruth Mikkelson</v>
      </c>
      <c r="C30" s="5" t="s">
        <v>40</v>
      </c>
    </row>
    <row r="31" spans="1:4">
      <c r="A31" t="s">
        <v>55</v>
      </c>
      <c r="B31" t="str">
        <f t="shared" si="0"/>
        <v>Mike Thomas</v>
      </c>
      <c r="C31" s="5" t="s">
        <v>39</v>
      </c>
    </row>
    <row r="32" spans="1:4">
      <c r="A32" t="s">
        <v>58</v>
      </c>
      <c r="B32" t="s">
        <v>52</v>
      </c>
      <c r="C32" s="5" t="s">
        <v>40</v>
      </c>
    </row>
    <row r="33" spans="1:3">
      <c r="A33" t="s">
        <v>59</v>
      </c>
      <c r="B33" t="s">
        <v>20</v>
      </c>
      <c r="C33" s="5" t="s">
        <v>40</v>
      </c>
    </row>
    <row r="34" spans="1:3">
      <c r="A34" t="s">
        <v>61</v>
      </c>
      <c r="B34" t="str">
        <f t="shared" si="0"/>
        <v>Mark Koennecke</v>
      </c>
      <c r="C34" s="5" t="s">
        <v>72</v>
      </c>
    </row>
    <row r="35" spans="1:3">
      <c r="A35" t="s">
        <v>63</v>
      </c>
      <c r="B35" t="str">
        <f t="shared" si="0"/>
        <v>Christophe Le Bourlot</v>
      </c>
      <c r="C35" s="5" t="s">
        <v>74</v>
      </c>
    </row>
    <row r="36" spans="1:3">
      <c r="A36" t="s">
        <v>64</v>
      </c>
      <c r="B36" t="str">
        <f t="shared" si="0"/>
        <v>Shelly Ren</v>
      </c>
      <c r="C36" s="5" t="s">
        <v>40</v>
      </c>
    </row>
    <row r="37" spans="1:3">
      <c r="A37" t="s">
        <v>65</v>
      </c>
      <c r="B37" t="str">
        <f t="shared" si="0"/>
        <v>T Nielsen</v>
      </c>
      <c r="C37" s="5" t="s">
        <v>75</v>
      </c>
    </row>
    <row r="38" spans="1:3">
      <c r="A38" t="s">
        <v>67</v>
      </c>
      <c r="B38" t="s">
        <v>52</v>
      </c>
      <c r="C38" s="5" t="s">
        <v>40</v>
      </c>
    </row>
    <row r="39" spans="1:3">
      <c r="A39" t="s">
        <v>68</v>
      </c>
      <c r="B39" t="s">
        <v>50</v>
      </c>
      <c r="C39" s="5" t="s">
        <v>73</v>
      </c>
    </row>
    <row r="40" spans="1:3">
      <c r="A40" t="s">
        <v>69</v>
      </c>
      <c r="B40" t="str">
        <f t="shared" si="0"/>
        <v>Michael Wedel</v>
      </c>
      <c r="C40" s="5" t="s">
        <v>72</v>
      </c>
    </row>
    <row r="41" spans="1:3">
      <c r="A41" t="s">
        <v>70</v>
      </c>
      <c r="B41" t="s">
        <v>44</v>
      </c>
      <c r="C41" s="5" t="s">
        <v>39</v>
      </c>
    </row>
    <row r="42" spans="1:3">
      <c r="A42" t="s">
        <v>76</v>
      </c>
      <c r="B42" t="str">
        <f t="shared" si="0"/>
        <v>unknown</v>
      </c>
      <c r="C42" s="5" t="s">
        <v>74</v>
      </c>
    </row>
    <row r="43" spans="1:3">
      <c r="A43" t="s">
        <v>77</v>
      </c>
      <c r="B43" t="str">
        <f t="shared" si="0"/>
        <v>Freddie Akeroyd</v>
      </c>
      <c r="C43" s="5" t="s">
        <v>39</v>
      </c>
    </row>
    <row r="44" spans="1:3">
      <c r="A44" t="s">
        <v>79</v>
      </c>
      <c r="B44" t="s">
        <v>111</v>
      </c>
      <c r="C44" s="5" t="s">
        <v>40</v>
      </c>
    </row>
    <row r="45" spans="1:3">
      <c r="A45" t="s">
        <v>80</v>
      </c>
      <c r="B45" t="str">
        <f t="shared" si="0"/>
        <v>Ross Whitfield</v>
      </c>
      <c r="C45" s="5" t="s">
        <v>40</v>
      </c>
    </row>
    <row r="46" spans="1:3">
      <c r="A46" t="s">
        <v>81</v>
      </c>
      <c r="B46" t="s">
        <v>38</v>
      </c>
      <c r="C46" s="5" t="s">
        <v>40</v>
      </c>
    </row>
    <row r="47" spans="1:3">
      <c r="A47" t="s">
        <v>82</v>
      </c>
      <c r="B47" t="s">
        <v>45</v>
      </c>
      <c r="C47" s="5" t="s">
        <v>40</v>
      </c>
    </row>
    <row r="48" spans="1:3">
      <c r="A48" t="s">
        <v>83</v>
      </c>
      <c r="B48" t="str">
        <f t="shared" si="0"/>
        <v>Robert Dalgliesh</v>
      </c>
      <c r="C48" s="5" t="s">
        <v>39</v>
      </c>
    </row>
    <row r="49" spans="1:4">
      <c r="A49" t="s">
        <v>84</v>
      </c>
      <c r="B49" t="s">
        <v>32</v>
      </c>
      <c r="C49" s="5" t="s">
        <v>40</v>
      </c>
    </row>
    <row r="50" spans="1:4">
      <c r="A50" t="s">
        <v>85</v>
      </c>
      <c r="B50" t="s">
        <v>36</v>
      </c>
      <c r="C50" s="5" t="s">
        <v>40</v>
      </c>
    </row>
    <row r="51" spans="1:4">
      <c r="A51" t="s">
        <v>87</v>
      </c>
      <c r="B51" t="s">
        <v>111</v>
      </c>
      <c r="C51" s="5" t="s">
        <v>40</v>
      </c>
    </row>
    <row r="52" spans="1:4">
      <c r="A52" t="s">
        <v>88</v>
      </c>
      <c r="B52" t="s">
        <v>111</v>
      </c>
      <c r="C52" s="5" t="s">
        <v>40</v>
      </c>
    </row>
    <row r="53" spans="1:4">
      <c r="A53" t="s">
        <v>89</v>
      </c>
      <c r="B53" t="str">
        <f t="shared" si="0"/>
        <v>Marie Yao</v>
      </c>
      <c r="C53" s="5" t="s">
        <v>40</v>
      </c>
    </row>
    <row r="54" spans="1:4">
      <c r="A54" t="s">
        <v>90</v>
      </c>
      <c r="B54" t="str">
        <f t="shared" si="0"/>
        <v>Stuart Ansell</v>
      </c>
      <c r="C54" s="5" t="s">
        <v>39</v>
      </c>
    </row>
    <row r="55" spans="1:4">
      <c r="A55" t="s">
        <v>91</v>
      </c>
      <c r="B55" t="str">
        <f t="shared" si="0"/>
        <v>Laurent Chapon</v>
      </c>
      <c r="C55" s="5" t="s">
        <v>39</v>
      </c>
    </row>
    <row r="56" spans="1:4">
      <c r="A56" t="s">
        <v>93</v>
      </c>
      <c r="B56" t="str">
        <f t="shared" si="0"/>
        <v>Matt Clarke</v>
      </c>
      <c r="C56" s="5" t="s">
        <v>39</v>
      </c>
    </row>
    <row r="57" spans="1:4">
      <c r="A57" t="s">
        <v>95</v>
      </c>
      <c r="B57" t="str">
        <f t="shared" si="0"/>
        <v>Sri Nagella</v>
      </c>
      <c r="C57" s="5" t="s">
        <v>39</v>
      </c>
    </row>
    <row r="58" spans="1:4">
      <c r="A58" t="s">
        <v>98</v>
      </c>
      <c r="B58" t="str">
        <f t="shared" si="0"/>
        <v>Dickon Champion</v>
      </c>
      <c r="C58" s="5" t="s">
        <v>39</v>
      </c>
    </row>
    <row r="59" spans="1:4">
      <c r="A59" t="s">
        <v>99</v>
      </c>
      <c r="B59" t="str">
        <f t="shared" si="0"/>
        <v>Janik Zikovsky</v>
      </c>
      <c r="C59" s="5" t="s">
        <v>40</v>
      </c>
    </row>
    <row r="60" spans="1:4">
      <c r="A60" t="s">
        <v>100</v>
      </c>
      <c r="B60" t="s">
        <v>19</v>
      </c>
      <c r="C60" s="5" t="s">
        <v>39</v>
      </c>
      <c r="D60" t="s">
        <v>109</v>
      </c>
    </row>
    <row r="61" spans="1:4">
      <c r="A61" t="s">
        <v>101</v>
      </c>
      <c r="B61" t="str">
        <f t="shared" si="0"/>
        <v>Steve Williams</v>
      </c>
      <c r="C61" s="5" t="s">
        <v>39</v>
      </c>
    </row>
    <row r="62" spans="1:4">
      <c r="A62" t="s">
        <v>102</v>
      </c>
      <c r="B62" t="str">
        <f t="shared" si="0"/>
        <v>Sofia Antony</v>
      </c>
      <c r="C62" s="5" t="s">
        <v>39</v>
      </c>
    </row>
    <row r="63" spans="1:4">
      <c r="A63" t="s">
        <v>103</v>
      </c>
      <c r="B63" t="str">
        <f t="shared" si="0"/>
        <v>Pascal Manuel</v>
      </c>
      <c r="C63" s="5" t="s">
        <v>39</v>
      </c>
    </row>
    <row r="64" spans="1:4">
      <c r="A64" t="s">
        <v>106</v>
      </c>
      <c r="B64" s="7" t="s">
        <v>131</v>
      </c>
      <c r="C64" s="5" t="s">
        <v>39</v>
      </c>
    </row>
    <row r="65" spans="1:4">
      <c r="A65" t="s">
        <v>104</v>
      </c>
      <c r="B65" t="str">
        <f t="shared" si="0"/>
        <v>Ronald Fowler</v>
      </c>
      <c r="C65" s="5" t="s">
        <v>39</v>
      </c>
    </row>
    <row r="66" spans="1:4">
      <c r="A66" t="s">
        <v>107</v>
      </c>
      <c r="B66" t="s">
        <v>143</v>
      </c>
      <c r="C66" s="5" t="s">
        <v>39</v>
      </c>
    </row>
    <row r="67" spans="1:4">
      <c r="A67" t="s">
        <v>105</v>
      </c>
      <c r="B67" t="str">
        <f t="shared" ref="B67:B68" si="1">A67</f>
        <v>Lakshmi Sastry</v>
      </c>
      <c r="C67" s="5" t="s">
        <v>39</v>
      </c>
    </row>
    <row r="68" spans="1:4">
      <c r="A68" t="s">
        <v>144</v>
      </c>
      <c r="B68" t="str">
        <f t="shared" si="1"/>
        <v>Brett Tully</v>
      </c>
      <c r="C68" s="5" t="s">
        <v>39</v>
      </c>
      <c r="D68" t="s">
        <v>109</v>
      </c>
    </row>
    <row r="69" spans="1:4">
      <c r="A69" t="s">
        <v>68</v>
      </c>
      <c r="B69" t="s">
        <v>50</v>
      </c>
      <c r="C69" s="5" t="s">
        <v>73</v>
      </c>
    </row>
    <row r="70" spans="1:4">
      <c r="A70" t="s">
        <v>208</v>
      </c>
      <c r="B70" t="s">
        <v>208</v>
      </c>
      <c r="C70" s="5" t="s">
        <v>73</v>
      </c>
    </row>
    <row r="71" spans="1:4">
      <c r="A71" t="s">
        <v>207</v>
      </c>
      <c r="B71" t="s">
        <v>143</v>
      </c>
      <c r="C71" s="5" t="s">
        <v>39</v>
      </c>
    </row>
    <row r="72" spans="1:4">
      <c r="A72" t="s">
        <v>206</v>
      </c>
      <c r="B72" s="7" t="s">
        <v>131</v>
      </c>
      <c r="C72" s="5" t="s">
        <v>39</v>
      </c>
    </row>
    <row r="73" spans="1:4">
      <c r="A73" t="s">
        <v>211</v>
      </c>
      <c r="B73" t="s">
        <v>211</v>
      </c>
      <c r="C73" s="5" t="s">
        <v>39</v>
      </c>
    </row>
    <row r="74" spans="1:4">
      <c r="A74" t="s">
        <v>215</v>
      </c>
      <c r="B74" t="s">
        <v>215</v>
      </c>
      <c r="C74" s="5" t="s">
        <v>39</v>
      </c>
    </row>
    <row r="75" spans="1:4">
      <c r="A75" t="s">
        <v>232</v>
      </c>
      <c r="B75" t="s">
        <v>232</v>
      </c>
      <c r="C75" s="5" t="s">
        <v>39</v>
      </c>
    </row>
    <row r="76" spans="1:4">
      <c r="A76" t="s">
        <v>217</v>
      </c>
      <c r="B76" t="s">
        <v>217</v>
      </c>
      <c r="C76" s="5" t="s">
        <v>40</v>
      </c>
    </row>
    <row r="77" spans="1:4">
      <c r="A77" t="s">
        <v>220</v>
      </c>
      <c r="B77" t="s">
        <v>220</v>
      </c>
      <c r="C77" s="5" t="s">
        <v>39</v>
      </c>
    </row>
    <row r="78" spans="1:4">
      <c r="A78" t="s">
        <v>219</v>
      </c>
      <c r="B78" t="s">
        <v>219</v>
      </c>
      <c r="C78" s="5" t="s">
        <v>39</v>
      </c>
    </row>
    <row r="79" spans="1:4">
      <c r="A79" t="s">
        <v>235</v>
      </c>
      <c r="B79" t="s">
        <v>235</v>
      </c>
      <c r="C79" s="5" t="s">
        <v>242</v>
      </c>
    </row>
    <row r="80" spans="1:4">
      <c r="A80" t="s">
        <v>221</v>
      </c>
      <c r="B80" t="s">
        <v>221</v>
      </c>
      <c r="C80" s="5" t="s">
        <v>39</v>
      </c>
      <c r="D80" t="s">
        <v>109</v>
      </c>
    </row>
    <row r="81" spans="1:4">
      <c r="A81" t="s">
        <v>236</v>
      </c>
      <c r="B81" t="s">
        <v>112</v>
      </c>
      <c r="C81" s="5" t="s">
        <v>39</v>
      </c>
      <c r="D81" t="s">
        <v>109</v>
      </c>
    </row>
    <row r="82" spans="1:4">
      <c r="A82" t="s">
        <v>214</v>
      </c>
      <c r="B82" t="s">
        <v>214</v>
      </c>
      <c r="C82" s="5" t="s">
        <v>39</v>
      </c>
    </row>
    <row r="83" spans="1:4">
      <c r="A83" t="s">
        <v>238</v>
      </c>
      <c r="B83" t="s">
        <v>232</v>
      </c>
      <c r="C83" s="5" t="s">
        <v>39</v>
      </c>
    </row>
    <row r="84" spans="1:4">
      <c r="A84" t="s">
        <v>240</v>
      </c>
      <c r="B84" t="str">
        <f t="shared" ref="B84" si="2">A84</f>
        <v>abuts</v>
      </c>
      <c r="C84" s="5" t="s">
        <v>39</v>
      </c>
    </row>
    <row r="85" spans="1:4">
      <c r="A85" t="s">
        <v>241</v>
      </c>
      <c r="B85" t="s">
        <v>243</v>
      </c>
      <c r="C85" s="5" t="s">
        <v>244</v>
      </c>
    </row>
    <row r="86" spans="1:4">
      <c r="A86" t="s">
        <v>239</v>
      </c>
      <c r="B86" t="s">
        <v>237</v>
      </c>
      <c r="C86" s="5" t="s">
        <v>245</v>
      </c>
    </row>
    <row r="87" spans="1:4">
      <c r="A87" t="s">
        <v>237</v>
      </c>
      <c r="B87" t="s">
        <v>237</v>
      </c>
      <c r="C87" s="5" t="s">
        <v>245</v>
      </c>
    </row>
    <row r="88" spans="1:4">
      <c r="A88" t="s">
        <v>212</v>
      </c>
      <c r="B88" t="s">
        <v>246</v>
      </c>
      <c r="C88" s="5" t="s">
        <v>39</v>
      </c>
    </row>
    <row r="89" spans="1:4">
      <c r="A89" t="s">
        <v>213</v>
      </c>
      <c r="B89" t="s">
        <v>232</v>
      </c>
      <c r="C89" s="5" t="s">
        <v>39</v>
      </c>
    </row>
    <row r="90" spans="1:4">
      <c r="A90" t="s">
        <v>222</v>
      </c>
      <c r="B90" t="s">
        <v>222</v>
      </c>
      <c r="C90" s="5" t="s">
        <v>40</v>
      </c>
    </row>
    <row r="91" spans="1:4">
      <c r="A91" t="s">
        <v>59</v>
      </c>
      <c r="B91" t="s">
        <v>20</v>
      </c>
      <c r="C91" s="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Results Last 12 Months</vt:lpstr>
      <vt:lpstr>Results All Time</vt:lpstr>
      <vt:lpstr>Sheet1</vt:lpstr>
      <vt:lpstr>Amalgamated</vt:lpstr>
      <vt:lpstr>Tickets Fixed</vt:lpstr>
      <vt:lpstr>Tickets Tested</vt:lpstr>
      <vt:lpstr>Commits Summary</vt:lpstr>
      <vt:lpstr>Tickets</vt:lpstr>
      <vt:lpstr>Commits</vt:lpstr>
      <vt:lpstr>People</vt:lpstr>
    </vt:vector>
  </TitlesOfParts>
  <Company>STFC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Draper, Nick (-,RAL,ISIS)</dc:creator>
  <cp:lastModifiedBy>Draper, Nick (-,RAL,ISIS)</cp:lastModifiedBy>
  <cp:lastPrinted>2014-04-25T14:25:32Z</cp:lastPrinted>
  <dcterms:created xsi:type="dcterms:W3CDTF">2014-04-25T11:03:40Z</dcterms:created>
  <dcterms:modified xsi:type="dcterms:W3CDTF">2015-01-29T11:23:56Z</dcterms:modified>
</cp:coreProperties>
</file>