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repos\documents\Project-Management\Tools\RoadmapUpdate\"/>
    </mc:Choice>
  </mc:AlternateContent>
  <xr:revisionPtr revIDLastSave="0" documentId="13_ncr:1_{6E98CA16-43F1-4737-B280-2E027651557A}" xr6:coauthVersionLast="47" xr6:coauthVersionMax="47" xr10:uidLastSave="{00000000-0000-0000-0000-000000000000}"/>
  <bookViews>
    <workbookView xWindow="28680" yWindow="-9030" windowWidth="29040" windowHeight="15720" tabRatio="181" activeTab="1" xr2:uid="{00000000-000D-0000-FFFF-FFFF00000000}"/>
  </bookViews>
  <sheets>
    <sheet name="issues" sheetId="1" r:id="rId1"/>
    <sheet name="assignees" sheetId="2" r:id="rId2"/>
  </sheets>
  <externalReferences>
    <externalReference r:id="rId3"/>
  </externalReferences>
  <definedNames>
    <definedName name="_xlnm._FilterDatabase" localSheetId="0" hidden="1">issues!$A$1:$K$20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20" i="1"/>
  <c r="E17" i="1"/>
  <c r="E3" i="1"/>
  <c r="E16" i="1"/>
  <c r="E6" i="1"/>
  <c r="E8" i="1"/>
  <c r="E12" i="1"/>
  <c r="E10" i="1"/>
  <c r="E9" i="1"/>
  <c r="E11" i="1"/>
  <c r="E13" i="1"/>
  <c r="E2" i="1"/>
  <c r="E19" i="1"/>
  <c r="E18" i="1"/>
  <c r="E15" i="1"/>
  <c r="E7" i="1"/>
  <c r="E14" i="1"/>
  <c r="H23" i="2"/>
  <c r="H22" i="2"/>
  <c r="H25" i="2" s="1"/>
  <c r="I22" i="2" s="1"/>
  <c r="F14" i="1"/>
  <c r="F15" i="1"/>
  <c r="F5" i="1"/>
  <c r="F4" i="1"/>
  <c r="F20" i="1"/>
  <c r="F17" i="1"/>
  <c r="F3" i="1"/>
  <c r="F16" i="1"/>
  <c r="F6" i="1"/>
  <c r="F8" i="1"/>
  <c r="F12" i="1"/>
  <c r="F10" i="1"/>
  <c r="F9" i="1"/>
  <c r="F11" i="1"/>
  <c r="F13" i="1"/>
  <c r="F2" i="1"/>
  <c r="F19" i="1"/>
  <c r="F18" i="1"/>
  <c r="B12" i="2" l="1"/>
  <c r="B2" i="2"/>
  <c r="B5" i="2"/>
  <c r="B9" i="2"/>
  <c r="B10" i="2"/>
  <c r="B11" i="2"/>
  <c r="B6" i="2"/>
  <c r="B7" i="2"/>
  <c r="B8" i="2"/>
  <c r="B4" i="2"/>
  <c r="B3" i="2"/>
  <c r="I21" i="2"/>
  <c r="I23" i="2"/>
  <c r="I24" i="2"/>
  <c r="F7" i="1"/>
</calcChain>
</file>

<file path=xl/sharedStrings.xml><?xml version="1.0" encoding="utf-8"?>
<sst xmlns="http://schemas.openxmlformats.org/spreadsheetml/2006/main" count="112" uniqueCount="93">
  <si>
    <t>Title</t>
  </si>
  <si>
    <t>Additional Body Text</t>
  </si>
  <si>
    <t>Login</t>
  </si>
  <si>
    <t>http://developer.mantidproject.org/Testing/ErrorReporter-ProjectRecovery/ProjectRecoveryTesting.html</t>
  </si>
  <si>
    <t>http://developer.mantidproject.org/Testing/ErrorReporter-ProjectRecovery/ErrorReporterTesting.html</t>
  </si>
  <si>
    <t>No Assigned</t>
  </si>
  <si>
    <t>Label</t>
  </si>
  <si>
    <t>Manual Testing M-slice</t>
  </si>
  <si>
    <t>Manual Testing Live Data ISIS</t>
  </si>
  <si>
    <t>Manual Testing ISIS Reflectometry</t>
  </si>
  <si>
    <t>Manual Testing Sample Transmission calculator</t>
  </si>
  <si>
    <t>Manual Testing Engineering Diffraction</t>
  </si>
  <si>
    <t>Manual Testing FilterEvents</t>
  </si>
  <si>
    <t>Manual Testing TOFConverter</t>
  </si>
  <si>
    <t>Manual Testing Muon</t>
  </si>
  <si>
    <t>Manual Testing Documentation</t>
  </si>
  <si>
    <t>Manual Testing Error Reporter</t>
  </si>
  <si>
    <t>Manual Testing Project Recovery</t>
  </si>
  <si>
    <t>Manual Testing Mantid Basics Course</t>
  </si>
  <si>
    <t>https://developer.mantidproject.org/Testing/Core/Core.html</t>
  </si>
  <si>
    <t>Assignee</t>
  </si>
  <si>
    <t>https://developer.mantidproject.org/Testing/SliceViewer/SliceViewer.html</t>
  </si>
  <si>
    <t>Check Online Docs and the Qt-help docs built into MantidWorkbench (from the help droppdown menu)
* Algorithm, fit, concept and api pages should be generated
* Algorithm dialog snapshots should appear on algorithm pages in offline help
* Math formulae should appear on algorithm pages in offline help
* workflow diagrams should appear on algorithm pages in offline help
You may wish to use this script ( [OpenMostDocumentationForTesting.py](https://github.com/mantidproject/mantid/blob/master/tools/scripts/OpenMostDocumentationForTesting.py) ) to open all the online docs pages!</t>
  </si>
  <si>
    <t>* Check the Qt-help docs, built into Workbench, against the online documentation 
* Open up the basic course: http://docs.mantidproject.org/tutorials/mantid_basic_course/index.html#mantid-basic-course
* Check that the information and exercises are up to date and work in the Workbench release candidate</t>
  </si>
  <si>
    <t>https://developer.mantidproject.org/Testing/LiveData/LiveDataTests.html</t>
  </si>
  <si>
    <t>http://developer.mantidproject.org/Testing/ReflectometryGUI/ReflectometryGUITests.html</t>
  </si>
  <si>
    <t>https://developer.mantidproject.org/Testing/EngineeringDiffraction/EngineeringDiffractionTestGuide.html</t>
  </si>
  <si>
    <t xml:space="preserve">Make sure that inputs and outputs work sensibly, stress test with some bad inputs (e.g. letters in a numeric input)
https://docs.mantidproject.org/interfaces/utility/TOF%20Converter.html </t>
  </si>
  <si>
    <t>Manual Testing ISIS SANS</t>
  </si>
  <si>
    <t>Manual Testing Sliceviewer</t>
  </si>
  <si>
    <t>Manual Testing Fit Script Generator</t>
  </si>
  <si>
    <t>https://docs.mantidproject.org/nightly/interfaces/general/Fit%20Script%20Generator.html</t>
  </si>
  <si>
    <t>https://developer.mantidproject.org/Testing/SANSGUI/ISISSANSGUITests.html</t>
  </si>
  <si>
    <t>Manual Testing ALF</t>
  </si>
  <si>
    <t>See instructions at: https://developer.mantidproject.org/Testing/MuonAnalysis_test_guides/index.html</t>
  </si>
  <si>
    <t>Manual Testing Inelastic interfaces</t>
  </si>
  <si>
    <t>Manual Testing Indirect interfaces</t>
  </si>
  <si>
    <t>https://developer.mantidproject.org/Testing/Direct/ALFViewTests.html</t>
  </si>
  <si>
    <t>https://developer.mantidproject.org/Testing/Direct/MSliceTestGuide.html</t>
  </si>
  <si>
    <t>cailafinn</t>
  </si>
  <si>
    <t>MohamedAlmaki</t>
  </si>
  <si>
    <t>adriazalvarez</t>
  </si>
  <si>
    <t>jclarkeSTFC</t>
  </si>
  <si>
    <t>GuiMacielPereira</t>
  </si>
  <si>
    <t>warunawickramasingha</t>
  </si>
  <si>
    <t>jhaigh0</t>
  </si>
  <si>
    <t>SilkeSchomann</t>
  </si>
  <si>
    <t>sf1919</t>
  </si>
  <si>
    <t>Make sure that inputs and outputs work sensibly, stress test with some bad inputs (e.g. letters in a numeric input)
See https://developer.mantidproject.org/Testing/General/SampleTransmissionCalculatorTestGuide.html</t>
  </si>
  <si>
    <t>6.10 (mins)</t>
  </si>
  <si>
    <t>Average time (mins)</t>
  </si>
  <si>
    <t>https://developer.mantidproject.org/Testing/Utility/FilterEventsInterfaceTest.html</t>
  </si>
  <si>
    <t>Manual Testing Workbench Core</t>
  </si>
  <si>
    <t xml:space="preserve">Follow the directions at: 
* https://developer.mantidproject.org/Testing/Indirect/DiffractionTests.html
* https://developer.mantidproject.org/Testing/Indirect/DataReductionTests.html
</t>
  </si>
  <si>
    <t xml:space="preserve">Follow the directions at:
* https://developer.mantidproject.org/Testing/Inelastic/BayesFittingTests.html
* https://developer.mantidproject.org/Testing/Inelastic/CorrectionsTests.html
* https://developer.mantidproject.org/Testing/Inelastic/QENSFittingTests.html 
* https://developer.mantidproject.org/Testing/Inelastic/DataProcessorTests.html
</t>
  </si>
  <si>
    <t>6.11 (mins)</t>
  </si>
  <si>
    <t>MialLewis</t>
  </si>
  <si>
    <t>Group 1: James(OSX)*, Gui(linux), Jonathan(IDaaS), Despina(Windows)</t>
  </si>
  <si>
    <t>total time</t>
  </si>
  <si>
    <t>jclarkeSTFC, GuiMacielPereira, jhaigh0, Despiix</t>
  </si>
  <si>
    <t>rbauststfc, adriazalvarez, MohamedAlmaki, MialLewis</t>
  </si>
  <si>
    <t>RichardWaiteSTFC, yusufjimoh, SilkeSchomann, andy-bridger</t>
  </si>
  <si>
    <t>Gui</t>
  </si>
  <si>
    <t>Waruna</t>
  </si>
  <si>
    <t>Adrian</t>
  </si>
  <si>
    <t>Silke</t>
  </si>
  <si>
    <t>Conda</t>
  </si>
  <si>
    <t>GPU IDAaaS</t>
  </si>
  <si>
    <t>Rachel</t>
  </si>
  <si>
    <t>Group 4: Richard(IDAaaS)*, Yusuf(linux), Silke(OSX), Andy(Windows)</t>
  </si>
  <si>
    <t>Jonathan</t>
  </si>
  <si>
    <t xml:space="preserve">thomashampson </t>
  </si>
  <si>
    <t xml:space="preserve">cailafinn, warunawickramasingha, robertapplin, thomashampson </t>
  </si>
  <si>
    <t>Group 2: Caila(OSX)*, Waruna(IDaaS), Rob(linux), Tom(Windows)</t>
  </si>
  <si>
    <t>Group 3: Rachel(IDAaaS)*, Adrian(Windows), Mohammed(linux), Mial(OSX), ILL(linux)</t>
  </si>
  <si>
    <t>6.12 (mints)</t>
  </si>
  <si>
    <t>6.9  (mins)</t>
  </si>
  <si>
    <t>6.13 (mints)</t>
  </si>
  <si>
    <t>JackEAllen</t>
  </si>
  <si>
    <t>v6.12 Groups</t>
  </si>
  <si>
    <t>v6.13 Groups</t>
  </si>
  <si>
    <t>Group 1: Gui(linux*), Jonathan(IDaaS), Caila(OSX)*, Tom(Windows*)</t>
  </si>
  <si>
    <t>Group 2: Silke(IDAaaS+), Waruna(Windows), James(OSX)*, Adrian(Windows*)</t>
  </si>
  <si>
    <r>
      <t xml:space="preserve">Group 3: Mohammed(linux), Mial(OSX), Sarah(IDAaaS), </t>
    </r>
    <r>
      <rPr>
        <i/>
        <sz val="10"/>
        <color theme="1"/>
        <rFont val="Segoe UI"/>
        <family val="2"/>
      </rPr>
      <t>Jack(Windows*)</t>
    </r>
  </si>
  <si>
    <t>Group</t>
  </si>
  <si>
    <t>G1</t>
  </si>
  <si>
    <t>G2</t>
  </si>
  <si>
    <t>G3</t>
  </si>
  <si>
    <t xml:space="preserve">GuiMacielPereira, jhaigh0, cailafinn, thomashampson </t>
  </si>
  <si>
    <t>SilkeSchomann, warunawickramasingha, jclarkeSTFC, adriazalvarez</t>
  </si>
  <si>
    <t>MohamedAlmaki, MialLewis, sf1919</t>
  </si>
  <si>
    <t>Github Users</t>
  </si>
  <si>
    <t>Group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</si>
</sst>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Segoe UI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/>
    <xf numFmtId="0" fontId="18" fillId="0" borderId="0" xfId="42" applyAlignment="1">
      <alignment wrapText="1"/>
    </xf>
    <xf numFmtId="0" fontId="0" fillId="0" borderId="0" xfId="0" applyAlignment="1">
      <alignment vertical="center"/>
    </xf>
    <xf numFmtId="0" fontId="18" fillId="0" borderId="0" xfId="42"/>
    <xf numFmtId="0" fontId="19" fillId="0" borderId="0" xfId="0" applyFont="1"/>
    <xf numFmtId="0" fontId="7" fillId="3" borderId="0" xfId="7"/>
    <xf numFmtId="0" fontId="20" fillId="0" borderId="0" xfId="0" applyFont="1"/>
    <xf numFmtId="0" fontId="16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_template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igne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eveloper.mantidproject.org/Testing/ErrorReporter-ProjectRecovery/ProjectRecoveryTesting.html" TargetMode="External"/><Relationship Id="rId3" Type="http://schemas.openxmlformats.org/officeDocument/2006/relationships/hyperlink" Target="https://developer.mantidproject.org/Testing/Core/Core.html" TargetMode="External"/><Relationship Id="rId7" Type="http://schemas.openxmlformats.org/officeDocument/2006/relationships/hyperlink" Target="https://developer.mantidproject.org/Testing/EngineeringDiffraction/EngineeringDiffractionTestGuide.htm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developer.mantidproject.org/Testing/ErrorReporter-ProjectRecovery/ErrorReporterTesting.html" TargetMode="External"/><Relationship Id="rId1" Type="http://schemas.openxmlformats.org/officeDocument/2006/relationships/hyperlink" Target="https://developer.mantidproject.org/Testing/SliceViewer/SliceViewer.html" TargetMode="External"/><Relationship Id="rId6" Type="http://schemas.openxmlformats.org/officeDocument/2006/relationships/hyperlink" Target="http://developer.mantidproject.org/Testing/ReflectometryGUI/ReflectometryGUITests.html" TargetMode="External"/><Relationship Id="rId11" Type="http://schemas.openxmlformats.org/officeDocument/2006/relationships/hyperlink" Target="https://developer.mantidproject.org/Testing/Utility/FilterEventsInterfaceTest.html" TargetMode="External"/><Relationship Id="rId5" Type="http://schemas.openxmlformats.org/officeDocument/2006/relationships/hyperlink" Target="https://developer.mantidproject.org/Testing/LiveData/LiveDataTests.html" TargetMode="External"/><Relationship Id="rId10" Type="http://schemas.openxmlformats.org/officeDocument/2006/relationships/hyperlink" Target="https://developer.mantidproject.org/Testing/Direct/ALFViewTests.html" TargetMode="External"/><Relationship Id="rId4" Type="http://schemas.openxmlformats.org/officeDocument/2006/relationships/hyperlink" Target="https://developer.mantidproject.org/Testing/Direct/MSliceTestGuide.html" TargetMode="External"/><Relationship Id="rId9" Type="http://schemas.openxmlformats.org/officeDocument/2006/relationships/hyperlink" Target="https://docs.mantidproject.org/nightly/interfaces/general/Fit%20Script%20Generator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activeCell="E3" sqref="E3"/>
    </sheetView>
  </sheetViews>
  <sheetFormatPr defaultColWidth="9.109375" defaultRowHeight="14.4" x14ac:dyDescent="0.3"/>
  <cols>
    <col min="1" max="1" width="46" style="1" customWidth="1"/>
    <col min="2" max="2" width="72.6640625" style="1" customWidth="1"/>
    <col min="3" max="3" width="5.5546875" style="1" bestFit="1" customWidth="1"/>
    <col min="4" max="4" width="7" style="1" customWidth="1"/>
    <col min="5" max="5" width="54.88671875" style="1" bestFit="1" customWidth="1"/>
    <col min="6" max="16384" width="9.109375" style="1"/>
  </cols>
  <sheetData>
    <row r="1" spans="1:11" s="2" customFormat="1" ht="43.2" x14ac:dyDescent="0.3">
      <c r="A1" s="2" t="s">
        <v>0</v>
      </c>
      <c r="B1" s="2" t="s">
        <v>1</v>
      </c>
      <c r="C1" s="2" t="s">
        <v>6</v>
      </c>
      <c r="D1" s="2" t="s">
        <v>84</v>
      </c>
      <c r="E1" s="2" t="s">
        <v>20</v>
      </c>
      <c r="F1" s="2" t="s">
        <v>50</v>
      </c>
      <c r="G1" s="2" t="s">
        <v>76</v>
      </c>
      <c r="H1" s="2" t="s">
        <v>49</v>
      </c>
      <c r="I1" s="2" t="s">
        <v>55</v>
      </c>
      <c r="J1" s="2" t="s">
        <v>75</v>
      </c>
      <c r="K1" s="2" t="s">
        <v>77</v>
      </c>
    </row>
    <row r="2" spans="1:11" s="2" customFormat="1" ht="72" x14ac:dyDescent="0.3">
      <c r="A2" s="1" t="s">
        <v>29</v>
      </c>
      <c r="B2" s="4" t="s">
        <v>21</v>
      </c>
      <c r="C2" s="1"/>
      <c r="D2" t="s">
        <v>85</v>
      </c>
      <c r="E2" s="1" t="str">
        <f>VLOOKUP(D2,assignees!$G$2:$H$4,2,0)</f>
        <v xml:space="preserve">GuiMacielPereira, jhaigh0, cailafinn, thomashampson </v>
      </c>
      <c r="F2" s="2">
        <f t="shared" ref="F2:F20" si="0">AVERAGEIF(G2:M2, "&lt;&gt;0")</f>
        <v>150</v>
      </c>
      <c r="G2" s="1"/>
      <c r="H2" s="1">
        <v>150</v>
      </c>
      <c r="I2" s="1"/>
      <c r="J2" s="1"/>
      <c r="K2" s="1"/>
    </row>
    <row r="3" spans="1:11" ht="100.8" x14ac:dyDescent="0.3">
      <c r="A3" s="1" t="s">
        <v>11</v>
      </c>
      <c r="B3" s="4" t="s">
        <v>26</v>
      </c>
      <c r="D3" t="s">
        <v>86</v>
      </c>
      <c r="E3" s="1" t="str">
        <f>VLOOKUP(D3,assignees!$G$2:$H$4,2,0)</f>
        <v>SilkeSchomann, warunawickramasingha, jclarkeSTFC, adriazalvarez</v>
      </c>
      <c r="F3" s="2">
        <f t="shared" si="0"/>
        <v>127.5</v>
      </c>
      <c r="G3" s="1">
        <v>150</v>
      </c>
      <c r="I3" s="1">
        <v>105</v>
      </c>
    </row>
    <row r="4" spans="1:11" ht="172.8" x14ac:dyDescent="0.3">
      <c r="A4" s="1" t="s">
        <v>14</v>
      </c>
      <c r="B4" s="1" t="s">
        <v>34</v>
      </c>
      <c r="D4" t="s">
        <v>87</v>
      </c>
      <c r="E4" s="1" t="str">
        <f>VLOOKUP(D4,assignees!$G$2:$H$4,2,0)</f>
        <v>MohamedAlmaki, MialLewis, sf1919</v>
      </c>
      <c r="F4" s="2">
        <f t="shared" si="0"/>
        <v>125.25</v>
      </c>
      <c r="G4" s="1">
        <v>111</v>
      </c>
      <c r="H4" s="1">
        <v>120</v>
      </c>
      <c r="I4" s="1">
        <v>150</v>
      </c>
      <c r="J4" s="1">
        <v>120</v>
      </c>
    </row>
    <row r="5" spans="1:11" x14ac:dyDescent="0.3">
      <c r="A5" s="1" t="s">
        <v>52</v>
      </c>
      <c r="B5" s="4" t="s">
        <v>19</v>
      </c>
      <c r="C5" s="5"/>
      <c r="D5" t="s">
        <v>87</v>
      </c>
      <c r="E5" s="1" t="str">
        <f>VLOOKUP(D5,assignees!$G$2:$H$4,2,0)</f>
        <v>MohamedAlmaki, MialLewis, sf1919</v>
      </c>
      <c r="F5" s="2">
        <f t="shared" si="0"/>
        <v>83.333333333333329</v>
      </c>
      <c r="H5" s="1">
        <v>120</v>
      </c>
      <c r="I5" s="1">
        <v>85</v>
      </c>
      <c r="J5" s="1">
        <v>45</v>
      </c>
    </row>
    <row r="6" spans="1:11" ht="28.8" x14ac:dyDescent="0.3">
      <c r="A6" s="1" t="s">
        <v>9</v>
      </c>
      <c r="B6" s="4" t="s">
        <v>25</v>
      </c>
      <c r="C6"/>
      <c r="D6" t="s">
        <v>86</v>
      </c>
      <c r="E6" s="1" t="str">
        <f>VLOOKUP(D6,assignees!$G$2:$H$4,2,0)</f>
        <v>SilkeSchomann, warunawickramasingha, jclarkeSTFC, adriazalvarez</v>
      </c>
      <c r="F6" s="2">
        <f t="shared" si="0"/>
        <v>78.75</v>
      </c>
      <c r="G6" s="1">
        <v>60</v>
      </c>
      <c r="H6" s="1">
        <v>105</v>
      </c>
      <c r="I6" s="1">
        <v>90</v>
      </c>
      <c r="J6" s="1">
        <v>60</v>
      </c>
    </row>
    <row r="7" spans="1:11" ht="100.8" x14ac:dyDescent="0.3">
      <c r="A7" s="1" t="s">
        <v>35</v>
      </c>
      <c r="B7" s="1" t="s">
        <v>54</v>
      </c>
      <c r="C7"/>
      <c r="D7" t="s">
        <v>85</v>
      </c>
      <c r="E7" s="1" t="str">
        <f>VLOOKUP(D7,assignees!$G$2:$H$4,2,0)</f>
        <v xml:space="preserve">GuiMacielPereira, jhaigh0, cailafinn, thomashampson </v>
      </c>
      <c r="F7" s="2">
        <f t="shared" si="0"/>
        <v>70</v>
      </c>
      <c r="H7" s="1">
        <v>30</v>
      </c>
      <c r="I7" s="1">
        <v>110</v>
      </c>
    </row>
    <row r="8" spans="1:11" x14ac:dyDescent="0.3">
      <c r="A8" s="1" t="s">
        <v>28</v>
      </c>
      <c r="B8" s="4" t="s">
        <v>32</v>
      </c>
      <c r="C8"/>
      <c r="D8" t="s">
        <v>85</v>
      </c>
      <c r="E8" s="1" t="str">
        <f>VLOOKUP(D8,assignees!$G$2:$H$4,2,0)</f>
        <v xml:space="preserve">GuiMacielPereira, jhaigh0, cailafinn, thomashampson </v>
      </c>
      <c r="F8" s="2">
        <f t="shared" si="0"/>
        <v>63.333333333333336</v>
      </c>
      <c r="G8" s="1">
        <v>67</v>
      </c>
      <c r="I8" s="1">
        <v>53</v>
      </c>
      <c r="J8" s="1">
        <v>70</v>
      </c>
    </row>
    <row r="9" spans="1:11" ht="28.8" x14ac:dyDescent="0.3">
      <c r="A9" s="1" t="s">
        <v>7</v>
      </c>
      <c r="B9" s="4" t="s">
        <v>38</v>
      </c>
      <c r="C9"/>
      <c r="D9" t="s">
        <v>86</v>
      </c>
      <c r="E9" s="1" t="str">
        <f>VLOOKUP(D9,assignees!$G$2:$H$4,2,0)</f>
        <v>SilkeSchomann, warunawickramasingha, jclarkeSTFC, adriazalvarez</v>
      </c>
      <c r="F9" s="2">
        <f t="shared" si="0"/>
        <v>56.666666666666664</v>
      </c>
      <c r="G9" s="1">
        <v>60</v>
      </c>
      <c r="H9" s="1">
        <v>60</v>
      </c>
      <c r="I9" s="1">
        <v>50</v>
      </c>
    </row>
    <row r="10" spans="1:11" ht="86.4" x14ac:dyDescent="0.3">
      <c r="A10" s="1" t="s">
        <v>18</v>
      </c>
      <c r="B10" s="1" t="s">
        <v>23</v>
      </c>
      <c r="D10" t="s">
        <v>87</v>
      </c>
      <c r="E10" s="1" t="str">
        <f>VLOOKUP(D10,assignees!$G$2:$H$4,2,0)</f>
        <v>MohamedAlmaki, MialLewis, sf1919</v>
      </c>
      <c r="F10" s="2">
        <f t="shared" si="0"/>
        <v>53.333333333333336</v>
      </c>
      <c r="G10" s="1">
        <v>60</v>
      </c>
      <c r="H10" s="1">
        <v>40</v>
      </c>
      <c r="I10" s="1">
        <v>60</v>
      </c>
    </row>
    <row r="11" spans="1:11" ht="28.8" x14ac:dyDescent="0.3">
      <c r="A11" s="1" t="s">
        <v>17</v>
      </c>
      <c r="B11" s="4" t="s">
        <v>3</v>
      </c>
      <c r="D11" t="s">
        <v>87</v>
      </c>
      <c r="E11" s="1" t="str">
        <f>VLOOKUP(D11,assignees!$G$2:$H$4,2,0)</f>
        <v>MohamedAlmaki, MialLewis, sf1919</v>
      </c>
      <c r="F11" s="2">
        <f t="shared" si="0"/>
        <v>40.25</v>
      </c>
      <c r="G11" s="1">
        <v>50</v>
      </c>
      <c r="H11" s="1">
        <v>30</v>
      </c>
      <c r="I11" s="1">
        <v>36</v>
      </c>
      <c r="J11" s="1">
        <v>45</v>
      </c>
    </row>
    <row r="12" spans="1:11" ht="28.8" x14ac:dyDescent="0.3">
      <c r="A12" s="1" t="s">
        <v>8</v>
      </c>
      <c r="B12" s="4" t="s">
        <v>24</v>
      </c>
      <c r="C12"/>
      <c r="D12" t="s">
        <v>86</v>
      </c>
      <c r="E12" s="1" t="str">
        <f>VLOOKUP(D12,assignees!$G$2:$H$4,2,0)</f>
        <v>SilkeSchomann, warunawickramasingha, jclarkeSTFC, adriazalvarez</v>
      </c>
      <c r="F12" s="2">
        <f t="shared" si="0"/>
        <v>26.5</v>
      </c>
      <c r="G12" s="1">
        <v>22</v>
      </c>
      <c r="H12" s="1">
        <v>20</v>
      </c>
      <c r="I12" s="1">
        <v>20</v>
      </c>
      <c r="J12" s="1">
        <v>44</v>
      </c>
    </row>
    <row r="13" spans="1:11" ht="28.8" x14ac:dyDescent="0.3">
      <c r="A13" s="1" t="s">
        <v>16</v>
      </c>
      <c r="B13" s="4" t="s">
        <v>4</v>
      </c>
      <c r="D13" t="s">
        <v>86</v>
      </c>
      <c r="E13" s="1" t="str">
        <f>VLOOKUP(D13,assignees!$G$2:$H$4,2,0)</f>
        <v>SilkeSchomann, warunawickramasingha, jclarkeSTFC, adriazalvarez</v>
      </c>
      <c r="F13" s="2">
        <f t="shared" si="0"/>
        <v>24</v>
      </c>
      <c r="G13" s="1">
        <v>26</v>
      </c>
      <c r="H13" s="1">
        <v>20</v>
      </c>
      <c r="I13" s="1">
        <v>30</v>
      </c>
      <c r="J13" s="1">
        <v>20</v>
      </c>
    </row>
    <row r="14" spans="1:11" ht="72" x14ac:dyDescent="0.3">
      <c r="A14" s="1" t="s">
        <v>36</v>
      </c>
      <c r="B14" s="1" t="s">
        <v>53</v>
      </c>
      <c r="C14"/>
      <c r="D14" t="s">
        <v>85</v>
      </c>
      <c r="E14" s="1" t="str">
        <f>VLOOKUP(D14,assignees!$G$2:$H$4,2,0)</f>
        <v xml:space="preserve">GuiMacielPereira, jhaigh0, cailafinn, thomashampson </v>
      </c>
      <c r="F14" s="2">
        <f t="shared" si="0"/>
        <v>23.666666666666668</v>
      </c>
      <c r="G14" s="1">
        <v>11</v>
      </c>
      <c r="H14" s="2">
        <v>0</v>
      </c>
      <c r="I14" s="2">
        <v>45</v>
      </c>
      <c r="J14" s="2">
        <v>15</v>
      </c>
      <c r="K14" s="2"/>
    </row>
    <row r="15" spans="1:11" ht="172.8" x14ac:dyDescent="0.3">
      <c r="A15" s="1" t="s">
        <v>15</v>
      </c>
      <c r="B15" s="1" t="s">
        <v>22</v>
      </c>
      <c r="C15"/>
      <c r="D15" t="s">
        <v>86</v>
      </c>
      <c r="E15" s="1" t="str">
        <f>VLOOKUP(D15,assignees!$G$2:$H$4,2,0)</f>
        <v>SilkeSchomann, warunawickramasingha, jclarkeSTFC, adriazalvarez</v>
      </c>
      <c r="F15" s="2">
        <f t="shared" si="0"/>
        <v>20</v>
      </c>
      <c r="H15" s="1">
        <v>20</v>
      </c>
      <c r="I15" s="1">
        <v>0</v>
      </c>
    </row>
    <row r="16" spans="1:11" ht="72" x14ac:dyDescent="0.3">
      <c r="A16" s="1" t="s">
        <v>10</v>
      </c>
      <c r="B16" s="1" t="s">
        <v>48</v>
      </c>
      <c r="C16" s="5"/>
      <c r="D16" t="s">
        <v>87</v>
      </c>
      <c r="E16" s="1" t="str">
        <f>VLOOKUP(D16,assignees!$G$2:$H$4,2,0)</f>
        <v>MohamedAlmaki, MialLewis, sf1919</v>
      </c>
      <c r="F16" s="2">
        <f t="shared" si="0"/>
        <v>19</v>
      </c>
      <c r="G16" s="1">
        <v>25</v>
      </c>
      <c r="H16" s="1">
        <v>10</v>
      </c>
      <c r="I16" s="1">
        <v>20</v>
      </c>
      <c r="J16" s="1">
        <v>21</v>
      </c>
    </row>
    <row r="17" spans="1:10" x14ac:dyDescent="0.3">
      <c r="A17" s="1" t="s">
        <v>12</v>
      </c>
      <c r="B17" s="4" t="s">
        <v>51</v>
      </c>
      <c r="C17"/>
      <c r="D17" t="s">
        <v>87</v>
      </c>
      <c r="E17" s="1" t="str">
        <f>VLOOKUP(D17,assignees!$G$2:$H$4,2,0)</f>
        <v>MohamedAlmaki, MialLewis, sf1919</v>
      </c>
      <c r="F17" s="2">
        <f t="shared" si="0"/>
        <v>18.75</v>
      </c>
      <c r="G17" s="1">
        <v>15</v>
      </c>
      <c r="H17" s="1">
        <v>30</v>
      </c>
      <c r="I17" s="1">
        <v>15</v>
      </c>
      <c r="J17" s="1">
        <v>15</v>
      </c>
    </row>
    <row r="18" spans="1:10" ht="28.8" x14ac:dyDescent="0.3">
      <c r="A18" s="1" t="s">
        <v>33</v>
      </c>
      <c r="B18" s="6" t="s">
        <v>37</v>
      </c>
      <c r="D18" t="s">
        <v>86</v>
      </c>
      <c r="E18" s="1" t="str">
        <f>VLOOKUP(D18,assignees!$G$2:$H$4,2,0)</f>
        <v>SilkeSchomann, warunawickramasingha, jclarkeSTFC, adriazalvarez</v>
      </c>
      <c r="F18" s="2">
        <f t="shared" si="0"/>
        <v>15.5</v>
      </c>
      <c r="G18" s="1">
        <v>10</v>
      </c>
      <c r="H18" s="1">
        <v>20</v>
      </c>
      <c r="I18" s="1">
        <v>17</v>
      </c>
      <c r="J18" s="1">
        <v>15</v>
      </c>
    </row>
    <row r="19" spans="1:10" ht="28.8" x14ac:dyDescent="0.3">
      <c r="A19" s="1" t="s">
        <v>30</v>
      </c>
      <c r="B19" s="4" t="s">
        <v>31</v>
      </c>
      <c r="D19" t="s">
        <v>85</v>
      </c>
      <c r="E19" s="1" t="str">
        <f>VLOOKUP(D19,assignees!$G$2:$H$4,2,0)</f>
        <v xml:space="preserve">GuiMacielPereira, jhaigh0, cailafinn, thomashampson </v>
      </c>
      <c r="F19" s="2">
        <f t="shared" si="0"/>
        <v>13.333333333333334</v>
      </c>
      <c r="G19" s="1">
        <v>10</v>
      </c>
      <c r="I19" s="1">
        <v>15</v>
      </c>
      <c r="J19" s="1">
        <v>15</v>
      </c>
    </row>
    <row r="20" spans="1:10" ht="43.2" x14ac:dyDescent="0.3">
      <c r="A20" s="1" t="s">
        <v>13</v>
      </c>
      <c r="B20" s="1" t="s">
        <v>27</v>
      </c>
      <c r="C20" s="5"/>
      <c r="D20" t="s">
        <v>85</v>
      </c>
      <c r="E20" s="1" t="str">
        <f>VLOOKUP(D20,assignees!$G$2:$H$4,2,0)</f>
        <v xml:space="preserve">GuiMacielPereira, jhaigh0, cailafinn, thomashampson </v>
      </c>
      <c r="F20" s="2">
        <f t="shared" si="0"/>
        <v>11.666666666666666</v>
      </c>
      <c r="H20" s="1">
        <v>10</v>
      </c>
      <c r="I20" s="1">
        <v>15</v>
      </c>
      <c r="J20" s="1">
        <v>10</v>
      </c>
    </row>
  </sheetData>
  <autoFilter ref="A1:K20" xr:uid="{00000000-0001-0000-0000-000000000000}">
    <sortState xmlns:xlrd2="http://schemas.microsoft.com/office/spreadsheetml/2017/richdata2" ref="A2:K20">
      <sortCondition descending="1" ref="F1:F20"/>
    </sortState>
  </autoFilter>
  <phoneticPr fontId="22" type="noConversion"/>
  <hyperlinks>
    <hyperlink ref="B2" r:id="rId1" xr:uid="{00000000-0004-0000-0000-000001000000}"/>
    <hyperlink ref="B13" r:id="rId2" xr:uid="{00000000-0004-0000-0000-000002000000}"/>
    <hyperlink ref="B5" r:id="rId3" xr:uid="{00000000-0004-0000-0000-000003000000}"/>
    <hyperlink ref="B9" r:id="rId4" xr:uid="{00000000-0004-0000-0000-000004000000}"/>
    <hyperlink ref="B12" r:id="rId5" xr:uid="{00000000-0004-0000-0000-000005000000}"/>
    <hyperlink ref="B6" r:id="rId6" xr:uid="{00000000-0004-0000-0000-000006000000}"/>
    <hyperlink ref="B3" r:id="rId7" xr:uid="{00000000-0004-0000-0000-000007000000}"/>
    <hyperlink ref="B11" r:id="rId8" xr:uid="{00000000-0004-0000-0000-000008000000}"/>
    <hyperlink ref="B19" r:id="rId9" xr:uid="{00000000-0004-0000-0000-00000A000000}"/>
    <hyperlink ref="B18" r:id="rId10" xr:uid="{00000000-0004-0000-0000-00000B000000}"/>
    <hyperlink ref="B17" r:id="rId11" xr:uid="{FD2B8B35-7F58-431D-9BE2-A8C7B208C97C}"/>
  </hyperlinks>
  <pageMargins left="0.7" right="0.7" top="0.75" bottom="0.75" header="0.3" footer="0.3"/>
  <pageSetup paperSize="9" orientation="portrait" r:id="rId1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[issue_templateupdate.xlsx]assignees!#REF!</xm:f>
          </x14:formula1>
          <xm:sqref>C19:C24 D21:D24</xm:sqref>
        </x14:dataValidation>
        <x14:dataValidation type="list" allowBlank="1" showInputMessage="1" showErrorMessage="1" xr:uid="{00000000-0002-0000-0000-000002000000}">
          <x14:formula1>
            <xm:f>assignees!$A$2:$A$4</xm:f>
          </x14:formula1>
          <xm:sqref>C2:C18</xm:sqref>
        </x14:dataValidation>
        <x14:dataValidation type="list" allowBlank="1" showInputMessage="1" showErrorMessage="1" xr:uid="{1CDE1CA9-DBC2-4449-8ED0-EBB9612B23D5}">
          <x14:formula1>
            <xm:f>assignees!$G$2:$G$4</xm:f>
          </x14:formula1>
          <xm:sqref>D2:D20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tabSelected="1" workbookViewId="0">
      <selection activeCell="F12" sqref="F12"/>
    </sheetView>
  </sheetViews>
  <sheetFormatPr defaultColWidth="8.6640625" defaultRowHeight="14.4" x14ac:dyDescent="0.3"/>
  <cols>
    <col min="1" max="1" width="22.109375" bestFit="1" customWidth="1"/>
    <col min="2" max="2" width="12" bestFit="1" customWidth="1"/>
    <col min="6" max="6" width="81.21875" bestFit="1" customWidth="1"/>
    <col min="7" max="7" width="58.5546875" bestFit="1" customWidth="1"/>
    <col min="8" max="8" width="63.5546875" bestFit="1" customWidth="1"/>
    <col min="11" max="11" width="11" bestFit="1" customWidth="1"/>
    <col min="13" max="13" width="10.109375" bestFit="1" customWidth="1"/>
  </cols>
  <sheetData>
    <row r="1" spans="1:8" x14ac:dyDescent="0.3">
      <c r="A1" s="3" t="s">
        <v>2</v>
      </c>
      <c r="B1" s="3" t="s">
        <v>5</v>
      </c>
      <c r="F1" s="10" t="s">
        <v>80</v>
      </c>
      <c r="G1" s="3" t="s">
        <v>92</v>
      </c>
      <c r="H1" s="3" t="s">
        <v>91</v>
      </c>
    </row>
    <row r="2" spans="1:8" ht="16.8" x14ac:dyDescent="0.4">
      <c r="A2" t="s">
        <v>39</v>
      </c>
      <c r="B2">
        <f>COUNTIF(issues!$E$2:$E$20,"*"&amp;A2&amp;"*")</f>
        <v>6</v>
      </c>
      <c r="F2" s="7" t="s">
        <v>81</v>
      </c>
      <c r="G2" t="s">
        <v>85</v>
      </c>
      <c r="H2" t="s">
        <v>88</v>
      </c>
    </row>
    <row r="3" spans="1:8" ht="16.8" x14ac:dyDescent="0.4">
      <c r="A3" t="s">
        <v>40</v>
      </c>
      <c r="B3">
        <f>COUNTIF(issues!$E$2:$E$20,"*"&amp;A3&amp;"*")</f>
        <v>6</v>
      </c>
      <c r="F3" s="7" t="s">
        <v>82</v>
      </c>
      <c r="G3" t="s">
        <v>86</v>
      </c>
      <c r="H3" s="7" t="s">
        <v>89</v>
      </c>
    </row>
    <row r="4" spans="1:8" ht="16.8" x14ac:dyDescent="0.4">
      <c r="A4" t="s">
        <v>41</v>
      </c>
      <c r="B4">
        <f>COUNTIF(issues!$E$2:$E$20,"*"&amp;A4&amp;"*")</f>
        <v>7</v>
      </c>
      <c r="F4" s="7" t="s">
        <v>83</v>
      </c>
      <c r="G4" t="s">
        <v>87</v>
      </c>
      <c r="H4" s="7" t="s">
        <v>90</v>
      </c>
    </row>
    <row r="5" spans="1:8" x14ac:dyDescent="0.3">
      <c r="A5" t="s">
        <v>42</v>
      </c>
      <c r="B5">
        <f>COUNTIF(issues!$E$2:$E$20,"*"&amp;A5&amp;"*")</f>
        <v>7</v>
      </c>
    </row>
    <row r="6" spans="1:8" x14ac:dyDescent="0.3">
      <c r="A6" t="s">
        <v>43</v>
      </c>
      <c r="B6">
        <f>COUNTIF(issues!$E$2:$E$20,"*"&amp;A6&amp;"*")</f>
        <v>6</v>
      </c>
    </row>
    <row r="7" spans="1:8" x14ac:dyDescent="0.3">
      <c r="A7" t="s">
        <v>71</v>
      </c>
      <c r="B7">
        <f>COUNTIF(issues!$E$2:$E$20,"*"&amp;#REF!&amp;"*")</f>
        <v>0</v>
      </c>
    </row>
    <row r="8" spans="1:8" x14ac:dyDescent="0.3">
      <c r="A8" t="s">
        <v>44</v>
      </c>
      <c r="B8">
        <f>COUNTIF(issues!$E$2:$E$20,"*"&amp;A8&amp;"*")</f>
        <v>7</v>
      </c>
      <c r="G8" s="1"/>
    </row>
    <row r="9" spans="1:8" x14ac:dyDescent="0.3">
      <c r="A9" t="s">
        <v>45</v>
      </c>
      <c r="B9">
        <f>COUNTIF(issues!$E$2:$E$20,"*"&amp;A9&amp;"*")</f>
        <v>6</v>
      </c>
    </row>
    <row r="10" spans="1:8" x14ac:dyDescent="0.3">
      <c r="A10" t="s">
        <v>46</v>
      </c>
      <c r="B10">
        <f>COUNTIF(issues!$E$2:$E$20,"*"&amp;A10&amp;"*")</f>
        <v>7</v>
      </c>
    </row>
    <row r="11" spans="1:8" x14ac:dyDescent="0.3">
      <c r="A11" t="s">
        <v>47</v>
      </c>
      <c r="B11">
        <f>COUNTIF(issues!$E$2:$E$20,"*"&amp;A11&amp;"*")</f>
        <v>6</v>
      </c>
    </row>
    <row r="12" spans="1:8" x14ac:dyDescent="0.3">
      <c r="A12" t="s">
        <v>56</v>
      </c>
      <c r="B12">
        <f>COUNTIF(issues!$E$2:$E$20,"*"&amp;#REF!&amp;"*")</f>
        <v>0</v>
      </c>
    </row>
    <row r="13" spans="1:8" x14ac:dyDescent="0.3">
      <c r="A13" s="9" t="s">
        <v>78</v>
      </c>
    </row>
    <row r="20" spans="6:13" x14ac:dyDescent="0.3">
      <c r="F20" s="10" t="s">
        <v>79</v>
      </c>
      <c r="H20" t="s">
        <v>58</v>
      </c>
      <c r="J20" t="s">
        <v>66</v>
      </c>
      <c r="K20" t="s">
        <v>67</v>
      </c>
      <c r="M20" s="1"/>
    </row>
    <row r="21" spans="6:13" ht="16.8" x14ac:dyDescent="0.4">
      <c r="F21" s="7" t="s">
        <v>57</v>
      </c>
      <c r="G21" t="s">
        <v>59</v>
      </c>
      <c r="H21">
        <v>243</v>
      </c>
      <c r="I21">
        <f>H21-$H$25</f>
        <v>-16.5</v>
      </c>
      <c r="J21" t="s">
        <v>62</v>
      </c>
      <c r="K21" t="s">
        <v>70</v>
      </c>
      <c r="M21" s="1"/>
    </row>
    <row r="22" spans="6:13" ht="16.8" x14ac:dyDescent="0.4">
      <c r="F22" s="7" t="s">
        <v>73</v>
      </c>
      <c r="G22" t="s">
        <v>72</v>
      </c>
      <c r="H22">
        <f>223+18</f>
        <v>241</v>
      </c>
      <c r="I22">
        <f>H22-$H$25</f>
        <v>-18.5</v>
      </c>
      <c r="J22" t="s">
        <v>63</v>
      </c>
      <c r="M22" s="1"/>
    </row>
    <row r="23" spans="6:13" ht="16.8" x14ac:dyDescent="0.4">
      <c r="F23" s="7" t="s">
        <v>74</v>
      </c>
      <c r="G23" t="s">
        <v>60</v>
      </c>
      <c r="H23">
        <f>303-18</f>
        <v>285</v>
      </c>
      <c r="I23">
        <f>H23-$H$25</f>
        <v>25.5</v>
      </c>
      <c r="J23" t="s">
        <v>64</v>
      </c>
      <c r="K23" t="s">
        <v>68</v>
      </c>
      <c r="M23" s="1"/>
    </row>
    <row r="24" spans="6:13" ht="16.8" x14ac:dyDescent="0.4">
      <c r="F24" s="7" t="s">
        <v>69</v>
      </c>
      <c r="G24" t="s">
        <v>61</v>
      </c>
      <c r="H24">
        <v>269</v>
      </c>
      <c r="I24">
        <f>H24-$H$25</f>
        <v>9.5</v>
      </c>
      <c r="J24" t="s">
        <v>65</v>
      </c>
      <c r="M24" s="1"/>
    </row>
    <row r="25" spans="6:13" x14ac:dyDescent="0.3">
      <c r="H25" s="8">
        <f>AVERAGE(H21:H24)</f>
        <v>259.5</v>
      </c>
      <c r="M25" s="1"/>
    </row>
    <row r="26" spans="6:13" x14ac:dyDescent="0.3">
      <c r="M26" s="1"/>
    </row>
    <row r="27" spans="6:13" x14ac:dyDescent="0.3">
      <c r="M27" s="1"/>
    </row>
    <row r="28" spans="6:13" x14ac:dyDescent="0.3">
      <c r="M28" s="1"/>
    </row>
    <row r="29" spans="6:13" x14ac:dyDescent="0.3">
      <c r="M29" s="1"/>
    </row>
    <row r="30" spans="6:13" x14ac:dyDescent="0.3">
      <c r="M30" s="1"/>
    </row>
    <row r="31" spans="6:13" x14ac:dyDescent="0.3">
      <c r="M31" s="1"/>
    </row>
    <row r="32" spans="6:13" x14ac:dyDescent="0.3">
      <c r="M32" s="1"/>
    </row>
    <row r="33" spans="6:13" x14ac:dyDescent="0.3">
      <c r="M33" s="1"/>
    </row>
    <row r="34" spans="6:13" x14ac:dyDescent="0.3">
      <c r="M34" s="1"/>
    </row>
    <row r="35" spans="6:13" x14ac:dyDescent="0.3">
      <c r="M35" s="1"/>
    </row>
    <row r="36" spans="6:13" x14ac:dyDescent="0.3">
      <c r="M36" s="1"/>
    </row>
    <row r="37" spans="6:13" x14ac:dyDescent="0.3">
      <c r="M37" s="1"/>
    </row>
    <row r="38" spans="6:13" x14ac:dyDescent="0.3">
      <c r="M38" s="1"/>
    </row>
    <row r="39" spans="6:13" ht="16.8" x14ac:dyDescent="0.4">
      <c r="F39" s="7"/>
    </row>
    <row r="41" spans="6:13" ht="16.8" x14ac:dyDescent="0.4">
      <c r="F41" s="7"/>
    </row>
  </sheetData>
  <sortState xmlns:xlrd2="http://schemas.microsoft.com/office/spreadsheetml/2017/richdata2" ref="A3:C12">
    <sortCondition descending="1" ref="B3:B23"/>
  </sortState>
  <conditionalFormatting sqref="B1: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assignees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Draper, Nick (-,RAL,ISIS)</dc:creator>
  <cp:lastModifiedBy>Lewis, Mial (STFC,RAL,ISIS)</cp:lastModifiedBy>
  <dcterms:created xsi:type="dcterms:W3CDTF">2017-02-16T16:40:00Z</dcterms:created>
  <dcterms:modified xsi:type="dcterms:W3CDTF">2025-06-24T16:02:39Z</dcterms:modified>
</cp:coreProperties>
</file>